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dex" sheetId="1" state="visible" r:id="rId1"/>
    <sheet xmlns:r="http://schemas.openxmlformats.org/officeDocument/2006/relationships" name="01_Carriage_of_Materials" sheetId="2" state="visible" r:id="rId2"/>
    <sheet xmlns:r="http://schemas.openxmlformats.org/officeDocument/2006/relationships" name="02_Earth_Work" sheetId="3" state="visible" r:id="rId3"/>
    <sheet xmlns:r="http://schemas.openxmlformats.org/officeDocument/2006/relationships" name="03_Mortars" sheetId="4" state="visible" r:id="rId4"/>
    <sheet xmlns:r="http://schemas.openxmlformats.org/officeDocument/2006/relationships" name="04_Concrete_Work" sheetId="5" state="visible" r:id="rId5"/>
    <sheet xmlns:r="http://schemas.openxmlformats.org/officeDocument/2006/relationships" name="05_RCC_Work" sheetId="6" state="visible" r:id="rId6"/>
    <sheet xmlns:r="http://schemas.openxmlformats.org/officeDocument/2006/relationships" name="06_Masonry_Work" sheetId="7" state="visible" r:id="rId7"/>
    <sheet xmlns:r="http://schemas.openxmlformats.org/officeDocument/2006/relationships" name="07_Stone_Work" sheetId="8" state="visible" r:id="rId8"/>
    <sheet xmlns:r="http://schemas.openxmlformats.org/officeDocument/2006/relationships" name="08_Cladding_Work" sheetId="9" state="visible" r:id="rId9"/>
    <sheet xmlns:r="http://schemas.openxmlformats.org/officeDocument/2006/relationships" name="09_Wood_and_PVC_Work" sheetId="10" state="visible" r:id="rId10"/>
    <sheet xmlns:r="http://schemas.openxmlformats.org/officeDocument/2006/relationships" name="10_Steel_Work" sheetId="11" state="visible" r:id="rId11"/>
    <sheet xmlns:r="http://schemas.openxmlformats.org/officeDocument/2006/relationships" name="11_Flooring" sheetId="12" state="visible" r:id="rId12"/>
    <sheet xmlns:r="http://schemas.openxmlformats.org/officeDocument/2006/relationships" name="12_Roofing" sheetId="13" state="visible" r:id="rId13"/>
  </sheets>
  <definedNames/>
  <calcPr calcId="124519" fullCalcOnLoad="1"/>
</workbook>
</file>

<file path=xl/styles.xml><?xml version="1.0" encoding="utf-8"?>
<styleSheet xmlns="http://schemas.openxmlformats.org/spreadsheetml/2006/main">
  <numFmts count="2">
    <numFmt numFmtId="164" formatCode="#,##0.000"/>
    <numFmt numFmtId="165" formatCode="₹ #,##0.00"/>
  </numFmts>
  <fonts count="9">
    <font>
      <name val="Calibri"/>
      <family val="2"/>
      <color theme="1"/>
      <sz val="11"/>
      <scheme val="minor"/>
    </font>
    <font>
      <name val="Segoe UI"/>
      <b val="1"/>
      <color rgb="00FFFFFF"/>
      <sz val="13"/>
    </font>
    <font>
      <name val="Segoe UI"/>
      <i val="1"/>
      <color rgb="00475569"/>
      <sz val="9"/>
    </font>
    <font>
      <name val="Segoe UI"/>
      <b val="1"/>
      <color rgb="000F172A"/>
      <sz val="10"/>
    </font>
    <font>
      <name val="Segoe UI"/>
      <b val="1"/>
      <color rgb="00FFFFFF"/>
      <sz val="10"/>
    </font>
    <font>
      <name val="Segoe UI"/>
      <color rgb="000F172A"/>
      <sz val="10"/>
    </font>
    <font>
      <name val="Segoe UI"/>
      <b val="1"/>
      <color rgb="001E3A8A"/>
      <sz val="13"/>
    </font>
    <font>
      <name val="Segoe UI"/>
      <b val="1"/>
      <color rgb="001E3A8A"/>
      <sz val="11"/>
    </font>
    <font>
      <name val="Segoe UI"/>
      <color rgb="001D4ED8"/>
      <sz val="10"/>
      <u val="single"/>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E2E8F0"/>
        <bgColor rgb="00E2E8F0"/>
      </patternFill>
    </fill>
    <fill>
      <patternFill patternType="solid">
        <fgColor rgb="002B4C7E"/>
        <bgColor rgb="002B4C7E"/>
      </patternFill>
    </fill>
    <fill>
      <patternFill patternType="solid">
        <fgColor rgb="00F1F5F9"/>
        <bgColor rgb="00F1F5F9"/>
      </patternFill>
    </fill>
    <fill>
      <patternFill patternType="solid">
        <fgColor rgb="00FEF08A"/>
        <bgColor rgb="00FEF08A"/>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xf>
    <xf numFmtId="0" fontId="7" fillId="0" borderId="0" pivotButton="0" quotePrefix="0" xfId="0"/>
    <xf numFmtId="0" fontId="2" fillId="0" borderId="0" applyAlignment="1" pivotButton="0" quotePrefix="0" xfId="0">
      <alignment horizontal="left" vertical="center" wrapText="1"/>
    </xf>
    <xf numFmtId="0" fontId="4" fillId="5" borderId="2" applyAlignment="1" pivotButton="0" quotePrefix="0" xfId="0">
      <alignment horizontal="center" vertical="center"/>
    </xf>
    <xf numFmtId="0" fontId="0" fillId="0" borderId="1" applyAlignment="1" pivotButton="0" quotePrefix="0" xfId="0">
      <alignment horizontal="center" vertical="center"/>
    </xf>
    <xf numFmtId="0" fontId="8" fillId="0" borderId="1" pivotButton="0" quotePrefix="0" xfId="0"/>
    <xf numFmtId="0" fontId="2" fillId="3" borderId="0" applyAlignment="1" pivotButton="0" quotePrefix="0" xfId="0">
      <alignment horizontal="left" vertical="center"/>
    </xf>
    <xf numFmtId="0" fontId="3" fillId="4" borderId="1" pivotButton="0" quotePrefix="0" xfId="0"/>
    <xf numFmtId="0" fontId="3" fillId="4" borderId="1" applyAlignment="1" pivotButton="0" quotePrefix="0" xfId="0">
      <alignment horizontal="left" vertical="center" wrapText="1"/>
    </xf>
    <xf numFmtId="0" fontId="0" fillId="4" borderId="1" pivotButton="0" quotePrefix="0" xfId="0"/>
    <xf numFmtId="0" fontId="2" fillId="0" borderId="0" pivotButton="0" quotePrefix="0" xfId="0"/>
    <xf numFmtId="0" fontId="5" fillId="0" borderId="1" pivotButton="0" quotePrefix="0" xfId="0"/>
    <xf numFmtId="0" fontId="5" fillId="0" borderId="1" applyAlignment="1" pivotButton="0" quotePrefix="0" xfId="0">
      <alignment horizontal="left" vertical="center" wrapText="1"/>
    </xf>
    <xf numFmtId="164" fontId="5" fillId="0" borderId="1" pivotButton="0" quotePrefix="0" xfId="0"/>
    <xf numFmtId="165" fontId="5" fillId="0" borderId="1" pivotButton="0" quotePrefix="0" xfId="0"/>
    <xf numFmtId="0" fontId="3" fillId="6" borderId="1" pivotButton="0" quotePrefix="0" xfId="0"/>
    <xf numFmtId="0" fontId="0" fillId="6" borderId="1" pivotButton="0" quotePrefix="0" xfId="0"/>
    <xf numFmtId="165" fontId="3" fillId="6" borderId="1" pivotButton="0" quotePrefix="0" xfId="0"/>
    <xf numFmtId="0" fontId="6" fillId="7" borderId="1" pivotButton="0" quotePrefix="0" xfId="0"/>
    <xf numFmtId="0" fontId="0" fillId="7" borderId="1" pivotButton="0" quotePrefix="0" xfId="0"/>
    <xf numFmtId="165" fontId="6" fillId="7" borderId="1" pivotButton="0" quotePrefix="0" xfId="0"/>
    <xf numFmtId="0" fontId="2" fillId="0" borderId="1" pivotButton="0" quotePrefix="0" xfId="0"/>
    <xf numFmtId="0" fontId="0" fillId="0" borderId="1" pivotButton="0" quotePrefix="0" xfId="0"/>
    <xf numFmtId="10" fontId="6"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Carriage_of_Materials'!A1" TargetMode="External" Id="rId1"/><Relationship Type="http://schemas.openxmlformats.org/officeDocument/2006/relationships/hyperlink" Target="#'02_Earth_Work'!A1" TargetMode="External" Id="rId2"/><Relationship Type="http://schemas.openxmlformats.org/officeDocument/2006/relationships/hyperlink" Target="#'03_Mortars'!A1" TargetMode="External" Id="rId3"/><Relationship Type="http://schemas.openxmlformats.org/officeDocument/2006/relationships/hyperlink" Target="#'04_Concrete_Work'!A1" TargetMode="External" Id="rId4"/><Relationship Type="http://schemas.openxmlformats.org/officeDocument/2006/relationships/hyperlink" Target="#'05_RCC_Work'!A1" TargetMode="External" Id="rId5"/><Relationship Type="http://schemas.openxmlformats.org/officeDocument/2006/relationships/hyperlink" Target="#'06_Masonry_Work'!A1" TargetMode="External" Id="rId6"/><Relationship Type="http://schemas.openxmlformats.org/officeDocument/2006/relationships/hyperlink" Target="#'07_Stone_Work'!A1" TargetMode="External" Id="rId7"/><Relationship Type="http://schemas.openxmlformats.org/officeDocument/2006/relationships/hyperlink" Target="#'08_Cladding_Work'!A1" TargetMode="External" Id="rId8"/><Relationship Type="http://schemas.openxmlformats.org/officeDocument/2006/relationships/hyperlink" Target="#'09_Wood_and_PVC_Work'!A1" TargetMode="External" Id="rId9"/><Relationship Type="http://schemas.openxmlformats.org/officeDocument/2006/relationships/hyperlink" Target="#'10_Steel_Work'!A1" TargetMode="External" Id="rId10"/><Relationship Type="http://schemas.openxmlformats.org/officeDocument/2006/relationships/hyperlink" Target="#'11_Flooring'!A1" TargetMode="External" Id="rId11"/><Relationship Type="http://schemas.openxmlformats.org/officeDocument/2006/relationships/hyperlink" Target="#'12_Roofing'!A1" TargetMode="External" Id="rId12"/></Relationships>
</file>

<file path=xl/worksheets/sheet1.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14" customWidth="1" min="1" max="1"/>
    <col width="45" customWidth="1" min="2" max="2"/>
    <col width="16" customWidth="1" min="3" max="3"/>
  </cols>
  <sheetData>
    <row r="1" ht="30" customHeight="1">
      <c r="A1" s="1" t="inlineStr">
        <is>
          <t>CPWD DAR 2019 — Volume 1 — PDF to Excel Conversion</t>
        </is>
      </c>
    </row>
    <row r="3" ht="130" customHeight="1">
      <c r="A3" s="2" t="inlineStr">
        <is>
          <t>Line-by-line conversion of the CPWD Delhi Analysis of Rates (DAR) 2019, built from this project's PDF-verified item data. Each item lists its Material/Labour/Machinery resource lines with a LIVE Amount = Quantity x Rate formula per row, and a live Resource Total (SUM of those rows) - both recalculate immediately if you edit any Quantity or Rate. The SAY value is the item's final DAR-published rate, independently verified against the source document; it is shown as a fixed, audited figure rather than reconstructed through a formula, because CPWD's statutory-addition rules (water charges/GST/CPOH/cess) are not applied uniformly to every item (e.g. intermediate products like Mortars carry no markup at all) and reconstructing that per item would risk introducing errors this workbook is specifically built to avoid.</t>
        </is>
      </c>
    </row>
    <row r="5">
      <c r="A5" s="3" t="inlineStr">
        <is>
          <t>Scope notes</t>
        </is>
      </c>
    </row>
    <row r="6" ht="32" customHeight="1">
      <c r="A6" s="4" t="inlineStr">
        <is>
          <t>- Chapter 02 (Earth Work): 5 items referenced in some internal drafting tools (2.1.2, 2.2.2, 2.3.2, 2.6.2, 2.8.2 - a "Hard soil" excavation variant) do not appear anywhere in the source PDF and have been excluded from this conversion.</t>
        </is>
      </c>
    </row>
    <row r="7" ht="32" customHeight="1">
      <c r="A7" s="4" t="inlineStr">
        <is>
          <t>- Chapter 01 (Carriage of Materials): the source document's lead-distance freight-rate lookup tables (items 1.1 and 1.2, covering distances from 1 km upward) are large multi-column tables, not itemized cost buildups, and are not included here. Only the chapter's genuinely itemized priced entries (1.3, 1.4.1-1.4.3, etc.) are reproduced.</t>
        </is>
      </c>
    </row>
    <row r="9">
      <c r="A9" s="3" t="inlineStr">
        <is>
          <t>Contents</t>
        </is>
      </c>
    </row>
    <row r="10">
      <c r="A10" s="5" t="inlineStr">
        <is>
          <t>Sub-Head</t>
        </is>
      </c>
      <c r="B10" s="5" t="inlineStr">
        <is>
          <t>Title</t>
        </is>
      </c>
      <c r="C10" s="5" t="inlineStr">
        <is>
          <t>Items</t>
        </is>
      </c>
    </row>
    <row r="11">
      <c r="A11" s="6" t="inlineStr">
        <is>
          <t>01</t>
        </is>
      </c>
      <c r="B11" s="7" t="inlineStr">
        <is>
          <t>SUB-HEAD 01: CARRIAGE OF MATERIALS</t>
        </is>
      </c>
      <c r="C11" s="6" t="n">
        <v>5</v>
      </c>
    </row>
    <row r="12">
      <c r="A12" s="6" t="inlineStr">
        <is>
          <t>02</t>
        </is>
      </c>
      <c r="B12" s="7" t="inlineStr">
        <is>
          <t>SUB-HEAD 02: EARTH WORK</t>
        </is>
      </c>
      <c r="C12" s="6" t="n">
        <v>79</v>
      </c>
    </row>
    <row r="13">
      <c r="A13" s="6" t="inlineStr">
        <is>
          <t>03</t>
        </is>
      </c>
      <c r="B13" s="7" t="inlineStr">
        <is>
          <t>SUB-HEAD 03: MORTARS</t>
        </is>
      </c>
      <c r="C13" s="6" t="n">
        <v>19</v>
      </c>
    </row>
    <row r="14">
      <c r="A14" s="6" t="inlineStr">
        <is>
          <t>04</t>
        </is>
      </c>
      <c r="B14" s="7" t="inlineStr">
        <is>
          <t>SUB-HEAD 04: CONCRETE WORK</t>
        </is>
      </c>
      <c r="C14" s="6" t="n">
        <v>40</v>
      </c>
    </row>
    <row r="15">
      <c r="A15" s="6" t="inlineStr">
        <is>
          <t>05</t>
        </is>
      </c>
      <c r="B15" s="7" t="inlineStr">
        <is>
          <t>SUB-HEAD 05: REINFORCED CEMENT CONCRETE</t>
        </is>
      </c>
      <c r="C15" s="6" t="n">
        <v>116</v>
      </c>
    </row>
    <row r="16">
      <c r="A16" s="6" t="inlineStr">
        <is>
          <t>06</t>
        </is>
      </c>
      <c r="B16" s="7" t="inlineStr">
        <is>
          <t>SUB-HEAD 06: MASONRY WORK</t>
        </is>
      </c>
      <c r="C16" s="6" t="n">
        <v>58</v>
      </c>
    </row>
    <row r="17">
      <c r="A17" s="6" t="inlineStr">
        <is>
          <t>07</t>
        </is>
      </c>
      <c r="B17" s="7" t="inlineStr">
        <is>
          <t>SUB-HEAD 07: STONE WORK</t>
        </is>
      </c>
      <c r="C17" s="6" t="n">
        <v>53</v>
      </c>
    </row>
    <row r="18">
      <c r="A18" s="6" t="inlineStr">
        <is>
          <t>08</t>
        </is>
      </c>
      <c r="B18" s="7" t="inlineStr">
        <is>
          <t>SUB-HEAD 08: CLADDING WORK</t>
        </is>
      </c>
      <c r="C18" s="6" t="n">
        <v>71</v>
      </c>
    </row>
    <row r="19">
      <c r="A19" s="6" t="inlineStr">
        <is>
          <t>09</t>
        </is>
      </c>
      <c r="B19" s="7" t="inlineStr">
        <is>
          <t>SUB-HEAD 09: WOOD AND PVC WORK</t>
        </is>
      </c>
      <c r="C19" s="6" t="n">
        <v>355</v>
      </c>
    </row>
    <row r="20">
      <c r="A20" s="6" t="inlineStr">
        <is>
          <t>10</t>
        </is>
      </c>
      <c r="B20" s="7" t="inlineStr">
        <is>
          <t>SUB-HEAD 10: STEEL WORK</t>
        </is>
      </c>
      <c r="C20" s="6" t="n">
        <v>53</v>
      </c>
    </row>
    <row r="21">
      <c r="A21" s="6" t="inlineStr">
        <is>
          <t>11</t>
        </is>
      </c>
      <c r="B21" s="7" t="inlineStr">
        <is>
          <t>SUB-HEAD 11: FLOORING</t>
        </is>
      </c>
      <c r="C21" s="6" t="n">
        <v>116</v>
      </c>
    </row>
    <row r="22">
      <c r="A22" s="6" t="inlineStr">
        <is>
          <t>12</t>
        </is>
      </c>
      <c r="B22" s="7" t="inlineStr">
        <is>
          <t>SUB-HEAD 12: ROOFING</t>
        </is>
      </c>
      <c r="C22" s="6" t="n">
        <v>118</v>
      </c>
    </row>
  </sheetData>
  <mergeCells count="6">
    <mergeCell ref="A1:C1"/>
    <mergeCell ref="A5:C5"/>
    <mergeCell ref="A6:C6"/>
    <mergeCell ref="A9:C9"/>
    <mergeCell ref="A3:C3"/>
    <mergeCell ref="A7:C7"/>
  </mergeCells>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01: CARRIAGE OF MATERIALS</t>
        </is>
      </c>
    </row>
    <row r="2" ht="28" customHeight="1">
      <c r="A2" s="8" t="inlineStr">
        <is>
          <t>5 priced items. Amount and SAY are live Excel formulas computed from the Quantity x Rate figures below - edit any Quantity or Rate and the item's rate recalculates.</t>
        </is>
      </c>
    </row>
    <row r="4" ht="28" customHeight="1">
      <c r="A4" s="9" t="inlineStr">
        <is>
          <t>1.1.18</t>
        </is>
      </c>
      <c r="B4" s="10" t="inlineStr">
        <is>
          <t>Disposal of moorum/building rubbish/ malba/ similar unserviceable, dismantled or waste material by mechanical transport including loading, t</t>
        </is>
      </c>
      <c r="C4" s="11" t="n"/>
      <c r="D4" s="11" t="n"/>
      <c r="E4" s="11" t="n"/>
      <c r="F4" s="11" t="n"/>
    </row>
    <row r="5">
      <c r="A5" s="12" t="inlineStr">
        <is>
          <t>Rate basis: per tirps  (source: cost for 3 tirps)</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0084</t>
        </is>
      </c>
      <c r="B7" s="14" t="inlineStr">
        <is>
          <t>HIre charges of Diesel Truck - 9 tonne excluding diesel &amp; mobile oil</t>
        </is>
      </c>
      <c r="C7" s="13" t="inlineStr">
        <is>
          <t>day</t>
        </is>
      </c>
      <c r="D7" s="15" t="n">
        <v>1</v>
      </c>
      <c r="E7" s="16" t="n">
        <v>1500</v>
      </c>
      <c r="F7" s="16">
        <f>D7*E7</f>
        <v/>
      </c>
    </row>
    <row r="8">
      <c r="A8" s="13" t="inlineStr">
        <is>
          <t>0114</t>
        </is>
      </c>
      <c r="B8" s="14" t="inlineStr">
        <is>
          <t>Beldar</t>
        </is>
      </c>
      <c r="C8" s="13" t="inlineStr">
        <is>
          <t>day</t>
        </is>
      </c>
      <c r="D8" s="15" t="n">
        <v>6</v>
      </c>
      <c r="E8" s="16" t="n">
        <v>558</v>
      </c>
      <c r="F8" s="16">
        <f>D8*E8</f>
        <v/>
      </c>
    </row>
    <row r="9">
      <c r="A9" s="13" t="inlineStr">
        <is>
          <t>1235</t>
        </is>
      </c>
      <c r="B9" s="14" t="inlineStr">
        <is>
          <t>Diesel oil</t>
        </is>
      </c>
      <c r="C9" s="13" t="inlineStr">
        <is>
          <t>litre</t>
        </is>
      </c>
      <c r="D9" s="15" t="n">
        <v>12.88</v>
      </c>
      <c r="E9" s="16" t="n">
        <v>73.5</v>
      </c>
      <c r="F9" s="16">
        <f>D9*E9</f>
        <v/>
      </c>
    </row>
    <row r="10">
      <c r="A10" s="13" t="inlineStr">
        <is>
          <t>5001</t>
        </is>
      </c>
      <c r="B10" s="14" t="inlineStr">
        <is>
          <t>Mobil oil (64km/140=0.46 liter)</t>
        </is>
      </c>
      <c r="C10" s="13" t="inlineStr">
        <is>
          <t>litre</t>
        </is>
      </c>
      <c r="D10" s="15" t="n">
        <v>0.46</v>
      </c>
      <c r="E10" s="16" t="n">
        <v>315</v>
      </c>
      <c r="F10" s="16">
        <f>D10*E10</f>
        <v/>
      </c>
    </row>
    <row r="11">
      <c r="A11" s="17" t="inlineStr">
        <is>
          <t>Resource Total (Material + Labour + Machinery, as printed)</t>
        </is>
      </c>
      <c r="B11" s="18" t="n"/>
      <c r="C11" s="18" t="n"/>
      <c r="D11" s="18" t="n"/>
      <c r="E11" s="18" t="n"/>
      <c r="F11" s="19">
        <f>SUM(F7:F10)</f>
        <v/>
      </c>
    </row>
    <row r="12">
      <c r="A12" s="20" t="inlineStr">
        <is>
          <t>SAY (Rs.) — final DAR rate</t>
        </is>
      </c>
      <c r="B12" s="21" t="n"/>
      <c r="C12" s="21" t="n"/>
      <c r="D12" s="21" t="n"/>
      <c r="E12" s="21" t="n"/>
      <c r="F12" s="22" t="n">
        <v>284.6</v>
      </c>
    </row>
    <row r="14" ht="28" customHeight="1">
      <c r="A14" s="9" t="inlineStr">
        <is>
          <t>1.3</t>
        </is>
      </c>
      <c r="B14" s="10" t="inlineStr">
        <is>
          <t>Loading in or unloading cement from the railway wagons at siding and carrying the same from or into godowns adjacent to the siding, includin</t>
        </is>
      </c>
      <c r="C14" s="11" t="n"/>
      <c r="D14" s="11" t="n"/>
      <c r="E14" s="11" t="n"/>
      <c r="F14" s="11" t="n"/>
    </row>
    <row r="15">
      <c r="A15" s="12" t="inlineStr">
        <is>
          <t>Rate basis: per nos  (source: cost for 1 nos)</t>
        </is>
      </c>
    </row>
    <row r="16">
      <c r="A16" s="5" t="inlineStr">
        <is>
          <t>Code</t>
        </is>
      </c>
      <c r="B16" s="5" t="inlineStr">
        <is>
          <t>Description</t>
        </is>
      </c>
      <c r="C16" s="5" t="inlineStr">
        <is>
          <t>Unit</t>
        </is>
      </c>
      <c r="D16" s="5" t="inlineStr">
        <is>
          <t>Quantity</t>
        </is>
      </c>
      <c r="E16" s="5" t="inlineStr">
        <is>
          <t>Rate (Rs.)</t>
        </is>
      </c>
      <c r="F16" s="5" t="inlineStr">
        <is>
          <t>Amount (Rs.)</t>
        </is>
      </c>
    </row>
    <row r="17">
      <c r="A17" s="13" t="inlineStr">
        <is>
          <t>0114</t>
        </is>
      </c>
      <c r="B17" s="14" t="inlineStr">
        <is>
          <t>Beldar</t>
        </is>
      </c>
      <c r="C17" s="13" t="inlineStr">
        <is>
          <t>day</t>
        </is>
      </c>
      <c r="D17" s="15" t="n">
        <v>3.75</v>
      </c>
      <c r="E17" s="16" t="n">
        <v>558</v>
      </c>
      <c r="F17" s="16">
        <f>D17*E17</f>
        <v/>
      </c>
    </row>
    <row r="18">
      <c r="A18" s="13" t="inlineStr">
        <is>
          <t>9999</t>
        </is>
      </c>
      <c r="B18" s="14" t="inlineStr">
        <is>
          <t>Sundries Add for sweeping the wagon, screening the swept cement and filling the same in bags</t>
        </is>
      </c>
      <c r="C18" s="13" t="inlineStr">
        <is>
          <t>L.S.</t>
        </is>
      </c>
      <c r="D18" s="15" t="n">
        <v>2.62</v>
      </c>
      <c r="E18" s="16" t="n">
        <v>2</v>
      </c>
      <c r="F18" s="16">
        <f>D18*E18</f>
        <v/>
      </c>
    </row>
    <row r="19">
      <c r="A19" s="17" t="inlineStr">
        <is>
          <t>Resource Total (Material + Labour + Machinery, as printed)</t>
        </is>
      </c>
      <c r="B19" s="18" t="n"/>
      <c r="C19" s="18" t="n"/>
      <c r="D19" s="18" t="n"/>
      <c r="E19" s="18" t="n"/>
      <c r="F19" s="19">
        <f>SUM(F17:F18)</f>
        <v/>
      </c>
    </row>
    <row r="20">
      <c r="A20" s="20" t="inlineStr">
        <is>
          <t>SAY (Rs.) — final DAR rate</t>
        </is>
      </c>
      <c r="B20" s="21" t="n"/>
      <c r="C20" s="21" t="n"/>
      <c r="D20" s="21" t="n"/>
      <c r="E20" s="21" t="n"/>
      <c r="F20" s="22" t="n">
        <v>104.9</v>
      </c>
    </row>
    <row r="22" ht="18" customHeight="1">
      <c r="A22" s="9" t="inlineStr">
        <is>
          <t>1.4.1</t>
        </is>
      </c>
      <c r="B22" s="10" t="inlineStr">
        <is>
          <t>Steel</t>
        </is>
      </c>
      <c r="C22" s="11" t="n"/>
      <c r="D22" s="11" t="n"/>
      <c r="E22" s="11" t="n"/>
      <c r="F22" s="11" t="n"/>
    </row>
    <row r="23">
      <c r="A23" s="12" t="inlineStr">
        <is>
          <t>Rate basis: per nos  (source: cost for 1 nos)</t>
        </is>
      </c>
    </row>
    <row r="24">
      <c r="A24" s="5" t="inlineStr">
        <is>
          <t>Code</t>
        </is>
      </c>
      <c r="B24" s="5" t="inlineStr">
        <is>
          <t>Description</t>
        </is>
      </c>
      <c r="C24" s="5" t="inlineStr">
        <is>
          <t>Unit</t>
        </is>
      </c>
      <c r="D24" s="5" t="inlineStr">
        <is>
          <t>Quantity</t>
        </is>
      </c>
      <c r="E24" s="5" t="inlineStr">
        <is>
          <t>Rate (Rs.)</t>
        </is>
      </c>
      <c r="F24" s="5" t="inlineStr">
        <is>
          <t>Amount (Rs.)</t>
        </is>
      </c>
    </row>
    <row r="25">
      <c r="A25" s="13" t="inlineStr">
        <is>
          <t>0114</t>
        </is>
      </c>
      <c r="B25" s="14" t="inlineStr">
        <is>
          <t>Beldar</t>
        </is>
      </c>
      <c r="C25" s="13" t="inlineStr">
        <is>
          <t>day</t>
        </is>
      </c>
      <c r="D25" s="15" t="n">
        <v>10.66</v>
      </c>
      <c r="E25" s="16" t="n">
        <v>558</v>
      </c>
      <c r="F25" s="16">
        <f>D25*E25</f>
        <v/>
      </c>
    </row>
    <row r="26">
      <c r="A26" s="17" t="inlineStr">
        <is>
          <t>Resource Total (Material + Labour + Machinery, as printed)</t>
        </is>
      </c>
      <c r="B26" s="18" t="n"/>
      <c r="C26" s="18" t="n"/>
      <c r="D26" s="18" t="n"/>
      <c r="E26" s="18" t="n"/>
      <c r="F26" s="19">
        <f>SUM(F25:F25)</f>
        <v/>
      </c>
    </row>
    <row r="27">
      <c r="A27" s="20" t="inlineStr">
        <is>
          <t>SAY (Rs.) — final DAR rate</t>
        </is>
      </c>
      <c r="B27" s="21" t="n"/>
      <c r="C27" s="21" t="n"/>
      <c r="D27" s="21" t="n"/>
      <c r="E27" s="21" t="n"/>
      <c r="F27" s="22" t="n">
        <v>155.45</v>
      </c>
    </row>
    <row r="29" ht="18" customHeight="1">
      <c r="A29" s="9" t="inlineStr">
        <is>
          <t>1.4.2</t>
        </is>
      </c>
      <c r="B29" s="10" t="inlineStr">
        <is>
          <t>G.I., C.I., R.C.C. or C.C. pipes upto 500 mm dia and similar heavy materials</t>
        </is>
      </c>
      <c r="C29" s="11" t="n"/>
      <c r="D29" s="11" t="n"/>
      <c r="E29" s="11" t="n"/>
      <c r="F29" s="11" t="n"/>
    </row>
    <row r="30">
      <c r="A30" s="12" t="inlineStr">
        <is>
          <t>Rate basis: per nos  (source: cost for 1 nos)</t>
        </is>
      </c>
    </row>
    <row r="31">
      <c r="A31" s="5" t="inlineStr">
        <is>
          <t>Code</t>
        </is>
      </c>
      <c r="B31" s="5" t="inlineStr">
        <is>
          <t>Description</t>
        </is>
      </c>
      <c r="C31" s="5" t="inlineStr">
        <is>
          <t>Unit</t>
        </is>
      </c>
      <c r="D31" s="5" t="inlineStr">
        <is>
          <t>Quantity</t>
        </is>
      </c>
      <c r="E31" s="5" t="inlineStr">
        <is>
          <t>Rate (Rs.)</t>
        </is>
      </c>
      <c r="F31" s="5" t="inlineStr">
        <is>
          <t>Amount (Rs.)</t>
        </is>
      </c>
    </row>
    <row r="32">
      <c r="A32" s="13" t="inlineStr">
        <is>
          <t>0114</t>
        </is>
      </c>
      <c r="B32" s="14" t="inlineStr">
        <is>
          <t>Beldar</t>
        </is>
      </c>
      <c r="C32" s="13" t="inlineStr">
        <is>
          <t>day</t>
        </is>
      </c>
      <c r="D32" s="15" t="n">
        <v>2</v>
      </c>
      <c r="E32" s="16" t="n">
        <v>558</v>
      </c>
      <c r="F32" s="16">
        <f>D32*E32</f>
        <v/>
      </c>
    </row>
    <row r="33">
      <c r="A33" s="13" t="inlineStr">
        <is>
          <t>9999</t>
        </is>
      </c>
      <c r="B33" s="14" t="inlineStr">
        <is>
          <t>Sundries</t>
        </is>
      </c>
      <c r="C33" s="13" t="inlineStr">
        <is>
          <t>L.S.</t>
        </is>
      </c>
      <c r="D33" s="15" t="n">
        <v>3.1</v>
      </c>
      <c r="E33" s="16" t="n">
        <v>2</v>
      </c>
      <c r="F33" s="16">
        <f>D33*E33</f>
        <v/>
      </c>
    </row>
    <row r="34">
      <c r="A34" s="17" t="inlineStr">
        <is>
          <t>Resource Total (Material + Labour + Machinery, as printed)</t>
        </is>
      </c>
      <c r="B34" s="18" t="n"/>
      <c r="C34" s="18" t="n"/>
      <c r="D34" s="18" t="n"/>
      <c r="E34" s="18" t="n"/>
      <c r="F34" s="19">
        <f>SUM(F32:F33)</f>
        <v/>
      </c>
    </row>
    <row r="35">
      <c r="A35" s="20" t="inlineStr">
        <is>
          <t>SAY (Rs.) — final DAR rate</t>
        </is>
      </c>
      <c r="B35" s="21" t="n"/>
      <c r="C35" s="21" t="n"/>
      <c r="D35" s="21" t="n"/>
      <c r="E35" s="21" t="n"/>
      <c r="F35" s="22" t="n">
        <v>92.2</v>
      </c>
    </row>
    <row r="37" ht="28" customHeight="1">
      <c r="A37" s="9" t="inlineStr">
        <is>
          <t>1.4.3</t>
        </is>
      </c>
      <c r="B37" s="10" t="inlineStr">
        <is>
          <t xml:space="preserve">1.4.3 Heavy materials where each piece or bundle, crate or case weighs more than one tonne and R.C.C., C.I. and concrete pipes above 500 mm </t>
        </is>
      </c>
      <c r="C37" s="11" t="n"/>
      <c r="D37" s="11" t="n"/>
      <c r="E37" s="11" t="n"/>
      <c r="F37" s="11" t="n"/>
    </row>
    <row r="38">
      <c r="A38" s="12" t="inlineStr">
        <is>
          <t>Rate basis: per nos  (source: cost for 1 nos)</t>
        </is>
      </c>
    </row>
    <row r="39">
      <c r="A39" s="5" t="inlineStr">
        <is>
          <t>Code</t>
        </is>
      </c>
      <c r="B39" s="5" t="inlineStr">
        <is>
          <t>Description</t>
        </is>
      </c>
      <c r="C39" s="5" t="inlineStr">
        <is>
          <t>Unit</t>
        </is>
      </c>
      <c r="D39" s="5" t="inlineStr">
        <is>
          <t>Quantity</t>
        </is>
      </c>
      <c r="E39" s="5" t="inlineStr">
        <is>
          <t>Rate (Rs.)</t>
        </is>
      </c>
      <c r="F39" s="5" t="inlineStr">
        <is>
          <t>Amount (Rs.)</t>
        </is>
      </c>
    </row>
    <row r="40">
      <c r="A40" s="13" t="inlineStr">
        <is>
          <t>0114</t>
        </is>
      </c>
      <c r="B40" s="14" t="inlineStr">
        <is>
          <t>Beldar</t>
        </is>
      </c>
      <c r="C40" s="13" t="inlineStr">
        <is>
          <t>day</t>
        </is>
      </c>
      <c r="D40" s="15" t="n">
        <v>3.25</v>
      </c>
      <c r="E40" s="16" t="n">
        <v>558</v>
      </c>
      <c r="F40" s="16">
        <f>D40*E40</f>
        <v/>
      </c>
    </row>
    <row r="41">
      <c r="A41" s="13" t="inlineStr">
        <is>
          <t>9999</t>
        </is>
      </c>
      <c r="B41" s="14" t="inlineStr">
        <is>
          <t>Extra for fixing crane including labour involved</t>
        </is>
      </c>
      <c r="C41" s="13" t="inlineStr">
        <is>
          <t>L.S.</t>
        </is>
      </c>
      <c r="D41" s="15" t="n">
        <v>91.15000000000001</v>
      </c>
      <c r="E41" s="16" t="n">
        <v>2</v>
      </c>
      <c r="F41" s="16">
        <f>D41*E41</f>
        <v/>
      </c>
    </row>
    <row r="42">
      <c r="A42" s="13" t="inlineStr">
        <is>
          <t>9999</t>
        </is>
      </c>
      <c r="B42" s="14" t="inlineStr">
        <is>
          <t>Sundries</t>
        </is>
      </c>
      <c r="C42" s="13" t="inlineStr">
        <is>
          <t>L.S.</t>
        </is>
      </c>
      <c r="D42" s="15" t="n">
        <v>7.4</v>
      </c>
      <c r="E42" s="16" t="n">
        <v>2</v>
      </c>
      <c r="F42" s="16">
        <f>D42*E42</f>
        <v/>
      </c>
    </row>
    <row r="43">
      <c r="A43" s="17" t="inlineStr">
        <is>
          <t>Resource Total (Material + Labour + Machinery, as printed)</t>
        </is>
      </c>
      <c r="B43" s="18" t="n"/>
      <c r="C43" s="18" t="n"/>
      <c r="D43" s="18" t="n"/>
      <c r="E43" s="18" t="n"/>
      <c r="F43" s="19">
        <f>SUM(F40:F42)</f>
        <v/>
      </c>
    </row>
    <row r="44">
      <c r="A44" s="20" t="inlineStr">
        <is>
          <t>SAY (Rs.) — final DAR rate</t>
        </is>
      </c>
      <c r="B44" s="21" t="n"/>
      <c r="C44" s="21" t="n"/>
      <c r="D44" s="21" t="n"/>
      <c r="E44" s="21" t="n"/>
      <c r="F44" s="22" t="n">
        <v>165.15</v>
      </c>
    </row>
  </sheetData>
  <mergeCells count="22">
    <mergeCell ref="B4:F4"/>
    <mergeCell ref="A34:E34"/>
    <mergeCell ref="A11:E11"/>
    <mergeCell ref="B22:F22"/>
    <mergeCell ref="A2:F2"/>
    <mergeCell ref="A5:F5"/>
    <mergeCell ref="A23:F23"/>
    <mergeCell ref="B14:F14"/>
    <mergeCell ref="A27:E27"/>
    <mergeCell ref="A38:F38"/>
    <mergeCell ref="A12:E12"/>
    <mergeCell ref="B29:F29"/>
    <mergeCell ref="A26:E26"/>
    <mergeCell ref="B37:F37"/>
    <mergeCell ref="A30:F30"/>
    <mergeCell ref="A15:F15"/>
    <mergeCell ref="A35:E35"/>
    <mergeCell ref="A20:E20"/>
    <mergeCell ref="A43:E43"/>
    <mergeCell ref="A1:F1"/>
    <mergeCell ref="A19:E19"/>
    <mergeCell ref="A44:E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5"/>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02: EARTH WORK</t>
        </is>
      </c>
    </row>
    <row r="2" ht="28" customHeight="1">
      <c r="A2" s="8" t="inlineStr">
        <is>
          <t>79 priced items. Amount and SAY are live Excel formulas computed from the Quantity x Rate figures below - edit any Quantity or Rate and the item's rate recalculates.</t>
        </is>
      </c>
    </row>
    <row r="4" ht="42" customHeight="1">
      <c r="A4" s="9" t="inlineStr">
        <is>
          <t>2.1.1</t>
        </is>
      </c>
      <c r="B4" s="10" t="inlineStr">
        <is>
          <t>Earth work in surface excavation not exceeding 30 cm in depth but exceeding 1.5 m in width as well as 10 sqm on plan including getting out and disposal of excavated earth upto 50 m and lift upto 1.5 m, as directed by Engineer-in- Charge: All kinds of soil</t>
        </is>
      </c>
      <c r="C4" s="11" t="n"/>
      <c r="D4" s="11" t="n"/>
      <c r="E4" s="11" t="n"/>
      <c r="F4" s="11" t="n"/>
    </row>
    <row r="5">
      <c r="A5" s="12" t="inlineStr">
        <is>
          <t>Rate basis: per sqm  (source: cost for 100 sqm)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0114</t>
        </is>
      </c>
      <c r="B7" s="14" t="inlineStr">
        <is>
          <t>Beldar</t>
        </is>
      </c>
      <c r="C7" s="13" t="inlineStr">
        <is>
          <t>day</t>
        </is>
      </c>
      <c r="D7" s="15" t="n">
        <v>6.8</v>
      </c>
      <c r="E7" s="16" t="n">
        <v>558</v>
      </c>
      <c r="F7" s="16">
        <f>D7*E7</f>
        <v/>
      </c>
    </row>
    <row r="8">
      <c r="A8" s="13" t="inlineStr">
        <is>
          <t>0115</t>
        </is>
      </c>
      <c r="B8" s="14" t="inlineStr">
        <is>
          <t>Coolie</t>
        </is>
      </c>
      <c r="C8" s="13" t="inlineStr">
        <is>
          <t>day</t>
        </is>
      </c>
      <c r="D8" s="15" t="n">
        <v>5.6</v>
      </c>
      <c r="E8" s="16" t="n">
        <v>558</v>
      </c>
      <c r="F8" s="16">
        <f>D8*E8</f>
        <v/>
      </c>
    </row>
    <row r="9">
      <c r="A9" s="17" t="inlineStr">
        <is>
          <t>Resource Total (Material + Labour + Machinery, as printed)</t>
        </is>
      </c>
      <c r="B9" s="18" t="n"/>
      <c r="C9" s="18" t="n"/>
      <c r="D9" s="18" t="n"/>
      <c r="E9" s="18" t="n"/>
      <c r="F9" s="19">
        <f>SUM(F7:F8)</f>
        <v/>
      </c>
    </row>
    <row r="10">
      <c r="A10" s="20" t="inlineStr">
        <is>
          <t>SAY (Rs.) — final DAR rate</t>
        </is>
      </c>
      <c r="B10" s="21" t="n"/>
      <c r="C10" s="21" t="n"/>
      <c r="D10" s="21" t="n"/>
      <c r="E10" s="21" t="n"/>
      <c r="F10" s="22" t="n">
        <v>92.55</v>
      </c>
    </row>
    <row r="12" ht="70" customHeight="1">
      <c r="A12" s="9" t="inlineStr">
        <is>
          <t>2.2.1</t>
        </is>
      </c>
      <c r="B12" s="10"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t>
        </is>
      </c>
      <c r="C12" s="11" t="n"/>
      <c r="D12" s="11" t="n"/>
      <c r="E12" s="11" t="n"/>
      <c r="F12" s="11" t="n"/>
    </row>
    <row r="13">
      <c r="A13" s="12" t="inlineStr">
        <is>
          <t>Rate basis: per cum  (source: cost for 10 cum)</t>
        </is>
      </c>
    </row>
    <row r="14">
      <c r="A14" s="5" t="inlineStr">
        <is>
          <t>Code</t>
        </is>
      </c>
      <c r="B14" s="5" t="inlineStr">
        <is>
          <t>Description</t>
        </is>
      </c>
      <c r="C14" s="5" t="inlineStr">
        <is>
          <t>Unit</t>
        </is>
      </c>
      <c r="D14" s="5" t="inlineStr">
        <is>
          <t>Quantity</t>
        </is>
      </c>
      <c r="E14" s="5" t="inlineStr">
        <is>
          <t>Rate (Rs.)</t>
        </is>
      </c>
      <c r="F14" s="5" t="inlineStr">
        <is>
          <t>Amount (Rs.)</t>
        </is>
      </c>
    </row>
    <row r="15">
      <c r="A15" s="13" t="inlineStr">
        <is>
          <t>0003</t>
        </is>
      </c>
      <c r="B15" s="14" t="inlineStr">
        <is>
          <t>Diesel Road Roller 8-10t (for compaction)</t>
        </is>
      </c>
      <c r="C15" s="13" t="inlineStr">
        <is>
          <t>day</t>
        </is>
      </c>
      <c r="D15" s="15" t="n">
        <v>0.008</v>
      </c>
      <c r="E15" s="16" t="n">
        <v>3000</v>
      </c>
      <c r="F15" s="16">
        <f>D15*E15</f>
        <v/>
      </c>
    </row>
    <row r="16">
      <c r="A16" s="13" t="inlineStr">
        <is>
          <t>0114</t>
        </is>
      </c>
      <c r="B16" s="14" t="inlineStr">
        <is>
          <t>Beldar</t>
        </is>
      </c>
      <c r="C16" s="13" t="inlineStr">
        <is>
          <t>day</t>
        </is>
      </c>
      <c r="D16" s="15" t="n">
        <v>5.9</v>
      </c>
      <c r="E16" s="16" t="n">
        <v>558</v>
      </c>
      <c r="F16" s="16">
        <f>D16*E16</f>
        <v/>
      </c>
    </row>
    <row r="17">
      <c r="A17" s="13" t="inlineStr">
        <is>
          <t>0115</t>
        </is>
      </c>
      <c r="B17" s="14" t="inlineStr">
        <is>
          <t>Coolie</t>
        </is>
      </c>
      <c r="C17" s="13" t="inlineStr">
        <is>
          <t>day</t>
        </is>
      </c>
      <c r="D17" s="15" t="n">
        <v>3.6</v>
      </c>
      <c r="E17" s="16" t="n">
        <v>558</v>
      </c>
      <c r="F17" s="16">
        <f>D17*E17</f>
        <v/>
      </c>
    </row>
    <row r="18">
      <c r="A18" s="13" t="inlineStr">
        <is>
          <t>0101</t>
        </is>
      </c>
      <c r="B18" s="14" t="inlineStr">
        <is>
          <t>Bhisti</t>
        </is>
      </c>
      <c r="C18" s="13" t="inlineStr">
        <is>
          <t>day</t>
        </is>
      </c>
      <c r="D18" s="15" t="n">
        <v>0.4</v>
      </c>
      <c r="E18" s="16" t="n">
        <v>617</v>
      </c>
      <c r="F18" s="16">
        <f>D18*E18</f>
        <v/>
      </c>
    </row>
    <row r="19">
      <c r="A19" s="13" t="inlineStr">
        <is>
          <t>0113</t>
        </is>
      </c>
      <c r="B19" s="14" t="inlineStr">
        <is>
          <t>Chowkidar</t>
        </is>
      </c>
      <c r="C19" s="13" t="inlineStr">
        <is>
          <t>day</t>
        </is>
      </c>
      <c r="D19" s="15" t="n">
        <v>0.008</v>
      </c>
      <c r="E19" s="16" t="n">
        <v>558</v>
      </c>
      <c r="F19" s="16">
        <f>D19*E19</f>
        <v/>
      </c>
    </row>
    <row r="20">
      <c r="A20" s="13" t="inlineStr">
        <is>
          <t>9999</t>
        </is>
      </c>
      <c r="B20" s="14" t="inlineStr">
        <is>
          <t>Sundries</t>
        </is>
      </c>
      <c r="C20" s="13" t="inlineStr">
        <is>
          <t>LS</t>
        </is>
      </c>
      <c r="D20" s="15" t="n">
        <v>2.73</v>
      </c>
      <c r="E20" s="16" t="n">
        <v>2</v>
      </c>
      <c r="F20" s="16">
        <f>D20*E20</f>
        <v/>
      </c>
    </row>
    <row r="21">
      <c r="A21" s="17" t="inlineStr">
        <is>
          <t>Resource Total (Material + Labour + Machinery, as printed)</t>
        </is>
      </c>
      <c r="B21" s="18" t="n"/>
      <c r="C21" s="18" t="n"/>
      <c r="D21" s="18" t="n"/>
      <c r="E21" s="18" t="n"/>
      <c r="F21" s="19">
        <f>SUM(F15:F20)</f>
        <v/>
      </c>
    </row>
    <row r="22">
      <c r="A22" s="20" t="inlineStr">
        <is>
          <t>SAY (Rs.) — final DAR rate</t>
        </is>
      </c>
      <c r="B22" s="21" t="n"/>
      <c r="C22" s="21" t="n"/>
      <c r="D22" s="21" t="n"/>
      <c r="E22" s="21" t="n"/>
      <c r="F22" s="22" t="n">
        <v>746.8</v>
      </c>
    </row>
    <row r="24" ht="70" customHeight="1">
      <c r="A24" s="9" t="inlineStr">
        <is>
          <t>2.3.1</t>
        </is>
      </c>
      <c r="B24" s="10"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t>
        </is>
      </c>
      <c r="C24" s="11" t="n"/>
      <c r="D24" s="11" t="n"/>
      <c r="E24" s="11" t="n"/>
      <c r="F24" s="11" t="n"/>
    </row>
    <row r="25">
      <c r="A25" s="12" t="inlineStr">
        <is>
          <t>Rate basis: per cum  (source: cost for 10 cum)</t>
        </is>
      </c>
    </row>
    <row r="26">
      <c r="A26" s="5" t="inlineStr">
        <is>
          <t>Code</t>
        </is>
      </c>
      <c r="B26" s="5" t="inlineStr">
        <is>
          <t>Description</t>
        </is>
      </c>
      <c r="C26" s="5" t="inlineStr">
        <is>
          <t>Unit</t>
        </is>
      </c>
      <c r="D26" s="5" t="inlineStr">
        <is>
          <t>Quantity</t>
        </is>
      </c>
      <c r="E26" s="5" t="inlineStr">
        <is>
          <t>Rate (Rs.)</t>
        </is>
      </c>
      <c r="F26" s="5" t="inlineStr">
        <is>
          <t>Amount (Rs.)</t>
        </is>
      </c>
    </row>
    <row r="27">
      <c r="A27" s="13" t="inlineStr">
        <is>
          <t>0003</t>
        </is>
      </c>
      <c r="B27" s="14" t="inlineStr">
        <is>
          <t>Diesel Road Roller 8-10t</t>
        </is>
      </c>
      <c r="C27" s="13" t="inlineStr">
        <is>
          <t>day</t>
        </is>
      </c>
      <c r="D27" s="15" t="n">
        <v>0.008</v>
      </c>
      <c r="E27" s="16" t="n">
        <v>3000</v>
      </c>
      <c r="F27" s="16">
        <f>D27*E27</f>
        <v/>
      </c>
    </row>
    <row r="28">
      <c r="A28" s="13" t="inlineStr">
        <is>
          <t>0114</t>
        </is>
      </c>
      <c r="B28" s="14" t="inlineStr">
        <is>
          <t>Beldar</t>
        </is>
      </c>
      <c r="C28" s="13" t="inlineStr">
        <is>
          <t>day</t>
        </is>
      </c>
      <c r="D28" s="15" t="n">
        <v>2.2</v>
      </c>
      <c r="E28" s="16" t="n">
        <v>558</v>
      </c>
      <c r="F28" s="16">
        <f>D28*E28</f>
        <v/>
      </c>
    </row>
    <row r="29">
      <c r="A29" s="13" t="inlineStr">
        <is>
          <t>0115</t>
        </is>
      </c>
      <c r="B29" s="14" t="inlineStr">
        <is>
          <t>Coolie</t>
        </is>
      </c>
      <c r="C29" s="13" t="inlineStr">
        <is>
          <t>day</t>
        </is>
      </c>
      <c r="D29" s="15" t="n">
        <v>3.6</v>
      </c>
      <c r="E29" s="16" t="n">
        <v>558</v>
      </c>
      <c r="F29" s="16">
        <f>D29*E29</f>
        <v/>
      </c>
    </row>
    <row r="30">
      <c r="A30" s="13" t="inlineStr">
        <is>
          <t>0101</t>
        </is>
      </c>
      <c r="B30" s="14" t="inlineStr">
        <is>
          <t>Bhisti</t>
        </is>
      </c>
      <c r="C30" s="13" t="inlineStr">
        <is>
          <t>day</t>
        </is>
      </c>
      <c r="D30" s="15" t="n">
        <v>0.4</v>
      </c>
      <c r="E30" s="16" t="n">
        <v>617</v>
      </c>
      <c r="F30" s="16">
        <f>D30*E30</f>
        <v/>
      </c>
    </row>
    <row r="31">
      <c r="A31" s="13" t="inlineStr">
        <is>
          <t>0113</t>
        </is>
      </c>
      <c r="B31" s="14" t="inlineStr">
        <is>
          <t>Chowkidar</t>
        </is>
      </c>
      <c r="C31" s="13" t="inlineStr">
        <is>
          <t>day</t>
        </is>
      </c>
      <c r="D31" s="15" t="n">
        <v>0.008</v>
      </c>
      <c r="E31" s="16" t="n">
        <v>558</v>
      </c>
      <c r="F31" s="16">
        <f>D31*E31</f>
        <v/>
      </c>
    </row>
    <row r="32">
      <c r="A32" s="13" t="inlineStr">
        <is>
          <t>9999</t>
        </is>
      </c>
      <c r="B32" s="14" t="inlineStr">
        <is>
          <t>Sundries</t>
        </is>
      </c>
      <c r="C32" s="13" t="inlineStr">
        <is>
          <t>LS</t>
        </is>
      </c>
      <c r="D32" s="15" t="n">
        <v>2.73</v>
      </c>
      <c r="E32" s="16" t="n">
        <v>2</v>
      </c>
      <c r="F32" s="16">
        <f>D32*E32</f>
        <v/>
      </c>
    </row>
    <row r="33">
      <c r="A33" s="17" t="inlineStr">
        <is>
          <t>Resource Total (Material + Labour + Machinery, as printed)</t>
        </is>
      </c>
      <c r="B33" s="18" t="n"/>
      <c r="C33" s="18" t="n"/>
      <c r="D33" s="18" t="n"/>
      <c r="E33" s="18" t="n"/>
      <c r="F33" s="19">
        <f>SUM(F27:F32)</f>
        <v/>
      </c>
    </row>
    <row r="34">
      <c r="A34" s="20" t="inlineStr">
        <is>
          <t>SAY (Rs.) — final DAR rate</t>
        </is>
      </c>
      <c r="B34" s="21" t="n"/>
      <c r="C34" s="21" t="n"/>
      <c r="D34" s="21" t="n"/>
      <c r="E34" s="21" t="n"/>
      <c r="F34" s="22" t="n">
        <v>470.55</v>
      </c>
    </row>
    <row r="36" ht="28" customHeight="1">
      <c r="A36" s="9" t="inlineStr">
        <is>
          <t>2.4</t>
        </is>
      </c>
      <c r="B36" s="10" t="inlineStr">
        <is>
          <t>Deduct for not rolling with power roller of minimum 8 tonnes for banking excavated earth in layers not exceeding 20 cm in depth.</t>
        </is>
      </c>
      <c r="C36" s="11" t="n"/>
      <c r="D36" s="11" t="n"/>
      <c r="E36" s="11" t="n"/>
      <c r="F36" s="11" t="n"/>
    </row>
    <row r="37">
      <c r="A37" s="12" t="inlineStr">
        <is>
          <t>Rate basis: per cum  (source: cost for 10 cum)</t>
        </is>
      </c>
    </row>
    <row r="38">
      <c r="A38" s="5" t="inlineStr">
        <is>
          <t>Code</t>
        </is>
      </c>
      <c r="B38" s="5" t="inlineStr">
        <is>
          <t>Description</t>
        </is>
      </c>
      <c r="C38" s="5" t="inlineStr">
        <is>
          <t>Unit</t>
        </is>
      </c>
      <c r="D38" s="5" t="inlineStr">
        <is>
          <t>Quantity</t>
        </is>
      </c>
      <c r="E38" s="5" t="inlineStr">
        <is>
          <t>Rate (Rs.)</t>
        </is>
      </c>
      <c r="F38" s="5" t="inlineStr">
        <is>
          <t>Amount (Rs.)</t>
        </is>
      </c>
    </row>
    <row r="39">
      <c r="A39" s="13" t="inlineStr">
        <is>
          <t>0003</t>
        </is>
      </c>
      <c r="B39" s="14" t="inlineStr">
        <is>
          <t>Diesel Road Roller 8-10t</t>
        </is>
      </c>
      <c r="C39" s="13" t="inlineStr">
        <is>
          <t>day</t>
        </is>
      </c>
      <c r="D39" s="15" t="n">
        <v>0.008</v>
      </c>
      <c r="E39" s="16" t="n">
        <v>3000</v>
      </c>
      <c r="F39" s="16">
        <f>D39*E39</f>
        <v/>
      </c>
    </row>
    <row r="40">
      <c r="A40" s="13" t="inlineStr">
        <is>
          <t>0113</t>
        </is>
      </c>
      <c r="B40" s="14" t="inlineStr">
        <is>
          <t>Chowkidar</t>
        </is>
      </c>
      <c r="C40" s="13" t="inlineStr">
        <is>
          <t>day</t>
        </is>
      </c>
      <c r="D40" s="15" t="n">
        <v>0.008</v>
      </c>
      <c r="E40" s="16" t="n">
        <v>558</v>
      </c>
      <c r="F40" s="16">
        <f>D40*E40</f>
        <v/>
      </c>
    </row>
    <row r="41">
      <c r="A41" s="13" t="inlineStr">
        <is>
          <t>9999</t>
        </is>
      </c>
      <c r="B41" s="14" t="inlineStr">
        <is>
          <t>Sundries</t>
        </is>
      </c>
      <c r="C41" s="13" t="inlineStr">
        <is>
          <t>LS</t>
        </is>
      </c>
      <c r="D41" s="15" t="n">
        <v>1.82</v>
      </c>
      <c r="E41" s="16" t="n">
        <v>2</v>
      </c>
      <c r="F41" s="16">
        <f>D41*E41</f>
        <v/>
      </c>
    </row>
    <row r="42">
      <c r="A42" s="17" t="inlineStr">
        <is>
          <t>Resource Total (Material + Labour + Machinery, as printed)</t>
        </is>
      </c>
      <c r="B42" s="18" t="n"/>
      <c r="C42" s="18" t="n"/>
      <c r="D42" s="18" t="n"/>
      <c r="E42" s="18" t="n"/>
      <c r="F42" s="19">
        <f>SUM(F39:F41)</f>
        <v/>
      </c>
    </row>
    <row r="43">
      <c r="A43" s="20" t="inlineStr">
        <is>
          <t>SAY (Rs.) — final DAR rate</t>
        </is>
      </c>
      <c r="B43" s="21" t="n"/>
      <c r="C43" s="21" t="n"/>
      <c r="D43" s="21" t="n"/>
      <c r="E43" s="21" t="n"/>
      <c r="F43" s="22" t="n">
        <v>4.3</v>
      </c>
    </row>
    <row r="45" ht="18" customHeight="1">
      <c r="A45" s="9" t="inlineStr">
        <is>
          <t>2.5</t>
        </is>
      </c>
      <c r="B45" s="10" t="inlineStr">
        <is>
          <t>Deduct for not watering the excavated earth for banking</t>
        </is>
      </c>
      <c r="C45" s="11" t="n"/>
      <c r="D45" s="11" t="n"/>
      <c r="E45" s="11" t="n"/>
      <c r="F45" s="11" t="n"/>
    </row>
    <row r="46">
      <c r="A46" s="12" t="inlineStr">
        <is>
          <t>Rate basis: per cum  (source: cost for 10 cum)</t>
        </is>
      </c>
    </row>
    <row r="47">
      <c r="A47" s="5" t="inlineStr">
        <is>
          <t>Code</t>
        </is>
      </c>
      <c r="B47" s="5" t="inlineStr">
        <is>
          <t>Description</t>
        </is>
      </c>
      <c r="C47" s="5" t="inlineStr">
        <is>
          <t>Unit</t>
        </is>
      </c>
      <c r="D47" s="5" t="inlineStr">
        <is>
          <t>Quantity</t>
        </is>
      </c>
      <c r="E47" s="5" t="inlineStr">
        <is>
          <t>Rate (Rs.)</t>
        </is>
      </c>
      <c r="F47" s="5" t="inlineStr">
        <is>
          <t>Amount (Rs.)</t>
        </is>
      </c>
    </row>
    <row r="48">
      <c r="A48" s="13" t="inlineStr">
        <is>
          <t>0101</t>
        </is>
      </c>
      <c r="B48" s="14" t="inlineStr">
        <is>
          <t>Bhisti</t>
        </is>
      </c>
      <c r="C48" s="13" t="inlineStr">
        <is>
          <t>day</t>
        </is>
      </c>
      <c r="D48" s="15" t="n">
        <v>0.4</v>
      </c>
      <c r="E48" s="16" t="n">
        <v>617</v>
      </c>
      <c r="F48" s="16">
        <f>D48*E48</f>
        <v/>
      </c>
    </row>
    <row r="49">
      <c r="A49" s="17" t="inlineStr">
        <is>
          <t>Resource Total (Material + Labour + Machinery, as printed)</t>
        </is>
      </c>
      <c r="B49" s="18" t="n"/>
      <c r="C49" s="18" t="n"/>
      <c r="D49" s="18" t="n"/>
      <c r="E49" s="18" t="n"/>
      <c r="F49" s="19">
        <f>SUM(F48:F48)</f>
        <v/>
      </c>
    </row>
    <row r="50">
      <c r="A50" s="20" t="inlineStr">
        <is>
          <t>SAY (Rs.) — final DAR rate</t>
        </is>
      </c>
      <c r="B50" s="21" t="n"/>
      <c r="C50" s="21" t="n"/>
      <c r="D50" s="21" t="n"/>
      <c r="E50" s="21" t="n"/>
      <c r="F50" s="22" t="n">
        <v>33</v>
      </c>
    </row>
    <row r="52" ht="56" customHeight="1">
      <c r="A52" s="9" t="inlineStr">
        <is>
          <t>2.6.1</t>
        </is>
      </c>
      <c r="B52" s="10"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 All kinds of soil</t>
        </is>
      </c>
      <c r="C52" s="11" t="n"/>
      <c r="D52" s="11" t="n"/>
      <c r="E52" s="11" t="n"/>
      <c r="F52" s="11" t="n"/>
    </row>
    <row r="53">
      <c r="A53" s="12" t="inlineStr">
        <is>
          <t>Rate basis: per cum  (source: cost for 10 cum)</t>
        </is>
      </c>
    </row>
    <row r="54">
      <c r="A54" s="5" t="inlineStr">
        <is>
          <t>Code</t>
        </is>
      </c>
      <c r="B54" s="5" t="inlineStr">
        <is>
          <t>Description</t>
        </is>
      </c>
      <c r="C54" s="5" t="inlineStr">
        <is>
          <t>Unit</t>
        </is>
      </c>
      <c r="D54" s="5" t="inlineStr">
        <is>
          <t>Quantity</t>
        </is>
      </c>
      <c r="E54" s="5" t="inlineStr">
        <is>
          <t>Rate (Rs.)</t>
        </is>
      </c>
      <c r="F54" s="5" t="inlineStr">
        <is>
          <t>Amount (Rs.)</t>
        </is>
      </c>
    </row>
    <row r="55">
      <c r="A55" s="13" t="inlineStr">
        <is>
          <t>0020</t>
        </is>
      </c>
      <c r="B55" s="14" t="inlineStr">
        <is>
          <t>Hydraulic Excavator 0.9 cum</t>
        </is>
      </c>
      <c r="C55" s="13" t="inlineStr">
        <is>
          <t>day</t>
        </is>
      </c>
      <c r="D55" s="15" t="n">
        <v>0.041</v>
      </c>
      <c r="E55" s="16" t="n">
        <v>7000</v>
      </c>
      <c r="F55" s="16">
        <f>D55*E55</f>
        <v/>
      </c>
    </row>
    <row r="56">
      <c r="A56" s="13" t="inlineStr">
        <is>
          <t>0018</t>
        </is>
      </c>
      <c r="B56" s="14" t="inlineStr">
        <is>
          <t>Loader</t>
        </is>
      </c>
      <c r="C56" s="13" t="inlineStr">
        <is>
          <t>day</t>
        </is>
      </c>
      <c r="D56" s="15" t="n">
        <v>0.041</v>
      </c>
      <c r="E56" s="16" t="n">
        <v>5000</v>
      </c>
      <c r="F56" s="16">
        <f>D56*E56</f>
        <v/>
      </c>
    </row>
    <row r="57">
      <c r="A57" s="13" t="inlineStr">
        <is>
          <t>0128</t>
        </is>
      </c>
      <c r="B57" s="14" t="inlineStr">
        <is>
          <t>Mate</t>
        </is>
      </c>
      <c r="C57" s="13" t="inlineStr">
        <is>
          <t>day</t>
        </is>
      </c>
      <c r="D57" s="15" t="n">
        <v>0.32</v>
      </c>
      <c r="E57" s="16" t="n">
        <v>617</v>
      </c>
      <c r="F57" s="16">
        <f>D57*E57</f>
        <v/>
      </c>
    </row>
    <row r="58">
      <c r="A58" s="13" t="inlineStr">
        <is>
          <t>0115</t>
        </is>
      </c>
      <c r="B58" s="14" t="inlineStr">
        <is>
          <t>Coolie</t>
        </is>
      </c>
      <c r="C58" s="13" t="inlineStr">
        <is>
          <t>day</t>
        </is>
      </c>
      <c r="D58" s="15" t="n">
        <v>1.2</v>
      </c>
      <c r="E58" s="16" t="n">
        <v>558</v>
      </c>
      <c r="F58" s="16">
        <f>D58*E58</f>
        <v/>
      </c>
    </row>
    <row r="59">
      <c r="A59" s="17" t="inlineStr">
        <is>
          <t>Resource Total (Material + Labour + Machinery, as printed)</t>
        </is>
      </c>
      <c r="B59" s="18" t="n"/>
      <c r="C59" s="18" t="n"/>
      <c r="D59" s="18" t="n"/>
      <c r="E59" s="18" t="n"/>
      <c r="F59" s="19">
        <f>SUM(F55:F58)</f>
        <v/>
      </c>
    </row>
    <row r="60">
      <c r="A60" s="20" t="inlineStr">
        <is>
          <t>SAY (Rs.) — final DAR rate</t>
        </is>
      </c>
      <c r="B60" s="21" t="n"/>
      <c r="C60" s="21" t="n"/>
      <c r="D60" s="21" t="n"/>
      <c r="E60" s="21" t="n"/>
      <c r="F60" s="22" t="n">
        <v>181.85</v>
      </c>
    </row>
    <row r="62" ht="56" customHeight="1">
      <c r="A62" s="9" t="inlineStr">
        <is>
          <t>2.7.1</t>
        </is>
      </c>
      <c r="B62" s="10"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 Ordinary rock</t>
        </is>
      </c>
      <c r="C62" s="11" t="n"/>
      <c r="D62" s="11" t="n"/>
      <c r="E62" s="11" t="n"/>
      <c r="F62" s="11" t="n"/>
    </row>
    <row r="63">
      <c r="A63" s="12" t="inlineStr">
        <is>
          <t>Rate basis: per cum  (source: cost for 10 cum)</t>
        </is>
      </c>
    </row>
    <row r="64">
      <c r="A64" s="5" t="inlineStr">
        <is>
          <t>Code</t>
        </is>
      </c>
      <c r="B64" s="5" t="inlineStr">
        <is>
          <t>Description</t>
        </is>
      </c>
      <c r="C64" s="5" t="inlineStr">
        <is>
          <t>Unit</t>
        </is>
      </c>
      <c r="D64" s="5" t="inlineStr">
        <is>
          <t>Quantity</t>
        </is>
      </c>
      <c r="E64" s="5" t="inlineStr">
        <is>
          <t>Rate (Rs.)</t>
        </is>
      </c>
      <c r="F64" s="5" t="inlineStr">
        <is>
          <t>Amount (Rs.)</t>
        </is>
      </c>
    </row>
    <row r="65">
      <c r="A65" s="13" t="inlineStr">
        <is>
          <t>0020</t>
        </is>
      </c>
      <c r="B65" s="14" t="inlineStr">
        <is>
          <t>Hydraulic Excavator 0.9 cum</t>
        </is>
      </c>
      <c r="C65" s="13" t="inlineStr">
        <is>
          <t>day</t>
        </is>
      </c>
      <c r="D65" s="15" t="n">
        <v>0.063</v>
      </c>
      <c r="E65" s="16" t="n">
        <v>7000</v>
      </c>
      <c r="F65" s="16">
        <f>D65*E65</f>
        <v/>
      </c>
    </row>
    <row r="66">
      <c r="A66" s="13" t="inlineStr">
        <is>
          <t>0017</t>
        </is>
      </c>
      <c r="B66" s="14" t="inlineStr">
        <is>
          <t>Tipper 6 cum</t>
        </is>
      </c>
      <c r="C66" s="13" t="inlineStr">
        <is>
          <t>day</t>
        </is>
      </c>
      <c r="D66" s="15" t="n">
        <v>0.063</v>
      </c>
      <c r="E66" s="16" t="n">
        <v>1700</v>
      </c>
      <c r="F66" s="16">
        <f>D66*E66</f>
        <v/>
      </c>
    </row>
    <row r="67">
      <c r="A67" s="13" t="inlineStr">
        <is>
          <t>0132</t>
        </is>
      </c>
      <c r="B67" s="14" t="inlineStr">
        <is>
          <t>Rock Excavator</t>
        </is>
      </c>
      <c r="C67" s="13" t="inlineStr">
        <is>
          <t>day</t>
        </is>
      </c>
      <c r="D67" s="15" t="n">
        <v>0.705</v>
      </c>
      <c r="E67" s="16" t="n">
        <v>558</v>
      </c>
      <c r="F67" s="16">
        <f>D67*E67</f>
        <v/>
      </c>
    </row>
    <row r="68">
      <c r="A68" s="13" t="inlineStr">
        <is>
          <t>0133</t>
        </is>
      </c>
      <c r="B68" s="14" t="inlineStr">
        <is>
          <t>Rock Breaker</t>
        </is>
      </c>
      <c r="C68" s="13" t="inlineStr">
        <is>
          <t>day</t>
        </is>
      </c>
      <c r="D68" s="15" t="n">
        <v>1.59</v>
      </c>
      <c r="E68" s="16" t="n">
        <v>558</v>
      </c>
      <c r="F68" s="16">
        <f>D68*E68</f>
        <v/>
      </c>
    </row>
    <row r="69">
      <c r="A69" s="13" t="inlineStr">
        <is>
          <t>0134</t>
        </is>
      </c>
      <c r="B69" s="14" t="inlineStr">
        <is>
          <t>Rock Hole Driller</t>
        </is>
      </c>
      <c r="C69" s="13" t="inlineStr">
        <is>
          <t>day</t>
        </is>
      </c>
      <c r="D69" s="15" t="n">
        <v>0.355</v>
      </c>
      <c r="E69" s="16" t="n">
        <v>558</v>
      </c>
      <c r="F69" s="16">
        <f>D69*E69</f>
        <v/>
      </c>
    </row>
    <row r="70">
      <c r="A70" s="13" t="inlineStr">
        <is>
          <t>0114</t>
        </is>
      </c>
      <c r="B70" s="14" t="inlineStr">
        <is>
          <t>Beldar</t>
        </is>
      </c>
      <c r="C70" s="13" t="inlineStr">
        <is>
          <t>day</t>
        </is>
      </c>
      <c r="D70" s="15" t="n">
        <v>0.5</v>
      </c>
      <c r="E70" s="16" t="n">
        <v>558</v>
      </c>
      <c r="F70" s="16">
        <f>D70*E70</f>
        <v/>
      </c>
    </row>
    <row r="71">
      <c r="A71" s="13" t="inlineStr">
        <is>
          <t>0115</t>
        </is>
      </c>
      <c r="B71" s="14" t="inlineStr">
        <is>
          <t>Coolie</t>
        </is>
      </c>
      <c r="C71" s="13" t="inlineStr">
        <is>
          <t>day</t>
        </is>
      </c>
      <c r="D71" s="15" t="n">
        <v>0.55</v>
      </c>
      <c r="E71" s="16" t="n">
        <v>558</v>
      </c>
      <c r="F71" s="16">
        <f>D71*E71</f>
        <v/>
      </c>
    </row>
    <row r="72">
      <c r="A72" s="13" t="inlineStr">
        <is>
          <t>9999</t>
        </is>
      </c>
      <c r="B72" s="14" t="inlineStr">
        <is>
          <t>Sundries (blasting materials)</t>
        </is>
      </c>
      <c r="C72" s="13" t="inlineStr">
        <is>
          <t>LS</t>
        </is>
      </c>
      <c r="D72" s="15" t="n">
        <v>10.79</v>
      </c>
      <c r="E72" s="16" t="n">
        <v>2</v>
      </c>
      <c r="F72" s="16">
        <f>D72*E72</f>
        <v/>
      </c>
    </row>
    <row r="73">
      <c r="A73" s="17" t="inlineStr">
        <is>
          <t>Resource Total (Material + Labour + Machinery, as printed)</t>
        </is>
      </c>
      <c r="B73" s="18" t="n"/>
      <c r="C73" s="18" t="n"/>
      <c r="D73" s="18" t="n"/>
      <c r="E73" s="18" t="n"/>
      <c r="F73" s="19">
        <f>SUM(F65:F72)</f>
        <v/>
      </c>
    </row>
    <row r="74">
      <c r="A74" s="20" t="inlineStr">
        <is>
          <t>SAY (Rs.) — final DAR rate</t>
        </is>
      </c>
      <c r="B74" s="21" t="n"/>
      <c r="C74" s="21" t="n"/>
      <c r="D74" s="21" t="n"/>
      <c r="E74" s="21" t="n"/>
      <c r="F74" s="22" t="n">
        <v>352.45</v>
      </c>
    </row>
    <row r="76" ht="56" customHeight="1">
      <c r="A76" s="9" t="inlineStr">
        <is>
          <t>2.7.2</t>
        </is>
      </c>
      <c r="B76" s="10"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 Hard rock (requiring blasting)</t>
        </is>
      </c>
      <c r="C76" s="11" t="n"/>
      <c r="D76" s="11" t="n"/>
      <c r="E76" s="11" t="n"/>
      <c r="F76" s="11" t="n"/>
    </row>
    <row r="77">
      <c r="A77" s="12" t="inlineStr">
        <is>
          <t>Rate basis: per cum  (source: cost for 10 cum)</t>
        </is>
      </c>
    </row>
    <row r="78">
      <c r="A78" s="5" t="inlineStr">
        <is>
          <t>Code</t>
        </is>
      </c>
      <c r="B78" s="5" t="inlineStr">
        <is>
          <t>Description</t>
        </is>
      </c>
      <c r="C78" s="5" t="inlineStr">
        <is>
          <t>Unit</t>
        </is>
      </c>
      <c r="D78" s="5" t="inlineStr">
        <is>
          <t>Quantity</t>
        </is>
      </c>
      <c r="E78" s="5" t="inlineStr">
        <is>
          <t>Rate (Rs.)</t>
        </is>
      </c>
      <c r="F78" s="5" t="inlineStr">
        <is>
          <t>Amount (Rs.)</t>
        </is>
      </c>
    </row>
    <row r="79">
      <c r="A79" s="13" t="inlineStr">
        <is>
          <t>0020</t>
        </is>
      </c>
      <c r="B79" s="14" t="inlineStr">
        <is>
          <t>Hydraulic Excavator 0.9 cum</t>
        </is>
      </c>
      <c r="C79" s="13" t="inlineStr">
        <is>
          <t>day</t>
        </is>
      </c>
      <c r="D79" s="15" t="n">
        <v>0.125</v>
      </c>
      <c r="E79" s="16" t="n">
        <v>7000</v>
      </c>
      <c r="F79" s="16">
        <f>D79*E79</f>
        <v/>
      </c>
    </row>
    <row r="80">
      <c r="A80" s="13" t="inlineStr">
        <is>
          <t>0017</t>
        </is>
      </c>
      <c r="B80" s="14" t="inlineStr">
        <is>
          <t>Tipper 6 cum</t>
        </is>
      </c>
      <c r="C80" s="13" t="inlineStr">
        <is>
          <t>day</t>
        </is>
      </c>
      <c r="D80" s="15" t="n">
        <v>0.125</v>
      </c>
      <c r="E80" s="16" t="n">
        <v>1700</v>
      </c>
      <c r="F80" s="16">
        <f>D80*E80</f>
        <v/>
      </c>
    </row>
    <row r="81">
      <c r="A81" s="13" t="inlineStr">
        <is>
          <t>0132</t>
        </is>
      </c>
      <c r="B81" s="14" t="inlineStr">
        <is>
          <t>Rock Excavator</t>
        </is>
      </c>
      <c r="C81" s="13" t="inlineStr">
        <is>
          <t>day</t>
        </is>
      </c>
      <c r="D81" s="15" t="n">
        <v>1.06</v>
      </c>
      <c r="E81" s="16" t="n">
        <v>558</v>
      </c>
      <c r="F81" s="16">
        <f>D81*E81</f>
        <v/>
      </c>
    </row>
    <row r="82">
      <c r="A82" s="13" t="inlineStr">
        <is>
          <t>0133</t>
        </is>
      </c>
      <c r="B82" s="14" t="inlineStr">
        <is>
          <t>Rock Breaker</t>
        </is>
      </c>
      <c r="C82" s="13" t="inlineStr">
        <is>
          <t>day</t>
        </is>
      </c>
      <c r="D82" s="15" t="n">
        <v>2.825</v>
      </c>
      <c r="E82" s="16" t="n">
        <v>558</v>
      </c>
      <c r="F82" s="16">
        <f>D82*E82</f>
        <v/>
      </c>
    </row>
    <row r="83">
      <c r="A83" s="13" t="inlineStr">
        <is>
          <t>0134</t>
        </is>
      </c>
      <c r="B83" s="14" t="inlineStr">
        <is>
          <t>Rock Hole Driller</t>
        </is>
      </c>
      <c r="C83" s="13" t="inlineStr">
        <is>
          <t>day</t>
        </is>
      </c>
      <c r="D83" s="15" t="n">
        <v>0.885</v>
      </c>
      <c r="E83" s="16" t="n">
        <v>558</v>
      </c>
      <c r="F83" s="16">
        <f>D83*E83</f>
        <v/>
      </c>
    </row>
    <row r="84">
      <c r="A84" s="13" t="inlineStr">
        <is>
          <t>0114</t>
        </is>
      </c>
      <c r="B84" s="14" t="inlineStr">
        <is>
          <t>Beldar</t>
        </is>
      </c>
      <c r="C84" s="13" t="inlineStr">
        <is>
          <t>day</t>
        </is>
      </c>
      <c r="D84" s="15" t="n">
        <v>0.45</v>
      </c>
      <c r="E84" s="16" t="n">
        <v>558</v>
      </c>
      <c r="F84" s="16">
        <f>D84*E84</f>
        <v/>
      </c>
    </row>
    <row r="85">
      <c r="A85" s="13" t="inlineStr">
        <is>
          <t>0115</t>
        </is>
      </c>
      <c r="B85" s="14" t="inlineStr">
        <is>
          <t>Coolie</t>
        </is>
      </c>
      <c r="C85" s="13" t="inlineStr">
        <is>
          <t>day</t>
        </is>
      </c>
      <c r="D85" s="15" t="n">
        <v>0.55</v>
      </c>
      <c r="E85" s="16" t="n">
        <v>558</v>
      </c>
      <c r="F85" s="16">
        <f>D85*E85</f>
        <v/>
      </c>
    </row>
    <row r="86">
      <c r="A86" s="13" t="inlineStr"/>
      <c r="B86" s="14" t="inlineStr">
        <is>
          <t>Blasting powder</t>
        </is>
      </c>
      <c r="C86" s="13" t="inlineStr">
        <is>
          <t>kg</t>
        </is>
      </c>
      <c r="D86" s="15" t="n">
        <v>3.93</v>
      </c>
      <c r="E86" s="16" t="n">
        <v>40</v>
      </c>
      <c r="F86" s="16">
        <f>D86*E86</f>
        <v/>
      </c>
    </row>
    <row r="87">
      <c r="A87" s="13" t="inlineStr"/>
      <c r="B87" s="14" t="inlineStr">
        <is>
          <t>Fuse</t>
        </is>
      </c>
      <c r="C87" s="13" t="inlineStr">
        <is>
          <t>metre</t>
        </is>
      </c>
      <c r="D87" s="15" t="n">
        <v>4</v>
      </c>
      <c r="E87" s="16" t="n">
        <v>15</v>
      </c>
      <c r="F87" s="16">
        <f>D87*E87</f>
        <v/>
      </c>
    </row>
    <row r="88">
      <c r="A88" s="13" t="inlineStr">
        <is>
          <t>9999</t>
        </is>
      </c>
      <c r="B88" s="14" t="inlineStr">
        <is>
          <t>Sundries</t>
        </is>
      </c>
      <c r="C88" s="13" t="inlineStr">
        <is>
          <t>LS</t>
        </is>
      </c>
      <c r="D88" s="15" t="n">
        <v>16.12</v>
      </c>
      <c r="E88" s="16" t="n">
        <v>2</v>
      </c>
      <c r="F88" s="16">
        <f>D88*E88</f>
        <v/>
      </c>
    </row>
    <row r="89">
      <c r="A89" s="17" t="inlineStr">
        <is>
          <t>Resource Total (Material + Labour + Machinery, as printed)</t>
        </is>
      </c>
      <c r="B89" s="18" t="n"/>
      <c r="C89" s="18" t="n"/>
      <c r="D89" s="18" t="n"/>
      <c r="E89" s="18" t="n"/>
      <c r="F89" s="19">
        <f>SUM(F79:F88)</f>
        <v/>
      </c>
    </row>
    <row r="90">
      <c r="A90" s="20" t="inlineStr">
        <is>
          <t>SAY (Rs.) — final DAR rate</t>
        </is>
      </c>
      <c r="B90" s="21" t="n"/>
      <c r="C90" s="21" t="n"/>
      <c r="D90" s="21" t="n"/>
      <c r="E90" s="21" t="n"/>
      <c r="F90" s="22" t="n">
        <v>609.65</v>
      </c>
    </row>
    <row r="92" ht="56" customHeight="1">
      <c r="A92" s="9" t="inlineStr">
        <is>
          <t>2.7.3</t>
        </is>
      </c>
      <c r="B92" s="10"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 Hard rock (blasting prohibited)</t>
        </is>
      </c>
      <c r="C92" s="11" t="n"/>
      <c r="D92" s="11" t="n"/>
      <c r="E92" s="11" t="n"/>
      <c r="F92" s="11" t="n"/>
    </row>
    <row r="93">
      <c r="A93" s="12" t="inlineStr">
        <is>
          <t>Rate basis: per cum  (source: cost for 10 cum)</t>
        </is>
      </c>
    </row>
    <row r="94">
      <c r="A94" s="5" t="inlineStr">
        <is>
          <t>Code</t>
        </is>
      </c>
      <c r="B94" s="5" t="inlineStr">
        <is>
          <t>Description</t>
        </is>
      </c>
      <c r="C94" s="5" t="inlineStr">
        <is>
          <t>Unit</t>
        </is>
      </c>
      <c r="D94" s="5" t="inlineStr">
        <is>
          <t>Quantity</t>
        </is>
      </c>
      <c r="E94" s="5" t="inlineStr">
        <is>
          <t>Rate (Rs.)</t>
        </is>
      </c>
      <c r="F94" s="5" t="inlineStr">
        <is>
          <t>Amount (Rs.)</t>
        </is>
      </c>
    </row>
    <row r="95">
      <c r="A95" s="13" t="inlineStr">
        <is>
          <t>0020</t>
        </is>
      </c>
      <c r="B95" s="14" t="inlineStr">
        <is>
          <t>Hydraulic Excavator 0.9 cum</t>
        </is>
      </c>
      <c r="C95" s="13" t="inlineStr">
        <is>
          <t>day</t>
        </is>
      </c>
      <c r="D95" s="15" t="n">
        <v>0.125</v>
      </c>
      <c r="E95" s="16" t="n">
        <v>7000</v>
      </c>
      <c r="F95" s="16">
        <f>D95*E95</f>
        <v/>
      </c>
    </row>
    <row r="96">
      <c r="A96" s="13" t="inlineStr">
        <is>
          <t>0017</t>
        </is>
      </c>
      <c r="B96" s="14" t="inlineStr">
        <is>
          <t>Tipper 6 cum</t>
        </is>
      </c>
      <c r="C96" s="13" t="inlineStr">
        <is>
          <t>day</t>
        </is>
      </c>
      <c r="D96" s="15" t="n">
        <v>0.125</v>
      </c>
      <c r="E96" s="16" t="n">
        <v>1700</v>
      </c>
      <c r="F96" s="16">
        <f>D96*E96</f>
        <v/>
      </c>
    </row>
    <row r="97">
      <c r="A97" s="13" t="inlineStr">
        <is>
          <t>0132</t>
        </is>
      </c>
      <c r="B97" s="14" t="inlineStr">
        <is>
          <t>Rock Excavator</t>
        </is>
      </c>
      <c r="C97" s="13" t="inlineStr">
        <is>
          <t>day</t>
        </is>
      </c>
      <c r="D97" s="15" t="n">
        <v>2.47</v>
      </c>
      <c r="E97" s="16" t="n">
        <v>558</v>
      </c>
      <c r="F97" s="16">
        <f>D97*E97</f>
        <v/>
      </c>
    </row>
    <row r="98">
      <c r="A98" s="13" t="inlineStr">
        <is>
          <t>0133</t>
        </is>
      </c>
      <c r="B98" s="14" t="inlineStr">
        <is>
          <t>Rock Breaker</t>
        </is>
      </c>
      <c r="C98" s="13" t="inlineStr">
        <is>
          <t>day</t>
        </is>
      </c>
      <c r="D98" s="15" t="n">
        <v>6</v>
      </c>
      <c r="E98" s="16" t="n">
        <v>558</v>
      </c>
      <c r="F98" s="16">
        <f>D98*E98</f>
        <v/>
      </c>
    </row>
    <row r="99">
      <c r="A99" s="13" t="inlineStr">
        <is>
          <t>0135</t>
        </is>
      </c>
      <c r="B99" s="14" t="inlineStr">
        <is>
          <t>Stone Chiseller</t>
        </is>
      </c>
      <c r="C99" s="13" t="inlineStr">
        <is>
          <t>day</t>
        </is>
      </c>
      <c r="D99" s="15" t="n">
        <v>1.06</v>
      </c>
      <c r="E99" s="16" t="n">
        <v>617</v>
      </c>
      <c r="F99" s="16">
        <f>D99*E99</f>
        <v/>
      </c>
    </row>
    <row r="100">
      <c r="A100" s="13" t="inlineStr">
        <is>
          <t>0103</t>
        </is>
      </c>
      <c r="B100" s="14" t="inlineStr">
        <is>
          <t>Blacksmith 2nd class</t>
        </is>
      </c>
      <c r="C100" s="13" t="inlineStr">
        <is>
          <t>day</t>
        </is>
      </c>
      <c r="D100" s="15" t="n">
        <v>0.175</v>
      </c>
      <c r="E100" s="16" t="n">
        <v>679</v>
      </c>
      <c r="F100" s="16">
        <f>D100*E100</f>
        <v/>
      </c>
    </row>
    <row r="101">
      <c r="A101" s="13" t="inlineStr">
        <is>
          <t>0114</t>
        </is>
      </c>
      <c r="B101" s="14" t="inlineStr">
        <is>
          <t>Beldar</t>
        </is>
      </c>
      <c r="C101" s="13" t="inlineStr">
        <is>
          <t>day</t>
        </is>
      </c>
      <c r="D101" s="15" t="n">
        <v>0.75</v>
      </c>
      <c r="E101" s="16" t="n">
        <v>558</v>
      </c>
      <c r="F101" s="16">
        <f>D101*E101</f>
        <v/>
      </c>
    </row>
    <row r="102">
      <c r="A102" s="13" t="inlineStr">
        <is>
          <t>0115</t>
        </is>
      </c>
      <c r="B102" s="14" t="inlineStr">
        <is>
          <t>Coolie</t>
        </is>
      </c>
      <c r="C102" s="13" t="inlineStr">
        <is>
          <t>day</t>
        </is>
      </c>
      <c r="D102" s="15" t="n">
        <v>1</v>
      </c>
      <c r="E102" s="16" t="n">
        <v>558</v>
      </c>
      <c r="F102" s="16">
        <f>D102*E102</f>
        <v/>
      </c>
    </row>
    <row r="103">
      <c r="A103" s="13" t="inlineStr">
        <is>
          <t>9999</t>
        </is>
      </c>
      <c r="B103" s="14" t="inlineStr">
        <is>
          <t>Sundries</t>
        </is>
      </c>
      <c r="C103" s="13" t="inlineStr">
        <is>
          <t>LS</t>
        </is>
      </c>
      <c r="D103" s="15" t="n">
        <v>16.12</v>
      </c>
      <c r="E103" s="16" t="n">
        <v>2</v>
      </c>
      <c r="F103" s="16">
        <f>D103*E103</f>
        <v/>
      </c>
    </row>
    <row r="104">
      <c r="A104" s="17" t="inlineStr">
        <is>
          <t>Resource Total (Material + Labour + Machinery, as printed)</t>
        </is>
      </c>
      <c r="B104" s="18" t="n"/>
      <c r="C104" s="18" t="n"/>
      <c r="D104" s="18" t="n"/>
      <c r="E104" s="18" t="n"/>
      <c r="F104" s="19">
        <f>SUM(F95:F103)</f>
        <v/>
      </c>
    </row>
    <row r="105">
      <c r="A105" s="20" t="inlineStr">
        <is>
          <t>SAY (Rs.) — final DAR rate</t>
        </is>
      </c>
      <c r="B105" s="21" t="n"/>
      <c r="C105" s="21" t="n"/>
      <c r="D105" s="21" t="n"/>
      <c r="E105" s="21" t="n"/>
      <c r="F105" s="22" t="n">
        <v>1016.2</v>
      </c>
    </row>
    <row r="107" ht="70" customHeight="1">
      <c r="A107" s="9" t="inlineStr">
        <is>
          <t>2.8.1</t>
        </is>
      </c>
      <c r="B107" s="1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 All kinds of soil.</t>
        </is>
      </c>
      <c r="C107" s="11" t="n"/>
      <c r="D107" s="11" t="n"/>
      <c r="E107" s="11" t="n"/>
      <c r="F107" s="11" t="n"/>
    </row>
    <row r="108">
      <c r="A108" s="12" t="inlineStr">
        <is>
          <t>Rate basis: per cum  (source: cost for 10 cum)</t>
        </is>
      </c>
    </row>
    <row r="109">
      <c r="A109" s="5" t="inlineStr">
        <is>
          <t>Code</t>
        </is>
      </c>
      <c r="B109" s="5" t="inlineStr">
        <is>
          <t>Description</t>
        </is>
      </c>
      <c r="C109" s="5" t="inlineStr">
        <is>
          <t>Unit</t>
        </is>
      </c>
      <c r="D109" s="5" t="inlineStr">
        <is>
          <t>Quantity</t>
        </is>
      </c>
      <c r="E109" s="5" t="inlineStr">
        <is>
          <t>Rate (Rs.)</t>
        </is>
      </c>
      <c r="F109" s="5" t="inlineStr">
        <is>
          <t>Amount (Rs.)</t>
        </is>
      </c>
    </row>
    <row r="110">
      <c r="A110" s="13" t="inlineStr">
        <is>
          <t>0020</t>
        </is>
      </c>
      <c r="B110" s="14" t="inlineStr">
        <is>
          <t>Hydraulic Excavator 0.9 cum</t>
        </is>
      </c>
      <c r="C110" s="13" t="inlineStr">
        <is>
          <t>day</t>
        </is>
      </c>
      <c r="D110" s="15" t="n">
        <v>0.04125</v>
      </c>
      <c r="E110" s="16" t="n">
        <v>7000</v>
      </c>
      <c r="F110" s="16">
        <f>D110*E110</f>
        <v/>
      </c>
    </row>
    <row r="111">
      <c r="A111" s="13" t="inlineStr">
        <is>
          <t>0018</t>
        </is>
      </c>
      <c r="B111" s="14" t="inlineStr">
        <is>
          <t>Loader</t>
        </is>
      </c>
      <c r="C111" s="13" t="inlineStr">
        <is>
          <t>day</t>
        </is>
      </c>
      <c r="D111" s="15" t="n">
        <v>0.04125</v>
      </c>
      <c r="E111" s="16" t="n">
        <v>5000</v>
      </c>
      <c r="F111" s="16">
        <f>D111*E111</f>
        <v/>
      </c>
    </row>
    <row r="112">
      <c r="A112" s="13" t="inlineStr">
        <is>
          <t>0128</t>
        </is>
      </c>
      <c r="B112" s="14" t="inlineStr">
        <is>
          <t>Mate</t>
        </is>
      </c>
      <c r="C112" s="13" t="inlineStr">
        <is>
          <t>day</t>
        </is>
      </c>
      <c r="D112" s="15" t="n">
        <v>0.4</v>
      </c>
      <c r="E112" s="16" t="n">
        <v>617</v>
      </c>
      <c r="F112" s="16">
        <f>D112*E112</f>
        <v/>
      </c>
    </row>
    <row r="113">
      <c r="A113" s="13" t="inlineStr">
        <is>
          <t>0115</t>
        </is>
      </c>
      <c r="B113" s="14" t="inlineStr">
        <is>
          <t>Coolie</t>
        </is>
      </c>
      <c r="C113" s="13" t="inlineStr">
        <is>
          <t>day</t>
        </is>
      </c>
      <c r="D113" s="15" t="n">
        <v>2.05</v>
      </c>
      <c r="E113" s="16" t="n">
        <v>558</v>
      </c>
      <c r="F113" s="16">
        <f>D113*E113</f>
        <v/>
      </c>
    </row>
    <row r="114">
      <c r="A114" s="17" t="inlineStr">
        <is>
          <t>Resource Total (Material + Labour + Machinery, as printed)</t>
        </is>
      </c>
      <c r="B114" s="18" t="n"/>
      <c r="C114" s="18" t="n"/>
      <c r="D114" s="18" t="n"/>
      <c r="E114" s="18" t="n"/>
      <c r="F114" s="19">
        <f>SUM(F110:F113)</f>
        <v/>
      </c>
    </row>
    <row r="115">
      <c r="A115" s="20" t="inlineStr">
        <is>
          <t>SAY (Rs.) — final DAR rate</t>
        </is>
      </c>
      <c r="B115" s="21" t="n"/>
      <c r="C115" s="21" t="n"/>
      <c r="D115" s="21" t="n"/>
      <c r="E115" s="21" t="n"/>
      <c r="F115" s="22" t="n">
        <v>252.3</v>
      </c>
    </row>
    <row r="117" ht="56" customHeight="1">
      <c r="A117" s="9" t="inlineStr">
        <is>
          <t>2.9.1</t>
        </is>
      </c>
      <c r="B117" s="10"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 Ordinary rock</t>
        </is>
      </c>
      <c r="C117" s="11" t="n"/>
      <c r="D117" s="11" t="n"/>
      <c r="E117" s="11" t="n"/>
      <c r="F117" s="11" t="n"/>
    </row>
    <row r="118">
      <c r="A118" s="12" t="inlineStr">
        <is>
          <t>Rate basis: per cum  (source: cost for 10 cum)</t>
        </is>
      </c>
    </row>
    <row r="119">
      <c r="A119" s="5" t="inlineStr">
        <is>
          <t>Code</t>
        </is>
      </c>
      <c r="B119" s="5" t="inlineStr">
        <is>
          <t>Description</t>
        </is>
      </c>
      <c r="C119" s="5" t="inlineStr">
        <is>
          <t>Unit</t>
        </is>
      </c>
      <c r="D119" s="5" t="inlineStr">
        <is>
          <t>Quantity</t>
        </is>
      </c>
      <c r="E119" s="5" t="inlineStr">
        <is>
          <t>Rate (Rs.)</t>
        </is>
      </c>
      <c r="F119" s="5" t="inlineStr">
        <is>
          <t>Amount (Rs.)</t>
        </is>
      </c>
    </row>
    <row r="120">
      <c r="A120" s="13" t="inlineStr">
        <is>
          <t>0020</t>
        </is>
      </c>
      <c r="B120" s="14" t="inlineStr">
        <is>
          <t>Hydraulic Excavator 0.9 cum</t>
        </is>
      </c>
      <c r="C120" s="13" t="inlineStr">
        <is>
          <t>day</t>
        </is>
      </c>
      <c r="D120" s="15" t="n">
        <v>0.0625</v>
      </c>
      <c r="E120" s="16" t="n">
        <v>7000</v>
      </c>
      <c r="F120" s="16">
        <f>D120*E120</f>
        <v/>
      </c>
    </row>
    <row r="121">
      <c r="A121" s="13" t="inlineStr">
        <is>
          <t>0017</t>
        </is>
      </c>
      <c r="B121" s="14" t="inlineStr">
        <is>
          <t>Tipper 6 cum</t>
        </is>
      </c>
      <c r="C121" s="13" t="inlineStr">
        <is>
          <t>day</t>
        </is>
      </c>
      <c r="D121" s="15" t="n">
        <v>0.0625</v>
      </c>
      <c r="E121" s="16" t="n">
        <v>1700</v>
      </c>
      <c r="F121" s="16">
        <f>D121*E121</f>
        <v/>
      </c>
    </row>
    <row r="122">
      <c r="A122" s="13" t="inlineStr">
        <is>
          <t>0132</t>
        </is>
      </c>
      <c r="B122" s="14" t="inlineStr">
        <is>
          <t>Rock Excavator</t>
        </is>
      </c>
      <c r="C122" s="13" t="inlineStr">
        <is>
          <t>day</t>
        </is>
      </c>
      <c r="D122" s="15" t="n">
        <v>0.885</v>
      </c>
      <c r="E122" s="16" t="n">
        <v>558</v>
      </c>
      <c r="F122" s="16">
        <f>D122*E122</f>
        <v/>
      </c>
    </row>
    <row r="123">
      <c r="A123" s="13" t="inlineStr">
        <is>
          <t>0133</t>
        </is>
      </c>
      <c r="B123" s="14" t="inlineStr">
        <is>
          <t>Rock Breaker</t>
        </is>
      </c>
      <c r="C123" s="13" t="inlineStr">
        <is>
          <t>day</t>
        </is>
      </c>
      <c r="D123" s="15" t="n">
        <v>1.765</v>
      </c>
      <c r="E123" s="16" t="n">
        <v>558</v>
      </c>
      <c r="F123" s="16">
        <f>D123*E123</f>
        <v/>
      </c>
    </row>
    <row r="124">
      <c r="A124" s="13" t="inlineStr">
        <is>
          <t>0134</t>
        </is>
      </c>
      <c r="B124" s="14" t="inlineStr">
        <is>
          <t>Rock Hole Driller</t>
        </is>
      </c>
      <c r="C124" s="13" t="inlineStr">
        <is>
          <t>day</t>
        </is>
      </c>
      <c r="D124" s="15" t="n">
        <v>0.53</v>
      </c>
      <c r="E124" s="16" t="n">
        <v>558</v>
      </c>
      <c r="F124" s="16">
        <f>D124*E124</f>
        <v/>
      </c>
    </row>
    <row r="125">
      <c r="A125" s="13" t="inlineStr">
        <is>
          <t>0114</t>
        </is>
      </c>
      <c r="B125" s="14" t="inlineStr">
        <is>
          <t>Beldar</t>
        </is>
      </c>
      <c r="C125" s="13" t="inlineStr">
        <is>
          <t>day</t>
        </is>
      </c>
      <c r="D125" s="15" t="n">
        <v>0.5</v>
      </c>
      <c r="E125" s="16" t="n">
        <v>558</v>
      </c>
      <c r="F125" s="16">
        <f>D125*E125</f>
        <v/>
      </c>
    </row>
    <row r="126">
      <c r="A126" s="13" t="inlineStr">
        <is>
          <t>0115</t>
        </is>
      </c>
      <c r="B126" s="14" t="inlineStr">
        <is>
          <t>Coolie</t>
        </is>
      </c>
      <c r="C126" s="13" t="inlineStr">
        <is>
          <t>day</t>
        </is>
      </c>
      <c r="D126" s="15" t="n">
        <v>1.3</v>
      </c>
      <c r="E126" s="16" t="n">
        <v>558</v>
      </c>
      <c r="F126" s="16">
        <f>D126*E126</f>
        <v/>
      </c>
    </row>
    <row r="127">
      <c r="A127" s="13" t="inlineStr">
        <is>
          <t>9999</t>
        </is>
      </c>
      <c r="B127" s="14" t="inlineStr">
        <is>
          <t>Sundries</t>
        </is>
      </c>
      <c r="C127" s="13" t="inlineStr">
        <is>
          <t>LS</t>
        </is>
      </c>
      <c r="D127" s="15" t="n">
        <v>13.52</v>
      </c>
      <c r="E127" s="16" t="n">
        <v>2</v>
      </c>
      <c r="F127" s="16">
        <f>D127*E127</f>
        <v/>
      </c>
    </row>
    <row r="128">
      <c r="A128" s="17" t="inlineStr">
        <is>
          <t>Resource Total (Material + Labour + Machinery, as printed)</t>
        </is>
      </c>
      <c r="B128" s="18" t="n"/>
      <c r="C128" s="18" t="n"/>
      <c r="D128" s="18" t="n"/>
      <c r="E128" s="18" t="n"/>
      <c r="F128" s="19">
        <f>SUM(F120:F127)</f>
        <v/>
      </c>
    </row>
    <row r="129">
      <c r="A129" s="20" t="inlineStr">
        <is>
          <t>SAY (Rs.) — final DAR rate</t>
        </is>
      </c>
      <c r="B129" s="21" t="n"/>
      <c r="C129" s="21" t="n"/>
      <c r="D129" s="21" t="n"/>
      <c r="E129" s="21" t="n"/>
      <c r="F129" s="22" t="n">
        <v>448.15</v>
      </c>
    </row>
    <row r="131" ht="70" customHeight="1">
      <c r="A131" s="9" t="inlineStr">
        <is>
          <t>2.9.2</t>
        </is>
      </c>
      <c r="B131" s="10"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 Hard rock (requiring blasting)</t>
        </is>
      </c>
      <c r="C131" s="11" t="n"/>
      <c r="D131" s="11" t="n"/>
      <c r="E131" s="11" t="n"/>
      <c r="F131" s="11" t="n"/>
    </row>
    <row r="132">
      <c r="A132" s="12" t="inlineStr">
        <is>
          <t>Rate basis: per cum  (source: cost for 10 cum)</t>
        </is>
      </c>
    </row>
    <row r="133">
      <c r="A133" s="5" t="inlineStr">
        <is>
          <t>Code</t>
        </is>
      </c>
      <c r="B133" s="5" t="inlineStr">
        <is>
          <t>Description</t>
        </is>
      </c>
      <c r="C133" s="5" t="inlineStr">
        <is>
          <t>Unit</t>
        </is>
      </c>
      <c r="D133" s="5" t="inlineStr">
        <is>
          <t>Quantity</t>
        </is>
      </c>
      <c r="E133" s="5" t="inlineStr">
        <is>
          <t>Rate (Rs.)</t>
        </is>
      </c>
      <c r="F133" s="5" t="inlineStr">
        <is>
          <t>Amount (Rs.)</t>
        </is>
      </c>
    </row>
    <row r="134">
      <c r="A134" s="13" t="inlineStr">
        <is>
          <t>0020</t>
        </is>
      </c>
      <c r="B134" s="14" t="inlineStr">
        <is>
          <t>Hydraulic Excavator 0.9 cum</t>
        </is>
      </c>
      <c r="C134" s="13" t="inlineStr">
        <is>
          <t>day</t>
        </is>
      </c>
      <c r="D134" s="15" t="n">
        <v>0.125</v>
      </c>
      <c r="E134" s="16" t="n">
        <v>7000</v>
      </c>
      <c r="F134" s="16">
        <f>D134*E134</f>
        <v/>
      </c>
    </row>
    <row r="135">
      <c r="A135" s="13" t="inlineStr">
        <is>
          <t>0017</t>
        </is>
      </c>
      <c r="B135" s="14" t="inlineStr">
        <is>
          <t>Tipper 6 cum</t>
        </is>
      </c>
      <c r="C135" s="13" t="inlineStr">
        <is>
          <t>day</t>
        </is>
      </c>
      <c r="D135" s="15" t="n">
        <v>0.125</v>
      </c>
      <c r="E135" s="16" t="n">
        <v>1700</v>
      </c>
      <c r="F135" s="16">
        <f>D135*E135</f>
        <v/>
      </c>
    </row>
    <row r="136">
      <c r="A136" s="13" t="inlineStr">
        <is>
          <t>0132</t>
        </is>
      </c>
      <c r="B136" s="14" t="inlineStr">
        <is>
          <t>Rock Excavator</t>
        </is>
      </c>
      <c r="C136" s="13" t="inlineStr">
        <is>
          <t>day</t>
        </is>
      </c>
      <c r="D136" s="15" t="n">
        <v>1.24</v>
      </c>
      <c r="E136" s="16" t="n">
        <v>558</v>
      </c>
      <c r="F136" s="16">
        <f>D136*E136</f>
        <v/>
      </c>
    </row>
    <row r="137">
      <c r="A137" s="13" t="inlineStr">
        <is>
          <t>0133</t>
        </is>
      </c>
      <c r="B137" s="14" t="inlineStr">
        <is>
          <t>Rock Breaker</t>
        </is>
      </c>
      <c r="C137" s="13" t="inlineStr">
        <is>
          <t>day</t>
        </is>
      </c>
      <c r="D137" s="15" t="n">
        <v>3</v>
      </c>
      <c r="E137" s="16" t="n">
        <v>558</v>
      </c>
      <c r="F137" s="16">
        <f>D137*E137</f>
        <v/>
      </c>
    </row>
    <row r="138">
      <c r="A138" s="13" t="inlineStr">
        <is>
          <t>0134</t>
        </is>
      </c>
      <c r="B138" s="14" t="inlineStr">
        <is>
          <t>Rock Hole Driller</t>
        </is>
      </c>
      <c r="C138" s="13" t="inlineStr">
        <is>
          <t>day</t>
        </is>
      </c>
      <c r="D138" s="15" t="n">
        <v>1.06</v>
      </c>
      <c r="E138" s="16" t="n">
        <v>558</v>
      </c>
      <c r="F138" s="16">
        <f>D138*E138</f>
        <v/>
      </c>
    </row>
    <row r="139">
      <c r="A139" s="13" t="inlineStr">
        <is>
          <t>0114</t>
        </is>
      </c>
      <c r="B139" s="14" t="inlineStr">
        <is>
          <t>Beldar</t>
        </is>
      </c>
      <c r="C139" s="13" t="inlineStr">
        <is>
          <t>day</t>
        </is>
      </c>
      <c r="D139" s="15" t="n">
        <v>0.5</v>
      </c>
      <c r="E139" s="16" t="n">
        <v>558</v>
      </c>
      <c r="F139" s="16">
        <f>D139*E139</f>
        <v/>
      </c>
    </row>
    <row r="140">
      <c r="A140" s="13" t="inlineStr">
        <is>
          <t>0115</t>
        </is>
      </c>
      <c r="B140" s="14" t="inlineStr">
        <is>
          <t>Coolie</t>
        </is>
      </c>
      <c r="C140" s="13" t="inlineStr">
        <is>
          <t>day</t>
        </is>
      </c>
      <c r="D140" s="15" t="n">
        <v>1.3</v>
      </c>
      <c r="E140" s="16" t="n">
        <v>558</v>
      </c>
      <c r="F140" s="16">
        <f>D140*E140</f>
        <v/>
      </c>
    </row>
    <row r="141">
      <c r="A141" s="13" t="inlineStr"/>
      <c r="B141" s="14" t="inlineStr">
        <is>
          <t>Blasting powder</t>
        </is>
      </c>
      <c r="C141" s="13" t="inlineStr">
        <is>
          <t>kg</t>
        </is>
      </c>
      <c r="D141" s="15" t="n">
        <v>6.42</v>
      </c>
      <c r="E141" s="16" t="n">
        <v>40</v>
      </c>
      <c r="F141" s="16">
        <f>D141*E141</f>
        <v/>
      </c>
    </row>
    <row r="142">
      <c r="A142" s="13" t="inlineStr"/>
      <c r="B142" s="14" t="inlineStr">
        <is>
          <t>Fuse</t>
        </is>
      </c>
      <c r="C142" s="13" t="inlineStr">
        <is>
          <t>metre</t>
        </is>
      </c>
      <c r="D142" s="15" t="n">
        <v>7</v>
      </c>
      <c r="E142" s="16" t="n">
        <v>15</v>
      </c>
      <c r="F142" s="16">
        <f>D142*E142</f>
        <v/>
      </c>
    </row>
    <row r="143">
      <c r="A143" s="13" t="inlineStr">
        <is>
          <t>9999</t>
        </is>
      </c>
      <c r="B143" s="14" t="inlineStr">
        <is>
          <t>Sundries</t>
        </is>
      </c>
      <c r="C143" s="13" t="inlineStr">
        <is>
          <t>LS</t>
        </is>
      </c>
      <c r="D143" s="15" t="n">
        <v>18.85</v>
      </c>
      <c r="E143" s="16" t="n">
        <v>2</v>
      </c>
      <c r="F143" s="16">
        <f>D143*E143</f>
        <v/>
      </c>
    </row>
    <row r="144">
      <c r="A144" s="17" t="inlineStr">
        <is>
          <t>Resource Total (Material + Labour + Machinery, as printed)</t>
        </is>
      </c>
      <c r="B144" s="18" t="n"/>
      <c r="C144" s="18" t="n"/>
      <c r="D144" s="18" t="n"/>
      <c r="E144" s="18" t="n"/>
      <c r="F144" s="19">
        <f>SUM(F134:F143)</f>
        <v/>
      </c>
    </row>
    <row r="145">
      <c r="A145" s="20" t="inlineStr">
        <is>
          <t>SAY (Rs.) — final DAR rate</t>
        </is>
      </c>
      <c r="B145" s="21" t="n"/>
      <c r="C145" s="21" t="n"/>
      <c r="D145" s="21" t="n"/>
      <c r="E145" s="21" t="n"/>
      <c r="F145" s="22" t="n">
        <v>729</v>
      </c>
    </row>
    <row r="147" ht="70" customHeight="1">
      <c r="A147" s="9" t="inlineStr">
        <is>
          <t>2.9.3</t>
        </is>
      </c>
      <c r="B147" s="10"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 Hard rock (blasting prohibited)</t>
        </is>
      </c>
      <c r="C147" s="11" t="n"/>
      <c r="D147" s="11" t="n"/>
      <c r="E147" s="11" t="n"/>
      <c r="F147" s="11" t="n"/>
    </row>
    <row r="148">
      <c r="A148" s="12" t="inlineStr">
        <is>
          <t>Rate basis: per cum  (source: cost for 10 cum)</t>
        </is>
      </c>
    </row>
    <row r="149">
      <c r="A149" s="5" t="inlineStr">
        <is>
          <t>Code</t>
        </is>
      </c>
      <c r="B149" s="5" t="inlineStr">
        <is>
          <t>Description</t>
        </is>
      </c>
      <c r="C149" s="5" t="inlineStr">
        <is>
          <t>Unit</t>
        </is>
      </c>
      <c r="D149" s="5" t="inlineStr">
        <is>
          <t>Quantity</t>
        </is>
      </c>
      <c r="E149" s="5" t="inlineStr">
        <is>
          <t>Rate (Rs.)</t>
        </is>
      </c>
      <c r="F149" s="5" t="inlineStr">
        <is>
          <t>Amount (Rs.)</t>
        </is>
      </c>
    </row>
    <row r="150">
      <c r="A150" s="13" t="inlineStr">
        <is>
          <t>0020</t>
        </is>
      </c>
      <c r="B150" s="14" t="inlineStr">
        <is>
          <t>Hydraulic Excavator 0.9 cum</t>
        </is>
      </c>
      <c r="C150" s="13" t="inlineStr">
        <is>
          <t>day</t>
        </is>
      </c>
      <c r="D150" s="15" t="n">
        <v>0.125</v>
      </c>
      <c r="E150" s="16" t="n">
        <v>7000</v>
      </c>
      <c r="F150" s="16">
        <f>D150*E150</f>
        <v/>
      </c>
    </row>
    <row r="151">
      <c r="A151" s="13" t="inlineStr">
        <is>
          <t>0017</t>
        </is>
      </c>
      <c r="B151" s="14" t="inlineStr">
        <is>
          <t>Tipper 6 cum</t>
        </is>
      </c>
      <c r="C151" s="13" t="inlineStr">
        <is>
          <t>day</t>
        </is>
      </c>
      <c r="D151" s="15" t="n">
        <v>0.125</v>
      </c>
      <c r="E151" s="16" t="n">
        <v>1700</v>
      </c>
      <c r="F151" s="16">
        <f>D151*E151</f>
        <v/>
      </c>
    </row>
    <row r="152">
      <c r="A152" s="13" t="inlineStr">
        <is>
          <t>0132</t>
        </is>
      </c>
      <c r="B152" s="14" t="inlineStr">
        <is>
          <t>Rock Excavator</t>
        </is>
      </c>
      <c r="C152" s="13" t="inlineStr">
        <is>
          <t>day</t>
        </is>
      </c>
      <c r="D152" s="15" t="n">
        <v>2.65</v>
      </c>
      <c r="E152" s="16" t="n">
        <v>558</v>
      </c>
      <c r="F152" s="16">
        <f>D152*E152</f>
        <v/>
      </c>
    </row>
    <row r="153">
      <c r="A153" s="13" t="inlineStr">
        <is>
          <t>0133</t>
        </is>
      </c>
      <c r="B153" s="14" t="inlineStr">
        <is>
          <t>Rock Breaker</t>
        </is>
      </c>
      <c r="C153" s="13" t="inlineStr">
        <is>
          <t>day</t>
        </is>
      </c>
      <c r="D153" s="15" t="n">
        <v>6.175</v>
      </c>
      <c r="E153" s="16" t="n">
        <v>558</v>
      </c>
      <c r="F153" s="16">
        <f>D153*E153</f>
        <v/>
      </c>
    </row>
    <row r="154">
      <c r="A154" s="13" t="inlineStr">
        <is>
          <t>0135</t>
        </is>
      </c>
      <c r="B154" s="14" t="inlineStr">
        <is>
          <t>Stone Chiseller</t>
        </is>
      </c>
      <c r="C154" s="13" t="inlineStr">
        <is>
          <t>day</t>
        </is>
      </c>
      <c r="D154" s="15" t="n">
        <v>1.06</v>
      </c>
      <c r="E154" s="16" t="n">
        <v>617</v>
      </c>
      <c r="F154" s="16">
        <f>D154*E154</f>
        <v/>
      </c>
    </row>
    <row r="155">
      <c r="A155" s="13" t="inlineStr">
        <is>
          <t>0103</t>
        </is>
      </c>
      <c r="B155" s="14" t="inlineStr">
        <is>
          <t>Blacksmith 2nd class</t>
        </is>
      </c>
      <c r="C155" s="13" t="inlineStr">
        <is>
          <t>day</t>
        </is>
      </c>
      <c r="D155" s="15" t="n">
        <v>0.175</v>
      </c>
      <c r="E155" s="16" t="n">
        <v>679</v>
      </c>
      <c r="F155" s="16">
        <f>D155*E155</f>
        <v/>
      </c>
    </row>
    <row r="156">
      <c r="A156" s="13" t="inlineStr">
        <is>
          <t>0114</t>
        </is>
      </c>
      <c r="B156" s="14" t="inlineStr">
        <is>
          <t>Beldar</t>
        </is>
      </c>
      <c r="C156" s="13" t="inlineStr">
        <is>
          <t>day</t>
        </is>
      </c>
      <c r="D156" s="15" t="n">
        <v>0.75</v>
      </c>
      <c r="E156" s="16" t="n">
        <v>558</v>
      </c>
      <c r="F156" s="16">
        <f>D156*E156</f>
        <v/>
      </c>
    </row>
    <row r="157">
      <c r="A157" s="13" t="inlineStr">
        <is>
          <t>0115</t>
        </is>
      </c>
      <c r="B157" s="14" t="inlineStr">
        <is>
          <t>Coolie</t>
        </is>
      </c>
      <c r="C157" s="13" t="inlineStr">
        <is>
          <t>day</t>
        </is>
      </c>
      <c r="D157" s="15" t="n">
        <v>1.5</v>
      </c>
      <c r="E157" s="16" t="n">
        <v>558</v>
      </c>
      <c r="F157" s="16">
        <f>D157*E157</f>
        <v/>
      </c>
    </row>
    <row r="158">
      <c r="A158" s="13" t="inlineStr">
        <is>
          <t>9999</t>
        </is>
      </c>
      <c r="B158" s="14" t="inlineStr">
        <is>
          <t>Sundries</t>
        </is>
      </c>
      <c r="C158" s="13" t="inlineStr">
        <is>
          <t>LS</t>
        </is>
      </c>
      <c r="D158" s="15" t="n">
        <v>17.94</v>
      </c>
      <c r="E158" s="16" t="n">
        <v>2</v>
      </c>
      <c r="F158" s="16">
        <f>D158*E158</f>
        <v/>
      </c>
    </row>
    <row r="159">
      <c r="A159" s="17" t="inlineStr">
        <is>
          <t>Resource Total (Material + Labour + Machinery, as printed)</t>
        </is>
      </c>
      <c r="B159" s="18" t="n"/>
      <c r="C159" s="18" t="n"/>
      <c r="D159" s="18" t="n"/>
      <c r="E159" s="18" t="n"/>
      <c r="F159" s="19">
        <f>SUM(F150:F158)</f>
        <v/>
      </c>
    </row>
    <row r="160">
      <c r="A160" s="20" t="inlineStr">
        <is>
          <t>SAY (Rs.) — final DAR rate</t>
        </is>
      </c>
      <c r="B160" s="21" t="n"/>
      <c r="C160" s="21" t="n"/>
      <c r="D160" s="21" t="n"/>
      <c r="E160" s="21" t="n"/>
      <c r="F160" s="22" t="n">
        <v>624.7</v>
      </c>
    </row>
    <row r="162" ht="84" customHeight="1">
      <c r="A162" s="9" t="inlineStr">
        <is>
          <t>2.10.1.1</t>
        </is>
      </c>
      <c r="B162" s="10"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 - All kinds of soil - Pipes, cables etc, not exceeding 80 mm dia.</t>
        </is>
      </c>
      <c r="C162" s="11" t="n"/>
      <c r="D162" s="11" t="n"/>
      <c r="E162" s="11" t="n"/>
      <c r="F162" s="11" t="n"/>
    </row>
    <row r="163">
      <c r="A163" s="12" t="inlineStr">
        <is>
          <t>Rate basis: per metre  (source: cost for 180 metre)</t>
        </is>
      </c>
    </row>
    <row r="164">
      <c r="A164" s="5" t="inlineStr">
        <is>
          <t>Code</t>
        </is>
      </c>
      <c r="B164" s="5" t="inlineStr">
        <is>
          <t>Description</t>
        </is>
      </c>
      <c r="C164" s="5" t="inlineStr">
        <is>
          <t>Unit</t>
        </is>
      </c>
      <c r="D164" s="5" t="inlineStr">
        <is>
          <t>Quantity</t>
        </is>
      </c>
      <c r="E164" s="5" t="inlineStr">
        <is>
          <t>Rate (Rs.)</t>
        </is>
      </c>
      <c r="F164" s="5" t="inlineStr">
        <is>
          <t>Amount (Rs.)</t>
        </is>
      </c>
    </row>
    <row r="165">
      <c r="A165" s="13" t="inlineStr">
        <is>
          <t>REF#2.8.1</t>
        </is>
      </c>
      <c r="B165" s="14" t="inlineStr">
        <is>
          <t>Excavation pipe trench ordinary soil (85.05 cum)</t>
        </is>
      </c>
      <c r="C165" s="13" t="inlineStr">
        <is>
          <t>cum</t>
        </is>
      </c>
      <c r="D165" s="15" t="n">
        <v>85.05</v>
      </c>
      <c r="E165" s="16" t="n">
        <v>252.3</v>
      </c>
      <c r="F165" s="16">
        <f>D165*E165</f>
        <v/>
      </c>
    </row>
    <row r="166">
      <c r="A166" s="13" t="inlineStr">
        <is>
          <t>REF#2.25</t>
        </is>
      </c>
      <c r="B166" s="14" t="inlineStr">
        <is>
          <t>Filling in trenches (85.05 cum)</t>
        </is>
      </c>
      <c r="C166" s="13" t="inlineStr">
        <is>
          <t>cum</t>
        </is>
      </c>
      <c r="D166" s="15" t="n">
        <v>85.05</v>
      </c>
      <c r="E166" s="16" t="n">
        <v>219.65</v>
      </c>
      <c r="F166" s="16">
        <f>D166*E166</f>
        <v/>
      </c>
    </row>
    <row r="167">
      <c r="A167" s="17" t="inlineStr">
        <is>
          <t>Resource Total (Material + Labour + Machinery, as printed)</t>
        </is>
      </c>
      <c r="B167" s="18" t="n"/>
      <c r="C167" s="18" t="n"/>
      <c r="D167" s="18" t="n"/>
      <c r="E167" s="18" t="n"/>
      <c r="F167" s="19">
        <f>SUM(F165:F166)</f>
        <v/>
      </c>
    </row>
    <row r="168">
      <c r="A168" s="20" t="inlineStr">
        <is>
          <t>SAY (Rs.) — final DAR rate</t>
        </is>
      </c>
      <c r="B168" s="21" t="n"/>
      <c r="C168" s="21" t="n"/>
      <c r="D168" s="21" t="n"/>
      <c r="E168" s="21" t="n"/>
      <c r="F168" s="22" t="n">
        <v>223</v>
      </c>
    </row>
    <row r="170" ht="84" customHeight="1">
      <c r="A170" s="9" t="inlineStr">
        <is>
          <t>2.10.1.2</t>
        </is>
      </c>
      <c r="B170" s="10"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 - All kinds of soil - Pipes, cables etc. exceeding 80 mm dia. but not exceeding 300 mm dia</t>
        </is>
      </c>
      <c r="C170" s="11" t="n"/>
      <c r="D170" s="11" t="n"/>
      <c r="E170" s="11" t="n"/>
      <c r="F170" s="11" t="n"/>
    </row>
    <row r="171">
      <c r="A171" s="12" t="inlineStr">
        <is>
          <t>Rate basis: per metre  (source: cost for 110 metre)</t>
        </is>
      </c>
    </row>
    <row r="172">
      <c r="A172" s="5" t="inlineStr">
        <is>
          <t>Code</t>
        </is>
      </c>
      <c r="B172" s="5" t="inlineStr">
        <is>
          <t>Description</t>
        </is>
      </c>
      <c r="C172" s="5" t="inlineStr">
        <is>
          <t>Unit</t>
        </is>
      </c>
      <c r="D172" s="5" t="inlineStr">
        <is>
          <t>Quantity</t>
        </is>
      </c>
      <c r="E172" s="5" t="inlineStr">
        <is>
          <t>Rate (Rs.)</t>
        </is>
      </c>
      <c r="F172" s="5" t="inlineStr">
        <is>
          <t>Amount (Rs.)</t>
        </is>
      </c>
    </row>
    <row r="173">
      <c r="A173" s="13" t="inlineStr">
        <is>
          <t>REF#2.8.1</t>
        </is>
      </c>
      <c r="B173" s="14" t="inlineStr">
        <is>
          <t>Excavation pipe trench ordinary soil (84.89 cum)</t>
        </is>
      </c>
      <c r="C173" s="13" t="inlineStr">
        <is>
          <t>cum</t>
        </is>
      </c>
      <c r="D173" s="15" t="n">
        <v>84.89</v>
      </c>
      <c r="E173" s="16" t="n">
        <v>252.3</v>
      </c>
      <c r="F173" s="16">
        <f>D173*E173</f>
        <v/>
      </c>
    </row>
    <row r="174">
      <c r="A174" s="13" t="inlineStr">
        <is>
          <t>REF#2.25</t>
        </is>
      </c>
      <c r="B174" s="14" t="inlineStr">
        <is>
          <t>Filling in trenches (84.89 cum)</t>
        </is>
      </c>
      <c r="C174" s="13" t="inlineStr">
        <is>
          <t>cum</t>
        </is>
      </c>
      <c r="D174" s="15" t="n">
        <v>84.89</v>
      </c>
      <c r="E174" s="16" t="n">
        <v>219.65</v>
      </c>
      <c r="F174" s="16">
        <f>D174*E174</f>
        <v/>
      </c>
    </row>
    <row r="175">
      <c r="A175" s="17" t="inlineStr">
        <is>
          <t>Resource Total (Material + Labour + Machinery, as printed)</t>
        </is>
      </c>
      <c r="B175" s="18" t="n"/>
      <c r="C175" s="18" t="n"/>
      <c r="D175" s="18" t="n"/>
      <c r="E175" s="18" t="n"/>
      <c r="F175" s="19">
        <f>SUM(F173:F174)</f>
        <v/>
      </c>
    </row>
    <row r="176">
      <c r="A176" s="20" t="inlineStr">
        <is>
          <t>SAY (Rs.) — final DAR rate</t>
        </is>
      </c>
      <c r="B176" s="21" t="n"/>
      <c r="C176" s="21" t="n"/>
      <c r="D176" s="21" t="n"/>
      <c r="E176" s="21" t="n"/>
      <c r="F176" s="22" t="n">
        <v>364.2</v>
      </c>
    </row>
    <row r="178" ht="84" customHeight="1">
      <c r="A178" s="9" t="inlineStr">
        <is>
          <t>2.10.1.3</t>
        </is>
      </c>
      <c r="B178" s="10"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 - All kinds of soil - Pipes, cables etc. exceeding 300 mm dia but not exceeding 600 mm</t>
        </is>
      </c>
      <c r="C178" s="11" t="n"/>
      <c r="D178" s="11" t="n"/>
      <c r="E178" s="11" t="n"/>
      <c r="F178" s="11" t="n"/>
    </row>
    <row r="179">
      <c r="A179" s="12" t="inlineStr">
        <is>
          <t>Rate basis: per metre  (source: cost for 60 metre)</t>
        </is>
      </c>
    </row>
    <row r="180">
      <c r="A180" s="5" t="inlineStr">
        <is>
          <t>Code</t>
        </is>
      </c>
      <c r="B180" s="5" t="inlineStr">
        <is>
          <t>Description</t>
        </is>
      </c>
      <c r="C180" s="5" t="inlineStr">
        <is>
          <t>Unit</t>
        </is>
      </c>
      <c r="D180" s="5" t="inlineStr">
        <is>
          <t>Quantity</t>
        </is>
      </c>
      <c r="E180" s="5" t="inlineStr">
        <is>
          <t>Rate (Rs.)</t>
        </is>
      </c>
      <c r="F180" s="5" t="inlineStr">
        <is>
          <t>Amount (Rs.)</t>
        </is>
      </c>
    </row>
    <row r="181">
      <c r="A181" s="13" t="inlineStr">
        <is>
          <t>REF#2.8.1</t>
        </is>
      </c>
      <c r="B181" s="14" t="inlineStr">
        <is>
          <t>Excavation pipe trench ordinary soil (72.29 cum)</t>
        </is>
      </c>
      <c r="C181" s="13" t="inlineStr">
        <is>
          <t>cum</t>
        </is>
      </c>
      <c r="D181" s="15" t="n">
        <v>72.29000000000001</v>
      </c>
      <c r="E181" s="16" t="n">
        <v>252.3</v>
      </c>
      <c r="F181" s="16">
        <f>D181*E181</f>
        <v/>
      </c>
    </row>
    <row r="182">
      <c r="A182" s="13" t="inlineStr">
        <is>
          <t>REF#2.25</t>
        </is>
      </c>
      <c r="B182" s="14" t="inlineStr">
        <is>
          <t>Filling in trenches (72.29 cum)</t>
        </is>
      </c>
      <c r="C182" s="13" t="inlineStr">
        <is>
          <t>cum</t>
        </is>
      </c>
      <c r="D182" s="15" t="n">
        <v>72.29000000000001</v>
      </c>
      <c r="E182" s="16" t="n">
        <v>219.65</v>
      </c>
      <c r="F182" s="16">
        <f>D182*E182</f>
        <v/>
      </c>
    </row>
    <row r="183">
      <c r="A183" s="17" t="inlineStr">
        <is>
          <t>Resource Total (Material + Labour + Machinery, as printed)</t>
        </is>
      </c>
      <c r="B183" s="18" t="n"/>
      <c r="C183" s="18" t="n"/>
      <c r="D183" s="18" t="n"/>
      <c r="E183" s="18" t="n"/>
      <c r="F183" s="19">
        <f>SUM(F181:F182)</f>
        <v/>
      </c>
    </row>
    <row r="184">
      <c r="A184" s="20" t="inlineStr">
        <is>
          <t>SAY (Rs.) — final DAR rate</t>
        </is>
      </c>
      <c r="B184" s="21" t="n"/>
      <c r="C184" s="21" t="n"/>
      <c r="D184" s="21" t="n"/>
      <c r="E184" s="21" t="n"/>
      <c r="F184" s="22" t="n">
        <v>568.6</v>
      </c>
    </row>
    <row r="186" ht="42" customHeight="1">
      <c r="A186" s="9" t="inlineStr">
        <is>
          <t>2.11</t>
        </is>
      </c>
      <c r="B186" s="10" t="inlineStr">
        <is>
          <t>Extra for excavating trenches for pipes, cables etc. in all kinds of soil for depth exceeding 1.5 m, but not exceeding 3 m. (Rate is over corresponding basic item for depth upto 1.5 metre).</t>
        </is>
      </c>
      <c r="C186" s="11" t="n"/>
      <c r="D186" s="11" t="n"/>
      <c r="E186" s="11" t="n"/>
      <c r="F186" s="11" t="n"/>
    </row>
    <row r="187">
      <c r="A187" s="12" t="inlineStr">
        <is>
          <t>Rate basis: per %  (source: cost for 1 %)</t>
        </is>
      </c>
    </row>
    <row r="188">
      <c r="A188" s="23" t="inlineStr">
        <is>
          <t>Percentage-based item (no resource breakdown in the source document).</t>
        </is>
      </c>
      <c r="B188" s="24" t="n"/>
      <c r="C188" s="24" t="n"/>
      <c r="D188" s="24" t="n"/>
      <c r="E188" s="24" t="n"/>
      <c r="F188" s="25" t="n">
        <v>1.27</v>
      </c>
    </row>
    <row r="190" ht="42" customHeight="1">
      <c r="A190" s="9" t="inlineStr">
        <is>
          <t>2.12</t>
        </is>
      </c>
      <c r="B190" s="10" t="inlineStr">
        <is>
          <t>Extra for excavating trenches for pipes, cables, etc, in all kinds of soil for depth exceeding 3 m in depth, but not exceeding 4.5 m. (Rate is over corresponding basic item for depth upto 1.5 metre.)</t>
        </is>
      </c>
      <c r="C190" s="11" t="n"/>
      <c r="D190" s="11" t="n"/>
      <c r="E190" s="11" t="n"/>
      <c r="F190" s="11" t="n"/>
    </row>
    <row r="191">
      <c r="A191" s="12" t="inlineStr">
        <is>
          <t>Rate basis: per %  (source: cost for 1 %)</t>
        </is>
      </c>
    </row>
    <row r="192">
      <c r="A192" s="23" t="inlineStr">
        <is>
          <t>Percentage-based item (no resource breakdown in the source document).</t>
        </is>
      </c>
      <c r="B192" s="24" t="n"/>
      <c r="C192" s="24" t="n"/>
      <c r="D192" s="24" t="n"/>
      <c r="E192" s="24" t="n"/>
      <c r="F192" s="25" t="n">
        <v>3.1495</v>
      </c>
    </row>
    <row r="194" ht="84" customHeight="1">
      <c r="A194" s="9" t="inlineStr">
        <is>
          <t>2.13.1.1</t>
        </is>
      </c>
      <c r="B194"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Ordinary rock : - Pipes, cables etc. not exceeding 80 mm dia</t>
        </is>
      </c>
      <c r="C194" s="11" t="n"/>
      <c r="D194" s="11" t="n"/>
      <c r="E194" s="11" t="n"/>
      <c r="F194" s="11" t="n"/>
    </row>
    <row r="195">
      <c r="A195" s="12" t="inlineStr">
        <is>
          <t>Rate basis: per metre  (source: cost for 180 metre)</t>
        </is>
      </c>
    </row>
    <row r="196">
      <c r="A196" s="5" t="inlineStr">
        <is>
          <t>Code</t>
        </is>
      </c>
      <c r="B196" s="5" t="inlineStr">
        <is>
          <t>Description</t>
        </is>
      </c>
      <c r="C196" s="5" t="inlineStr">
        <is>
          <t>Unit</t>
        </is>
      </c>
      <c r="D196" s="5" t="inlineStr">
        <is>
          <t>Quantity</t>
        </is>
      </c>
      <c r="E196" s="5" t="inlineStr">
        <is>
          <t>Rate (Rs.)</t>
        </is>
      </c>
      <c r="F196" s="5" t="inlineStr">
        <is>
          <t>Amount (Rs.)</t>
        </is>
      </c>
    </row>
    <row r="197">
      <c r="A197" s="13" t="inlineStr">
        <is>
          <t>REF#2.9.1</t>
        </is>
      </c>
      <c r="B197" s="14" t="inlineStr">
        <is>
          <t>Excavation ordinary rock (85.05 cum)</t>
        </is>
      </c>
      <c r="C197" s="13" t="inlineStr">
        <is>
          <t>cum</t>
        </is>
      </c>
      <c r="D197" s="15" t="n">
        <v>85.05</v>
      </c>
      <c r="E197" s="16" t="n">
        <v>448.15</v>
      </c>
      <c r="F197" s="16">
        <f>D197*E197</f>
        <v/>
      </c>
    </row>
    <row r="198">
      <c r="A198" s="13" t="inlineStr">
        <is>
          <t>REF#2.25</t>
        </is>
      </c>
      <c r="B198" s="14" t="inlineStr">
        <is>
          <t>Filling in trenches (85.05 cum)</t>
        </is>
      </c>
      <c r="C198" s="13" t="inlineStr">
        <is>
          <t>cum</t>
        </is>
      </c>
      <c r="D198" s="15" t="n">
        <v>85.05</v>
      </c>
      <c r="E198" s="16" t="n">
        <v>219.65</v>
      </c>
      <c r="F198" s="16">
        <f>D198*E198</f>
        <v/>
      </c>
    </row>
    <row r="199">
      <c r="A199" s="13" t="inlineStr">
        <is>
          <t>0114</t>
        </is>
      </c>
      <c r="B199" s="14" t="inlineStr">
        <is>
          <t>Beldar (extra for rock dressing)</t>
        </is>
      </c>
      <c r="C199" s="13" t="inlineStr">
        <is>
          <t>day</t>
        </is>
      </c>
      <c r="D199" s="15" t="n">
        <v>1.8</v>
      </c>
      <c r="E199" s="16" t="n">
        <v>558</v>
      </c>
      <c r="F199" s="16">
        <f>D199*E199</f>
        <v/>
      </c>
    </row>
    <row r="200">
      <c r="A200" s="17" t="inlineStr">
        <is>
          <t>Resource Total (Material + Labour + Machinery, as printed)</t>
        </is>
      </c>
      <c r="B200" s="18" t="n"/>
      <c r="C200" s="18" t="n"/>
      <c r="D200" s="18" t="n"/>
      <c r="E200" s="18" t="n"/>
      <c r="F200" s="19">
        <f>SUM(F197:F199)</f>
        <v/>
      </c>
    </row>
    <row r="201">
      <c r="A201" s="20" t="inlineStr">
        <is>
          <t>SAY (Rs.) — final DAR rate</t>
        </is>
      </c>
      <c r="B201" s="21" t="n"/>
      <c r="C201" s="21" t="n"/>
      <c r="D201" s="21" t="n"/>
      <c r="E201" s="21" t="n"/>
      <c r="F201" s="22" t="n">
        <v>323.85</v>
      </c>
    </row>
    <row r="203" ht="84" customHeight="1">
      <c r="A203" s="9" t="inlineStr">
        <is>
          <t>2.13.1.2</t>
        </is>
      </c>
      <c r="B203"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Ordinary rock : - Pipes, cables etc. exceeding 80 mm dia but not exceeding 300 mm dia</t>
        </is>
      </c>
      <c r="C203" s="11" t="n"/>
      <c r="D203" s="11" t="n"/>
      <c r="E203" s="11" t="n"/>
      <c r="F203" s="11" t="n"/>
    </row>
    <row r="204">
      <c r="A204" s="12" t="inlineStr">
        <is>
          <t>Rate basis: per metre  (source: cost for 80 metre)</t>
        </is>
      </c>
    </row>
    <row r="205">
      <c r="A205" s="5" t="inlineStr">
        <is>
          <t>Code</t>
        </is>
      </c>
      <c r="B205" s="5" t="inlineStr">
        <is>
          <t>Description</t>
        </is>
      </c>
      <c r="C205" s="5" t="inlineStr">
        <is>
          <t>Unit</t>
        </is>
      </c>
      <c r="D205" s="5" t="inlineStr">
        <is>
          <t>Quantity</t>
        </is>
      </c>
      <c r="E205" s="5" t="inlineStr">
        <is>
          <t>Rate (Rs.)</t>
        </is>
      </c>
      <c r="F205" s="5" t="inlineStr">
        <is>
          <t>Amount (Rs.)</t>
        </is>
      </c>
    </row>
    <row r="206">
      <c r="A206" s="13" t="inlineStr">
        <is>
          <t>REF#2.9.1</t>
        </is>
      </c>
      <c r="B206" s="14" t="inlineStr">
        <is>
          <t>Excavation ordinary rock (93.60 cum)</t>
        </is>
      </c>
      <c r="C206" s="13" t="inlineStr">
        <is>
          <t>cum</t>
        </is>
      </c>
      <c r="D206" s="15" t="n">
        <v>93.59999999999999</v>
      </c>
      <c r="E206" s="16" t="n">
        <v>448.15</v>
      </c>
      <c r="F206" s="16">
        <f>D206*E206</f>
        <v/>
      </c>
    </row>
    <row r="207">
      <c r="A207" s="13" t="inlineStr">
        <is>
          <t>REF#2.25</t>
        </is>
      </c>
      <c r="B207" s="14" t="inlineStr">
        <is>
          <t>Filling in trenches (93.60 cum)</t>
        </is>
      </c>
      <c r="C207" s="13" t="inlineStr">
        <is>
          <t>cum</t>
        </is>
      </c>
      <c r="D207" s="15" t="n">
        <v>93.59999999999999</v>
      </c>
      <c r="E207" s="16" t="n">
        <v>219.65</v>
      </c>
      <c r="F207" s="16">
        <f>D207*E207</f>
        <v/>
      </c>
    </row>
    <row r="208">
      <c r="A208" s="13" t="inlineStr">
        <is>
          <t>0114</t>
        </is>
      </c>
      <c r="B208" s="14" t="inlineStr">
        <is>
          <t>Beldar (extra dressing)</t>
        </is>
      </c>
      <c r="C208" s="13" t="inlineStr">
        <is>
          <t>day</t>
        </is>
      </c>
      <c r="D208" s="15" t="n">
        <v>1.8</v>
      </c>
      <c r="E208" s="16" t="n">
        <v>558</v>
      </c>
      <c r="F208" s="16">
        <f>D208*E208</f>
        <v/>
      </c>
    </row>
    <row r="209">
      <c r="A209" s="17" t="inlineStr">
        <is>
          <t>Resource Total (Material + Labour + Machinery, as printed)</t>
        </is>
      </c>
      <c r="B209" s="18" t="n"/>
      <c r="C209" s="18" t="n"/>
      <c r="D209" s="18" t="n"/>
      <c r="E209" s="18" t="n"/>
      <c r="F209" s="19">
        <f>SUM(F206:F208)</f>
        <v/>
      </c>
    </row>
    <row r="210">
      <c r="A210" s="20" t="inlineStr">
        <is>
          <t>SAY (Rs.) — final DAR rate</t>
        </is>
      </c>
      <c r="B210" s="21" t="n"/>
      <c r="C210" s="21" t="n"/>
      <c r="D210" s="21" t="n"/>
      <c r="E210" s="21" t="n"/>
      <c r="F210" s="22" t="n">
        <v>801.85</v>
      </c>
    </row>
    <row r="212" ht="84" customHeight="1">
      <c r="A212" s="9" t="inlineStr">
        <is>
          <t>2.13.1.3</t>
        </is>
      </c>
      <c r="B212"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Ordinary rock : - Pipes, cables exceeding 300 mm dia but not exceeding 600 mm dia</t>
        </is>
      </c>
      <c r="C212" s="11" t="n"/>
      <c r="D212" s="11" t="n"/>
      <c r="E212" s="11" t="n"/>
      <c r="F212" s="11" t="n"/>
    </row>
    <row r="213">
      <c r="A213" s="12" t="inlineStr">
        <is>
          <t>Rate basis: per metre  (source: cost for 30 metre)</t>
        </is>
      </c>
    </row>
    <row r="214">
      <c r="A214" s="5" t="inlineStr">
        <is>
          <t>Code</t>
        </is>
      </c>
      <c r="B214" s="5" t="inlineStr">
        <is>
          <t>Description</t>
        </is>
      </c>
      <c r="C214" s="5" t="inlineStr">
        <is>
          <t>Unit</t>
        </is>
      </c>
      <c r="D214" s="5" t="inlineStr">
        <is>
          <t>Quantity</t>
        </is>
      </c>
      <c r="E214" s="5" t="inlineStr">
        <is>
          <t>Rate (Rs.)</t>
        </is>
      </c>
      <c r="F214" s="5" t="inlineStr">
        <is>
          <t>Amount (Rs.)</t>
        </is>
      </c>
    </row>
    <row r="215">
      <c r="A215" s="13" t="inlineStr">
        <is>
          <t>REF#2.9.1</t>
        </is>
      </c>
      <c r="B215" s="14" t="inlineStr">
        <is>
          <t>Excavation ordinary rock (40.399 cum)</t>
        </is>
      </c>
      <c r="C215" s="13" t="inlineStr">
        <is>
          <t>cum</t>
        </is>
      </c>
      <c r="D215" s="15" t="n">
        <v>40.399</v>
      </c>
      <c r="E215" s="16" t="n">
        <v>448.15</v>
      </c>
      <c r="F215" s="16">
        <f>D215*E215</f>
        <v/>
      </c>
    </row>
    <row r="216">
      <c r="A216" s="13" t="inlineStr">
        <is>
          <t>REF#2.25</t>
        </is>
      </c>
      <c r="B216" s="14" t="inlineStr">
        <is>
          <t>Filling in trenches (40.399 cum)</t>
        </is>
      </c>
      <c r="C216" s="13" t="inlineStr">
        <is>
          <t>cum</t>
        </is>
      </c>
      <c r="D216" s="15" t="n">
        <v>40.399</v>
      </c>
      <c r="E216" s="16" t="n">
        <v>219.65</v>
      </c>
      <c r="F216" s="16">
        <f>D216*E216</f>
        <v/>
      </c>
    </row>
    <row r="217">
      <c r="A217" s="13" t="inlineStr">
        <is>
          <t>0114</t>
        </is>
      </c>
      <c r="B217" s="14" t="inlineStr">
        <is>
          <t>Beldar (extra dressing)</t>
        </is>
      </c>
      <c r="C217" s="13" t="inlineStr">
        <is>
          <t>day</t>
        </is>
      </c>
      <c r="D217" s="15" t="n">
        <v>0.9399999999999999</v>
      </c>
      <c r="E217" s="16" t="n">
        <v>558</v>
      </c>
      <c r="F217" s="16">
        <f>D217*E217</f>
        <v/>
      </c>
    </row>
    <row r="218">
      <c r="A218" s="17" t="inlineStr">
        <is>
          <t>Resource Total (Material + Labour + Machinery, as printed)</t>
        </is>
      </c>
      <c r="B218" s="18" t="n"/>
      <c r="C218" s="18" t="n"/>
      <c r="D218" s="18" t="n"/>
      <c r="E218" s="18" t="n"/>
      <c r="F218" s="19">
        <f>SUM(F215:F217)</f>
        <v/>
      </c>
    </row>
    <row r="219">
      <c r="A219" s="20" t="inlineStr">
        <is>
          <t>SAY (Rs.) — final DAR rate</t>
        </is>
      </c>
      <c r="B219" s="21" t="n"/>
      <c r="C219" s="21" t="n"/>
      <c r="D219" s="21" t="n"/>
      <c r="E219" s="21" t="n"/>
      <c r="F219" s="22" t="n">
        <v>922.65</v>
      </c>
    </row>
    <row r="221" ht="84" customHeight="1">
      <c r="A221" s="9" t="inlineStr">
        <is>
          <t>2.13.2.1</t>
        </is>
      </c>
      <c r="B221"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Hard rock (requiring blasting) - Pipes, cables etc. not exceeding 80 mm dia</t>
        </is>
      </c>
      <c r="C221" s="11" t="n"/>
      <c r="D221" s="11" t="n"/>
      <c r="E221" s="11" t="n"/>
      <c r="F221" s="11" t="n"/>
    </row>
    <row r="222">
      <c r="A222" s="12" t="inlineStr">
        <is>
          <t>Rate basis: per metre  (source: cost for 180 metre)</t>
        </is>
      </c>
    </row>
    <row r="223">
      <c r="A223" s="5" t="inlineStr">
        <is>
          <t>Code</t>
        </is>
      </c>
      <c r="B223" s="5" t="inlineStr">
        <is>
          <t>Description</t>
        </is>
      </c>
      <c r="C223" s="5" t="inlineStr">
        <is>
          <t>Unit</t>
        </is>
      </c>
      <c r="D223" s="5" t="inlineStr">
        <is>
          <t>Quantity</t>
        </is>
      </c>
      <c r="E223" s="5" t="inlineStr">
        <is>
          <t>Rate (Rs.)</t>
        </is>
      </c>
      <c r="F223" s="5" t="inlineStr">
        <is>
          <t>Amount (Rs.)</t>
        </is>
      </c>
    </row>
    <row r="224">
      <c r="A224" s="13" t="inlineStr">
        <is>
          <t>REF#2.9.2</t>
        </is>
      </c>
      <c r="B224" s="14" t="inlineStr">
        <is>
          <t>Excavation hard rock blasting (85.05 cum)</t>
        </is>
      </c>
      <c r="C224" s="13" t="inlineStr">
        <is>
          <t>cum</t>
        </is>
      </c>
      <c r="D224" s="15" t="n">
        <v>85.05</v>
      </c>
      <c r="E224" s="16" t="n">
        <v>729</v>
      </c>
      <c r="F224" s="16">
        <f>D224*E224</f>
        <v/>
      </c>
    </row>
    <row r="225">
      <c r="A225" s="13" t="inlineStr">
        <is>
          <t>REF#2.25</t>
        </is>
      </c>
      <c r="B225" s="14" t="inlineStr">
        <is>
          <t>Filling in trenches (85.05 cum)</t>
        </is>
      </c>
      <c r="C225" s="13" t="inlineStr">
        <is>
          <t>cum</t>
        </is>
      </c>
      <c r="D225" s="15" t="n">
        <v>85.05</v>
      </c>
      <c r="E225" s="16" t="n">
        <v>219.65</v>
      </c>
      <c r="F225" s="16">
        <f>D225*E225</f>
        <v/>
      </c>
    </row>
    <row r="226">
      <c r="A226" s="13" t="inlineStr">
        <is>
          <t>0114</t>
        </is>
      </c>
      <c r="B226" s="14" t="inlineStr">
        <is>
          <t>Beldar (rock ramming)</t>
        </is>
      </c>
      <c r="C226" s="13" t="inlineStr">
        <is>
          <t>day</t>
        </is>
      </c>
      <c r="D226" s="15" t="n">
        <v>1.8</v>
      </c>
      <c r="E226" s="16" t="n">
        <v>558</v>
      </c>
      <c r="F226" s="16">
        <f>D226*E226</f>
        <v/>
      </c>
    </row>
    <row r="227">
      <c r="A227" s="17" t="inlineStr">
        <is>
          <t>Resource Total (Material + Labour + Machinery, as printed)</t>
        </is>
      </c>
      <c r="B227" s="18" t="n"/>
      <c r="C227" s="18" t="n"/>
      <c r="D227" s="18" t="n"/>
      <c r="E227" s="18" t="n"/>
      <c r="F227" s="19">
        <f>SUM(F224:F226)</f>
        <v/>
      </c>
    </row>
    <row r="228">
      <c r="A228" s="20" t="inlineStr">
        <is>
          <t>SAY (Rs.) — final DAR rate</t>
        </is>
      </c>
      <c r="B228" s="21" t="n"/>
      <c r="C228" s="21" t="n"/>
      <c r="D228" s="21" t="n"/>
      <c r="E228" s="21" t="n"/>
      <c r="F228" s="22" t="n">
        <v>458.6</v>
      </c>
    </row>
    <row r="230" ht="84" customHeight="1">
      <c r="A230" s="9" t="inlineStr">
        <is>
          <t>2.13.2.2</t>
        </is>
      </c>
      <c r="B230"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Hard rock (requiring blasting) - Pipes, cables etc. exceeding 80 mm dia but not exceeding 300 mm dia</t>
        </is>
      </c>
      <c r="C230" s="11" t="n"/>
      <c r="D230" s="11" t="n"/>
      <c r="E230" s="11" t="n"/>
      <c r="F230" s="11" t="n"/>
    </row>
    <row r="231">
      <c r="A231" s="12" t="inlineStr">
        <is>
          <t>Rate basis: per metre  (source: cost for 80 metre)</t>
        </is>
      </c>
    </row>
    <row r="232">
      <c r="A232" s="5" t="inlineStr">
        <is>
          <t>Code</t>
        </is>
      </c>
      <c r="B232" s="5" t="inlineStr">
        <is>
          <t>Description</t>
        </is>
      </c>
      <c r="C232" s="5" t="inlineStr">
        <is>
          <t>Unit</t>
        </is>
      </c>
      <c r="D232" s="5" t="inlineStr">
        <is>
          <t>Quantity</t>
        </is>
      </c>
      <c r="E232" s="5" t="inlineStr">
        <is>
          <t>Rate (Rs.)</t>
        </is>
      </c>
      <c r="F232" s="5" t="inlineStr">
        <is>
          <t>Amount (Rs.)</t>
        </is>
      </c>
    </row>
    <row r="233">
      <c r="A233" s="13" t="inlineStr">
        <is>
          <t>REF#2.9.2</t>
        </is>
      </c>
      <c r="B233" s="14" t="inlineStr">
        <is>
          <t>Excavation hard rock blasting (93.60 cum)</t>
        </is>
      </c>
      <c r="C233" s="13" t="inlineStr">
        <is>
          <t>cum</t>
        </is>
      </c>
      <c r="D233" s="15" t="n">
        <v>93.59999999999999</v>
      </c>
      <c r="E233" s="16" t="n">
        <v>729</v>
      </c>
      <c r="F233" s="16">
        <f>D233*E233</f>
        <v/>
      </c>
    </row>
    <row r="234">
      <c r="A234" s="13" t="inlineStr">
        <is>
          <t>REF#2.25</t>
        </is>
      </c>
      <c r="B234" s="14" t="inlineStr">
        <is>
          <t>Filling in trenches (93.60 cum)</t>
        </is>
      </c>
      <c r="C234" s="13" t="inlineStr">
        <is>
          <t>cum</t>
        </is>
      </c>
      <c r="D234" s="15" t="n">
        <v>93.59999999999999</v>
      </c>
      <c r="E234" s="16" t="n">
        <v>219.65</v>
      </c>
      <c r="F234" s="16">
        <f>D234*E234</f>
        <v/>
      </c>
    </row>
    <row r="235">
      <c r="A235" s="13" t="inlineStr">
        <is>
          <t>0114</t>
        </is>
      </c>
      <c r="B235" s="14" t="inlineStr">
        <is>
          <t>Beldar (rock ramming)</t>
        </is>
      </c>
      <c r="C235" s="13" t="inlineStr">
        <is>
          <t>day</t>
        </is>
      </c>
      <c r="D235" s="15" t="n">
        <v>1.8</v>
      </c>
      <c r="E235" s="16" t="n">
        <v>558</v>
      </c>
      <c r="F235" s="16">
        <f>D235*E235</f>
        <v/>
      </c>
    </row>
    <row r="236">
      <c r="A236" s="17" t="inlineStr">
        <is>
          <t>Resource Total (Material + Labour + Machinery, as printed)</t>
        </is>
      </c>
      <c r="B236" s="18" t="n"/>
      <c r="C236" s="18" t="n"/>
      <c r="D236" s="18" t="n"/>
      <c r="E236" s="18" t="n"/>
      <c r="F236" s="19">
        <f>SUM(F233:F235)</f>
        <v/>
      </c>
    </row>
    <row r="237">
      <c r="A237" s="20" t="inlineStr">
        <is>
          <t>SAY (Rs.) — final DAR rate</t>
        </is>
      </c>
      <c r="B237" s="21" t="n"/>
      <c r="C237" s="21" t="n"/>
      <c r="D237" s="21" t="n"/>
      <c r="E237" s="21" t="n"/>
      <c r="F237" s="22" t="n">
        <v>255.6</v>
      </c>
    </row>
    <row r="239" ht="84" customHeight="1">
      <c r="A239" s="9" t="inlineStr">
        <is>
          <t>2.13.2.3</t>
        </is>
      </c>
      <c r="B239"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Hard rock (requiring blasting) - Pipes, cables etc. exceeding 300 mm dia but not exceeding 600 mm dia</t>
        </is>
      </c>
      <c r="C239" s="11" t="n"/>
      <c r="D239" s="11" t="n"/>
      <c r="E239" s="11" t="n"/>
      <c r="F239" s="11" t="n"/>
    </row>
    <row r="240">
      <c r="A240" s="12" t="inlineStr">
        <is>
          <t>Rate basis: per metre  (source: cost for 30 metre)</t>
        </is>
      </c>
    </row>
    <row r="241">
      <c r="A241" s="5" t="inlineStr">
        <is>
          <t>Code</t>
        </is>
      </c>
      <c r="B241" s="5" t="inlineStr">
        <is>
          <t>Description</t>
        </is>
      </c>
      <c r="C241" s="5" t="inlineStr">
        <is>
          <t>Unit</t>
        </is>
      </c>
      <c r="D241" s="5" t="inlineStr">
        <is>
          <t>Quantity</t>
        </is>
      </c>
      <c r="E241" s="5" t="inlineStr">
        <is>
          <t>Rate (Rs.)</t>
        </is>
      </c>
      <c r="F241" s="5" t="inlineStr">
        <is>
          <t>Amount (Rs.)</t>
        </is>
      </c>
    </row>
    <row r="242">
      <c r="A242" s="13" t="inlineStr">
        <is>
          <t>REF#2.9.2</t>
        </is>
      </c>
      <c r="B242" s="14" t="inlineStr">
        <is>
          <t>Excavation hard rock blasting (40.399 cum)</t>
        </is>
      </c>
      <c r="C242" s="13" t="inlineStr">
        <is>
          <t>cum</t>
        </is>
      </c>
      <c r="D242" s="15" t="n">
        <v>40.399</v>
      </c>
      <c r="E242" s="16" t="n">
        <v>729</v>
      </c>
      <c r="F242" s="16">
        <f>D242*E242</f>
        <v/>
      </c>
    </row>
    <row r="243">
      <c r="A243" s="13" t="inlineStr">
        <is>
          <t>REF#2.25</t>
        </is>
      </c>
      <c r="B243" s="14" t="inlineStr">
        <is>
          <t>Filling in trenches (40.399 cum)</t>
        </is>
      </c>
      <c r="C243" s="13" t="inlineStr">
        <is>
          <t>cum</t>
        </is>
      </c>
      <c r="D243" s="15" t="n">
        <v>40.399</v>
      </c>
      <c r="E243" s="16" t="n">
        <v>219.65</v>
      </c>
      <c r="F243" s="16">
        <f>D243*E243</f>
        <v/>
      </c>
    </row>
    <row r="244">
      <c r="A244" s="13" t="inlineStr">
        <is>
          <t>0114</t>
        </is>
      </c>
      <c r="B244" s="14" t="inlineStr">
        <is>
          <t>Beldar (rock ramming)</t>
        </is>
      </c>
      <c r="C244" s="13" t="inlineStr">
        <is>
          <t>day</t>
        </is>
      </c>
      <c r="D244" s="15" t="n">
        <v>1.17</v>
      </c>
      <c r="E244" s="16" t="n">
        <v>558</v>
      </c>
      <c r="F244" s="16">
        <f>D244*E244</f>
        <v/>
      </c>
    </row>
    <row r="245">
      <c r="A245" s="17" t="inlineStr">
        <is>
          <t>Resource Total (Material + Labour + Machinery, as printed)</t>
        </is>
      </c>
      <c r="B245" s="18" t="n"/>
      <c r="C245" s="18" t="n"/>
      <c r="D245" s="18" t="n"/>
      <c r="E245" s="18" t="n"/>
      <c r="F245" s="19">
        <f>SUM(F242:F244)</f>
        <v/>
      </c>
    </row>
    <row r="246">
      <c r="A246" s="20" t="inlineStr">
        <is>
          <t>SAY (Rs.) — final DAR rate</t>
        </is>
      </c>
      <c r="B246" s="21" t="n"/>
      <c r="C246" s="21" t="n"/>
      <c r="D246" s="21" t="n"/>
      <c r="E246" s="21" t="n"/>
      <c r="F246" s="22" t="n">
        <v>1306.6</v>
      </c>
    </row>
    <row r="248" ht="84" customHeight="1">
      <c r="A248" s="9" t="inlineStr">
        <is>
          <t>2.13.3.1</t>
        </is>
      </c>
      <c r="B248"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Hard rock (blasting prohibited) - Pipes, cables etc. not exceeding 80 mm dia</t>
        </is>
      </c>
      <c r="C248" s="11" t="n"/>
      <c r="D248" s="11" t="n"/>
      <c r="E248" s="11" t="n"/>
      <c r="F248" s="11" t="n"/>
    </row>
    <row r="249">
      <c r="A249" s="12" t="inlineStr">
        <is>
          <t>Rate basis: per metre  (source: cost for 180 metre)</t>
        </is>
      </c>
    </row>
    <row r="250">
      <c r="A250" s="5" t="inlineStr">
        <is>
          <t>Code</t>
        </is>
      </c>
      <c r="B250" s="5" t="inlineStr">
        <is>
          <t>Description</t>
        </is>
      </c>
      <c r="C250" s="5" t="inlineStr">
        <is>
          <t>Unit</t>
        </is>
      </c>
      <c r="D250" s="5" t="inlineStr">
        <is>
          <t>Quantity</t>
        </is>
      </c>
      <c r="E250" s="5" t="inlineStr">
        <is>
          <t>Rate (Rs.)</t>
        </is>
      </c>
      <c r="F250" s="5" t="inlineStr">
        <is>
          <t>Amount (Rs.)</t>
        </is>
      </c>
    </row>
    <row r="251">
      <c r="A251" s="13" t="inlineStr">
        <is>
          <t>REF#2.9.3</t>
        </is>
      </c>
      <c r="B251" s="14" t="inlineStr">
        <is>
          <t>Excavation hard rock no blasting (85.05 cum)</t>
        </is>
      </c>
      <c r="C251" s="13" t="inlineStr">
        <is>
          <t>cum</t>
        </is>
      </c>
      <c r="D251" s="15" t="n">
        <v>85.05</v>
      </c>
      <c r="E251" s="16" t="n">
        <v>1080.55</v>
      </c>
      <c r="F251" s="16">
        <f>D251*E251</f>
        <v/>
      </c>
    </row>
    <row r="252">
      <c r="A252" s="13" t="inlineStr">
        <is>
          <t>REF#2.25</t>
        </is>
      </c>
      <c r="B252" s="14" t="inlineStr">
        <is>
          <t>Filling in trenches (85.05 cum)</t>
        </is>
      </c>
      <c r="C252" s="13" t="inlineStr">
        <is>
          <t>cum</t>
        </is>
      </c>
      <c r="D252" s="15" t="n">
        <v>85.05</v>
      </c>
      <c r="E252" s="16" t="n">
        <v>219.65</v>
      </c>
      <c r="F252" s="16">
        <f>D252*E252</f>
        <v/>
      </c>
    </row>
    <row r="253">
      <c r="A253" s="13" t="inlineStr">
        <is>
          <t>0114</t>
        </is>
      </c>
      <c r="B253" s="14" t="inlineStr">
        <is>
          <t>Beldar (rock ramming)</t>
        </is>
      </c>
      <c r="C253" s="13" t="inlineStr">
        <is>
          <t>day</t>
        </is>
      </c>
      <c r="D253" s="15" t="n">
        <v>2.5</v>
      </c>
      <c r="E253" s="16" t="n">
        <v>558</v>
      </c>
      <c r="F253" s="16">
        <f>D253*E253</f>
        <v/>
      </c>
    </row>
    <row r="254">
      <c r="A254" s="17" t="inlineStr">
        <is>
          <t>Resource Total (Material + Labour + Machinery, as printed)</t>
        </is>
      </c>
      <c r="B254" s="18" t="n"/>
      <c r="C254" s="18" t="n"/>
      <c r="D254" s="18" t="n"/>
      <c r="E254" s="18" t="n"/>
      <c r="F254" s="19">
        <f>SUM(F251:F253)</f>
        <v/>
      </c>
    </row>
    <row r="255">
      <c r="A255" s="20" t="inlineStr">
        <is>
          <t>SAY (Rs.) — final DAR rate</t>
        </is>
      </c>
      <c r="B255" s="21" t="n"/>
      <c r="C255" s="21" t="n"/>
      <c r="D255" s="21" t="n"/>
      <c r="E255" s="21" t="n"/>
      <c r="F255" s="22" t="n">
        <v>726.65</v>
      </c>
    </row>
    <row r="257" ht="84" customHeight="1">
      <c r="A257" s="9" t="inlineStr">
        <is>
          <t>2.13.3.2</t>
        </is>
      </c>
      <c r="B257"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Hard rock (blasting prohibited) - Pipes, cables etc. exceeding 80 mm dia but not exceeding 300 mm dia</t>
        </is>
      </c>
      <c r="C257" s="11" t="n"/>
      <c r="D257" s="11" t="n"/>
      <c r="E257" s="11" t="n"/>
      <c r="F257" s="11" t="n"/>
    </row>
    <row r="258">
      <c r="A258" s="12" t="inlineStr">
        <is>
          <t>Rate basis: per metre  (source: cost for 80 metre)</t>
        </is>
      </c>
    </row>
    <row r="259">
      <c r="A259" s="5" t="inlineStr">
        <is>
          <t>Code</t>
        </is>
      </c>
      <c r="B259" s="5" t="inlineStr">
        <is>
          <t>Description</t>
        </is>
      </c>
      <c r="C259" s="5" t="inlineStr">
        <is>
          <t>Unit</t>
        </is>
      </c>
      <c r="D259" s="5" t="inlineStr">
        <is>
          <t>Quantity</t>
        </is>
      </c>
      <c r="E259" s="5" t="inlineStr">
        <is>
          <t>Rate (Rs.)</t>
        </is>
      </c>
      <c r="F259" s="5" t="inlineStr">
        <is>
          <t>Amount (Rs.)</t>
        </is>
      </c>
    </row>
    <row r="260">
      <c r="A260" s="13" t="inlineStr">
        <is>
          <t>REF#2.9.3</t>
        </is>
      </c>
      <c r="B260" s="14" t="inlineStr">
        <is>
          <t>Excavation hard rock no blasting (93.60 cum)</t>
        </is>
      </c>
      <c r="C260" s="13" t="inlineStr">
        <is>
          <t>cum</t>
        </is>
      </c>
      <c r="D260" s="15" t="n">
        <v>93.59999999999999</v>
      </c>
      <c r="E260" s="16" t="n">
        <v>1080.55</v>
      </c>
      <c r="F260" s="16">
        <f>D260*E260</f>
        <v/>
      </c>
    </row>
    <row r="261">
      <c r="A261" s="13" t="inlineStr">
        <is>
          <t>REF#2.25</t>
        </is>
      </c>
      <c r="B261" s="14" t="inlineStr">
        <is>
          <t>Filling in trenches (93.60 cum)</t>
        </is>
      </c>
      <c r="C261" s="13" t="inlineStr">
        <is>
          <t>cum</t>
        </is>
      </c>
      <c r="D261" s="15" t="n">
        <v>93.59999999999999</v>
      </c>
      <c r="E261" s="16" t="n">
        <v>219.65</v>
      </c>
      <c r="F261" s="16">
        <f>D261*E261</f>
        <v/>
      </c>
    </row>
    <row r="262">
      <c r="A262" s="13" t="inlineStr">
        <is>
          <t>0114</t>
        </is>
      </c>
      <c r="B262" s="14" t="inlineStr">
        <is>
          <t>Beldar (rock ramming)</t>
        </is>
      </c>
      <c r="C262" s="13" t="inlineStr">
        <is>
          <t>day</t>
        </is>
      </c>
      <c r="D262" s="15" t="n">
        <v>2.5</v>
      </c>
      <c r="E262" s="16" t="n">
        <v>558</v>
      </c>
      <c r="F262" s="16">
        <f>D262*E262</f>
        <v/>
      </c>
    </row>
    <row r="263">
      <c r="A263" s="17" t="inlineStr">
        <is>
          <t>Resource Total (Material + Labour + Machinery, as printed)</t>
        </is>
      </c>
      <c r="B263" s="18" t="n"/>
      <c r="C263" s="18" t="n"/>
      <c r="D263" s="18" t="n"/>
      <c r="E263" s="18" t="n"/>
      <c r="F263" s="19">
        <f>SUM(F260:F262)</f>
        <v/>
      </c>
    </row>
    <row r="264">
      <c r="A264" s="20" t="inlineStr">
        <is>
          <t>SAY (Rs.) — final DAR rate</t>
        </is>
      </c>
      <c r="B264" s="21" t="n"/>
      <c r="C264" s="21" t="n"/>
      <c r="D264" s="21" t="n"/>
      <c r="E264" s="21" t="n"/>
      <c r="F264" s="22" t="n">
        <v>1546.9</v>
      </c>
    </row>
    <row r="266" ht="84" customHeight="1">
      <c r="A266" s="9" t="inlineStr">
        <is>
          <t>2.13.3.3</t>
        </is>
      </c>
      <c r="B266" s="10"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 Hard rock (blasting prohibited) - Pipes, cables etc. exceeding 300 mm dia but not exceeding 600 mm dia</t>
        </is>
      </c>
      <c r="C266" s="11" t="n"/>
      <c r="D266" s="11" t="n"/>
      <c r="E266" s="11" t="n"/>
      <c r="F266" s="11" t="n"/>
    </row>
    <row r="267">
      <c r="A267" s="12" t="inlineStr">
        <is>
          <t>Rate basis: per metre  (source: cost for 30 metre)</t>
        </is>
      </c>
    </row>
    <row r="268">
      <c r="A268" s="5" t="inlineStr">
        <is>
          <t>Code</t>
        </is>
      </c>
      <c r="B268" s="5" t="inlineStr">
        <is>
          <t>Description</t>
        </is>
      </c>
      <c r="C268" s="5" t="inlineStr">
        <is>
          <t>Unit</t>
        </is>
      </c>
      <c r="D268" s="5" t="inlineStr">
        <is>
          <t>Quantity</t>
        </is>
      </c>
      <c r="E268" s="5" t="inlineStr">
        <is>
          <t>Rate (Rs.)</t>
        </is>
      </c>
      <c r="F268" s="5" t="inlineStr">
        <is>
          <t>Amount (Rs.)</t>
        </is>
      </c>
    </row>
    <row r="269">
      <c r="A269" s="13" t="inlineStr">
        <is>
          <t>REF#2.9.3</t>
        </is>
      </c>
      <c r="B269" s="14" t="inlineStr">
        <is>
          <t>Excavation hard rock no blasting (40.399 cum)</t>
        </is>
      </c>
      <c r="C269" s="13" t="inlineStr">
        <is>
          <t>cum</t>
        </is>
      </c>
      <c r="D269" s="15" t="n">
        <v>40.399</v>
      </c>
      <c r="E269" s="16" t="n">
        <v>1080.55</v>
      </c>
      <c r="F269" s="16">
        <f>D269*E269</f>
        <v/>
      </c>
    </row>
    <row r="270">
      <c r="A270" s="13" t="inlineStr">
        <is>
          <t>REF#2.25</t>
        </is>
      </c>
      <c r="B270" s="14" t="inlineStr">
        <is>
          <t>Filling in trenches (40.399 cum)</t>
        </is>
      </c>
      <c r="C270" s="13" t="inlineStr">
        <is>
          <t>cum</t>
        </is>
      </c>
      <c r="D270" s="15" t="n">
        <v>40.399</v>
      </c>
      <c r="E270" s="16" t="n">
        <v>219.65</v>
      </c>
      <c r="F270" s="16">
        <f>D270*E270</f>
        <v/>
      </c>
    </row>
    <row r="271">
      <c r="A271" s="13" t="inlineStr">
        <is>
          <t>0114</t>
        </is>
      </c>
      <c r="B271" s="14" t="inlineStr">
        <is>
          <t>Beldar (rock ramming)</t>
        </is>
      </c>
      <c r="C271" s="13" t="inlineStr">
        <is>
          <t>day</t>
        </is>
      </c>
      <c r="D271" s="15" t="n">
        <v>2.5</v>
      </c>
      <c r="E271" s="16" t="n">
        <v>558</v>
      </c>
      <c r="F271" s="16">
        <f>D271*E271</f>
        <v/>
      </c>
    </row>
    <row r="272">
      <c r="A272" s="17" t="inlineStr">
        <is>
          <t>Resource Total (Material + Labour + Machinery, as printed)</t>
        </is>
      </c>
      <c r="B272" s="18" t="n"/>
      <c r="C272" s="18" t="n"/>
      <c r="D272" s="18" t="n"/>
      <c r="E272" s="18" t="n"/>
      <c r="F272" s="19">
        <f>SUM(F269:F271)</f>
        <v/>
      </c>
    </row>
    <row r="273">
      <c r="A273" s="20" t="inlineStr">
        <is>
          <t>SAY (Rs.) — final DAR rate</t>
        </is>
      </c>
      <c r="B273" s="21" t="n"/>
      <c r="C273" s="21" t="n"/>
      <c r="D273" s="21" t="n"/>
      <c r="E273" s="21" t="n"/>
      <c r="F273" s="22" t="n">
        <v>1780</v>
      </c>
    </row>
    <row r="275" ht="42" customHeight="1">
      <c r="A275" s="9" t="inlineStr">
        <is>
          <t>2.14</t>
        </is>
      </c>
      <c r="B275" s="10" t="inlineStr">
        <is>
          <t>Extra for excavating trenches for pipes, cables, etc. in ordinary/hard rock exceeding 1.5 m in depth but not exceeding 3 m. (Rate is over corresponding basic item for depth upto 1.5 metre)</t>
        </is>
      </c>
      <c r="C275" s="11" t="n"/>
      <c r="D275" s="11" t="n"/>
      <c r="E275" s="11" t="n"/>
      <c r="F275" s="11" t="n"/>
    </row>
    <row r="276">
      <c r="A276" s="12" t="inlineStr">
        <is>
          <t>Rate basis: per %  (source: cost for 1 %)</t>
        </is>
      </c>
    </row>
    <row r="277">
      <c r="A277" s="23" t="inlineStr">
        <is>
          <t>Percentage-based item (no resource breakdown in the source document).</t>
        </is>
      </c>
      <c r="B277" s="24" t="n"/>
      <c r="C277" s="24" t="n"/>
      <c r="D277" s="24" t="n"/>
      <c r="E277" s="24" t="n"/>
      <c r="F277" s="25" t="n">
        <v>1.0375</v>
      </c>
    </row>
    <row r="279" ht="42" customHeight="1">
      <c r="A279" s="9" t="inlineStr">
        <is>
          <t>2.15</t>
        </is>
      </c>
      <c r="B279" s="10" t="inlineStr">
        <is>
          <t>Extra for excavating trenches for pipes, cables, etc. in ordinary/hard rock exceeding 3m in depth but not exceeding 4.5 m. (Rate is over correspondingbasic item for depth upto 1.5 metre)</t>
        </is>
      </c>
      <c r="C279" s="11" t="n"/>
      <c r="D279" s="11" t="n"/>
      <c r="E279" s="11" t="n"/>
      <c r="F279" s="11" t="n"/>
    </row>
    <row r="280">
      <c r="A280" s="12" t="inlineStr">
        <is>
          <t>Rate basis: per %  (source: cost for 1 %)</t>
        </is>
      </c>
    </row>
    <row r="281">
      <c r="A281" s="23" t="inlineStr">
        <is>
          <t>Percentage-based item (no resource breakdown in the source document).</t>
        </is>
      </c>
      <c r="B281" s="24" t="n"/>
      <c r="C281" s="24" t="n"/>
      <c r="D281" s="24" t="n"/>
      <c r="E281" s="24" t="n"/>
      <c r="F281" s="25" t="n">
        <v>2.5615</v>
      </c>
    </row>
    <row r="283" ht="42" customHeight="1">
      <c r="A283" s="9" t="inlineStr">
        <is>
          <t>2.16.1</t>
        </is>
      </c>
      <c r="B283" s="10" t="inlineStr">
        <is>
          <t>Close timbering in trenches including strutting, shoring and packing cavities (wherever required) complete. (Measurements to be taken of the face area timbered). - Depth not exceeding 1.5 m</t>
        </is>
      </c>
      <c r="C283" s="11" t="n"/>
      <c r="D283" s="11" t="n"/>
      <c r="E283" s="11" t="n"/>
      <c r="F283" s="11" t="n"/>
    </row>
    <row r="284">
      <c r="A284" s="12" t="inlineStr">
        <is>
          <t>Rate basis: per sqm  (source: cost for 90 sqm)</t>
        </is>
      </c>
    </row>
    <row r="285">
      <c r="A285" s="5" t="inlineStr">
        <is>
          <t>Code</t>
        </is>
      </c>
      <c r="B285" s="5" t="inlineStr">
        <is>
          <t>Description</t>
        </is>
      </c>
      <c r="C285" s="5" t="inlineStr">
        <is>
          <t>Unit</t>
        </is>
      </c>
      <c r="D285" s="5" t="inlineStr">
        <is>
          <t>Quantity</t>
        </is>
      </c>
      <c r="E285" s="5" t="inlineStr">
        <is>
          <t>Rate (Rs.)</t>
        </is>
      </c>
      <c r="F285" s="5" t="inlineStr">
        <is>
          <t>Amount (Rs.)</t>
        </is>
      </c>
    </row>
    <row r="286">
      <c r="A286" s="13" t="inlineStr">
        <is>
          <t>1198</t>
        </is>
      </c>
      <c r="B286" s="14" t="inlineStr">
        <is>
          <t>Second class kail wood in planks</t>
        </is>
      </c>
      <c r="C286" s="13" t="inlineStr">
        <is>
          <t>10 cudm</t>
        </is>
      </c>
      <c r="D286" s="15" t="n">
        <v>21.375</v>
      </c>
      <c r="E286" s="16" t="n">
        <v>260</v>
      </c>
      <c r="F286" s="16">
        <f>D286*E286</f>
        <v/>
      </c>
    </row>
    <row r="287">
      <c r="A287" s="13" t="inlineStr">
        <is>
          <t>1197</t>
        </is>
      </c>
      <c r="B287" s="14" t="inlineStr">
        <is>
          <t>Second class kail wood in scantling</t>
        </is>
      </c>
      <c r="C287" s="13" t="inlineStr">
        <is>
          <t>10 cudm</t>
        </is>
      </c>
      <c r="D287" s="15" t="n">
        <v>7.5</v>
      </c>
      <c r="E287" s="16" t="n">
        <v>260</v>
      </c>
      <c r="F287" s="16">
        <f>D287*E287</f>
        <v/>
      </c>
    </row>
    <row r="288">
      <c r="A288" s="13" t="inlineStr">
        <is>
          <t>0302</t>
        </is>
      </c>
      <c r="B288" s="14" t="inlineStr">
        <is>
          <t>Safeda ballies 125 mm diameter and 1.5m long</t>
        </is>
      </c>
      <c r="C288" s="13" t="inlineStr">
        <is>
          <t>metre</t>
        </is>
      </c>
      <c r="D288" s="15" t="n">
        <v>3.1875</v>
      </c>
      <c r="E288" s="16" t="n">
        <v>40</v>
      </c>
      <c r="F288" s="16">
        <f>D288*E288</f>
        <v/>
      </c>
    </row>
    <row r="289">
      <c r="A289" s="13" t="inlineStr">
        <is>
          <t>2204</t>
        </is>
      </c>
      <c r="B289" s="14" t="inlineStr">
        <is>
          <t>Carriage of Timber</t>
        </is>
      </c>
      <c r="C289" s="13" t="inlineStr">
        <is>
          <t>cum</t>
        </is>
      </c>
      <c r="D289" s="15" t="n">
        <v>1.3125</v>
      </c>
      <c r="E289" s="16" t="n">
        <v>118.59</v>
      </c>
      <c r="F289" s="16">
        <f>D289*E289</f>
        <v/>
      </c>
    </row>
    <row r="290">
      <c r="A290" s="13" t="inlineStr">
        <is>
          <t>0112</t>
        </is>
      </c>
      <c r="B290" s="14" t="inlineStr">
        <is>
          <t>Carpenter 2nd class</t>
        </is>
      </c>
      <c r="C290" s="13" t="inlineStr">
        <is>
          <t>day</t>
        </is>
      </c>
      <c r="D290" s="15" t="n">
        <v>0.5</v>
      </c>
      <c r="E290" s="16" t="n">
        <v>679</v>
      </c>
      <c r="F290" s="16">
        <f>D290*E290</f>
        <v/>
      </c>
    </row>
    <row r="291">
      <c r="A291" s="13" t="inlineStr">
        <is>
          <t>0114</t>
        </is>
      </c>
      <c r="B291" s="14" t="inlineStr">
        <is>
          <t>Beldar</t>
        </is>
      </c>
      <c r="C291" s="13" t="inlineStr">
        <is>
          <t>day</t>
        </is>
      </c>
      <c r="D291" s="15" t="n">
        <v>1</v>
      </c>
      <c r="E291" s="16" t="n">
        <v>558</v>
      </c>
      <c r="F291" s="16">
        <f>D291*E291</f>
        <v/>
      </c>
    </row>
    <row r="292">
      <c r="A292" s="13" t="inlineStr">
        <is>
          <t>9999</t>
        </is>
      </c>
      <c r="B292" s="14" t="inlineStr">
        <is>
          <t>Sundries</t>
        </is>
      </c>
      <c r="C292" s="13" t="inlineStr">
        <is>
          <t>LS</t>
        </is>
      </c>
      <c r="D292" s="15" t="n">
        <v>26.91</v>
      </c>
      <c r="E292" s="16" t="n">
        <v>2</v>
      </c>
      <c r="F292" s="16">
        <f>D292*E292</f>
        <v/>
      </c>
    </row>
    <row r="293">
      <c r="A293" s="17" t="inlineStr">
        <is>
          <t>Resource Total (Material + Labour + Machinery, as printed)</t>
        </is>
      </c>
      <c r="B293" s="18" t="n"/>
      <c r="C293" s="18" t="n"/>
      <c r="D293" s="18" t="n"/>
      <c r="E293" s="18" t="n"/>
      <c r="F293" s="19">
        <f>SUM(F286:F292)</f>
        <v/>
      </c>
    </row>
    <row r="294">
      <c r="A294" s="20" t="inlineStr">
        <is>
          <t>SAY (Rs.) — final DAR rate</t>
        </is>
      </c>
      <c r="B294" s="21" t="n"/>
      <c r="C294" s="21" t="n"/>
      <c r="D294" s="21" t="n"/>
      <c r="E294" s="21" t="n"/>
      <c r="F294" s="22" t="n">
        <v>129.95</v>
      </c>
    </row>
    <row r="296" ht="42" customHeight="1">
      <c r="A296" s="9" t="inlineStr">
        <is>
          <t>2.16.2</t>
        </is>
      </c>
      <c r="B296" s="10" t="inlineStr">
        <is>
          <t>Close timbering in trenches including strutting, shoring and packing cavities (wherever required) complete. (Measurements to be taken of the face area timbered). - Depth exceeding 1.5 m but not exceeding 3 m</t>
        </is>
      </c>
      <c r="C296" s="11" t="n"/>
      <c r="D296" s="11" t="n"/>
      <c r="E296" s="11" t="n"/>
      <c r="F296" s="11" t="n"/>
    </row>
    <row r="297">
      <c r="A297" s="12" t="inlineStr">
        <is>
          <t>Rate basis: per sqm  (source: cost for 90 sqm)</t>
        </is>
      </c>
    </row>
    <row r="298">
      <c r="A298" s="5" t="inlineStr">
        <is>
          <t>Code</t>
        </is>
      </c>
      <c r="B298" s="5" t="inlineStr">
        <is>
          <t>Description</t>
        </is>
      </c>
      <c r="C298" s="5" t="inlineStr">
        <is>
          <t>Unit</t>
        </is>
      </c>
      <c r="D298" s="5" t="inlineStr">
        <is>
          <t>Quantity</t>
        </is>
      </c>
      <c r="E298" s="5" t="inlineStr">
        <is>
          <t>Rate (Rs.)</t>
        </is>
      </c>
      <c r="F298" s="5" t="inlineStr">
        <is>
          <t>Amount (Rs.)</t>
        </is>
      </c>
    </row>
    <row r="299">
      <c r="A299" s="13" t="inlineStr">
        <is>
          <t>1198</t>
        </is>
      </c>
      <c r="B299" s="14" t="inlineStr">
        <is>
          <t>Second class kail wood in planks</t>
        </is>
      </c>
      <c r="C299" s="13" t="inlineStr">
        <is>
          <t>10 cudm</t>
        </is>
      </c>
      <c r="D299" s="15" t="n">
        <v>21.375</v>
      </c>
      <c r="E299" s="16" t="n">
        <v>260</v>
      </c>
      <c r="F299" s="16">
        <f>D299*E299</f>
        <v/>
      </c>
    </row>
    <row r="300">
      <c r="A300" s="13" t="inlineStr">
        <is>
          <t>1197</t>
        </is>
      </c>
      <c r="B300" s="14" t="inlineStr">
        <is>
          <t>Second class kail wood in scantling</t>
        </is>
      </c>
      <c r="C300" s="13" t="inlineStr">
        <is>
          <t>10 cudm</t>
        </is>
      </c>
      <c r="D300" s="15" t="n">
        <v>7.5</v>
      </c>
      <c r="E300" s="16" t="n">
        <v>260</v>
      </c>
      <c r="F300" s="16">
        <f>D300*E300</f>
        <v/>
      </c>
    </row>
    <row r="301">
      <c r="A301" s="13" t="inlineStr">
        <is>
          <t>0302</t>
        </is>
      </c>
      <c r="B301" s="14" t="inlineStr">
        <is>
          <t>Safeda ballies 125 mm diameter and 1.5m long</t>
        </is>
      </c>
      <c r="C301" s="13" t="inlineStr">
        <is>
          <t>metre</t>
        </is>
      </c>
      <c r="D301" s="15" t="n">
        <v>3.1875</v>
      </c>
      <c r="E301" s="16" t="n">
        <v>40</v>
      </c>
      <c r="F301" s="16">
        <f>D301*E301</f>
        <v/>
      </c>
    </row>
    <row r="302">
      <c r="A302" s="13" t="inlineStr">
        <is>
          <t>2204</t>
        </is>
      </c>
      <c r="B302" s="14" t="inlineStr">
        <is>
          <t>Carriage of Timber</t>
        </is>
      </c>
      <c r="C302" s="13" t="inlineStr">
        <is>
          <t>cum</t>
        </is>
      </c>
      <c r="D302" s="15" t="n">
        <v>1.3125</v>
      </c>
      <c r="E302" s="16" t="n">
        <v>118.59</v>
      </c>
      <c r="F302" s="16">
        <f>D302*E302</f>
        <v/>
      </c>
    </row>
    <row r="303">
      <c r="A303" s="13" t="inlineStr">
        <is>
          <t>0112</t>
        </is>
      </c>
      <c r="B303" s="14" t="inlineStr">
        <is>
          <t>Carpenter 2nd class</t>
        </is>
      </c>
      <c r="C303" s="13" t="inlineStr">
        <is>
          <t>day</t>
        </is>
      </c>
      <c r="D303" s="15" t="n">
        <v>0.75</v>
      </c>
      <c r="E303" s="16" t="n">
        <v>679</v>
      </c>
      <c r="F303" s="16">
        <f>D303*E303</f>
        <v/>
      </c>
    </row>
    <row r="304">
      <c r="A304" s="13" t="inlineStr">
        <is>
          <t>0114</t>
        </is>
      </c>
      <c r="B304" s="14" t="inlineStr">
        <is>
          <t>Beldar</t>
        </is>
      </c>
      <c r="C304" s="13" t="inlineStr">
        <is>
          <t>day</t>
        </is>
      </c>
      <c r="D304" s="15" t="n">
        <v>2</v>
      </c>
      <c r="E304" s="16" t="n">
        <v>558</v>
      </c>
      <c r="F304" s="16">
        <f>D304*E304</f>
        <v/>
      </c>
    </row>
    <row r="305">
      <c r="A305" s="13" t="inlineStr">
        <is>
          <t>9999</t>
        </is>
      </c>
      <c r="B305" s="14" t="inlineStr">
        <is>
          <t>Sundries</t>
        </is>
      </c>
      <c r="C305" s="13" t="inlineStr">
        <is>
          <t>LS</t>
        </is>
      </c>
      <c r="D305" s="15" t="n">
        <v>40.43</v>
      </c>
      <c r="E305" s="16" t="n">
        <v>2</v>
      </c>
      <c r="F305" s="16">
        <f>D305*E305</f>
        <v/>
      </c>
    </row>
    <row r="306">
      <c r="A306" s="17" t="inlineStr">
        <is>
          <t>Resource Total (Material + Labour + Machinery, as printed)</t>
        </is>
      </c>
      <c r="B306" s="18" t="n"/>
      <c r="C306" s="18" t="n"/>
      <c r="D306" s="18" t="n"/>
      <c r="E306" s="18" t="n"/>
      <c r="F306" s="19">
        <f>SUM(F299:F305)</f>
        <v/>
      </c>
    </row>
    <row r="307">
      <c r="A307" s="20" t="inlineStr">
        <is>
          <t>SAY (Rs.) — final DAR rate</t>
        </is>
      </c>
      <c r="B307" s="21" t="n"/>
      <c r="C307" s="21" t="n"/>
      <c r="D307" s="21" t="n"/>
      <c r="E307" s="21" t="n"/>
      <c r="F307" s="22" t="n">
        <v>141.2</v>
      </c>
    </row>
    <row r="309" ht="42" customHeight="1">
      <c r="A309" s="9" t="inlineStr">
        <is>
          <t>2.16.3</t>
        </is>
      </c>
      <c r="B309" s="10" t="inlineStr">
        <is>
          <t>Close timbering in trenches including strutting, shoring and packing cavities (wherever required) complete. (Measurements to be taken of the face area timbered). - Depth exceeding 3 m but not exceeding 4.5 m</t>
        </is>
      </c>
      <c r="C309" s="11" t="n"/>
      <c r="D309" s="11" t="n"/>
      <c r="E309" s="11" t="n"/>
      <c r="F309" s="11" t="n"/>
    </row>
    <row r="310">
      <c r="A310" s="12" t="inlineStr">
        <is>
          <t>Rate basis: per sqm  (source: cost for 90 sqm)</t>
        </is>
      </c>
    </row>
    <row r="311">
      <c r="A311" s="5" t="inlineStr">
        <is>
          <t>Code</t>
        </is>
      </c>
      <c r="B311" s="5" t="inlineStr">
        <is>
          <t>Description</t>
        </is>
      </c>
      <c r="C311" s="5" t="inlineStr">
        <is>
          <t>Unit</t>
        </is>
      </c>
      <c r="D311" s="5" t="inlineStr">
        <is>
          <t>Quantity</t>
        </is>
      </c>
      <c r="E311" s="5" t="inlineStr">
        <is>
          <t>Rate (Rs.)</t>
        </is>
      </c>
      <c r="F311" s="5" t="inlineStr">
        <is>
          <t>Amount (Rs.)</t>
        </is>
      </c>
    </row>
    <row r="312">
      <c r="A312" s="13" t="inlineStr">
        <is>
          <t>1198</t>
        </is>
      </c>
      <c r="B312" s="14" t="inlineStr">
        <is>
          <t>Second class kail wood in planks</t>
        </is>
      </c>
      <c r="C312" s="13" t="inlineStr">
        <is>
          <t>10 cudm</t>
        </is>
      </c>
      <c r="D312" s="15" t="n">
        <v>21.375</v>
      </c>
      <c r="E312" s="16" t="n">
        <v>260</v>
      </c>
      <c r="F312" s="16">
        <f>D312*E312</f>
        <v/>
      </c>
    </row>
    <row r="313">
      <c r="A313" s="13" t="inlineStr">
        <is>
          <t>1197</t>
        </is>
      </c>
      <c r="B313" s="14" t="inlineStr">
        <is>
          <t>Second class kail wood in scantling</t>
        </is>
      </c>
      <c r="C313" s="13" t="inlineStr">
        <is>
          <t>10 cudm</t>
        </is>
      </c>
      <c r="D313" s="15" t="n">
        <v>7.5</v>
      </c>
      <c r="E313" s="16" t="n">
        <v>260</v>
      </c>
      <c r="F313" s="16">
        <f>D313*E313</f>
        <v/>
      </c>
    </row>
    <row r="314">
      <c r="A314" s="13" t="inlineStr">
        <is>
          <t>0302</t>
        </is>
      </c>
      <c r="B314" s="14" t="inlineStr">
        <is>
          <t>Safeda ballies 125 mm diameter and 1.5m long</t>
        </is>
      </c>
      <c r="C314" s="13" t="inlineStr">
        <is>
          <t>metre</t>
        </is>
      </c>
      <c r="D314" s="15" t="n">
        <v>3.1875</v>
      </c>
      <c r="E314" s="16" t="n">
        <v>40</v>
      </c>
      <c r="F314" s="16">
        <f>D314*E314</f>
        <v/>
      </c>
    </row>
    <row r="315">
      <c r="A315" s="13" t="inlineStr">
        <is>
          <t>2204</t>
        </is>
      </c>
      <c r="B315" s="14" t="inlineStr">
        <is>
          <t>Carriage of Timber</t>
        </is>
      </c>
      <c r="C315" s="13" t="inlineStr">
        <is>
          <t>cum</t>
        </is>
      </c>
      <c r="D315" s="15" t="n">
        <v>1.3125</v>
      </c>
      <c r="E315" s="16" t="n">
        <v>118.59</v>
      </c>
      <c r="F315" s="16">
        <f>D315*E315</f>
        <v/>
      </c>
    </row>
    <row r="316">
      <c r="A316" s="13" t="inlineStr">
        <is>
          <t>0112</t>
        </is>
      </c>
      <c r="B316" s="14" t="inlineStr">
        <is>
          <t>Carpenter 2nd class</t>
        </is>
      </c>
      <c r="C316" s="13" t="inlineStr">
        <is>
          <t>day</t>
        </is>
      </c>
      <c r="D316" s="15" t="n">
        <v>1.5</v>
      </c>
      <c r="E316" s="16" t="n">
        <v>679</v>
      </c>
      <c r="F316" s="16">
        <f>D316*E316</f>
        <v/>
      </c>
    </row>
    <row r="317">
      <c r="A317" s="13" t="inlineStr">
        <is>
          <t>0114</t>
        </is>
      </c>
      <c r="B317" s="14" t="inlineStr">
        <is>
          <t>Beldar</t>
        </is>
      </c>
      <c r="C317" s="13" t="inlineStr">
        <is>
          <t>day</t>
        </is>
      </c>
      <c r="D317" s="15" t="n">
        <v>4</v>
      </c>
      <c r="E317" s="16" t="n">
        <v>558</v>
      </c>
      <c r="F317" s="16">
        <f>D317*E317</f>
        <v/>
      </c>
    </row>
    <row r="318">
      <c r="A318" s="13" t="inlineStr">
        <is>
          <t>9999</t>
        </is>
      </c>
      <c r="B318" s="14" t="inlineStr">
        <is>
          <t>Sundries</t>
        </is>
      </c>
      <c r="C318" s="13" t="inlineStr">
        <is>
          <t>LS</t>
        </is>
      </c>
      <c r="D318" s="15" t="n">
        <v>80.73</v>
      </c>
      <c r="E318" s="16" t="n">
        <v>2</v>
      </c>
      <c r="F318" s="16">
        <f>D318*E318</f>
        <v/>
      </c>
    </row>
    <row r="319">
      <c r="A319" s="17" t="inlineStr">
        <is>
          <t>Resource Total (Material + Labour + Machinery, as printed)</t>
        </is>
      </c>
      <c r="B319" s="18" t="n"/>
      <c r="C319" s="18" t="n"/>
      <c r="D319" s="18" t="n"/>
      <c r="E319" s="18" t="n"/>
      <c r="F319" s="19">
        <f>SUM(F312:F318)</f>
        <v/>
      </c>
    </row>
    <row r="320">
      <c r="A320" s="20" t="inlineStr">
        <is>
          <t>SAY (Rs.) — final DAR rate</t>
        </is>
      </c>
      <c r="B320" s="21" t="n"/>
      <c r="C320" s="21" t="n"/>
      <c r="D320" s="21" t="n"/>
      <c r="E320" s="21" t="n"/>
      <c r="F320" s="22" t="n">
        <v>166.55</v>
      </c>
    </row>
    <row r="322" ht="42" customHeight="1">
      <c r="A322" s="9" t="inlineStr">
        <is>
          <t>2.17.1</t>
        </is>
      </c>
      <c r="B322" s="10" t="inlineStr">
        <is>
          <t>Close timbering in case of shafts, wells, cesspits, manholes and the like including strutting, shoring and packing cavities (wherever required) etc. complete. (Measurements to be taken of the face area timbered). - Depth not exceeding 1.5 m</t>
        </is>
      </c>
      <c r="C322" s="11" t="n"/>
      <c r="D322" s="11" t="n"/>
      <c r="E322" s="11" t="n"/>
      <c r="F322" s="11" t="n"/>
    </row>
    <row r="323">
      <c r="A323" s="12" t="inlineStr">
        <is>
          <t>Rate basis: per sqm  (source: cost for 6.6 sqm)</t>
        </is>
      </c>
    </row>
    <row r="324">
      <c r="A324" s="5" t="inlineStr">
        <is>
          <t>Code</t>
        </is>
      </c>
      <c r="B324" s="5" t="inlineStr">
        <is>
          <t>Description</t>
        </is>
      </c>
      <c r="C324" s="5" t="inlineStr">
        <is>
          <t>Unit</t>
        </is>
      </c>
      <c r="D324" s="5" t="inlineStr">
        <is>
          <t>Quantity</t>
        </is>
      </c>
      <c r="E324" s="5" t="inlineStr">
        <is>
          <t>Rate (Rs.)</t>
        </is>
      </c>
      <c r="F324" s="5" t="inlineStr">
        <is>
          <t>Amount (Rs.)</t>
        </is>
      </c>
    </row>
    <row r="325">
      <c r="A325" s="13" t="inlineStr">
        <is>
          <t>1198</t>
        </is>
      </c>
      <c r="B325" s="14" t="inlineStr">
        <is>
          <t>Kail/Deodar planks 38 mm thick</t>
        </is>
      </c>
      <c r="C325" s="13" t="inlineStr">
        <is>
          <t>cum</t>
        </is>
      </c>
      <c r="D325" s="15" t="n">
        <v>0.009900000000000001</v>
      </c>
      <c r="E325" s="16" t="n">
        <v>12000</v>
      </c>
      <c r="F325" s="16">
        <f>D325*E325</f>
        <v/>
      </c>
    </row>
    <row r="326">
      <c r="A326" s="13" t="inlineStr">
        <is>
          <t>1197</t>
        </is>
      </c>
      <c r="B326" s="14" t="inlineStr">
        <is>
          <t>Kail/Deodar scantlings</t>
        </is>
      </c>
      <c r="C326" s="13" t="inlineStr">
        <is>
          <t>cum</t>
        </is>
      </c>
      <c r="D326" s="15" t="n">
        <v>0.0031</v>
      </c>
      <c r="E326" s="16" t="n">
        <v>12000</v>
      </c>
      <c r="F326" s="16">
        <f>D326*E326</f>
        <v/>
      </c>
    </row>
    <row r="327">
      <c r="A327" s="13" t="inlineStr">
        <is>
          <t>0302</t>
        </is>
      </c>
      <c r="B327" s="14" t="inlineStr">
        <is>
          <t>Safeda poles/Ballies</t>
        </is>
      </c>
      <c r="C327" s="13" t="inlineStr">
        <is>
          <t>each</t>
        </is>
      </c>
      <c r="D327" s="15" t="n">
        <v>0.0825</v>
      </c>
      <c r="E327" s="16" t="n">
        <v>40</v>
      </c>
      <c r="F327" s="16">
        <f>D327*E327</f>
        <v/>
      </c>
    </row>
    <row r="328">
      <c r="A328" s="13" t="inlineStr">
        <is>
          <t>2204</t>
        </is>
      </c>
      <c r="B328" s="14" t="inlineStr">
        <is>
          <t>Carriage of timber</t>
        </is>
      </c>
      <c r="C328" s="13" t="inlineStr">
        <is>
          <t>cum</t>
        </is>
      </c>
      <c r="D328" s="15" t="n">
        <v>0.013</v>
      </c>
      <c r="E328" s="16" t="n">
        <v>118.59</v>
      </c>
      <c r="F328" s="16">
        <f>D328*E328</f>
        <v/>
      </c>
    </row>
    <row r="329">
      <c r="A329" s="13" t="inlineStr">
        <is>
          <t>0112</t>
        </is>
      </c>
      <c r="B329" s="14" t="inlineStr">
        <is>
          <t>Carpenter 2nd class</t>
        </is>
      </c>
      <c r="C329" s="13" t="inlineStr">
        <is>
          <t>day</t>
        </is>
      </c>
      <c r="D329" s="15" t="n">
        <v>0.145</v>
      </c>
      <c r="E329" s="16" t="n">
        <v>679</v>
      </c>
      <c r="F329" s="16">
        <f>D329*E329</f>
        <v/>
      </c>
    </row>
    <row r="330">
      <c r="A330" s="13" t="inlineStr">
        <is>
          <t>0114</t>
        </is>
      </c>
      <c r="B330" s="14" t="inlineStr">
        <is>
          <t>Beldar</t>
        </is>
      </c>
      <c r="C330" s="13" t="inlineStr">
        <is>
          <t>day</t>
        </is>
      </c>
      <c r="D330" s="15" t="n">
        <v>0.073</v>
      </c>
      <c r="E330" s="16" t="n">
        <v>558</v>
      </c>
      <c r="F330" s="16">
        <f>D330*E330</f>
        <v/>
      </c>
    </row>
    <row r="331">
      <c r="A331" s="13" t="inlineStr">
        <is>
          <t>9999</t>
        </is>
      </c>
      <c r="B331" s="14" t="inlineStr">
        <is>
          <t>Sundries</t>
        </is>
      </c>
      <c r="C331" s="13" t="inlineStr">
        <is>
          <t>LS</t>
        </is>
      </c>
      <c r="D331" s="15" t="n">
        <v>1.56</v>
      </c>
      <c r="E331" s="16" t="n">
        <v>2</v>
      </c>
      <c r="F331" s="16">
        <f>D331*E331</f>
        <v/>
      </c>
    </row>
    <row r="332">
      <c r="A332" s="17" t="inlineStr">
        <is>
          <t>Resource Total (Material + Labour + Machinery, as printed)</t>
        </is>
      </c>
      <c r="B332" s="18" t="n"/>
      <c r="C332" s="18" t="n"/>
      <c r="D332" s="18" t="n"/>
      <c r="E332" s="18" t="n"/>
      <c r="F332" s="19">
        <f>SUM(F325:F331)</f>
        <v/>
      </c>
    </row>
    <row r="333">
      <c r="A333" s="20" t="inlineStr">
        <is>
          <t>SAY (Rs.) — final DAR rate</t>
        </is>
      </c>
      <c r="B333" s="21" t="n"/>
      <c r="C333" s="21" t="n"/>
      <c r="D333" s="21" t="n"/>
      <c r="E333" s="21" t="n"/>
      <c r="F333" s="22" t="n">
        <v>138.45</v>
      </c>
    </row>
    <row r="335" ht="42" customHeight="1">
      <c r="A335" s="9" t="inlineStr">
        <is>
          <t>2.17.2</t>
        </is>
      </c>
      <c r="B335" s="10" t="inlineStr">
        <is>
          <t>Close timbering in case of shafts, wells, cesspits, manholes and the like including strutting, shoring and packing cavities (wherever required) etc. complete. (Measurements to be taken of the face area timbered). - Depth exceeding 1.5 m but not exceeding 3 m</t>
        </is>
      </c>
      <c r="C335" s="11" t="n"/>
      <c r="D335" s="11" t="n"/>
      <c r="E335" s="11" t="n"/>
      <c r="F335" s="11" t="n"/>
    </row>
    <row r="336">
      <c r="A336" s="12" t="inlineStr">
        <is>
          <t>Rate basis: per sqm  (source: cost for 6.6 sqm)</t>
        </is>
      </c>
    </row>
    <row r="337">
      <c r="A337" s="5" t="inlineStr">
        <is>
          <t>Code</t>
        </is>
      </c>
      <c r="B337" s="5" t="inlineStr">
        <is>
          <t>Description</t>
        </is>
      </c>
      <c r="C337" s="5" t="inlineStr">
        <is>
          <t>Unit</t>
        </is>
      </c>
      <c r="D337" s="5" t="inlineStr">
        <is>
          <t>Quantity</t>
        </is>
      </c>
      <c r="E337" s="5" t="inlineStr">
        <is>
          <t>Rate (Rs.)</t>
        </is>
      </c>
      <c r="F337" s="5" t="inlineStr">
        <is>
          <t>Amount (Rs.)</t>
        </is>
      </c>
    </row>
    <row r="338">
      <c r="A338" s="13" t="inlineStr">
        <is>
          <t>1198</t>
        </is>
      </c>
      <c r="B338" s="14" t="inlineStr">
        <is>
          <t>Kail/Deodar planks 38 mm thick</t>
        </is>
      </c>
      <c r="C338" s="13" t="inlineStr">
        <is>
          <t>cum</t>
        </is>
      </c>
      <c r="D338" s="15" t="n">
        <v>0.013</v>
      </c>
      <c r="E338" s="16" t="n">
        <v>12000</v>
      </c>
      <c r="F338" s="16">
        <f>D338*E338</f>
        <v/>
      </c>
    </row>
    <row r="339">
      <c r="A339" s="13" t="inlineStr">
        <is>
          <t>1197</t>
        </is>
      </c>
      <c r="B339" s="14" t="inlineStr">
        <is>
          <t>Kail/Deodar scantlings</t>
        </is>
      </c>
      <c r="C339" s="13" t="inlineStr">
        <is>
          <t>cum</t>
        </is>
      </c>
      <c r="D339" s="15" t="n">
        <v>0.0042</v>
      </c>
      <c r="E339" s="16" t="n">
        <v>12000</v>
      </c>
      <c r="F339" s="16">
        <f>D339*E339</f>
        <v/>
      </c>
    </row>
    <row r="340">
      <c r="A340" s="13" t="inlineStr">
        <is>
          <t>0302</t>
        </is>
      </c>
      <c r="B340" s="14" t="inlineStr">
        <is>
          <t>Safeda poles/Ballies</t>
        </is>
      </c>
      <c r="C340" s="13" t="inlineStr">
        <is>
          <t>each</t>
        </is>
      </c>
      <c r="D340" s="15" t="n">
        <v>0.0825</v>
      </c>
      <c r="E340" s="16" t="n">
        <v>40</v>
      </c>
      <c r="F340" s="16">
        <f>D340*E340</f>
        <v/>
      </c>
    </row>
    <row r="341">
      <c r="A341" s="13" t="inlineStr">
        <is>
          <t>2204</t>
        </is>
      </c>
      <c r="B341" s="14" t="inlineStr">
        <is>
          <t>Carriage of timber</t>
        </is>
      </c>
      <c r="C341" s="13" t="inlineStr">
        <is>
          <t>cum</t>
        </is>
      </c>
      <c r="D341" s="15" t="n">
        <v>0.0172</v>
      </c>
      <c r="E341" s="16" t="n">
        <v>118.59</v>
      </c>
      <c r="F341" s="16">
        <f>D341*E341</f>
        <v/>
      </c>
    </row>
    <row r="342">
      <c r="A342" s="13" t="inlineStr">
        <is>
          <t>0112</t>
        </is>
      </c>
      <c r="B342" s="14" t="inlineStr">
        <is>
          <t>Carpenter 2nd class</t>
        </is>
      </c>
      <c r="C342" s="13" t="inlineStr">
        <is>
          <t>day</t>
        </is>
      </c>
      <c r="D342" s="15" t="n">
        <v>0.175</v>
      </c>
      <c r="E342" s="16" t="n">
        <v>679</v>
      </c>
      <c r="F342" s="16">
        <f>D342*E342</f>
        <v/>
      </c>
    </row>
    <row r="343">
      <c r="A343" s="13" t="inlineStr">
        <is>
          <t>0114</t>
        </is>
      </c>
      <c r="B343" s="14" t="inlineStr">
        <is>
          <t>Beldar</t>
        </is>
      </c>
      <c r="C343" s="13" t="inlineStr">
        <is>
          <t>day</t>
        </is>
      </c>
      <c r="D343" s="15" t="n">
        <v>0.08799999999999999</v>
      </c>
      <c r="E343" s="16" t="n">
        <v>558</v>
      </c>
      <c r="F343" s="16">
        <f>D343*E343</f>
        <v/>
      </c>
    </row>
    <row r="344">
      <c r="A344" s="13" t="inlineStr">
        <is>
          <t>9999</t>
        </is>
      </c>
      <c r="B344" s="14" t="inlineStr">
        <is>
          <t>Sundries</t>
        </is>
      </c>
      <c r="C344" s="13" t="inlineStr">
        <is>
          <t>LS</t>
        </is>
      </c>
      <c r="D344" s="15" t="n">
        <v>1.82</v>
      </c>
      <c r="E344" s="16" t="n">
        <v>2</v>
      </c>
      <c r="F344" s="16">
        <f>D344*E344</f>
        <v/>
      </c>
    </row>
    <row r="345">
      <c r="A345" s="17" t="inlineStr">
        <is>
          <t>Resource Total (Material + Labour + Machinery, as printed)</t>
        </is>
      </c>
      <c r="B345" s="18" t="n"/>
      <c r="C345" s="18" t="n"/>
      <c r="D345" s="18" t="n"/>
      <c r="E345" s="18" t="n"/>
      <c r="F345" s="19">
        <f>SUM(F338:F344)</f>
        <v/>
      </c>
    </row>
    <row r="346">
      <c r="A346" s="20" t="inlineStr">
        <is>
          <t>SAY (Rs.) — final DAR rate</t>
        </is>
      </c>
      <c r="B346" s="21" t="n"/>
      <c r="C346" s="21" t="n"/>
      <c r="D346" s="21" t="n"/>
      <c r="E346" s="21" t="n"/>
      <c r="F346" s="22" t="n">
        <v>162.55</v>
      </c>
    </row>
    <row r="348" ht="42" customHeight="1">
      <c r="A348" s="9" t="inlineStr">
        <is>
          <t>2.17.3</t>
        </is>
      </c>
      <c r="B348" s="10" t="inlineStr">
        <is>
          <t>Close timbering in case of shafts, wells, cesspits, manholes and the like including strutting, shoring and packing cavities (wherever required) etc. complete. (Measurements to be taken of the face area timbered). - Depth exceeding 3 m but not exceeding 4.5 m</t>
        </is>
      </c>
      <c r="C348" s="11" t="n"/>
      <c r="D348" s="11" t="n"/>
      <c r="E348" s="11" t="n"/>
      <c r="F348" s="11" t="n"/>
    </row>
    <row r="349">
      <c r="A349" s="12" t="inlineStr">
        <is>
          <t>Rate basis: per sqm  (source: cost for 6.6 sqm)</t>
        </is>
      </c>
    </row>
    <row r="350">
      <c r="A350" s="5" t="inlineStr">
        <is>
          <t>Code</t>
        </is>
      </c>
      <c r="B350" s="5" t="inlineStr">
        <is>
          <t>Description</t>
        </is>
      </c>
      <c r="C350" s="5" t="inlineStr">
        <is>
          <t>Unit</t>
        </is>
      </c>
      <c r="D350" s="5" t="inlineStr">
        <is>
          <t>Quantity</t>
        </is>
      </c>
      <c r="E350" s="5" t="inlineStr">
        <is>
          <t>Rate (Rs.)</t>
        </is>
      </c>
      <c r="F350" s="5" t="inlineStr">
        <is>
          <t>Amount (Rs.)</t>
        </is>
      </c>
    </row>
    <row r="351">
      <c r="A351" s="13" t="inlineStr">
        <is>
          <t>1198</t>
        </is>
      </c>
      <c r="B351" s="14" t="inlineStr">
        <is>
          <t>Kail/Deodar planks 38 mm thick</t>
        </is>
      </c>
      <c r="C351" s="13" t="inlineStr">
        <is>
          <t>cum</t>
        </is>
      </c>
      <c r="D351" s="15" t="n">
        <v>0.0156</v>
      </c>
      <c r="E351" s="16" t="n">
        <v>12000</v>
      </c>
      <c r="F351" s="16">
        <f>D351*E351</f>
        <v/>
      </c>
    </row>
    <row r="352">
      <c r="A352" s="13" t="inlineStr">
        <is>
          <t>1197</t>
        </is>
      </c>
      <c r="B352" s="14" t="inlineStr">
        <is>
          <t>Kail/Deodar scantlings</t>
        </is>
      </c>
      <c r="C352" s="13" t="inlineStr">
        <is>
          <t>cum</t>
        </is>
      </c>
      <c r="D352" s="15" t="n">
        <v>0.0056</v>
      </c>
      <c r="E352" s="16" t="n">
        <v>12000</v>
      </c>
      <c r="F352" s="16">
        <f>D352*E352</f>
        <v/>
      </c>
    </row>
    <row r="353">
      <c r="A353" s="13" t="inlineStr">
        <is>
          <t>0302</t>
        </is>
      </c>
      <c r="B353" s="14" t="inlineStr">
        <is>
          <t>Safeda poles/Ballies</t>
        </is>
      </c>
      <c r="C353" s="13" t="inlineStr">
        <is>
          <t>each</t>
        </is>
      </c>
      <c r="D353" s="15" t="n">
        <v>0.0825</v>
      </c>
      <c r="E353" s="16" t="n">
        <v>40</v>
      </c>
      <c r="F353" s="16">
        <f>D353*E353</f>
        <v/>
      </c>
    </row>
    <row r="354">
      <c r="A354" s="13" t="inlineStr">
        <is>
          <t>2204</t>
        </is>
      </c>
      <c r="B354" s="14" t="inlineStr">
        <is>
          <t>Carriage of timber</t>
        </is>
      </c>
      <c r="C354" s="13" t="inlineStr">
        <is>
          <t>cum</t>
        </is>
      </c>
      <c r="D354" s="15" t="n">
        <v>0.0212</v>
      </c>
      <c r="E354" s="16" t="n">
        <v>118.59</v>
      </c>
      <c r="F354" s="16">
        <f>D354*E354</f>
        <v/>
      </c>
    </row>
    <row r="355">
      <c r="A355" s="13" t="inlineStr">
        <is>
          <t>0112</t>
        </is>
      </c>
      <c r="B355" s="14" t="inlineStr">
        <is>
          <t>Carpenter 2nd class</t>
        </is>
      </c>
      <c r="C355" s="13" t="inlineStr">
        <is>
          <t>day</t>
        </is>
      </c>
      <c r="D355" s="15" t="n">
        <v>0.21</v>
      </c>
      <c r="E355" s="16" t="n">
        <v>679</v>
      </c>
      <c r="F355" s="16">
        <f>D355*E355</f>
        <v/>
      </c>
    </row>
    <row r="356">
      <c r="A356" s="13" t="inlineStr">
        <is>
          <t>0114</t>
        </is>
      </c>
      <c r="B356" s="14" t="inlineStr">
        <is>
          <t>Beldar</t>
        </is>
      </c>
      <c r="C356" s="13" t="inlineStr">
        <is>
          <t>day</t>
        </is>
      </c>
      <c r="D356" s="15" t="n">
        <v>0.105</v>
      </c>
      <c r="E356" s="16" t="n">
        <v>558</v>
      </c>
      <c r="F356" s="16">
        <f>D356*E356</f>
        <v/>
      </c>
    </row>
    <row r="357">
      <c r="A357" s="13" t="inlineStr">
        <is>
          <t>9999</t>
        </is>
      </c>
      <c r="B357" s="14" t="inlineStr">
        <is>
          <t>Sundries</t>
        </is>
      </c>
      <c r="C357" s="13" t="inlineStr">
        <is>
          <t>LS</t>
        </is>
      </c>
      <c r="D357" s="15" t="n">
        <v>2.34</v>
      </c>
      <c r="E357" s="16" t="n">
        <v>2</v>
      </c>
      <c r="F357" s="16">
        <f>D357*E357</f>
        <v/>
      </c>
    </row>
    <row r="358">
      <c r="A358" s="17" t="inlineStr">
        <is>
          <t>Resource Total (Material + Labour + Machinery, as printed)</t>
        </is>
      </c>
      <c r="B358" s="18" t="n"/>
      <c r="C358" s="18" t="n"/>
      <c r="D358" s="18" t="n"/>
      <c r="E358" s="18" t="n"/>
      <c r="F358" s="19">
        <f>SUM(F351:F357)</f>
        <v/>
      </c>
    </row>
    <row r="359">
      <c r="A359" s="20" t="inlineStr">
        <is>
          <t>SAY (Rs.) — final DAR rate</t>
        </is>
      </c>
      <c r="B359" s="21" t="n"/>
      <c r="C359" s="21" t="n"/>
      <c r="D359" s="21" t="n"/>
      <c r="E359" s="21" t="n"/>
      <c r="F359" s="22" t="n">
        <v>187.95</v>
      </c>
    </row>
    <row r="361" ht="42" customHeight="1">
      <c r="A361" s="9" t="inlineStr">
        <is>
          <t>2.18.1</t>
        </is>
      </c>
      <c r="B361" s="10" t="inlineStr">
        <is>
          <t>Close timbering over areas including strutting, shoring and packing cavities (wherever required) etc. complete. (Measurements to be taken of the face area timbered): Depth not exceeding 1.5 m</t>
        </is>
      </c>
      <c r="C361" s="11" t="n"/>
      <c r="D361" s="11" t="n"/>
      <c r="E361" s="11" t="n"/>
      <c r="F361" s="11" t="n"/>
    </row>
    <row r="362">
      <c r="A362" s="12" t="inlineStr">
        <is>
          <t>Rate basis: per sqm  (source: cost for 45 sqm)</t>
        </is>
      </c>
    </row>
    <row r="363">
      <c r="A363" s="5" t="inlineStr">
        <is>
          <t>Code</t>
        </is>
      </c>
      <c r="B363" s="5" t="inlineStr">
        <is>
          <t>Description</t>
        </is>
      </c>
      <c r="C363" s="5" t="inlineStr">
        <is>
          <t>Unit</t>
        </is>
      </c>
      <c r="D363" s="5" t="inlineStr">
        <is>
          <t>Quantity</t>
        </is>
      </c>
      <c r="E363" s="5" t="inlineStr">
        <is>
          <t>Rate (Rs.)</t>
        </is>
      </c>
      <c r="F363" s="5" t="inlineStr">
        <is>
          <t>Amount (Rs.)</t>
        </is>
      </c>
    </row>
    <row r="364">
      <c r="A364" s="13" t="inlineStr">
        <is>
          <t>1198</t>
        </is>
      </c>
      <c r="B364" s="14" t="inlineStr">
        <is>
          <t>Kail/Deodar planks 38 mm thick</t>
        </is>
      </c>
      <c r="C364" s="13" t="inlineStr">
        <is>
          <t>cum</t>
        </is>
      </c>
      <c r="D364" s="15" t="n">
        <v>0.056</v>
      </c>
      <c r="E364" s="16" t="n">
        <v>12000</v>
      </c>
      <c r="F364" s="16">
        <f>D364*E364</f>
        <v/>
      </c>
    </row>
    <row r="365">
      <c r="A365" s="13" t="inlineStr">
        <is>
          <t>1197</t>
        </is>
      </c>
      <c r="B365" s="14" t="inlineStr">
        <is>
          <t>Kail/Deodar scantlings</t>
        </is>
      </c>
      <c r="C365" s="13" t="inlineStr">
        <is>
          <t>cum</t>
        </is>
      </c>
      <c r="D365" s="15" t="n">
        <v>0.0182</v>
      </c>
      <c r="E365" s="16" t="n">
        <v>12000</v>
      </c>
      <c r="F365" s="16">
        <f>D365*E365</f>
        <v/>
      </c>
    </row>
    <row r="366">
      <c r="A366" s="13" t="inlineStr">
        <is>
          <t>0302</t>
        </is>
      </c>
      <c r="B366" s="14" t="inlineStr">
        <is>
          <t>Safeda poles/Ballies</t>
        </is>
      </c>
      <c r="C366" s="13" t="inlineStr">
        <is>
          <t>each</t>
        </is>
      </c>
      <c r="D366" s="15" t="n">
        <v>0.45</v>
      </c>
      <c r="E366" s="16" t="n">
        <v>40</v>
      </c>
      <c r="F366" s="16">
        <f>D366*E366</f>
        <v/>
      </c>
    </row>
    <row r="367">
      <c r="A367" s="13" t="inlineStr">
        <is>
          <t>2204</t>
        </is>
      </c>
      <c r="B367" s="14" t="inlineStr">
        <is>
          <t>Carriage of timber</t>
        </is>
      </c>
      <c r="C367" s="13" t="inlineStr">
        <is>
          <t>cum</t>
        </is>
      </c>
      <c r="D367" s="15" t="n">
        <v>0.0742</v>
      </c>
      <c r="E367" s="16" t="n">
        <v>118.59</v>
      </c>
      <c r="F367" s="16">
        <f>D367*E367</f>
        <v/>
      </c>
    </row>
    <row r="368">
      <c r="A368" s="13" t="inlineStr">
        <is>
          <t>0112</t>
        </is>
      </c>
      <c r="B368" s="14" t="inlineStr">
        <is>
          <t>Carpenter 2nd class</t>
        </is>
      </c>
      <c r="C368" s="13" t="inlineStr">
        <is>
          <t>day</t>
        </is>
      </c>
      <c r="D368" s="15" t="n">
        <v>0.75</v>
      </c>
      <c r="E368" s="16" t="n">
        <v>679</v>
      </c>
      <c r="F368" s="16">
        <f>D368*E368</f>
        <v/>
      </c>
    </row>
    <row r="369">
      <c r="A369" s="13" t="inlineStr">
        <is>
          <t>0114</t>
        </is>
      </c>
      <c r="B369" s="14" t="inlineStr">
        <is>
          <t>Beldar</t>
        </is>
      </c>
      <c r="C369" s="13" t="inlineStr">
        <is>
          <t>day</t>
        </is>
      </c>
      <c r="D369" s="15" t="n">
        <v>0.375</v>
      </c>
      <c r="E369" s="16" t="n">
        <v>558</v>
      </c>
      <c r="F369" s="16">
        <f>D369*E369</f>
        <v/>
      </c>
    </row>
    <row r="370">
      <c r="A370" s="13" t="inlineStr">
        <is>
          <t>9999</t>
        </is>
      </c>
      <c r="B370" s="14" t="inlineStr">
        <is>
          <t>Sundries</t>
        </is>
      </c>
      <c r="C370" s="13" t="inlineStr">
        <is>
          <t>LS</t>
        </is>
      </c>
      <c r="D370" s="15" t="n">
        <v>8.06</v>
      </c>
      <c r="E370" s="16" t="n">
        <v>2</v>
      </c>
      <c r="F370" s="16">
        <f>D370*E370</f>
        <v/>
      </c>
    </row>
    <row r="371">
      <c r="A371" s="17" t="inlineStr">
        <is>
          <t>Resource Total (Material + Labour + Machinery, as printed)</t>
        </is>
      </c>
      <c r="B371" s="18" t="n"/>
      <c r="C371" s="18" t="n"/>
      <c r="D371" s="18" t="n"/>
      <c r="E371" s="18" t="n"/>
      <c r="F371" s="19">
        <f>SUM(F364:F370)</f>
        <v/>
      </c>
    </row>
    <row r="372">
      <c r="A372" s="20" t="inlineStr">
        <is>
          <t>SAY (Rs.) — final DAR rate</t>
        </is>
      </c>
      <c r="B372" s="21" t="n"/>
      <c r="C372" s="21" t="n"/>
      <c r="D372" s="21" t="n"/>
      <c r="E372" s="21" t="n"/>
      <c r="F372" s="22" t="n">
        <v>116.25</v>
      </c>
    </row>
    <row r="374" ht="42" customHeight="1">
      <c r="A374" s="9" t="inlineStr">
        <is>
          <t>2.18.2</t>
        </is>
      </c>
      <c r="B374" s="10" t="inlineStr">
        <is>
          <t>Close timbering over areas including strutting, shoring and packing cavities (wherever required) etc. complete. (Measurements to be taken of the face area timbered): Depth exceeding 1.5 m but not exceeding 3 m</t>
        </is>
      </c>
      <c r="C374" s="11" t="n"/>
      <c r="D374" s="11" t="n"/>
      <c r="E374" s="11" t="n"/>
      <c r="F374" s="11" t="n"/>
    </row>
    <row r="375">
      <c r="A375" s="12" t="inlineStr">
        <is>
          <t>Rate basis: per sqm  (source: cost for 45 sqm)</t>
        </is>
      </c>
    </row>
    <row r="376">
      <c r="A376" s="5" t="inlineStr">
        <is>
          <t>Code</t>
        </is>
      </c>
      <c r="B376" s="5" t="inlineStr">
        <is>
          <t>Description</t>
        </is>
      </c>
      <c r="C376" s="5" t="inlineStr">
        <is>
          <t>Unit</t>
        </is>
      </c>
      <c r="D376" s="5" t="inlineStr">
        <is>
          <t>Quantity</t>
        </is>
      </c>
      <c r="E376" s="5" t="inlineStr">
        <is>
          <t>Rate (Rs.)</t>
        </is>
      </c>
      <c r="F376" s="5" t="inlineStr">
        <is>
          <t>Amount (Rs.)</t>
        </is>
      </c>
    </row>
    <row r="377">
      <c r="A377" s="13" t="inlineStr">
        <is>
          <t>1198</t>
        </is>
      </c>
      <c r="B377" s="14" t="inlineStr">
        <is>
          <t>Kail/Deodar planks 38 mm thick</t>
        </is>
      </c>
      <c r="C377" s="13" t="inlineStr">
        <is>
          <t>cum</t>
        </is>
      </c>
      <c r="D377" s="15" t="n">
        <v>0.068</v>
      </c>
      <c r="E377" s="16" t="n">
        <v>12000</v>
      </c>
      <c r="F377" s="16">
        <f>D377*E377</f>
        <v/>
      </c>
    </row>
    <row r="378">
      <c r="A378" s="13" t="inlineStr">
        <is>
          <t>1197</t>
        </is>
      </c>
      <c r="B378" s="14" t="inlineStr">
        <is>
          <t>Kail/Deodar scantlings</t>
        </is>
      </c>
      <c r="C378" s="13" t="inlineStr">
        <is>
          <t>cum</t>
        </is>
      </c>
      <c r="D378" s="15" t="n">
        <v>0.023</v>
      </c>
      <c r="E378" s="16" t="n">
        <v>12000</v>
      </c>
      <c r="F378" s="16">
        <f>D378*E378</f>
        <v/>
      </c>
    </row>
    <row r="379">
      <c r="A379" s="13" t="inlineStr">
        <is>
          <t>0302</t>
        </is>
      </c>
      <c r="B379" s="14" t="inlineStr">
        <is>
          <t>Safeda poles/Ballies</t>
        </is>
      </c>
      <c r="C379" s="13" t="inlineStr">
        <is>
          <t>each</t>
        </is>
      </c>
      <c r="D379" s="15" t="n">
        <v>0.45</v>
      </c>
      <c r="E379" s="16" t="n">
        <v>40</v>
      </c>
      <c r="F379" s="16">
        <f>D379*E379</f>
        <v/>
      </c>
    </row>
    <row r="380">
      <c r="A380" s="13" t="inlineStr">
        <is>
          <t>2204</t>
        </is>
      </c>
      <c r="B380" s="14" t="inlineStr">
        <is>
          <t>Carriage of timber</t>
        </is>
      </c>
      <c r="C380" s="13" t="inlineStr">
        <is>
          <t>cum</t>
        </is>
      </c>
      <c r="D380" s="15" t="n">
        <v>0.091</v>
      </c>
      <c r="E380" s="16" t="n">
        <v>118.59</v>
      </c>
      <c r="F380" s="16">
        <f>D380*E380</f>
        <v/>
      </c>
    </row>
    <row r="381">
      <c r="A381" s="13" t="inlineStr">
        <is>
          <t>0112</t>
        </is>
      </c>
      <c r="B381" s="14" t="inlineStr">
        <is>
          <t>Carpenter 2nd class</t>
        </is>
      </c>
      <c r="C381" s="13" t="inlineStr">
        <is>
          <t>day</t>
        </is>
      </c>
      <c r="D381" s="15" t="n">
        <v>0.9</v>
      </c>
      <c r="E381" s="16" t="n">
        <v>679</v>
      </c>
      <c r="F381" s="16">
        <f>D381*E381</f>
        <v/>
      </c>
    </row>
    <row r="382">
      <c r="A382" s="13" t="inlineStr">
        <is>
          <t>0114</t>
        </is>
      </c>
      <c r="B382" s="14" t="inlineStr">
        <is>
          <t>Beldar</t>
        </is>
      </c>
      <c r="C382" s="13" t="inlineStr">
        <is>
          <t>day</t>
        </is>
      </c>
      <c r="D382" s="15" t="n">
        <v>0.45</v>
      </c>
      <c r="E382" s="16" t="n">
        <v>558</v>
      </c>
      <c r="F382" s="16">
        <f>D382*E382</f>
        <v/>
      </c>
    </row>
    <row r="383">
      <c r="A383" s="13" t="inlineStr">
        <is>
          <t>9999</t>
        </is>
      </c>
      <c r="B383" s="14" t="inlineStr">
        <is>
          <t>Sundries</t>
        </is>
      </c>
      <c r="C383" s="13" t="inlineStr">
        <is>
          <t>LS</t>
        </is>
      </c>
      <c r="D383" s="15" t="n">
        <v>10.9</v>
      </c>
      <c r="E383" s="16" t="n">
        <v>2</v>
      </c>
      <c r="F383" s="16">
        <f>D383*E383</f>
        <v/>
      </c>
    </row>
    <row r="384">
      <c r="A384" s="17" t="inlineStr">
        <is>
          <t>Resource Total (Material + Labour + Machinery, as printed)</t>
        </is>
      </c>
      <c r="B384" s="18" t="n"/>
      <c r="C384" s="18" t="n"/>
      <c r="D384" s="18" t="n"/>
      <c r="E384" s="18" t="n"/>
      <c r="F384" s="19">
        <f>SUM(F377:F383)</f>
        <v/>
      </c>
    </row>
    <row r="385">
      <c r="A385" s="20" t="inlineStr">
        <is>
          <t>SAY (Rs.) — final DAR rate</t>
        </is>
      </c>
      <c r="B385" s="21" t="n"/>
      <c r="C385" s="21" t="n"/>
      <c r="D385" s="21" t="n"/>
      <c r="E385" s="21" t="n"/>
      <c r="F385" s="22" t="n">
        <v>129.75</v>
      </c>
    </row>
    <row r="387" ht="42" customHeight="1">
      <c r="A387" s="9" t="inlineStr">
        <is>
          <t>2.18.3</t>
        </is>
      </c>
      <c r="B387" s="10" t="inlineStr">
        <is>
          <t>Close timbering over areas including strutting, shoring and packing cavities (wherever required) etc. complete. (Measurements to be taken of the face area timbered): Depth exceeding 3 m but not exceeding 4.5 m</t>
        </is>
      </c>
      <c r="C387" s="11" t="n"/>
      <c r="D387" s="11" t="n"/>
      <c r="E387" s="11" t="n"/>
      <c r="F387" s="11" t="n"/>
    </row>
    <row r="388">
      <c r="A388" s="12" t="inlineStr">
        <is>
          <t>Rate basis: per sqm  (source: cost for 45 sqm)</t>
        </is>
      </c>
    </row>
    <row r="389">
      <c r="A389" s="5" t="inlineStr">
        <is>
          <t>Code</t>
        </is>
      </c>
      <c r="B389" s="5" t="inlineStr">
        <is>
          <t>Description</t>
        </is>
      </c>
      <c r="C389" s="5" t="inlineStr">
        <is>
          <t>Unit</t>
        </is>
      </c>
      <c r="D389" s="5" t="inlineStr">
        <is>
          <t>Quantity</t>
        </is>
      </c>
      <c r="E389" s="5" t="inlineStr">
        <is>
          <t>Rate (Rs.)</t>
        </is>
      </c>
      <c r="F389" s="5" t="inlineStr">
        <is>
          <t>Amount (Rs.)</t>
        </is>
      </c>
    </row>
    <row r="390">
      <c r="A390" s="13" t="inlineStr">
        <is>
          <t>1198</t>
        </is>
      </c>
      <c r="B390" s="14" t="inlineStr">
        <is>
          <t>Kail/Deodar planks 38 mm thick</t>
        </is>
      </c>
      <c r="C390" s="13" t="inlineStr">
        <is>
          <t>cum</t>
        </is>
      </c>
      <c r="D390" s="15" t="n">
        <v>0.083</v>
      </c>
      <c r="E390" s="16" t="n">
        <v>12000</v>
      </c>
      <c r="F390" s="16">
        <f>D390*E390</f>
        <v/>
      </c>
    </row>
    <row r="391">
      <c r="A391" s="13" t="inlineStr">
        <is>
          <t>1197</t>
        </is>
      </c>
      <c r="B391" s="14" t="inlineStr">
        <is>
          <t>Kail/Deodar scantlings</t>
        </is>
      </c>
      <c r="C391" s="13" t="inlineStr">
        <is>
          <t>cum</t>
        </is>
      </c>
      <c r="D391" s="15" t="n">
        <v>0.03</v>
      </c>
      <c r="E391" s="16" t="n">
        <v>12000</v>
      </c>
      <c r="F391" s="16">
        <f>D391*E391</f>
        <v/>
      </c>
    </row>
    <row r="392">
      <c r="A392" s="13" t="inlineStr">
        <is>
          <t>0302</t>
        </is>
      </c>
      <c r="B392" s="14" t="inlineStr">
        <is>
          <t>Safeda poles/Ballies</t>
        </is>
      </c>
      <c r="C392" s="13" t="inlineStr">
        <is>
          <t>each</t>
        </is>
      </c>
      <c r="D392" s="15" t="n">
        <v>0.45</v>
      </c>
      <c r="E392" s="16" t="n">
        <v>40</v>
      </c>
      <c r="F392" s="16">
        <f>D392*E392</f>
        <v/>
      </c>
    </row>
    <row r="393">
      <c r="A393" s="13" t="inlineStr">
        <is>
          <t>2204</t>
        </is>
      </c>
      <c r="B393" s="14" t="inlineStr">
        <is>
          <t>Carriage of timber</t>
        </is>
      </c>
      <c r="C393" s="13" t="inlineStr">
        <is>
          <t>cum</t>
        </is>
      </c>
      <c r="D393" s="15" t="n">
        <v>0.113</v>
      </c>
      <c r="E393" s="16" t="n">
        <v>118.59</v>
      </c>
      <c r="F393" s="16">
        <f>D393*E393</f>
        <v/>
      </c>
    </row>
    <row r="394">
      <c r="A394" s="13" t="inlineStr">
        <is>
          <t>0112</t>
        </is>
      </c>
      <c r="B394" s="14" t="inlineStr">
        <is>
          <t>Carpenter 2nd class</t>
        </is>
      </c>
      <c r="C394" s="13" t="inlineStr">
        <is>
          <t>day</t>
        </is>
      </c>
      <c r="D394" s="15" t="n">
        <v>1.1</v>
      </c>
      <c r="E394" s="16" t="n">
        <v>679</v>
      </c>
      <c r="F394" s="16">
        <f>D394*E394</f>
        <v/>
      </c>
    </row>
    <row r="395">
      <c r="A395" s="13" t="inlineStr">
        <is>
          <t>0114</t>
        </is>
      </c>
      <c r="B395" s="14" t="inlineStr">
        <is>
          <t>Beldar</t>
        </is>
      </c>
      <c r="C395" s="13" t="inlineStr">
        <is>
          <t>day</t>
        </is>
      </c>
      <c r="D395" s="15" t="n">
        <v>0.55</v>
      </c>
      <c r="E395" s="16" t="n">
        <v>558</v>
      </c>
      <c r="F395" s="16">
        <f>D395*E395</f>
        <v/>
      </c>
    </row>
    <row r="396">
      <c r="A396" s="13" t="inlineStr">
        <is>
          <t>9999</t>
        </is>
      </c>
      <c r="B396" s="14" t="inlineStr">
        <is>
          <t>Sundries</t>
        </is>
      </c>
      <c r="C396" s="13" t="inlineStr">
        <is>
          <t>LS</t>
        </is>
      </c>
      <c r="D396" s="15" t="n">
        <v>12.72</v>
      </c>
      <c r="E396" s="16" t="n">
        <v>2</v>
      </c>
      <c r="F396" s="16">
        <f>D396*E396</f>
        <v/>
      </c>
    </row>
    <row r="397">
      <c r="A397" s="17" t="inlineStr">
        <is>
          <t>Resource Total (Material + Labour + Machinery, as printed)</t>
        </is>
      </c>
      <c r="B397" s="18" t="n"/>
      <c r="C397" s="18" t="n"/>
      <c r="D397" s="18" t="n"/>
      <c r="E397" s="18" t="n"/>
      <c r="F397" s="19">
        <f>SUM(F390:F396)</f>
        <v/>
      </c>
    </row>
    <row r="398">
      <c r="A398" s="20" t="inlineStr">
        <is>
          <t>SAY (Rs.) — final DAR rate</t>
        </is>
      </c>
      <c r="B398" s="21" t="n"/>
      <c r="C398" s="21" t="n"/>
      <c r="D398" s="21" t="n"/>
      <c r="E398" s="21" t="n"/>
      <c r="F398" s="22" t="n">
        <v>143.9</v>
      </c>
    </row>
    <row r="400" ht="42" customHeight="1">
      <c r="A400" s="9" t="inlineStr">
        <is>
          <t>2.19</t>
        </is>
      </c>
      <c r="B400" s="10" t="inlineStr">
        <is>
          <t>Extra for planking, strutting and packing materials for cavities (in close timbering) if required to be left permanently in position. (Face area of timber permanently left to be measured).</t>
        </is>
      </c>
      <c r="C400" s="11" t="n"/>
      <c r="D400" s="11" t="n"/>
      <c r="E400" s="11" t="n"/>
      <c r="F400" s="11" t="n"/>
    </row>
    <row r="401">
      <c r="A401" s="12" t="inlineStr">
        <is>
          <t>Rate basis: per sqm  (source: cost for 90 sqm)</t>
        </is>
      </c>
    </row>
    <row r="402">
      <c r="A402" s="5" t="inlineStr">
        <is>
          <t>Code</t>
        </is>
      </c>
      <c r="B402" s="5" t="inlineStr">
        <is>
          <t>Description</t>
        </is>
      </c>
      <c r="C402" s="5" t="inlineStr">
        <is>
          <t>Unit</t>
        </is>
      </c>
      <c r="D402" s="5" t="inlineStr">
        <is>
          <t>Quantity</t>
        </is>
      </c>
      <c r="E402" s="5" t="inlineStr">
        <is>
          <t>Rate (Rs.)</t>
        </is>
      </c>
      <c r="F402" s="5" t="inlineStr">
        <is>
          <t>Amount (Rs.)</t>
        </is>
      </c>
    </row>
    <row r="403">
      <c r="A403" s="13" t="inlineStr">
        <is>
          <t>1198</t>
        </is>
      </c>
      <c r="B403" s="14" t="inlineStr">
        <is>
          <t>Kail/Deodar planks 38 mm (permanent)</t>
        </is>
      </c>
      <c r="C403" s="13" t="inlineStr">
        <is>
          <t>cum</t>
        </is>
      </c>
      <c r="D403" s="15" t="n">
        <v>3.325</v>
      </c>
      <c r="E403" s="16" t="n">
        <v>12000</v>
      </c>
      <c r="F403" s="16">
        <f>D403*E403</f>
        <v/>
      </c>
    </row>
    <row r="404">
      <c r="A404" s="13" t="inlineStr">
        <is>
          <t>1197</t>
        </is>
      </c>
      <c r="B404" s="14" t="inlineStr">
        <is>
          <t>Kail/Deodar scantlings (permanent)</t>
        </is>
      </c>
      <c r="C404" s="13" t="inlineStr">
        <is>
          <t>cum</t>
        </is>
      </c>
      <c r="D404" s="15" t="n">
        <v>1.1667</v>
      </c>
      <c r="E404" s="16" t="n">
        <v>12000</v>
      </c>
      <c r="F404" s="16">
        <f>D404*E404</f>
        <v/>
      </c>
    </row>
    <row r="405">
      <c r="A405" s="13" t="inlineStr">
        <is>
          <t>0302</t>
        </is>
      </c>
      <c r="B405" s="14" t="inlineStr">
        <is>
          <t>Safeda poles/Ballies (permanent)</t>
        </is>
      </c>
      <c r="C405" s="13" t="inlineStr">
        <is>
          <t>each</t>
        </is>
      </c>
      <c r="D405" s="15" t="n">
        <v>44.625</v>
      </c>
      <c r="E405" s="16" t="n">
        <v>40</v>
      </c>
      <c r="F405" s="16">
        <f>D405*E405</f>
        <v/>
      </c>
    </row>
    <row r="406">
      <c r="A406" s="13" t="inlineStr">
        <is>
          <t>2204</t>
        </is>
      </c>
      <c r="B406" s="14" t="inlineStr">
        <is>
          <t>Carriage of timber</t>
        </is>
      </c>
      <c r="C406" s="13" t="inlineStr">
        <is>
          <t>cum</t>
        </is>
      </c>
      <c r="D406" s="15" t="n">
        <v>4.4917</v>
      </c>
      <c r="E406" s="16" t="n">
        <v>118.59</v>
      </c>
      <c r="F406" s="16">
        <f>D406*E406</f>
        <v/>
      </c>
    </row>
    <row r="407">
      <c r="A407" s="17" t="inlineStr">
        <is>
          <t>Resource Total (Material + Labour + Machinery, as printed)</t>
        </is>
      </c>
      <c r="B407" s="18" t="n"/>
      <c r="C407" s="18" t="n"/>
      <c r="D407" s="18" t="n"/>
      <c r="E407" s="18" t="n"/>
      <c r="F407" s="19">
        <f>SUM(F403:F406)</f>
        <v/>
      </c>
    </row>
    <row r="408">
      <c r="A408" s="20" t="inlineStr">
        <is>
          <t>SAY (Rs.) — final DAR rate</t>
        </is>
      </c>
      <c r="B408" s="21" t="n"/>
      <c r="C408" s="21" t="n"/>
      <c r="D408" s="21" t="n"/>
      <c r="E408" s="21" t="n"/>
      <c r="F408" s="22" t="n">
        <v>1596.5</v>
      </c>
    </row>
    <row r="410" ht="28" customHeight="1">
      <c r="A410" s="9" t="inlineStr">
        <is>
          <t>2.20.1</t>
        </is>
      </c>
      <c r="B410" s="10" t="inlineStr">
        <is>
          <t>Open timbering in trenches including strutting and shoring complete (measurements to be taken of the face area timbered): Depth not exceeding 1.5 m</t>
        </is>
      </c>
      <c r="C410" s="11" t="n"/>
      <c r="D410" s="11" t="n"/>
      <c r="E410" s="11" t="n"/>
      <c r="F410" s="11" t="n"/>
    </row>
    <row r="411">
      <c r="A411" s="12" t="inlineStr">
        <is>
          <t>Rate basis: per sqm  (source: cost for 90 sqm)</t>
        </is>
      </c>
    </row>
    <row r="412">
      <c r="A412" s="5" t="inlineStr">
        <is>
          <t>Code</t>
        </is>
      </c>
      <c r="B412" s="5" t="inlineStr">
        <is>
          <t>Description</t>
        </is>
      </c>
      <c r="C412" s="5" t="inlineStr">
        <is>
          <t>Unit</t>
        </is>
      </c>
      <c r="D412" s="5" t="inlineStr">
        <is>
          <t>Quantity</t>
        </is>
      </c>
      <c r="E412" s="5" t="inlineStr">
        <is>
          <t>Rate (Rs.)</t>
        </is>
      </c>
      <c r="F412" s="5" t="inlineStr">
        <is>
          <t>Amount (Rs.)</t>
        </is>
      </c>
    </row>
    <row r="413">
      <c r="A413" s="13" t="inlineStr">
        <is>
          <t>1198</t>
        </is>
      </c>
      <c r="B413" s="14" t="inlineStr">
        <is>
          <t>Kail/Deodar planks 38 mm</t>
        </is>
      </c>
      <c r="C413" s="13" t="inlineStr">
        <is>
          <t>cum</t>
        </is>
      </c>
      <c r="D413" s="15" t="n">
        <v>0.054</v>
      </c>
      <c r="E413" s="16" t="n">
        <v>12000</v>
      </c>
      <c r="F413" s="16">
        <f>D413*E413</f>
        <v/>
      </c>
    </row>
    <row r="414">
      <c r="A414" s="13" t="inlineStr">
        <is>
          <t>1197</t>
        </is>
      </c>
      <c r="B414" s="14" t="inlineStr">
        <is>
          <t>Kail/Deodar scantlings</t>
        </is>
      </c>
      <c r="C414" s="13" t="inlineStr">
        <is>
          <t>cum</t>
        </is>
      </c>
      <c r="D414" s="15" t="n">
        <v>0.0184</v>
      </c>
      <c r="E414" s="16" t="n">
        <v>12000</v>
      </c>
      <c r="F414" s="16">
        <f>D414*E414</f>
        <v/>
      </c>
    </row>
    <row r="415">
      <c r="A415" s="13" t="inlineStr">
        <is>
          <t>0302</t>
        </is>
      </c>
      <c r="B415" s="14" t="inlineStr">
        <is>
          <t>Safeda poles/Ballies</t>
        </is>
      </c>
      <c r="C415" s="13" t="inlineStr">
        <is>
          <t>each</t>
        </is>
      </c>
      <c r="D415" s="15" t="n">
        <v>0.45</v>
      </c>
      <c r="E415" s="16" t="n">
        <v>40</v>
      </c>
      <c r="F415" s="16">
        <f>D415*E415</f>
        <v/>
      </c>
    </row>
    <row r="416">
      <c r="A416" s="13" t="inlineStr">
        <is>
          <t>2204</t>
        </is>
      </c>
      <c r="B416" s="14" t="inlineStr">
        <is>
          <t>Carriage of timber</t>
        </is>
      </c>
      <c r="C416" s="13" t="inlineStr">
        <is>
          <t>cum</t>
        </is>
      </c>
      <c r="D416" s="15" t="n">
        <v>0.07240000000000001</v>
      </c>
      <c r="E416" s="16" t="n">
        <v>118.59</v>
      </c>
      <c r="F416" s="16">
        <f>D416*E416</f>
        <v/>
      </c>
    </row>
    <row r="417">
      <c r="A417" s="13" t="inlineStr">
        <is>
          <t>0112</t>
        </is>
      </c>
      <c r="B417" s="14" t="inlineStr">
        <is>
          <t>Carpenter 2nd class</t>
        </is>
      </c>
      <c r="C417" s="13" t="inlineStr">
        <is>
          <t>day</t>
        </is>
      </c>
      <c r="D417" s="15" t="n">
        <v>0.75</v>
      </c>
      <c r="E417" s="16" t="n">
        <v>679</v>
      </c>
      <c r="F417" s="16">
        <f>D417*E417</f>
        <v/>
      </c>
    </row>
    <row r="418">
      <c r="A418" s="13" t="inlineStr">
        <is>
          <t>0114</t>
        </is>
      </c>
      <c r="B418" s="14" t="inlineStr">
        <is>
          <t>Beldar</t>
        </is>
      </c>
      <c r="C418" s="13" t="inlineStr">
        <is>
          <t>day</t>
        </is>
      </c>
      <c r="D418" s="15" t="n">
        <v>0.375</v>
      </c>
      <c r="E418" s="16" t="n">
        <v>558</v>
      </c>
      <c r="F418" s="16">
        <f>D418*E418</f>
        <v/>
      </c>
    </row>
    <row r="419">
      <c r="A419" s="13" t="inlineStr">
        <is>
          <t>9999</t>
        </is>
      </c>
      <c r="B419" s="14" t="inlineStr">
        <is>
          <t>Sundries</t>
        </is>
      </c>
      <c r="C419" s="13" t="inlineStr">
        <is>
          <t>LS</t>
        </is>
      </c>
      <c r="D419" s="15" t="n">
        <v>8.06</v>
      </c>
      <c r="E419" s="16" t="n">
        <v>2</v>
      </c>
      <c r="F419" s="16">
        <f>D419*E419</f>
        <v/>
      </c>
    </row>
    <row r="420">
      <c r="A420" s="17" t="inlineStr">
        <is>
          <t>Resource Total (Material + Labour + Machinery, as printed)</t>
        </is>
      </c>
      <c r="B420" s="18" t="n"/>
      <c r="C420" s="18" t="n"/>
      <c r="D420" s="18" t="n"/>
      <c r="E420" s="18" t="n"/>
      <c r="F420" s="19">
        <f>SUM(F413:F419)</f>
        <v/>
      </c>
    </row>
    <row r="421">
      <c r="A421" s="20" t="inlineStr">
        <is>
          <t>SAY (Rs.) — final DAR rate</t>
        </is>
      </c>
      <c r="B421" s="21" t="n"/>
      <c r="C421" s="21" t="n"/>
      <c r="D421" s="21" t="n"/>
      <c r="E421" s="21" t="n"/>
      <c r="F421" s="22" t="n">
        <v>67</v>
      </c>
    </row>
    <row r="423" ht="28" customHeight="1">
      <c r="A423" s="9" t="inlineStr">
        <is>
          <t>2.20.2</t>
        </is>
      </c>
      <c r="B423" s="10" t="inlineStr">
        <is>
          <t>Open timbering in trenches including strutting and shoring complete (measurements to be taken of the face area timbered): Depth exceeding 1.5 m but not exceeding 3 m</t>
        </is>
      </c>
      <c r="C423" s="11" t="n"/>
      <c r="D423" s="11" t="n"/>
      <c r="E423" s="11" t="n"/>
      <c r="F423" s="11" t="n"/>
    </row>
    <row r="424">
      <c r="A424" s="12" t="inlineStr">
        <is>
          <t>Rate basis: per sqm  (source: cost for 90 sqm)</t>
        </is>
      </c>
    </row>
    <row r="425">
      <c r="A425" s="5" t="inlineStr">
        <is>
          <t>Code</t>
        </is>
      </c>
      <c r="B425" s="5" t="inlineStr">
        <is>
          <t>Description</t>
        </is>
      </c>
      <c r="C425" s="5" t="inlineStr">
        <is>
          <t>Unit</t>
        </is>
      </c>
      <c r="D425" s="5" t="inlineStr">
        <is>
          <t>Quantity</t>
        </is>
      </c>
      <c r="E425" s="5" t="inlineStr">
        <is>
          <t>Rate (Rs.)</t>
        </is>
      </c>
      <c r="F425" s="5" t="inlineStr">
        <is>
          <t>Amount (Rs.)</t>
        </is>
      </c>
    </row>
    <row r="426">
      <c r="A426" s="13" t="inlineStr">
        <is>
          <t>1198</t>
        </is>
      </c>
      <c r="B426" s="14" t="inlineStr">
        <is>
          <t>Kail/Deodar planks 38 mm</t>
        </is>
      </c>
      <c r="C426" s="13" t="inlineStr">
        <is>
          <t>cum</t>
        </is>
      </c>
      <c r="D426" s="15" t="n">
        <v>0.064</v>
      </c>
      <c r="E426" s="16" t="n">
        <v>12000</v>
      </c>
      <c r="F426" s="16">
        <f>D426*E426</f>
        <v/>
      </c>
    </row>
    <row r="427">
      <c r="A427" s="13" t="inlineStr">
        <is>
          <t>1197</t>
        </is>
      </c>
      <c r="B427" s="14" t="inlineStr">
        <is>
          <t>Kail/Deodar scantlings</t>
        </is>
      </c>
      <c r="C427" s="13" t="inlineStr">
        <is>
          <t>cum</t>
        </is>
      </c>
      <c r="D427" s="15" t="n">
        <v>0.0218</v>
      </c>
      <c r="E427" s="16" t="n">
        <v>12000</v>
      </c>
      <c r="F427" s="16">
        <f>D427*E427</f>
        <v/>
      </c>
    </row>
    <row r="428">
      <c r="A428" s="13" t="inlineStr">
        <is>
          <t>0302</t>
        </is>
      </c>
      <c r="B428" s="14" t="inlineStr">
        <is>
          <t>Safeda poles/Ballies</t>
        </is>
      </c>
      <c r="C428" s="13" t="inlineStr">
        <is>
          <t>each</t>
        </is>
      </c>
      <c r="D428" s="15" t="n">
        <v>0.45</v>
      </c>
      <c r="E428" s="16" t="n">
        <v>40</v>
      </c>
      <c r="F428" s="16">
        <f>D428*E428</f>
        <v/>
      </c>
    </row>
    <row r="429">
      <c r="A429" s="13" t="inlineStr">
        <is>
          <t>2204</t>
        </is>
      </c>
      <c r="B429" s="14" t="inlineStr">
        <is>
          <t>Carriage of timber</t>
        </is>
      </c>
      <c r="C429" s="13" t="inlineStr">
        <is>
          <t>cum</t>
        </is>
      </c>
      <c r="D429" s="15" t="n">
        <v>0.0858</v>
      </c>
      <c r="E429" s="16" t="n">
        <v>118.59</v>
      </c>
      <c r="F429" s="16">
        <f>D429*E429</f>
        <v/>
      </c>
    </row>
    <row r="430">
      <c r="A430" s="13" t="inlineStr">
        <is>
          <t>0112</t>
        </is>
      </c>
      <c r="B430" s="14" t="inlineStr">
        <is>
          <t>Carpenter 2nd class</t>
        </is>
      </c>
      <c r="C430" s="13" t="inlineStr">
        <is>
          <t>day</t>
        </is>
      </c>
      <c r="D430" s="15" t="n">
        <v>0.9</v>
      </c>
      <c r="E430" s="16" t="n">
        <v>679</v>
      </c>
      <c r="F430" s="16">
        <f>D430*E430</f>
        <v/>
      </c>
    </row>
    <row r="431">
      <c r="A431" s="13" t="inlineStr">
        <is>
          <t>0114</t>
        </is>
      </c>
      <c r="B431" s="14" t="inlineStr">
        <is>
          <t>Beldar</t>
        </is>
      </c>
      <c r="C431" s="13" t="inlineStr">
        <is>
          <t>day</t>
        </is>
      </c>
      <c r="D431" s="15" t="n">
        <v>0.45</v>
      </c>
      <c r="E431" s="16" t="n">
        <v>558</v>
      </c>
      <c r="F431" s="16">
        <f>D431*E431</f>
        <v/>
      </c>
    </row>
    <row r="432">
      <c r="A432" s="13" t="inlineStr">
        <is>
          <t>9999</t>
        </is>
      </c>
      <c r="B432" s="14" t="inlineStr">
        <is>
          <t>Sundries</t>
        </is>
      </c>
      <c r="C432" s="13" t="inlineStr">
        <is>
          <t>LS</t>
        </is>
      </c>
      <c r="D432" s="15" t="n">
        <v>9.880000000000001</v>
      </c>
      <c r="E432" s="16" t="n">
        <v>2</v>
      </c>
      <c r="F432" s="16">
        <f>D432*E432</f>
        <v/>
      </c>
    </row>
    <row r="433">
      <c r="A433" s="17" t="inlineStr">
        <is>
          <t>Resource Total (Material + Labour + Machinery, as printed)</t>
        </is>
      </c>
      <c r="B433" s="18" t="n"/>
      <c r="C433" s="18" t="n"/>
      <c r="D433" s="18" t="n"/>
      <c r="E433" s="18" t="n"/>
      <c r="F433" s="19">
        <f>SUM(F426:F432)</f>
        <v/>
      </c>
    </row>
    <row r="434">
      <c r="A434" s="20" t="inlineStr">
        <is>
          <t>SAY (Rs.) — final DAR rate</t>
        </is>
      </c>
      <c r="B434" s="21" t="n"/>
      <c r="C434" s="21" t="n"/>
      <c r="D434" s="21" t="n"/>
      <c r="E434" s="21" t="n"/>
      <c r="F434" s="22" t="n">
        <v>74.05</v>
      </c>
    </row>
    <row r="436" ht="28" customHeight="1">
      <c r="A436" s="9" t="inlineStr">
        <is>
          <t>2.20.3</t>
        </is>
      </c>
      <c r="B436" s="10" t="inlineStr">
        <is>
          <t>Open timbering in trenches including strutting and shoring complete (measurements to be taken of the face area timbered): Depth exceeding 3 m but not exceeding 4.5 m</t>
        </is>
      </c>
      <c r="C436" s="11" t="n"/>
      <c r="D436" s="11" t="n"/>
      <c r="E436" s="11" t="n"/>
      <c r="F436" s="11" t="n"/>
    </row>
    <row r="437">
      <c r="A437" s="12" t="inlineStr">
        <is>
          <t>Rate basis: per sqm  (source: cost for 90 sqm)</t>
        </is>
      </c>
    </row>
    <row r="438">
      <c r="A438" s="5" t="inlineStr">
        <is>
          <t>Code</t>
        </is>
      </c>
      <c r="B438" s="5" t="inlineStr">
        <is>
          <t>Description</t>
        </is>
      </c>
      <c r="C438" s="5" t="inlineStr">
        <is>
          <t>Unit</t>
        </is>
      </c>
      <c r="D438" s="5" t="inlineStr">
        <is>
          <t>Quantity</t>
        </is>
      </c>
      <c r="E438" s="5" t="inlineStr">
        <is>
          <t>Rate (Rs.)</t>
        </is>
      </c>
      <c r="F438" s="5" t="inlineStr">
        <is>
          <t>Amount (Rs.)</t>
        </is>
      </c>
    </row>
    <row r="439">
      <c r="A439" s="13" t="inlineStr">
        <is>
          <t>1198</t>
        </is>
      </c>
      <c r="B439" s="14" t="inlineStr">
        <is>
          <t>Kail/Deodar planks 38 mm</t>
        </is>
      </c>
      <c r="C439" s="13" t="inlineStr">
        <is>
          <t>cum</t>
        </is>
      </c>
      <c r="D439" s="15" t="n">
        <v>0.08400000000000001</v>
      </c>
      <c r="E439" s="16" t="n">
        <v>12000</v>
      </c>
      <c r="F439" s="16">
        <f>D439*E439</f>
        <v/>
      </c>
    </row>
    <row r="440">
      <c r="A440" s="13" t="inlineStr">
        <is>
          <t>1197</t>
        </is>
      </c>
      <c r="B440" s="14" t="inlineStr">
        <is>
          <t>Kail/Deodar scantlings</t>
        </is>
      </c>
      <c r="C440" s="13" t="inlineStr">
        <is>
          <t>cum</t>
        </is>
      </c>
      <c r="D440" s="15" t="n">
        <v>0.0288</v>
      </c>
      <c r="E440" s="16" t="n">
        <v>12000</v>
      </c>
      <c r="F440" s="16">
        <f>D440*E440</f>
        <v/>
      </c>
    </row>
    <row r="441">
      <c r="A441" s="13" t="inlineStr">
        <is>
          <t>0302</t>
        </is>
      </c>
      <c r="B441" s="14" t="inlineStr">
        <is>
          <t>Safeda poles/Ballies</t>
        </is>
      </c>
      <c r="C441" s="13" t="inlineStr">
        <is>
          <t>each</t>
        </is>
      </c>
      <c r="D441" s="15" t="n">
        <v>0.45</v>
      </c>
      <c r="E441" s="16" t="n">
        <v>40</v>
      </c>
      <c r="F441" s="16">
        <f>D441*E441</f>
        <v/>
      </c>
    </row>
    <row r="442">
      <c r="A442" s="13" t="inlineStr">
        <is>
          <t>2204</t>
        </is>
      </c>
      <c r="B442" s="14" t="inlineStr">
        <is>
          <t>Carriage of timber</t>
        </is>
      </c>
      <c r="C442" s="13" t="inlineStr">
        <is>
          <t>cum</t>
        </is>
      </c>
      <c r="D442" s="15" t="n">
        <v>0.1128</v>
      </c>
      <c r="E442" s="16" t="n">
        <v>118.59</v>
      </c>
      <c r="F442" s="16">
        <f>D442*E442</f>
        <v/>
      </c>
    </row>
    <row r="443">
      <c r="A443" s="13" t="inlineStr">
        <is>
          <t>0112</t>
        </is>
      </c>
      <c r="B443" s="14" t="inlineStr">
        <is>
          <t>Carpenter 2nd class</t>
        </is>
      </c>
      <c r="C443" s="13" t="inlineStr">
        <is>
          <t>day</t>
        </is>
      </c>
      <c r="D443" s="15" t="n">
        <v>1.1</v>
      </c>
      <c r="E443" s="16" t="n">
        <v>679</v>
      </c>
      <c r="F443" s="16">
        <f>D443*E443</f>
        <v/>
      </c>
    </row>
    <row r="444">
      <c r="A444" s="13" t="inlineStr">
        <is>
          <t>0114</t>
        </is>
      </c>
      <c r="B444" s="14" t="inlineStr">
        <is>
          <t>Beldar</t>
        </is>
      </c>
      <c r="C444" s="13" t="inlineStr">
        <is>
          <t>day</t>
        </is>
      </c>
      <c r="D444" s="15" t="n">
        <v>0.55</v>
      </c>
      <c r="E444" s="16" t="n">
        <v>558</v>
      </c>
      <c r="F444" s="16">
        <f>D444*E444</f>
        <v/>
      </c>
    </row>
    <row r="445">
      <c r="A445" s="13" t="inlineStr">
        <is>
          <t>9999</t>
        </is>
      </c>
      <c r="B445" s="14" t="inlineStr">
        <is>
          <t>Sundries</t>
        </is>
      </c>
      <c r="C445" s="13" t="inlineStr">
        <is>
          <t>LS</t>
        </is>
      </c>
      <c r="D445" s="15" t="n">
        <v>12.72</v>
      </c>
      <c r="E445" s="16" t="n">
        <v>2</v>
      </c>
      <c r="F445" s="16">
        <f>D445*E445</f>
        <v/>
      </c>
    </row>
    <row r="446">
      <c r="A446" s="17" t="inlineStr">
        <is>
          <t>Resource Total (Material + Labour + Machinery, as printed)</t>
        </is>
      </c>
      <c r="B446" s="18" t="n"/>
      <c r="C446" s="18" t="n"/>
      <c r="D446" s="18" t="n"/>
      <c r="E446" s="18" t="n"/>
      <c r="F446" s="19">
        <f>SUM(F439:F445)</f>
        <v/>
      </c>
    </row>
    <row r="447">
      <c r="A447" s="20" t="inlineStr">
        <is>
          <t>SAY (Rs.) — final DAR rate</t>
        </is>
      </c>
      <c r="B447" s="21" t="n"/>
      <c r="C447" s="21" t="n"/>
      <c r="D447" s="21" t="n"/>
      <c r="E447" s="21" t="n"/>
      <c r="F447" s="22" t="n">
        <v>85.7</v>
      </c>
    </row>
    <row r="449" ht="42" customHeight="1">
      <c r="A449" s="9" t="inlineStr">
        <is>
          <t>2.21.1</t>
        </is>
      </c>
      <c r="B449" s="10" t="inlineStr">
        <is>
          <t>Open timbering in case of shafts, wells, cesspits, manholes and the like including strutting and shoring complete (Measurements to be taken of the face area timbered): Depth not exceeding 1.5 m</t>
        </is>
      </c>
      <c r="C449" s="11" t="n"/>
      <c r="D449" s="11" t="n"/>
      <c r="E449" s="11" t="n"/>
      <c r="F449" s="11" t="n"/>
    </row>
    <row r="450">
      <c r="A450" s="12" t="inlineStr">
        <is>
          <t>Rate basis: per sqm  (source: cost for 6.6 sqm)</t>
        </is>
      </c>
    </row>
    <row r="451">
      <c r="A451" s="5" t="inlineStr">
        <is>
          <t>Code</t>
        </is>
      </c>
      <c r="B451" s="5" t="inlineStr">
        <is>
          <t>Description</t>
        </is>
      </c>
      <c r="C451" s="5" t="inlineStr">
        <is>
          <t>Unit</t>
        </is>
      </c>
      <c r="D451" s="5" t="inlineStr">
        <is>
          <t>Quantity</t>
        </is>
      </c>
      <c r="E451" s="5" t="inlineStr">
        <is>
          <t>Rate (Rs.)</t>
        </is>
      </c>
      <c r="F451" s="5" t="inlineStr">
        <is>
          <t>Amount (Rs.)</t>
        </is>
      </c>
    </row>
    <row r="452">
      <c r="A452" s="13" t="inlineStr">
        <is>
          <t>1198</t>
        </is>
      </c>
      <c r="B452" s="14" t="inlineStr">
        <is>
          <t>Kail/Deodar planks</t>
        </is>
      </c>
      <c r="C452" s="13" t="inlineStr">
        <is>
          <t>cum</t>
        </is>
      </c>
      <c r="D452" s="15" t="n">
        <v>0.00495</v>
      </c>
      <c r="E452" s="16" t="n">
        <v>12000</v>
      </c>
      <c r="F452" s="16">
        <f>D452*E452</f>
        <v/>
      </c>
    </row>
    <row r="453">
      <c r="A453" s="13" t="inlineStr">
        <is>
          <t>1197</t>
        </is>
      </c>
      <c r="B453" s="14" t="inlineStr">
        <is>
          <t>Kail/Deodar scantlings</t>
        </is>
      </c>
      <c r="C453" s="13" t="inlineStr">
        <is>
          <t>cum</t>
        </is>
      </c>
      <c r="D453" s="15" t="n">
        <v>0.00168</v>
      </c>
      <c r="E453" s="16" t="n">
        <v>12000</v>
      </c>
      <c r="F453" s="16">
        <f>D453*E453</f>
        <v/>
      </c>
    </row>
    <row r="454">
      <c r="A454" s="13" t="inlineStr">
        <is>
          <t>0302</t>
        </is>
      </c>
      <c r="B454" s="14" t="inlineStr">
        <is>
          <t>Safeda poles/Ballies</t>
        </is>
      </c>
      <c r="C454" s="13" t="inlineStr">
        <is>
          <t>each</t>
        </is>
      </c>
      <c r="D454" s="15" t="n">
        <v>0.04125</v>
      </c>
      <c r="E454" s="16" t="n">
        <v>40</v>
      </c>
      <c r="F454" s="16">
        <f>D454*E454</f>
        <v/>
      </c>
    </row>
    <row r="455">
      <c r="A455" s="13" t="inlineStr">
        <is>
          <t>2204</t>
        </is>
      </c>
      <c r="B455" s="14" t="inlineStr">
        <is>
          <t>Carriage of timber</t>
        </is>
      </c>
      <c r="C455" s="13" t="inlineStr">
        <is>
          <t>cum</t>
        </is>
      </c>
      <c r="D455" s="15" t="n">
        <v>0.00663</v>
      </c>
      <c r="E455" s="16" t="n">
        <v>118.59</v>
      </c>
      <c r="F455" s="16">
        <f>D455*E455</f>
        <v/>
      </c>
    </row>
    <row r="456">
      <c r="A456" s="13" t="inlineStr">
        <is>
          <t>0112</t>
        </is>
      </c>
      <c r="B456" s="14" t="inlineStr">
        <is>
          <t>Carpenter 2nd class</t>
        </is>
      </c>
      <c r="C456" s="13" t="inlineStr">
        <is>
          <t>day</t>
        </is>
      </c>
      <c r="D456" s="15" t="n">
        <v>0.068</v>
      </c>
      <c r="E456" s="16" t="n">
        <v>679</v>
      </c>
      <c r="F456" s="16">
        <f>D456*E456</f>
        <v/>
      </c>
    </row>
    <row r="457">
      <c r="A457" s="13" t="inlineStr">
        <is>
          <t>0114</t>
        </is>
      </c>
      <c r="B457" s="14" t="inlineStr">
        <is>
          <t>Beldar</t>
        </is>
      </c>
      <c r="C457" s="13" t="inlineStr">
        <is>
          <t>day</t>
        </is>
      </c>
      <c r="D457" s="15" t="n">
        <v>0.034</v>
      </c>
      <c r="E457" s="16" t="n">
        <v>558</v>
      </c>
      <c r="F457" s="16">
        <f>D457*E457</f>
        <v/>
      </c>
    </row>
    <row r="458">
      <c r="A458" s="13" t="inlineStr">
        <is>
          <t>9999</t>
        </is>
      </c>
      <c r="B458" s="14" t="inlineStr">
        <is>
          <t>Sundries</t>
        </is>
      </c>
      <c r="C458" s="13" t="inlineStr">
        <is>
          <t>LS</t>
        </is>
      </c>
      <c r="D458" s="15" t="n">
        <v>0.735</v>
      </c>
      <c r="E458" s="16" t="n">
        <v>2</v>
      </c>
      <c r="F458" s="16">
        <f>D458*E458</f>
        <v/>
      </c>
    </row>
    <row r="459">
      <c r="A459" s="17" t="inlineStr">
        <is>
          <t>Resource Total (Material + Labour + Machinery, as printed)</t>
        </is>
      </c>
      <c r="B459" s="18" t="n"/>
      <c r="C459" s="18" t="n"/>
      <c r="D459" s="18" t="n"/>
      <c r="E459" s="18" t="n"/>
      <c r="F459" s="19">
        <f>SUM(F452:F458)</f>
        <v/>
      </c>
    </row>
    <row r="460">
      <c r="A460" s="20" t="inlineStr">
        <is>
          <t>SAY (Rs.) — final DAR rate</t>
        </is>
      </c>
      <c r="B460" s="21" t="n"/>
      <c r="C460" s="21" t="n"/>
      <c r="D460" s="21" t="n"/>
      <c r="E460" s="21" t="n"/>
      <c r="F460" s="22" t="n">
        <v>60.3</v>
      </c>
    </row>
    <row r="462" ht="42" customHeight="1">
      <c r="A462" s="9" t="inlineStr">
        <is>
          <t>2.21.2</t>
        </is>
      </c>
      <c r="B462" s="10" t="inlineStr">
        <is>
          <t>Open timbering in case of shafts, wells, cesspits, manholes and the like including strutting and shoring complete (Measurements to be taken of the face area timbered): Depth exceeding 1.5 m but not exceeding 3 m</t>
        </is>
      </c>
      <c r="C462" s="11" t="n"/>
      <c r="D462" s="11" t="n"/>
      <c r="E462" s="11" t="n"/>
      <c r="F462" s="11" t="n"/>
    </row>
    <row r="463">
      <c r="A463" s="12" t="inlineStr">
        <is>
          <t>Rate basis: per sqm  (source: cost for 6.6 sqm)</t>
        </is>
      </c>
    </row>
    <row r="464">
      <c r="A464" s="5" t="inlineStr">
        <is>
          <t>Code</t>
        </is>
      </c>
      <c r="B464" s="5" t="inlineStr">
        <is>
          <t>Description</t>
        </is>
      </c>
      <c r="C464" s="5" t="inlineStr">
        <is>
          <t>Unit</t>
        </is>
      </c>
      <c r="D464" s="5" t="inlineStr">
        <is>
          <t>Quantity</t>
        </is>
      </c>
      <c r="E464" s="5" t="inlineStr">
        <is>
          <t>Rate (Rs.)</t>
        </is>
      </c>
      <c r="F464" s="5" t="inlineStr">
        <is>
          <t>Amount (Rs.)</t>
        </is>
      </c>
    </row>
    <row r="465">
      <c r="A465" s="13" t="inlineStr">
        <is>
          <t>1198</t>
        </is>
      </c>
      <c r="B465" s="14" t="inlineStr">
        <is>
          <t>Kail/Deodar planks</t>
        </is>
      </c>
      <c r="C465" s="13" t="inlineStr">
        <is>
          <t>cum</t>
        </is>
      </c>
      <c r="D465" s="15" t="n">
        <v>0.00594</v>
      </c>
      <c r="E465" s="16" t="n">
        <v>12000</v>
      </c>
      <c r="F465" s="16">
        <f>D465*E465</f>
        <v/>
      </c>
    </row>
    <row r="466">
      <c r="A466" s="13" t="inlineStr">
        <is>
          <t>1197</t>
        </is>
      </c>
      <c r="B466" s="14" t="inlineStr">
        <is>
          <t>Kail/Deodar scantlings</t>
        </is>
      </c>
      <c r="C466" s="13" t="inlineStr">
        <is>
          <t>cum</t>
        </is>
      </c>
      <c r="D466" s="15" t="n">
        <v>0.002</v>
      </c>
      <c r="E466" s="16" t="n">
        <v>12000</v>
      </c>
      <c r="F466" s="16">
        <f>D466*E466</f>
        <v/>
      </c>
    </row>
    <row r="467">
      <c r="A467" s="13" t="inlineStr">
        <is>
          <t>0302</t>
        </is>
      </c>
      <c r="B467" s="14" t="inlineStr">
        <is>
          <t>Safeda poles/Ballies</t>
        </is>
      </c>
      <c r="C467" s="13" t="inlineStr">
        <is>
          <t>each</t>
        </is>
      </c>
      <c r="D467" s="15" t="n">
        <v>0.04125</v>
      </c>
      <c r="E467" s="16" t="n">
        <v>40</v>
      </c>
      <c r="F467" s="16">
        <f>D467*E467</f>
        <v/>
      </c>
    </row>
    <row r="468">
      <c r="A468" s="13" t="inlineStr">
        <is>
          <t>2204</t>
        </is>
      </c>
      <c r="B468" s="14" t="inlineStr">
        <is>
          <t>Carriage of timber</t>
        </is>
      </c>
      <c r="C468" s="13" t="inlineStr">
        <is>
          <t>cum</t>
        </is>
      </c>
      <c r="D468" s="15" t="n">
        <v>0.007939999999999999</v>
      </c>
      <c r="E468" s="16" t="n">
        <v>118.59</v>
      </c>
      <c r="F468" s="16">
        <f>D468*E468</f>
        <v/>
      </c>
    </row>
    <row r="469">
      <c r="A469" s="13" t="inlineStr">
        <is>
          <t>0112</t>
        </is>
      </c>
      <c r="B469" s="14" t="inlineStr">
        <is>
          <t>Carpenter 2nd class</t>
        </is>
      </c>
      <c r="C469" s="13" t="inlineStr">
        <is>
          <t>day</t>
        </is>
      </c>
      <c r="D469" s="15" t="n">
        <v>0.083</v>
      </c>
      <c r="E469" s="16" t="n">
        <v>679</v>
      </c>
      <c r="F469" s="16">
        <f>D469*E469</f>
        <v/>
      </c>
    </row>
    <row r="470">
      <c r="A470" s="13" t="inlineStr">
        <is>
          <t>0114</t>
        </is>
      </c>
      <c r="B470" s="14" t="inlineStr">
        <is>
          <t>Beldar</t>
        </is>
      </c>
      <c r="C470" s="13" t="inlineStr">
        <is>
          <t>day</t>
        </is>
      </c>
      <c r="D470" s="15" t="n">
        <v>0.042</v>
      </c>
      <c r="E470" s="16" t="n">
        <v>558</v>
      </c>
      <c r="F470" s="16">
        <f>D470*E470</f>
        <v/>
      </c>
    </row>
    <row r="471">
      <c r="A471" s="13" t="inlineStr">
        <is>
          <t>9999</t>
        </is>
      </c>
      <c r="B471" s="14" t="inlineStr">
        <is>
          <t>Sundries</t>
        </is>
      </c>
      <c r="C471" s="13" t="inlineStr">
        <is>
          <t>LS</t>
        </is>
      </c>
      <c r="D471" s="15" t="n">
        <v>0.91</v>
      </c>
      <c r="E471" s="16" t="n">
        <v>2</v>
      </c>
      <c r="F471" s="16">
        <f>D471*E471</f>
        <v/>
      </c>
    </row>
    <row r="472">
      <c r="A472" s="17" t="inlineStr">
        <is>
          <t>Resource Total (Material + Labour + Machinery, as printed)</t>
        </is>
      </c>
      <c r="B472" s="18" t="n"/>
      <c r="C472" s="18" t="n"/>
      <c r="D472" s="18" t="n"/>
      <c r="E472" s="18" t="n"/>
      <c r="F472" s="19">
        <f>SUM(F465:F471)</f>
        <v/>
      </c>
    </row>
    <row r="473">
      <c r="A473" s="20" t="inlineStr">
        <is>
          <t>SAY (Rs.) — final DAR rate</t>
        </is>
      </c>
      <c r="B473" s="21" t="n"/>
      <c r="C473" s="21" t="n"/>
      <c r="D473" s="21" t="n"/>
      <c r="E473" s="21" t="n"/>
      <c r="F473" s="22" t="n">
        <v>71.59999999999999</v>
      </c>
    </row>
    <row r="475" ht="42" customHeight="1">
      <c r="A475" s="9" t="inlineStr">
        <is>
          <t>2.21.3</t>
        </is>
      </c>
      <c r="B475" s="10" t="inlineStr">
        <is>
          <t>Open timbering in case of shafts, wells, cesspits, manholes and the like including strutting and shoring complete (Measurements to be taken of the face area timbered): Depth exceeding 3 m but not exceeding 4.5 m</t>
        </is>
      </c>
      <c r="C475" s="11" t="n"/>
      <c r="D475" s="11" t="n"/>
      <c r="E475" s="11" t="n"/>
      <c r="F475" s="11" t="n"/>
    </row>
    <row r="476">
      <c r="A476" s="12" t="inlineStr">
        <is>
          <t>Rate basis: per sqm  (source: cost for 6.6 sqm)</t>
        </is>
      </c>
    </row>
    <row r="477">
      <c r="A477" s="5" t="inlineStr">
        <is>
          <t>Code</t>
        </is>
      </c>
      <c r="B477" s="5" t="inlineStr">
        <is>
          <t>Description</t>
        </is>
      </c>
      <c r="C477" s="5" t="inlineStr">
        <is>
          <t>Unit</t>
        </is>
      </c>
      <c r="D477" s="5" t="inlineStr">
        <is>
          <t>Quantity</t>
        </is>
      </c>
      <c r="E477" s="5" t="inlineStr">
        <is>
          <t>Rate (Rs.)</t>
        </is>
      </c>
      <c r="F477" s="5" t="inlineStr">
        <is>
          <t>Amount (Rs.)</t>
        </is>
      </c>
    </row>
    <row r="478">
      <c r="A478" s="13" t="inlineStr">
        <is>
          <t>1198</t>
        </is>
      </c>
      <c r="B478" s="14" t="inlineStr">
        <is>
          <t>Kail/Deodar planks</t>
        </is>
      </c>
      <c r="C478" s="13" t="inlineStr">
        <is>
          <t>cum</t>
        </is>
      </c>
      <c r="D478" s="15" t="n">
        <v>0.0077</v>
      </c>
      <c r="E478" s="16" t="n">
        <v>12000</v>
      </c>
      <c r="F478" s="16">
        <f>D478*E478</f>
        <v/>
      </c>
    </row>
    <row r="479">
      <c r="A479" s="13" t="inlineStr">
        <is>
          <t>1197</t>
        </is>
      </c>
      <c r="B479" s="14" t="inlineStr">
        <is>
          <t>Kail/Deodar scantlings</t>
        </is>
      </c>
      <c r="C479" s="13" t="inlineStr">
        <is>
          <t>cum</t>
        </is>
      </c>
      <c r="D479" s="15" t="n">
        <v>0.00263</v>
      </c>
      <c r="E479" s="16" t="n">
        <v>12000</v>
      </c>
      <c r="F479" s="16">
        <f>D479*E479</f>
        <v/>
      </c>
    </row>
    <row r="480">
      <c r="A480" s="13" t="inlineStr">
        <is>
          <t>0302</t>
        </is>
      </c>
      <c r="B480" s="14" t="inlineStr">
        <is>
          <t>Safeda poles/Ballies</t>
        </is>
      </c>
      <c r="C480" s="13" t="inlineStr">
        <is>
          <t>each</t>
        </is>
      </c>
      <c r="D480" s="15" t="n">
        <v>0.04125</v>
      </c>
      <c r="E480" s="16" t="n">
        <v>40</v>
      </c>
      <c r="F480" s="16">
        <f>D480*E480</f>
        <v/>
      </c>
    </row>
    <row r="481">
      <c r="A481" s="13" t="inlineStr">
        <is>
          <t>2204</t>
        </is>
      </c>
      <c r="B481" s="14" t="inlineStr">
        <is>
          <t>Carriage of timber</t>
        </is>
      </c>
      <c r="C481" s="13" t="inlineStr">
        <is>
          <t>cum</t>
        </is>
      </c>
      <c r="D481" s="15" t="n">
        <v>0.01033</v>
      </c>
      <c r="E481" s="16" t="n">
        <v>118.59</v>
      </c>
      <c r="F481" s="16">
        <f>D481*E481</f>
        <v/>
      </c>
    </row>
    <row r="482">
      <c r="A482" s="13" t="inlineStr">
        <is>
          <t>0112</t>
        </is>
      </c>
      <c r="B482" s="14" t="inlineStr">
        <is>
          <t>Carpenter 2nd class</t>
        </is>
      </c>
      <c r="C482" s="13" t="inlineStr">
        <is>
          <t>day</t>
        </is>
      </c>
      <c r="D482" s="15" t="n">
        <v>0.1</v>
      </c>
      <c r="E482" s="16" t="n">
        <v>679</v>
      </c>
      <c r="F482" s="16">
        <f>D482*E482</f>
        <v/>
      </c>
    </row>
    <row r="483">
      <c r="A483" s="13" t="inlineStr">
        <is>
          <t>0114</t>
        </is>
      </c>
      <c r="B483" s="14" t="inlineStr">
        <is>
          <t>Beldar</t>
        </is>
      </c>
      <c r="C483" s="13" t="inlineStr">
        <is>
          <t>day</t>
        </is>
      </c>
      <c r="D483" s="15" t="n">
        <v>0.05</v>
      </c>
      <c r="E483" s="16" t="n">
        <v>558</v>
      </c>
      <c r="F483" s="16">
        <f>D483*E483</f>
        <v/>
      </c>
    </row>
    <row r="484">
      <c r="A484" s="13" t="inlineStr">
        <is>
          <t>9999</t>
        </is>
      </c>
      <c r="B484" s="14" t="inlineStr">
        <is>
          <t>Sundries</t>
        </is>
      </c>
      <c r="C484" s="13" t="inlineStr">
        <is>
          <t>LS</t>
        </is>
      </c>
      <c r="D484" s="15" t="n">
        <v>1.105</v>
      </c>
      <c r="E484" s="16" t="n">
        <v>2</v>
      </c>
      <c r="F484" s="16">
        <f>D484*E484</f>
        <v/>
      </c>
    </row>
    <row r="485">
      <c r="A485" s="17" t="inlineStr">
        <is>
          <t>Resource Total (Material + Labour + Machinery, as printed)</t>
        </is>
      </c>
      <c r="B485" s="18" t="n"/>
      <c r="C485" s="18" t="n"/>
      <c r="D485" s="18" t="n"/>
      <c r="E485" s="18" t="n"/>
      <c r="F485" s="19">
        <f>SUM(F478:F484)</f>
        <v/>
      </c>
    </row>
    <row r="486">
      <c r="A486" s="20" t="inlineStr">
        <is>
          <t>SAY (Rs.) — final DAR rate</t>
        </is>
      </c>
      <c r="B486" s="21" t="n"/>
      <c r="C486" s="21" t="n"/>
      <c r="D486" s="21" t="n"/>
      <c r="E486" s="21" t="n"/>
      <c r="F486" s="22" t="n">
        <v>86.5</v>
      </c>
    </row>
    <row r="488" ht="28" customHeight="1">
      <c r="A488" s="9" t="inlineStr">
        <is>
          <t>2.22.1</t>
        </is>
      </c>
      <c r="B488" s="10" t="inlineStr">
        <is>
          <t>Open timbering over areas including strutting, shoring etc. complete. (Measurements to be taken of the face area timbered): Depth not exceeding 1.5 m</t>
        </is>
      </c>
      <c r="C488" s="11" t="n"/>
      <c r="D488" s="11" t="n"/>
      <c r="E488" s="11" t="n"/>
      <c r="F488" s="11" t="n"/>
    </row>
    <row r="489">
      <c r="A489" s="12" t="inlineStr">
        <is>
          <t>Rate basis: per sqm  (source: cost for 45 sqm)</t>
        </is>
      </c>
    </row>
    <row r="490">
      <c r="A490" s="5" t="inlineStr">
        <is>
          <t>Code</t>
        </is>
      </c>
      <c r="B490" s="5" t="inlineStr">
        <is>
          <t>Description</t>
        </is>
      </c>
      <c r="C490" s="5" t="inlineStr">
        <is>
          <t>Unit</t>
        </is>
      </c>
      <c r="D490" s="5" t="inlineStr">
        <is>
          <t>Quantity</t>
        </is>
      </c>
      <c r="E490" s="5" t="inlineStr">
        <is>
          <t>Rate (Rs.)</t>
        </is>
      </c>
      <c r="F490" s="5" t="inlineStr">
        <is>
          <t>Amount (Rs.)</t>
        </is>
      </c>
    </row>
    <row r="491">
      <c r="A491" s="13" t="inlineStr">
        <is>
          <t>1198</t>
        </is>
      </c>
      <c r="B491" s="14" t="inlineStr">
        <is>
          <t>Kail/Deodar planks</t>
        </is>
      </c>
      <c r="C491" s="13" t="inlineStr">
        <is>
          <t>cum</t>
        </is>
      </c>
      <c r="D491" s="15" t="n">
        <v>0.027</v>
      </c>
      <c r="E491" s="16" t="n">
        <v>12000</v>
      </c>
      <c r="F491" s="16">
        <f>D491*E491</f>
        <v/>
      </c>
    </row>
    <row r="492">
      <c r="A492" s="13" t="inlineStr">
        <is>
          <t>1197</t>
        </is>
      </c>
      <c r="B492" s="14" t="inlineStr">
        <is>
          <t>Kail/Deodar scantlings</t>
        </is>
      </c>
      <c r="C492" s="13" t="inlineStr">
        <is>
          <t>cum</t>
        </is>
      </c>
      <c r="D492" s="15" t="n">
        <v>0.0091</v>
      </c>
      <c r="E492" s="16" t="n">
        <v>12000</v>
      </c>
      <c r="F492" s="16">
        <f>D492*E492</f>
        <v/>
      </c>
    </row>
    <row r="493">
      <c r="A493" s="13" t="inlineStr">
        <is>
          <t>0302</t>
        </is>
      </c>
      <c r="B493" s="14" t="inlineStr">
        <is>
          <t>Safeda poles/Ballies</t>
        </is>
      </c>
      <c r="C493" s="13" t="inlineStr">
        <is>
          <t>each</t>
        </is>
      </c>
      <c r="D493" s="15" t="n">
        <v>0.225</v>
      </c>
      <c r="E493" s="16" t="n">
        <v>40</v>
      </c>
      <c r="F493" s="16">
        <f>D493*E493</f>
        <v/>
      </c>
    </row>
    <row r="494">
      <c r="A494" s="13" t="inlineStr">
        <is>
          <t>2204</t>
        </is>
      </c>
      <c r="B494" s="14" t="inlineStr">
        <is>
          <t>Carriage of timber</t>
        </is>
      </c>
      <c r="C494" s="13" t="inlineStr">
        <is>
          <t>cum</t>
        </is>
      </c>
      <c r="D494" s="15" t="n">
        <v>0.0361</v>
      </c>
      <c r="E494" s="16" t="n">
        <v>118.59</v>
      </c>
      <c r="F494" s="16">
        <f>D494*E494</f>
        <v/>
      </c>
    </row>
    <row r="495">
      <c r="A495" s="13" t="inlineStr">
        <is>
          <t>0112</t>
        </is>
      </c>
      <c r="B495" s="14" t="inlineStr">
        <is>
          <t>Carpenter 2nd class</t>
        </is>
      </c>
      <c r="C495" s="13" t="inlineStr">
        <is>
          <t>day</t>
        </is>
      </c>
      <c r="D495" s="15" t="n">
        <v>0.375</v>
      </c>
      <c r="E495" s="16" t="n">
        <v>679</v>
      </c>
      <c r="F495" s="16">
        <f>D495*E495</f>
        <v/>
      </c>
    </row>
    <row r="496">
      <c r="A496" s="13" t="inlineStr">
        <is>
          <t>0114</t>
        </is>
      </c>
      <c r="B496" s="14" t="inlineStr">
        <is>
          <t>Beldar</t>
        </is>
      </c>
      <c r="C496" s="13" t="inlineStr">
        <is>
          <t>day</t>
        </is>
      </c>
      <c r="D496" s="15" t="n">
        <v>0.188</v>
      </c>
      <c r="E496" s="16" t="n">
        <v>558</v>
      </c>
      <c r="F496" s="16">
        <f>D496*E496</f>
        <v/>
      </c>
    </row>
    <row r="497">
      <c r="A497" s="13" t="inlineStr">
        <is>
          <t>9999</t>
        </is>
      </c>
      <c r="B497" s="14" t="inlineStr">
        <is>
          <t>Sundries</t>
        </is>
      </c>
      <c r="C497" s="13" t="inlineStr">
        <is>
          <t>LS</t>
        </is>
      </c>
      <c r="D497" s="15" t="n">
        <v>4.03</v>
      </c>
      <c r="E497" s="16" t="n">
        <v>2</v>
      </c>
      <c r="F497" s="16">
        <f>D497*E497</f>
        <v/>
      </c>
    </row>
    <row r="498">
      <c r="A498" s="17" t="inlineStr">
        <is>
          <t>Resource Total (Material + Labour + Machinery, as printed)</t>
        </is>
      </c>
      <c r="B498" s="18" t="n"/>
      <c r="C498" s="18" t="n"/>
      <c r="D498" s="18" t="n"/>
      <c r="E498" s="18" t="n"/>
      <c r="F498" s="19">
        <f>SUM(F491:F497)</f>
        <v/>
      </c>
    </row>
    <row r="499">
      <c r="A499" s="20" t="inlineStr">
        <is>
          <t>SAY (Rs.) — final DAR rate</t>
        </is>
      </c>
      <c r="B499" s="21" t="n"/>
      <c r="C499" s="21" t="n"/>
      <c r="D499" s="21" t="n"/>
      <c r="E499" s="21" t="n"/>
      <c r="F499" s="22" t="n">
        <v>40.9</v>
      </c>
    </row>
    <row r="501" ht="28" customHeight="1">
      <c r="A501" s="9" t="inlineStr">
        <is>
          <t>2.22.2</t>
        </is>
      </c>
      <c r="B501" s="10" t="inlineStr">
        <is>
          <t>Open timbering over areas including strutting, shoring etc. complete. (Measurements to be taken of the face area timbered): Depth exceeding 1.5 m but not exceeding 3 m</t>
        </is>
      </c>
      <c r="C501" s="11" t="n"/>
      <c r="D501" s="11" t="n"/>
      <c r="E501" s="11" t="n"/>
      <c r="F501" s="11" t="n"/>
    </row>
    <row r="502">
      <c r="A502" s="12" t="inlineStr">
        <is>
          <t>Rate basis: per sqm  (source: cost for 45 sqm)</t>
        </is>
      </c>
    </row>
    <row r="503">
      <c r="A503" s="5" t="inlineStr">
        <is>
          <t>Code</t>
        </is>
      </c>
      <c r="B503" s="5" t="inlineStr">
        <is>
          <t>Description</t>
        </is>
      </c>
      <c r="C503" s="5" t="inlineStr">
        <is>
          <t>Unit</t>
        </is>
      </c>
      <c r="D503" s="5" t="inlineStr">
        <is>
          <t>Quantity</t>
        </is>
      </c>
      <c r="E503" s="5" t="inlineStr">
        <is>
          <t>Rate (Rs.)</t>
        </is>
      </c>
      <c r="F503" s="5" t="inlineStr">
        <is>
          <t>Amount (Rs.)</t>
        </is>
      </c>
    </row>
    <row r="504">
      <c r="A504" s="13" t="inlineStr">
        <is>
          <t>1198</t>
        </is>
      </c>
      <c r="B504" s="14" t="inlineStr">
        <is>
          <t>Kail/Deodar planks</t>
        </is>
      </c>
      <c r="C504" s="13" t="inlineStr">
        <is>
          <t>cum</t>
        </is>
      </c>
      <c r="D504" s="15" t="n">
        <v>0.033</v>
      </c>
      <c r="E504" s="16" t="n">
        <v>12000</v>
      </c>
      <c r="F504" s="16">
        <f>D504*E504</f>
        <v/>
      </c>
    </row>
    <row r="505">
      <c r="A505" s="13" t="inlineStr">
        <is>
          <t>1197</t>
        </is>
      </c>
      <c r="B505" s="14" t="inlineStr">
        <is>
          <t>Kail/Deodar scantlings</t>
        </is>
      </c>
      <c r="C505" s="13" t="inlineStr">
        <is>
          <t>cum</t>
        </is>
      </c>
      <c r="D505" s="15" t="n">
        <v>0.0113</v>
      </c>
      <c r="E505" s="16" t="n">
        <v>12000</v>
      </c>
      <c r="F505" s="16">
        <f>D505*E505</f>
        <v/>
      </c>
    </row>
    <row r="506">
      <c r="A506" s="13" t="inlineStr">
        <is>
          <t>0302</t>
        </is>
      </c>
      <c r="B506" s="14" t="inlineStr">
        <is>
          <t>Safeda poles/Ballies</t>
        </is>
      </c>
      <c r="C506" s="13" t="inlineStr">
        <is>
          <t>each</t>
        </is>
      </c>
      <c r="D506" s="15" t="n">
        <v>0.225</v>
      </c>
      <c r="E506" s="16" t="n">
        <v>40</v>
      </c>
      <c r="F506" s="16">
        <f>D506*E506</f>
        <v/>
      </c>
    </row>
    <row r="507">
      <c r="A507" s="13" t="inlineStr">
        <is>
          <t>2204</t>
        </is>
      </c>
      <c r="B507" s="14" t="inlineStr">
        <is>
          <t>Carriage of timber</t>
        </is>
      </c>
      <c r="C507" s="13" t="inlineStr">
        <is>
          <t>cum</t>
        </is>
      </c>
      <c r="D507" s="15" t="n">
        <v>0.0443</v>
      </c>
      <c r="E507" s="16" t="n">
        <v>118.59</v>
      </c>
      <c r="F507" s="16">
        <f>D507*E507</f>
        <v/>
      </c>
    </row>
    <row r="508">
      <c r="A508" s="13" t="inlineStr">
        <is>
          <t>0112</t>
        </is>
      </c>
      <c r="B508" s="14" t="inlineStr">
        <is>
          <t>Carpenter 2nd class</t>
        </is>
      </c>
      <c r="C508" s="13" t="inlineStr">
        <is>
          <t>day</t>
        </is>
      </c>
      <c r="D508" s="15" t="n">
        <v>0.45</v>
      </c>
      <c r="E508" s="16" t="n">
        <v>679</v>
      </c>
      <c r="F508" s="16">
        <f>D508*E508</f>
        <v/>
      </c>
    </row>
    <row r="509">
      <c r="A509" s="13" t="inlineStr">
        <is>
          <t>0114</t>
        </is>
      </c>
      <c r="B509" s="14" t="inlineStr">
        <is>
          <t>Beldar</t>
        </is>
      </c>
      <c r="C509" s="13" t="inlineStr">
        <is>
          <t>day</t>
        </is>
      </c>
      <c r="D509" s="15" t="n">
        <v>0.225</v>
      </c>
      <c r="E509" s="16" t="n">
        <v>558</v>
      </c>
      <c r="F509" s="16">
        <f>D509*E509</f>
        <v/>
      </c>
    </row>
    <row r="510">
      <c r="A510" s="13" t="inlineStr">
        <is>
          <t>9999</t>
        </is>
      </c>
      <c r="B510" s="14" t="inlineStr">
        <is>
          <t>Sundries</t>
        </is>
      </c>
      <c r="C510" s="13" t="inlineStr">
        <is>
          <t>LS</t>
        </is>
      </c>
      <c r="D510" s="15" t="n">
        <v>5.04</v>
      </c>
      <c r="E510" s="16" t="n">
        <v>2</v>
      </c>
      <c r="F510" s="16">
        <f>D510*E510</f>
        <v/>
      </c>
    </row>
    <row r="511">
      <c r="A511" s="17" t="inlineStr">
        <is>
          <t>Resource Total (Material + Labour + Machinery, as printed)</t>
        </is>
      </c>
      <c r="B511" s="18" t="n"/>
      <c r="C511" s="18" t="n"/>
      <c r="D511" s="18" t="n"/>
      <c r="E511" s="18" t="n"/>
      <c r="F511" s="19">
        <f>SUM(F504:F510)</f>
        <v/>
      </c>
    </row>
    <row r="512">
      <c r="A512" s="20" t="inlineStr">
        <is>
          <t>SAY (Rs.) — final DAR rate</t>
        </is>
      </c>
      <c r="B512" s="21" t="n"/>
      <c r="C512" s="21" t="n"/>
      <c r="D512" s="21" t="n"/>
      <c r="E512" s="21" t="n"/>
      <c r="F512" s="22" t="n">
        <v>48.45</v>
      </c>
    </row>
    <row r="514" ht="28" customHeight="1">
      <c r="A514" s="9" t="inlineStr">
        <is>
          <t>2.22.3</t>
        </is>
      </c>
      <c r="B514" s="10" t="inlineStr">
        <is>
          <t>Open timbering over areas including strutting, shoring etc. complete. (Measurements to be taken of the face area timbered): Depth exceeding 3 m but not exceeding 4.5 m</t>
        </is>
      </c>
      <c r="C514" s="11" t="n"/>
      <c r="D514" s="11" t="n"/>
      <c r="E514" s="11" t="n"/>
      <c r="F514" s="11" t="n"/>
    </row>
    <row r="515">
      <c r="A515" s="12" t="inlineStr">
        <is>
          <t>Rate basis: per sqm  (source: cost for 45 sqm)</t>
        </is>
      </c>
    </row>
    <row r="516">
      <c r="A516" s="5" t="inlineStr">
        <is>
          <t>Code</t>
        </is>
      </c>
      <c r="B516" s="5" t="inlineStr">
        <is>
          <t>Description</t>
        </is>
      </c>
      <c r="C516" s="5" t="inlineStr">
        <is>
          <t>Unit</t>
        </is>
      </c>
      <c r="D516" s="5" t="inlineStr">
        <is>
          <t>Quantity</t>
        </is>
      </c>
      <c r="E516" s="5" t="inlineStr">
        <is>
          <t>Rate (Rs.)</t>
        </is>
      </c>
      <c r="F516" s="5" t="inlineStr">
        <is>
          <t>Amount (Rs.)</t>
        </is>
      </c>
    </row>
    <row r="517">
      <c r="A517" s="13" t="inlineStr">
        <is>
          <t>1198</t>
        </is>
      </c>
      <c r="B517" s="14" t="inlineStr">
        <is>
          <t>Kail/Deodar planks</t>
        </is>
      </c>
      <c r="C517" s="13" t="inlineStr">
        <is>
          <t>cum</t>
        </is>
      </c>
      <c r="D517" s="15" t="n">
        <v>0.045</v>
      </c>
      <c r="E517" s="16" t="n">
        <v>12000</v>
      </c>
      <c r="F517" s="16">
        <f>D517*E517</f>
        <v/>
      </c>
    </row>
    <row r="518">
      <c r="A518" s="13" t="inlineStr">
        <is>
          <t>1197</t>
        </is>
      </c>
      <c r="B518" s="14" t="inlineStr">
        <is>
          <t>Kail/Deodar scantlings</t>
        </is>
      </c>
      <c r="C518" s="13" t="inlineStr">
        <is>
          <t>cum</t>
        </is>
      </c>
      <c r="D518" s="15" t="n">
        <v>0.0154</v>
      </c>
      <c r="E518" s="16" t="n">
        <v>12000</v>
      </c>
      <c r="F518" s="16">
        <f>D518*E518</f>
        <v/>
      </c>
    </row>
    <row r="519">
      <c r="A519" s="13" t="inlineStr">
        <is>
          <t>0302</t>
        </is>
      </c>
      <c r="B519" s="14" t="inlineStr">
        <is>
          <t>Safeda poles/Ballies</t>
        </is>
      </c>
      <c r="C519" s="13" t="inlineStr">
        <is>
          <t>each</t>
        </is>
      </c>
      <c r="D519" s="15" t="n">
        <v>0.225</v>
      </c>
      <c r="E519" s="16" t="n">
        <v>40</v>
      </c>
      <c r="F519" s="16">
        <f>D519*E519</f>
        <v/>
      </c>
    </row>
    <row r="520">
      <c r="A520" s="13" t="inlineStr">
        <is>
          <t>2204</t>
        </is>
      </c>
      <c r="B520" s="14" t="inlineStr">
        <is>
          <t>Carriage of timber</t>
        </is>
      </c>
      <c r="C520" s="13" t="inlineStr">
        <is>
          <t>cum</t>
        </is>
      </c>
      <c r="D520" s="15" t="n">
        <v>0.0604</v>
      </c>
      <c r="E520" s="16" t="n">
        <v>118.59</v>
      </c>
      <c r="F520" s="16">
        <f>D520*E520</f>
        <v/>
      </c>
    </row>
    <row r="521">
      <c r="A521" s="13" t="inlineStr">
        <is>
          <t>0112</t>
        </is>
      </c>
      <c r="B521" s="14" t="inlineStr">
        <is>
          <t>Carpenter 2nd class</t>
        </is>
      </c>
      <c r="C521" s="13" t="inlineStr">
        <is>
          <t>day</t>
        </is>
      </c>
      <c r="D521" s="15" t="n">
        <v>0.5629999999999999</v>
      </c>
      <c r="E521" s="16" t="n">
        <v>679</v>
      </c>
      <c r="F521" s="16">
        <f>D521*E521</f>
        <v/>
      </c>
    </row>
    <row r="522">
      <c r="A522" s="13" t="inlineStr">
        <is>
          <t>0114</t>
        </is>
      </c>
      <c r="B522" s="14" t="inlineStr">
        <is>
          <t>Beldar</t>
        </is>
      </c>
      <c r="C522" s="13" t="inlineStr">
        <is>
          <t>day</t>
        </is>
      </c>
      <c r="D522" s="15" t="n">
        <v>0.281</v>
      </c>
      <c r="E522" s="16" t="n">
        <v>558</v>
      </c>
      <c r="F522" s="16">
        <f>D522*E522</f>
        <v/>
      </c>
    </row>
    <row r="523">
      <c r="A523" s="13" t="inlineStr">
        <is>
          <t>9999</t>
        </is>
      </c>
      <c r="B523" s="14" t="inlineStr">
        <is>
          <t>Sundries</t>
        </is>
      </c>
      <c r="C523" s="13" t="inlineStr">
        <is>
          <t>LS</t>
        </is>
      </c>
      <c r="D523" s="15" t="n">
        <v>6.36</v>
      </c>
      <c r="E523" s="16" t="n">
        <v>2</v>
      </c>
      <c r="F523" s="16">
        <f>D523*E523</f>
        <v/>
      </c>
    </row>
    <row r="524">
      <c r="A524" s="17" t="inlineStr">
        <is>
          <t>Resource Total (Material + Labour + Machinery, as printed)</t>
        </is>
      </c>
      <c r="B524" s="18" t="n"/>
      <c r="C524" s="18" t="n"/>
      <c r="D524" s="18" t="n"/>
      <c r="E524" s="18" t="n"/>
      <c r="F524" s="19">
        <f>SUM(F517:F523)</f>
        <v/>
      </c>
    </row>
    <row r="525">
      <c r="A525" s="20" t="inlineStr">
        <is>
          <t>SAY (Rs.) — final DAR rate</t>
        </is>
      </c>
      <c r="B525" s="21" t="n"/>
      <c r="C525" s="21" t="n"/>
      <c r="D525" s="21" t="n"/>
      <c r="E525" s="21" t="n"/>
      <c r="F525" s="22" t="n">
        <v>60.7</v>
      </c>
    </row>
    <row r="527" ht="28" customHeight="1">
      <c r="A527" s="9" t="inlineStr">
        <is>
          <t>2.23</t>
        </is>
      </c>
      <c r="B527" s="10" t="inlineStr">
        <is>
          <t>Extra for planking and strutting in open timbering if required to be left permanently in position. (Face area of the timber permanently left to be measured).</t>
        </is>
      </c>
      <c r="C527" s="11" t="n"/>
      <c r="D527" s="11" t="n"/>
      <c r="E527" s="11" t="n"/>
      <c r="F527" s="11" t="n"/>
    </row>
    <row r="528">
      <c r="A528" s="12" t="inlineStr">
        <is>
          <t>Rate basis: per sqm  (source: cost for 90 sqm)</t>
        </is>
      </c>
    </row>
    <row r="529">
      <c r="A529" s="5" t="inlineStr">
        <is>
          <t>Code</t>
        </is>
      </c>
      <c r="B529" s="5" t="inlineStr">
        <is>
          <t>Description</t>
        </is>
      </c>
      <c r="C529" s="5" t="inlineStr">
        <is>
          <t>Unit</t>
        </is>
      </c>
      <c r="D529" s="5" t="inlineStr">
        <is>
          <t>Quantity</t>
        </is>
      </c>
      <c r="E529" s="5" t="inlineStr">
        <is>
          <t>Rate (Rs.)</t>
        </is>
      </c>
      <c r="F529" s="5" t="inlineStr">
        <is>
          <t>Amount (Rs.)</t>
        </is>
      </c>
    </row>
    <row r="530">
      <c r="A530" s="13" t="inlineStr">
        <is>
          <t>1198</t>
        </is>
      </c>
      <c r="B530" s="14" t="inlineStr">
        <is>
          <t>Kail/Deodar planks (permanent)</t>
        </is>
      </c>
      <c r="C530" s="13" t="inlineStr">
        <is>
          <t>cum</t>
        </is>
      </c>
      <c r="D530" s="15" t="n">
        <v>1.71</v>
      </c>
      <c r="E530" s="16" t="n">
        <v>12000</v>
      </c>
      <c r="F530" s="16">
        <f>D530*E530</f>
        <v/>
      </c>
    </row>
    <row r="531">
      <c r="A531" s="13" t="inlineStr">
        <is>
          <t>1197</t>
        </is>
      </c>
      <c r="B531" s="14" t="inlineStr">
        <is>
          <t>Kail/Deodar scantlings (permanent)</t>
        </is>
      </c>
      <c r="C531" s="13" t="inlineStr">
        <is>
          <t>cum</t>
        </is>
      </c>
      <c r="D531" s="15" t="n">
        <v>0.585</v>
      </c>
      <c r="E531" s="16" t="n">
        <v>12000</v>
      </c>
      <c r="F531" s="16">
        <f>D531*E531</f>
        <v/>
      </c>
    </row>
    <row r="532">
      <c r="A532" s="13" t="inlineStr">
        <is>
          <t>0302</t>
        </is>
      </c>
      <c r="B532" s="14" t="inlineStr">
        <is>
          <t>Safeda poles/Ballies (permanent)</t>
        </is>
      </c>
      <c r="C532" s="13" t="inlineStr">
        <is>
          <t>each</t>
        </is>
      </c>
      <c r="D532" s="15" t="n">
        <v>22.5</v>
      </c>
      <c r="E532" s="16" t="n">
        <v>40</v>
      </c>
      <c r="F532" s="16">
        <f>D532*E532</f>
        <v/>
      </c>
    </row>
    <row r="533">
      <c r="A533" s="13" t="inlineStr">
        <is>
          <t>2204</t>
        </is>
      </c>
      <c r="B533" s="14" t="inlineStr">
        <is>
          <t>Carriage of timber</t>
        </is>
      </c>
      <c r="C533" s="13" t="inlineStr">
        <is>
          <t>cum</t>
        </is>
      </c>
      <c r="D533" s="15" t="n">
        <v>2.295</v>
      </c>
      <c r="E533" s="16" t="n">
        <v>118.59</v>
      </c>
      <c r="F533" s="16">
        <f>D533*E533</f>
        <v/>
      </c>
    </row>
    <row r="534">
      <c r="A534" s="17" t="inlineStr">
        <is>
          <t>Resource Total (Material + Labour + Machinery, as printed)</t>
        </is>
      </c>
      <c r="B534" s="18" t="n"/>
      <c r="C534" s="18" t="n"/>
      <c r="D534" s="18" t="n"/>
      <c r="E534" s="18" t="n"/>
      <c r="F534" s="19">
        <f>SUM(F530:F533)</f>
        <v/>
      </c>
    </row>
    <row r="535">
      <c r="A535" s="20" t="inlineStr">
        <is>
          <t>SAY (Rs.) — final DAR rate</t>
        </is>
      </c>
      <c r="B535" s="21" t="n"/>
      <c r="C535" s="21" t="n"/>
      <c r="D535" s="21" t="n"/>
      <c r="E535" s="21" t="n"/>
      <c r="F535" s="22" t="n">
        <v>820.55</v>
      </c>
    </row>
    <row r="537" ht="28" customHeight="1">
      <c r="A537" s="9" t="inlineStr">
        <is>
          <t>2.24.1</t>
        </is>
      </c>
      <c r="B537" s="10" t="inlineStr">
        <is>
          <t>Extra rates for quantities of works, executed: In or under water and/or liquid mud, including pumping out water as required</t>
        </is>
      </c>
      <c r="C537" s="11" t="n"/>
      <c r="D537" s="11" t="n"/>
      <c r="E537" s="11" t="n"/>
      <c r="F537" s="11" t="n"/>
    </row>
    <row r="538">
      <c r="A538" s="12" t="inlineStr">
        <is>
          <t>Rate basis: per %  (source: cost for 1 %)</t>
        </is>
      </c>
    </row>
    <row r="539">
      <c r="A539" s="23" t="inlineStr">
        <is>
          <t>Percentage-based item (no resource breakdown in the source document).</t>
        </is>
      </c>
      <c r="B539" s="24" t="n"/>
      <c r="C539" s="24" t="n"/>
      <c r="D539" s="24" t="n"/>
      <c r="E539" s="24" t="n"/>
      <c r="F539" s="25" t="n">
        <v>0.2</v>
      </c>
    </row>
    <row r="541" ht="28" customHeight="1">
      <c r="A541" s="9" t="inlineStr">
        <is>
          <t>2.24.2</t>
        </is>
      </c>
      <c r="B541" s="10" t="inlineStr">
        <is>
          <t>Extra rates for quantities of works, executed: In or under foul position, including pumping out water as required</t>
        </is>
      </c>
      <c r="C541" s="11" t="n"/>
      <c r="D541" s="11" t="n"/>
      <c r="E541" s="11" t="n"/>
      <c r="F541" s="11" t="n"/>
    </row>
    <row r="542">
      <c r="A542" s="12" t="inlineStr">
        <is>
          <t>Rate basis: per %  (source: cost for 1 %)</t>
        </is>
      </c>
    </row>
    <row r="543">
      <c r="A543" s="23" t="inlineStr">
        <is>
          <t>Percentage-based item (no resource breakdown in the source document).</t>
        </is>
      </c>
      <c r="B543" s="24" t="n"/>
      <c r="C543" s="24" t="n"/>
      <c r="D543" s="24" t="n"/>
      <c r="E543" s="24" t="n"/>
      <c r="F543" s="25" t="n">
        <v>0.25</v>
      </c>
    </row>
    <row r="545" ht="42" customHeight="1">
      <c r="A545" s="9" t="inlineStr">
        <is>
          <t>2.25</t>
        </is>
      </c>
      <c r="B545" s="10" t="inlineStr">
        <is>
          <t>Filling available excavated earth (excluding rock) in trenches, plinth, sides of foundations etc. in layers not exceeding 20cm in depth, consolidating each deposited layer by ramming and watering, lead up to 50 m and lift upto 1.5 m.</t>
        </is>
      </c>
      <c r="C545" s="11" t="n"/>
      <c r="D545" s="11" t="n"/>
      <c r="E545" s="11" t="n"/>
      <c r="F545" s="11" t="n"/>
    </row>
    <row r="546">
      <c r="A546" s="12" t="inlineStr">
        <is>
          <t>Rate basis: per cum  (source: cost for 10 cum)</t>
        </is>
      </c>
    </row>
    <row r="547">
      <c r="A547" s="5" t="inlineStr">
        <is>
          <t>Code</t>
        </is>
      </c>
      <c r="B547" s="5" t="inlineStr">
        <is>
          <t>Description</t>
        </is>
      </c>
      <c r="C547" s="5" t="inlineStr">
        <is>
          <t>Unit</t>
        </is>
      </c>
      <c r="D547" s="5" t="inlineStr">
        <is>
          <t>Quantity</t>
        </is>
      </c>
      <c r="E547" s="5" t="inlineStr">
        <is>
          <t>Rate (Rs.)</t>
        </is>
      </c>
      <c r="F547" s="5" t="inlineStr">
        <is>
          <t>Amount (Rs.)</t>
        </is>
      </c>
    </row>
    <row r="548">
      <c r="A548" s="13" t="inlineStr">
        <is>
          <t>0128</t>
        </is>
      </c>
      <c r="B548" s="14" t="inlineStr">
        <is>
          <t>Mate</t>
        </is>
      </c>
      <c r="C548" s="13" t="inlineStr">
        <is>
          <t>day</t>
        </is>
      </c>
      <c r="D548" s="15" t="n">
        <v>0.2</v>
      </c>
      <c r="E548" s="16" t="n">
        <v>617</v>
      </c>
      <c r="F548" s="16">
        <f>D548*E548</f>
        <v/>
      </c>
    </row>
    <row r="549">
      <c r="A549" s="13" t="inlineStr">
        <is>
          <t>0115</t>
        </is>
      </c>
      <c r="B549" s="14" t="inlineStr">
        <is>
          <t>Coolie</t>
        </is>
      </c>
      <c r="C549" s="13" t="inlineStr">
        <is>
          <t>day</t>
        </is>
      </c>
      <c r="D549" s="15" t="n">
        <v>2.5</v>
      </c>
      <c r="E549" s="16" t="n">
        <v>558</v>
      </c>
      <c r="F549" s="16">
        <f>D549*E549</f>
        <v/>
      </c>
    </row>
    <row r="550">
      <c r="A550" s="13" t="inlineStr">
        <is>
          <t>0101</t>
        </is>
      </c>
      <c r="B550" s="14" t="inlineStr">
        <is>
          <t>Bhisti</t>
        </is>
      </c>
      <c r="C550" s="13" t="inlineStr">
        <is>
          <t>day</t>
        </is>
      </c>
      <c r="D550" s="15" t="n">
        <v>0.2</v>
      </c>
      <c r="E550" s="16" t="n">
        <v>617</v>
      </c>
      <c r="F550" s="16">
        <f>D550*E550</f>
        <v/>
      </c>
    </row>
    <row r="551">
      <c r="A551" s="17" t="inlineStr">
        <is>
          <t>Resource Total (Material + Labour + Machinery, as printed)</t>
        </is>
      </c>
      <c r="B551" s="18" t="n"/>
      <c r="C551" s="18" t="n"/>
      <c r="D551" s="18" t="n"/>
      <c r="E551" s="18" t="n"/>
      <c r="F551" s="19">
        <f>SUM(F548:F550)</f>
        <v/>
      </c>
    </row>
    <row r="552">
      <c r="A552" s="20" t="inlineStr">
        <is>
          <t>SAY (Rs.) — final DAR rate</t>
        </is>
      </c>
      <c r="B552" s="21" t="n"/>
      <c r="C552" s="21" t="n"/>
      <c r="D552" s="21" t="n"/>
      <c r="E552" s="21" t="n"/>
      <c r="F552" s="22" t="n">
        <v>219.65</v>
      </c>
    </row>
    <row r="554" ht="42" customHeight="1">
      <c r="A554" s="9" t="inlineStr">
        <is>
          <t>2.25(a)</t>
        </is>
      </c>
      <c r="B554" s="10" t="inlineStr">
        <is>
          <t>Excavating, supplying and filling of local earth (including royalty) by mechanical transport upto a lead of 5km also including ramming and watering of the earth in layers not exceeding 20 cm in trenches, plinth, sides of foundation etc. complete.</t>
        </is>
      </c>
      <c r="C554" s="11" t="n"/>
      <c r="D554" s="11" t="n"/>
      <c r="E554" s="11" t="n"/>
      <c r="F554" s="11" t="n"/>
    </row>
    <row r="555">
      <c r="A555" s="12" t="inlineStr">
        <is>
          <t>Rate basis: per cum  (source: cost for 10 cum)</t>
        </is>
      </c>
    </row>
    <row r="556">
      <c r="A556" s="5" t="inlineStr">
        <is>
          <t>Code</t>
        </is>
      </c>
      <c r="B556" s="5" t="inlineStr">
        <is>
          <t>Description</t>
        </is>
      </c>
      <c r="C556" s="5" t="inlineStr">
        <is>
          <t>Unit</t>
        </is>
      </c>
      <c r="D556" s="5" t="inlineStr">
        <is>
          <t>Quantity</t>
        </is>
      </c>
      <c r="E556" s="5" t="inlineStr">
        <is>
          <t>Rate (Rs.)</t>
        </is>
      </c>
      <c r="F556" s="5" t="inlineStr">
        <is>
          <t>Amount (Rs.)</t>
        </is>
      </c>
    </row>
    <row r="557">
      <c r="A557" s="13" t="inlineStr">
        <is>
          <t>REF 2.6.1</t>
        </is>
      </c>
      <c r="B557" s="14" t="inlineStr">
        <is>
          <t>Hydraulic excavation ordinary soil (10 cum)</t>
        </is>
      </c>
      <c r="C557" s="13" t="inlineStr">
        <is>
          <t>cum</t>
        </is>
      </c>
      <c r="D557" s="15" t="n">
        <v>10</v>
      </c>
      <c r="E557" s="16" t="n">
        <v>181.85</v>
      </c>
      <c r="F557" s="16">
        <f>D557*E557</f>
        <v/>
      </c>
    </row>
    <row r="558">
      <c r="A558" s="13" t="inlineStr">
        <is>
          <t>REF 1.2.2</t>
        </is>
      </c>
      <c r="B558" s="14" t="inlineStr">
        <is>
          <t>DEDUCT: dozing/spreading (10 cum)</t>
        </is>
      </c>
      <c r="C558" s="13" t="inlineStr">
        <is>
          <t>cum</t>
        </is>
      </c>
      <c r="D558" s="15" t="n">
        <v>-10</v>
      </c>
      <c r="E558" s="16" t="n">
        <v>175.78</v>
      </c>
      <c r="F558" s="16">
        <f>D558*E558</f>
        <v/>
      </c>
    </row>
    <row r="559">
      <c r="A559" s="13" t="inlineStr">
        <is>
          <t>REF 1.1.2</t>
        </is>
      </c>
      <c r="B559" s="14" t="inlineStr">
        <is>
          <t>Carriage 10 cum</t>
        </is>
      </c>
      <c r="C559" s="13" t="inlineStr">
        <is>
          <t>cum</t>
        </is>
      </c>
      <c r="D559" s="15" t="n">
        <v>10</v>
      </c>
      <c r="E559" s="16" t="n">
        <v>201.83</v>
      </c>
      <c r="F559" s="16">
        <f>D559*E559</f>
        <v/>
      </c>
    </row>
    <row r="560">
      <c r="A560" s="13" t="inlineStr">
        <is>
          <t>0979</t>
        </is>
      </c>
      <c r="B560" s="14" t="inlineStr">
        <is>
          <t>Royalty on earth</t>
        </is>
      </c>
      <c r="C560" s="13" t="inlineStr">
        <is>
          <t>cum</t>
        </is>
      </c>
      <c r="D560" s="15" t="n">
        <v>10</v>
      </c>
      <c r="E560" s="16" t="n">
        <v>40</v>
      </c>
      <c r="F560" s="16">
        <f>D560*E560</f>
        <v/>
      </c>
    </row>
    <row r="561">
      <c r="A561" s="13" t="inlineStr">
        <is>
          <t>0114</t>
        </is>
      </c>
      <c r="B561" s="14" t="inlineStr">
        <is>
          <t>Beldar</t>
        </is>
      </c>
      <c r="C561" s="13" t="inlineStr">
        <is>
          <t>day</t>
        </is>
      </c>
      <c r="D561" s="15" t="n">
        <v>0.45</v>
      </c>
      <c r="E561" s="16" t="n">
        <v>558</v>
      </c>
      <c r="F561" s="16">
        <f>D561*E561</f>
        <v/>
      </c>
    </row>
    <row r="562">
      <c r="A562" s="13" t="inlineStr">
        <is>
          <t>0101</t>
        </is>
      </c>
      <c r="B562" s="14" t="inlineStr">
        <is>
          <t>Bhisti</t>
        </is>
      </c>
      <c r="C562" s="13" t="inlineStr">
        <is>
          <t>day</t>
        </is>
      </c>
      <c r="D562" s="15" t="n">
        <v>0.35</v>
      </c>
      <c r="E562" s="16" t="n">
        <v>617</v>
      </c>
      <c r="F562" s="16">
        <f>D562*E562</f>
        <v/>
      </c>
    </row>
    <row r="563">
      <c r="A563" s="17" t="inlineStr">
        <is>
          <t>Resource Total (Material + Labour + Machinery, as printed)</t>
        </is>
      </c>
      <c r="B563" s="18" t="n"/>
      <c r="C563" s="18" t="n"/>
      <c r="D563" s="18" t="n"/>
      <c r="E563" s="18" t="n"/>
      <c r="F563" s="19">
        <f>SUM(F557:F562)</f>
        <v/>
      </c>
    </row>
    <row r="564">
      <c r="A564" s="20" t="inlineStr">
        <is>
          <t>SAY (Rs.) — final DAR rate</t>
        </is>
      </c>
      <c r="B564" s="21" t="n"/>
      <c r="C564" s="21" t="n"/>
      <c r="D564" s="21" t="n"/>
      <c r="E564" s="21" t="n"/>
      <c r="F564" s="22" t="n">
        <v>323.9</v>
      </c>
    </row>
    <row r="566" ht="28" customHeight="1">
      <c r="A566" s="9" t="inlineStr">
        <is>
          <t>2.26.1</t>
        </is>
      </c>
      <c r="B566" s="10" t="inlineStr">
        <is>
          <t>Extra for every additional lift of 1.5 m or part thereof in excavation / banking excavated or stacked materials. - All kinds of soil</t>
        </is>
      </c>
      <c r="C566" s="11" t="n"/>
      <c r="D566" s="11" t="n"/>
      <c r="E566" s="11" t="n"/>
      <c r="F566" s="11" t="n"/>
    </row>
    <row r="567">
      <c r="A567" s="12" t="inlineStr">
        <is>
          <t>Rate basis: per cum  (source: cost for 10 cum)</t>
        </is>
      </c>
    </row>
    <row r="568">
      <c r="A568" s="5" t="inlineStr">
        <is>
          <t>Code</t>
        </is>
      </c>
      <c r="B568" s="5" t="inlineStr">
        <is>
          <t>Description</t>
        </is>
      </c>
      <c r="C568" s="5" t="inlineStr">
        <is>
          <t>Unit</t>
        </is>
      </c>
      <c r="D568" s="5" t="inlineStr">
        <is>
          <t>Quantity</t>
        </is>
      </c>
      <c r="E568" s="5" t="inlineStr">
        <is>
          <t>Rate (Rs.)</t>
        </is>
      </c>
      <c r="F568" s="5" t="inlineStr">
        <is>
          <t>Amount (Rs.)</t>
        </is>
      </c>
    </row>
    <row r="569">
      <c r="A569" s="13" t="inlineStr">
        <is>
          <t>0128</t>
        </is>
      </c>
      <c r="B569" s="14" t="inlineStr">
        <is>
          <t>Mate</t>
        </is>
      </c>
      <c r="C569" s="13" t="inlineStr">
        <is>
          <t>day</t>
        </is>
      </c>
      <c r="D569" s="15" t="n">
        <v>0.1</v>
      </c>
      <c r="E569" s="16" t="n">
        <v>617</v>
      </c>
      <c r="F569" s="16">
        <f>D569*E569</f>
        <v/>
      </c>
    </row>
    <row r="570">
      <c r="A570" s="13" t="inlineStr">
        <is>
          <t>0114</t>
        </is>
      </c>
      <c r="B570" s="14" t="inlineStr">
        <is>
          <t>Beldar</t>
        </is>
      </c>
      <c r="C570" s="13" t="inlineStr">
        <is>
          <t>day</t>
        </is>
      </c>
      <c r="D570" s="15" t="n">
        <v>1.1</v>
      </c>
      <c r="E570" s="16" t="n">
        <v>558</v>
      </c>
      <c r="F570" s="16">
        <f>D570*E570</f>
        <v/>
      </c>
    </row>
    <row r="571">
      <c r="A571" s="17" t="inlineStr">
        <is>
          <t>Resource Total (Material + Labour + Machinery, as printed)</t>
        </is>
      </c>
      <c r="B571" s="18" t="n"/>
      <c r="C571" s="18" t="n"/>
      <c r="D571" s="18" t="n"/>
      <c r="E571" s="18" t="n"/>
      <c r="F571" s="19">
        <f>SUM(F569:F570)</f>
        <v/>
      </c>
    </row>
    <row r="572">
      <c r="A572" s="20" t="inlineStr">
        <is>
          <t>SAY (Rs.) — final DAR rate</t>
        </is>
      </c>
      <c r="B572" s="21" t="n"/>
      <c r="C572" s="21" t="n"/>
      <c r="D572" s="21" t="n"/>
      <c r="E572" s="21" t="n"/>
      <c r="F572" s="22" t="n">
        <v>90.40000000000001</v>
      </c>
    </row>
    <row r="574" ht="28" customHeight="1">
      <c r="A574" s="9" t="inlineStr">
        <is>
          <t>2.26.2</t>
        </is>
      </c>
      <c r="B574" s="10" t="inlineStr">
        <is>
          <t>Extra for every additional lift of 1.5 m or part thereof in excavation / banking excavated or stacked materials. - Ordinary or hard rock</t>
        </is>
      </c>
      <c r="C574" s="11" t="n"/>
      <c r="D574" s="11" t="n"/>
      <c r="E574" s="11" t="n"/>
      <c r="F574" s="11" t="n"/>
    </row>
    <row r="575">
      <c r="A575" s="12" t="inlineStr">
        <is>
          <t>Rate basis: per cum  (source: cost for 10 cum)</t>
        </is>
      </c>
    </row>
    <row r="576">
      <c r="A576" s="5" t="inlineStr">
        <is>
          <t>Code</t>
        </is>
      </c>
      <c r="B576" s="5" t="inlineStr">
        <is>
          <t>Description</t>
        </is>
      </c>
      <c r="C576" s="5" t="inlineStr">
        <is>
          <t>Unit</t>
        </is>
      </c>
      <c r="D576" s="5" t="inlineStr">
        <is>
          <t>Quantity</t>
        </is>
      </c>
      <c r="E576" s="5" t="inlineStr">
        <is>
          <t>Rate (Rs.)</t>
        </is>
      </c>
      <c r="F576" s="5" t="inlineStr">
        <is>
          <t>Amount (Rs.)</t>
        </is>
      </c>
    </row>
    <row r="577">
      <c r="A577" s="13" t="inlineStr">
        <is>
          <t>0128</t>
        </is>
      </c>
      <c r="B577" s="14" t="inlineStr">
        <is>
          <t>Mate</t>
        </is>
      </c>
      <c r="C577" s="13" t="inlineStr">
        <is>
          <t>day</t>
        </is>
      </c>
      <c r="D577" s="15" t="n">
        <v>0.2</v>
      </c>
      <c r="E577" s="16" t="n">
        <v>617</v>
      </c>
      <c r="F577" s="16">
        <f>D577*E577</f>
        <v/>
      </c>
    </row>
    <row r="578">
      <c r="A578" s="13" t="inlineStr">
        <is>
          <t>0114</t>
        </is>
      </c>
      <c r="B578" s="14" t="inlineStr">
        <is>
          <t>Beldar</t>
        </is>
      </c>
      <c r="C578" s="13" t="inlineStr">
        <is>
          <t>day</t>
        </is>
      </c>
      <c r="D578" s="15" t="n">
        <v>1.95</v>
      </c>
      <c r="E578" s="16" t="n">
        <v>558</v>
      </c>
      <c r="F578" s="16">
        <f>D578*E578</f>
        <v/>
      </c>
    </row>
    <row r="579">
      <c r="A579" s="17" t="inlineStr">
        <is>
          <t>Resource Total (Material + Labour + Machinery, as printed)</t>
        </is>
      </c>
      <c r="B579" s="18" t="n"/>
      <c r="C579" s="18" t="n"/>
      <c r="D579" s="18" t="n"/>
      <c r="E579" s="18" t="n"/>
      <c r="F579" s="19">
        <f>SUM(F577:F578)</f>
        <v/>
      </c>
    </row>
    <row r="580">
      <c r="A580" s="20" t="inlineStr">
        <is>
          <t>SAY (Rs.) — final DAR rate</t>
        </is>
      </c>
      <c r="B580" s="21" t="n"/>
      <c r="C580" s="21" t="n"/>
      <c r="D580" s="21" t="n"/>
      <c r="E580" s="21" t="n"/>
      <c r="F580" s="22" t="n">
        <v>162.1</v>
      </c>
    </row>
    <row r="582" ht="28" customHeight="1">
      <c r="A582" s="9" t="inlineStr">
        <is>
          <t>2.27</t>
        </is>
      </c>
      <c r="B582" s="10" t="inlineStr">
        <is>
          <t>Supplying and filling in plinth with sand under floors, including watering, ramming, consolidating and dressing complete.</t>
        </is>
      </c>
      <c r="C582" s="11" t="n"/>
      <c r="D582" s="11" t="n"/>
      <c r="E582" s="11" t="n"/>
      <c r="F582" s="11" t="n"/>
    </row>
    <row r="583">
      <c r="A583" s="12" t="inlineStr">
        <is>
          <t>Rate basis: per cum  (source: cost for 10 cum)</t>
        </is>
      </c>
    </row>
    <row r="584">
      <c r="A584" s="5" t="inlineStr">
        <is>
          <t>Code</t>
        </is>
      </c>
      <c r="B584" s="5" t="inlineStr">
        <is>
          <t>Description</t>
        </is>
      </c>
      <c r="C584" s="5" t="inlineStr">
        <is>
          <t>Unit</t>
        </is>
      </c>
      <c r="D584" s="5" t="inlineStr">
        <is>
          <t>Quantity</t>
        </is>
      </c>
      <c r="E584" s="5" t="inlineStr">
        <is>
          <t>Rate (Rs.)</t>
        </is>
      </c>
      <c r="F584" s="5" t="inlineStr">
        <is>
          <t>Amount (Rs.)</t>
        </is>
      </c>
    </row>
    <row r="585">
      <c r="A585" s="13" t="inlineStr">
        <is>
          <t>6501</t>
        </is>
      </c>
      <c r="B585" s="14" t="inlineStr">
        <is>
          <t>Sand Zone V</t>
        </is>
      </c>
      <c r="C585" s="13" t="inlineStr">
        <is>
          <t>cum</t>
        </is>
      </c>
      <c r="D585" s="15" t="n">
        <v>10</v>
      </c>
      <c r="E585" s="16" t="n">
        <v>1225</v>
      </c>
      <c r="F585" s="16">
        <f>D585*E585</f>
        <v/>
      </c>
    </row>
    <row r="586">
      <c r="A586" s="13" t="inlineStr">
        <is>
          <t>2335</t>
        </is>
      </c>
      <c r="B586" s="14" t="inlineStr">
        <is>
          <t>Carriage of sand by road</t>
        </is>
      </c>
      <c r="C586" s="13" t="inlineStr">
        <is>
          <t>cum</t>
        </is>
      </c>
      <c r="D586" s="15" t="n">
        <v>10</v>
      </c>
      <c r="E586" s="16" t="n">
        <v>103.77</v>
      </c>
      <c r="F586" s="16">
        <f>D586*E586</f>
        <v/>
      </c>
    </row>
    <row r="587">
      <c r="A587" s="13" t="inlineStr">
        <is>
          <t>0114</t>
        </is>
      </c>
      <c r="B587" s="14" t="inlineStr">
        <is>
          <t>Beldar</t>
        </is>
      </c>
      <c r="C587" s="13" t="inlineStr">
        <is>
          <t>day</t>
        </is>
      </c>
      <c r="D587" s="15" t="n">
        <v>0.89</v>
      </c>
      <c r="E587" s="16" t="n">
        <v>558</v>
      </c>
      <c r="F587" s="16">
        <f>D587*E587</f>
        <v/>
      </c>
    </row>
    <row r="588">
      <c r="A588" s="13" t="inlineStr">
        <is>
          <t>0115</t>
        </is>
      </c>
      <c r="B588" s="14" t="inlineStr">
        <is>
          <t>Coolie</t>
        </is>
      </c>
      <c r="C588" s="13" t="inlineStr">
        <is>
          <t>day</t>
        </is>
      </c>
      <c r="D588" s="15" t="n">
        <v>1.07</v>
      </c>
      <c r="E588" s="16" t="n">
        <v>558</v>
      </c>
      <c r="F588" s="16">
        <f>D588*E588</f>
        <v/>
      </c>
    </row>
    <row r="589">
      <c r="A589" s="13" t="inlineStr">
        <is>
          <t>0101</t>
        </is>
      </c>
      <c r="B589" s="14" t="inlineStr">
        <is>
          <t>Bhisti</t>
        </is>
      </c>
      <c r="C589" s="13" t="inlineStr">
        <is>
          <t>day</t>
        </is>
      </c>
      <c r="D589" s="15" t="n">
        <v>0.35</v>
      </c>
      <c r="E589" s="16" t="n">
        <v>617</v>
      </c>
      <c r="F589" s="16">
        <f>D589*E589</f>
        <v/>
      </c>
    </row>
    <row r="590">
      <c r="A590" s="17" t="inlineStr">
        <is>
          <t>Resource Total (Material + Labour + Machinery, as printed)</t>
        </is>
      </c>
      <c r="B590" s="18" t="n"/>
      <c r="C590" s="18" t="n"/>
      <c r="D590" s="18" t="n"/>
      <c r="E590" s="18" t="n"/>
      <c r="F590" s="19">
        <f>SUM(F585:F589)</f>
        <v/>
      </c>
    </row>
    <row r="591">
      <c r="A591" s="20" t="inlineStr">
        <is>
          <t>SAY (Rs.) — final DAR rate</t>
        </is>
      </c>
      <c r="B591" s="21" t="n"/>
      <c r="C591" s="21" t="n"/>
      <c r="D591" s="21" t="n"/>
      <c r="E591" s="21" t="n"/>
      <c r="F591" s="22" t="n">
        <v>1953.05</v>
      </c>
    </row>
    <row r="593" ht="42" customHeight="1">
      <c r="A593" s="9" t="inlineStr">
        <is>
          <t>2.28.1</t>
        </is>
      </c>
      <c r="B593" s="10" t="inlineStr">
        <is>
          <t>Surface dressing of the ground including removing vegetation and in-equalities not exceeding 15 cm deep and disposal of rubbish, lead up to 50 m and lift up to 1.5 m. - All kinds of soil</t>
        </is>
      </c>
      <c r="C593" s="11" t="n"/>
      <c r="D593" s="11" t="n"/>
      <c r="E593" s="11" t="n"/>
      <c r="F593" s="11" t="n"/>
    </row>
    <row r="594">
      <c r="A594" s="12" t="inlineStr">
        <is>
          <t>Rate basis: per sqm  (source: cost for 100 sqm)</t>
        </is>
      </c>
    </row>
    <row r="595">
      <c r="A595" s="5" t="inlineStr">
        <is>
          <t>Code</t>
        </is>
      </c>
      <c r="B595" s="5" t="inlineStr">
        <is>
          <t>Description</t>
        </is>
      </c>
      <c r="C595" s="5" t="inlineStr">
        <is>
          <t>Unit</t>
        </is>
      </c>
      <c r="D595" s="5" t="inlineStr">
        <is>
          <t>Quantity</t>
        </is>
      </c>
      <c r="E595" s="5" t="inlineStr">
        <is>
          <t>Rate (Rs.)</t>
        </is>
      </c>
      <c r="F595" s="5" t="inlineStr">
        <is>
          <t>Amount (Rs.)</t>
        </is>
      </c>
    </row>
    <row r="596">
      <c r="A596" s="13" t="inlineStr">
        <is>
          <t>0114</t>
        </is>
      </c>
      <c r="B596" s="14" t="inlineStr">
        <is>
          <t>Beldar</t>
        </is>
      </c>
      <c r="C596" s="13" t="inlineStr">
        <is>
          <t>day</t>
        </is>
      </c>
      <c r="D596" s="15" t="n">
        <v>1.97</v>
      </c>
      <c r="E596" s="16" t="n">
        <v>558</v>
      </c>
      <c r="F596" s="16">
        <f>D596*E596</f>
        <v/>
      </c>
    </row>
    <row r="597">
      <c r="A597" s="13" t="inlineStr">
        <is>
          <t>0115</t>
        </is>
      </c>
      <c r="B597" s="14" t="inlineStr">
        <is>
          <t>Coolie</t>
        </is>
      </c>
      <c r="C597" s="13" t="inlineStr">
        <is>
          <t>day</t>
        </is>
      </c>
      <c r="D597" s="15" t="n">
        <v>1.29</v>
      </c>
      <c r="E597" s="16" t="n">
        <v>558</v>
      </c>
      <c r="F597" s="16">
        <f>D597*E597</f>
        <v/>
      </c>
    </row>
    <row r="598">
      <c r="A598" s="17" t="inlineStr">
        <is>
          <t>Resource Total (Material + Labour + Machinery, as printed)</t>
        </is>
      </c>
      <c r="B598" s="18" t="n"/>
      <c r="C598" s="18" t="n"/>
      <c r="D598" s="18" t="n"/>
      <c r="E598" s="18" t="n"/>
      <c r="F598" s="19">
        <f>SUM(F596:F597)</f>
        <v/>
      </c>
    </row>
    <row r="599">
      <c r="A599" s="20" t="inlineStr">
        <is>
          <t>SAY (Rs.) — final DAR rate</t>
        </is>
      </c>
      <c r="B599" s="21" t="n"/>
      <c r="C599" s="21" t="n"/>
      <c r="D599" s="21" t="n"/>
      <c r="E599" s="21" t="n"/>
      <c r="F599" s="22" t="n">
        <v>24.35</v>
      </c>
    </row>
    <row r="601" ht="28" customHeight="1">
      <c r="A601" s="9" t="inlineStr">
        <is>
          <t>2.28.2</t>
        </is>
      </c>
      <c r="B601" s="10" t="inlineStr">
        <is>
          <t>Surface dressing of the ground including removing vegetation and in-equalities not exceeding 15 cm deep and disposal of rubbish, lead up to 50 m and lift up to 1.5 m. - Hard soil</t>
        </is>
      </c>
      <c r="C601" s="11" t="n"/>
      <c r="D601" s="11" t="n"/>
      <c r="E601" s="11" t="n"/>
      <c r="F601" s="11" t="n"/>
    </row>
    <row r="602">
      <c r="A602" s="12" t="inlineStr">
        <is>
          <t>Rate basis: per sqm  (source: cost for 100 sqm)</t>
        </is>
      </c>
    </row>
    <row r="603">
      <c r="A603" s="5" t="inlineStr">
        <is>
          <t>Code</t>
        </is>
      </c>
      <c r="B603" s="5" t="inlineStr">
        <is>
          <t>Description</t>
        </is>
      </c>
      <c r="C603" s="5" t="inlineStr">
        <is>
          <t>Unit</t>
        </is>
      </c>
      <c r="D603" s="5" t="inlineStr">
        <is>
          <t>Quantity</t>
        </is>
      </c>
      <c r="E603" s="5" t="inlineStr">
        <is>
          <t>Rate (Rs.)</t>
        </is>
      </c>
      <c r="F603" s="5" t="inlineStr">
        <is>
          <t>Amount (Rs.)</t>
        </is>
      </c>
    </row>
    <row r="604">
      <c r="A604" s="13" t="inlineStr">
        <is>
          <t>0114</t>
        </is>
      </c>
      <c r="B604" s="14" t="inlineStr">
        <is>
          <t>Beldar</t>
        </is>
      </c>
      <c r="C604" s="13" t="inlineStr">
        <is>
          <t>day</t>
        </is>
      </c>
      <c r="D604" s="15" t="n">
        <v>2.5</v>
      </c>
      <c r="E604" s="16" t="n">
        <v>558</v>
      </c>
      <c r="F604" s="16">
        <f>D604*E604</f>
        <v/>
      </c>
    </row>
    <row r="605">
      <c r="A605" s="13" t="inlineStr">
        <is>
          <t>0115</t>
        </is>
      </c>
      <c r="B605" s="14" t="inlineStr">
        <is>
          <t>Coolie</t>
        </is>
      </c>
      <c r="C605" s="13" t="inlineStr">
        <is>
          <t>day</t>
        </is>
      </c>
      <c r="D605" s="15" t="n">
        <v>1.6</v>
      </c>
      <c r="E605" s="16" t="n">
        <v>558</v>
      </c>
      <c r="F605" s="16">
        <f>D605*E605</f>
        <v/>
      </c>
    </row>
    <row r="606">
      <c r="A606" s="17" t="inlineStr">
        <is>
          <t>Resource Total (Material + Labour + Machinery, as printed)</t>
        </is>
      </c>
      <c r="B606" s="18" t="n"/>
      <c r="C606" s="18" t="n"/>
      <c r="D606" s="18" t="n"/>
      <c r="E606" s="18" t="n"/>
      <c r="F606" s="19">
        <f>SUM(F604:F605)</f>
        <v/>
      </c>
    </row>
    <row r="607">
      <c r="A607" s="20" t="inlineStr">
        <is>
          <t>SAY (Rs.) — final DAR rate</t>
        </is>
      </c>
      <c r="B607" s="21" t="n"/>
      <c r="C607" s="21" t="n"/>
      <c r="D607" s="21" t="n"/>
      <c r="E607" s="21" t="n"/>
      <c r="F607" s="22" t="n">
        <v>35.15</v>
      </c>
    </row>
    <row r="609" ht="28" customHeight="1">
      <c r="A609" s="9" t="inlineStr">
        <is>
          <t>2.29.1</t>
        </is>
      </c>
      <c r="B609" s="10" t="inlineStr">
        <is>
          <t>Ploughing the existing ground to a depth of 15 cm to 25 cm and watering the same. - All kinds of soil</t>
        </is>
      </c>
      <c r="C609" s="11" t="n"/>
      <c r="D609" s="11" t="n"/>
      <c r="E609" s="11" t="n"/>
      <c r="F609" s="11" t="n"/>
    </row>
    <row r="610">
      <c r="A610" s="12" t="inlineStr">
        <is>
          <t>Rate basis: per sqm  (source: cost for 100 sqm)</t>
        </is>
      </c>
    </row>
    <row r="611">
      <c r="A611" s="5" t="inlineStr">
        <is>
          <t>Code</t>
        </is>
      </c>
      <c r="B611" s="5" t="inlineStr">
        <is>
          <t>Description</t>
        </is>
      </c>
      <c r="C611" s="5" t="inlineStr">
        <is>
          <t>Unit</t>
        </is>
      </c>
      <c r="D611" s="5" t="inlineStr">
        <is>
          <t>Quantity</t>
        </is>
      </c>
      <c r="E611" s="5" t="inlineStr">
        <is>
          <t>Rate (Rs.)</t>
        </is>
      </c>
      <c r="F611" s="5" t="inlineStr">
        <is>
          <t>Amount (Rs.)</t>
        </is>
      </c>
    </row>
    <row r="612">
      <c r="A612" s="13" t="inlineStr">
        <is>
          <t>0114</t>
        </is>
      </c>
      <c r="B612" s="14" t="inlineStr">
        <is>
          <t>Beldar</t>
        </is>
      </c>
      <c r="C612" s="13" t="inlineStr">
        <is>
          <t>day</t>
        </is>
      </c>
      <c r="D612" s="15" t="n">
        <v>2.75</v>
      </c>
      <c r="E612" s="16" t="n">
        <v>558</v>
      </c>
      <c r="F612" s="16">
        <f>D612*E612</f>
        <v/>
      </c>
    </row>
    <row r="613">
      <c r="A613" s="13" t="inlineStr">
        <is>
          <t>0101</t>
        </is>
      </c>
      <c r="B613" s="14" t="inlineStr">
        <is>
          <t>Bhisti</t>
        </is>
      </c>
      <c r="C613" s="13" t="inlineStr">
        <is>
          <t>day</t>
        </is>
      </c>
      <c r="D613" s="15" t="n">
        <v>0.5</v>
      </c>
      <c r="E613" s="16" t="n">
        <v>617</v>
      </c>
      <c r="F613" s="16">
        <f>D613*E613</f>
        <v/>
      </c>
    </row>
    <row r="614">
      <c r="A614" s="17" t="inlineStr">
        <is>
          <t>Resource Total (Material + Labour + Machinery, as printed)</t>
        </is>
      </c>
      <c r="B614" s="18" t="n"/>
      <c r="C614" s="18" t="n"/>
      <c r="D614" s="18" t="n"/>
      <c r="E614" s="18" t="n"/>
      <c r="F614" s="19">
        <f>SUM(F612:F613)</f>
        <v/>
      </c>
    </row>
    <row r="615">
      <c r="A615" s="20" t="inlineStr">
        <is>
          <t>SAY (Rs.) — final DAR rate</t>
        </is>
      </c>
      <c r="B615" s="21" t="n"/>
      <c r="C615" s="21" t="n"/>
      <c r="D615" s="21" t="n"/>
      <c r="E615" s="21" t="n"/>
      <c r="F615" s="22" t="n">
        <v>24.65</v>
      </c>
    </row>
    <row r="617" ht="28" customHeight="1">
      <c r="A617" s="9" t="inlineStr">
        <is>
          <t>2.29.2</t>
        </is>
      </c>
      <c r="B617" s="10" t="inlineStr">
        <is>
          <t>Ploughing the existing ground to a depth of 15 cm to 25 cm and watering the same. - Hard soil</t>
        </is>
      </c>
      <c r="C617" s="11" t="n"/>
      <c r="D617" s="11" t="n"/>
      <c r="E617" s="11" t="n"/>
      <c r="F617" s="11" t="n"/>
    </row>
    <row r="618">
      <c r="A618" s="12" t="inlineStr">
        <is>
          <t>Rate basis: per sqm  (source: cost for 100 sqm)</t>
        </is>
      </c>
    </row>
    <row r="619">
      <c r="A619" s="5" t="inlineStr">
        <is>
          <t>Code</t>
        </is>
      </c>
      <c r="B619" s="5" t="inlineStr">
        <is>
          <t>Description</t>
        </is>
      </c>
      <c r="C619" s="5" t="inlineStr">
        <is>
          <t>Unit</t>
        </is>
      </c>
      <c r="D619" s="5" t="inlineStr">
        <is>
          <t>Quantity</t>
        </is>
      </c>
      <c r="E619" s="5" t="inlineStr">
        <is>
          <t>Rate (Rs.)</t>
        </is>
      </c>
      <c r="F619" s="5" t="inlineStr">
        <is>
          <t>Amount (Rs.)</t>
        </is>
      </c>
    </row>
    <row r="620">
      <c r="A620" s="13" t="inlineStr">
        <is>
          <t>0114</t>
        </is>
      </c>
      <c r="B620" s="14" t="inlineStr">
        <is>
          <t>Beldar</t>
        </is>
      </c>
      <c r="C620" s="13" t="inlineStr">
        <is>
          <t>day</t>
        </is>
      </c>
      <c r="D620" s="15" t="n">
        <v>3.3</v>
      </c>
      <c r="E620" s="16" t="n">
        <v>558</v>
      </c>
      <c r="F620" s="16">
        <f>D620*E620</f>
        <v/>
      </c>
    </row>
    <row r="621">
      <c r="A621" s="13" t="inlineStr">
        <is>
          <t>0101</t>
        </is>
      </c>
      <c r="B621" s="14" t="inlineStr">
        <is>
          <t>Bhisti</t>
        </is>
      </c>
      <c r="C621" s="13" t="inlineStr">
        <is>
          <t>day</t>
        </is>
      </c>
      <c r="D621" s="15" t="n">
        <v>0.6</v>
      </c>
      <c r="E621" s="16" t="n">
        <v>617</v>
      </c>
      <c r="F621" s="16">
        <f>D621*E621</f>
        <v/>
      </c>
    </row>
    <row r="622">
      <c r="A622" s="17" t="inlineStr">
        <is>
          <t>Resource Total (Material + Labour + Machinery, as printed)</t>
        </is>
      </c>
      <c r="B622" s="18" t="n"/>
      <c r="C622" s="18" t="n"/>
      <c r="D622" s="18" t="n"/>
      <c r="E622" s="18" t="n"/>
      <c r="F622" s="19">
        <f>SUM(F620:F621)</f>
        <v/>
      </c>
    </row>
    <row r="623">
      <c r="A623" s="20" t="inlineStr">
        <is>
          <t>SAY (Rs.) — final DAR rate</t>
        </is>
      </c>
      <c r="B623" s="21" t="n"/>
      <c r="C623" s="21" t="n"/>
      <c r="D623" s="21" t="n"/>
      <c r="E623" s="21" t="n"/>
      <c r="F623" s="22" t="n">
        <v>34.7</v>
      </c>
    </row>
    <row r="625" ht="56" customHeight="1">
      <c r="A625" s="9" t="inlineStr">
        <is>
          <t>2.30.1</t>
        </is>
      </c>
      <c r="B625" s="10"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All kinds of soil</t>
        </is>
      </c>
      <c r="C625" s="11" t="n"/>
      <c r="D625" s="11" t="n"/>
      <c r="E625" s="11" t="n"/>
      <c r="F625" s="11" t="n"/>
    </row>
    <row r="626">
      <c r="A626" s="12" t="inlineStr">
        <is>
          <t>Rate basis: per each  (source: cost for 10 each)</t>
        </is>
      </c>
    </row>
    <row r="627">
      <c r="A627" s="5" t="inlineStr">
        <is>
          <t>Code</t>
        </is>
      </c>
      <c r="B627" s="5" t="inlineStr">
        <is>
          <t>Description</t>
        </is>
      </c>
      <c r="C627" s="5" t="inlineStr">
        <is>
          <t>Unit</t>
        </is>
      </c>
      <c r="D627" s="5" t="inlineStr">
        <is>
          <t>Quantity</t>
        </is>
      </c>
      <c r="E627" s="5" t="inlineStr">
        <is>
          <t>Rate (Rs.)</t>
        </is>
      </c>
      <c r="F627" s="5" t="inlineStr">
        <is>
          <t>Amount (Rs.)</t>
        </is>
      </c>
    </row>
    <row r="628">
      <c r="A628" s="13" t="inlineStr">
        <is>
          <t>REF 2.8.1</t>
        </is>
      </c>
      <c r="B628" s="14" t="inlineStr">
        <is>
          <t>Excavation pipe trench ordinary soil (3.00 cum)</t>
        </is>
      </c>
      <c r="C628" s="13" t="inlineStr">
        <is>
          <t>cum</t>
        </is>
      </c>
      <c r="D628" s="15" t="n">
        <v>3</v>
      </c>
      <c r="E628" s="16" t="n">
        <v>252.3</v>
      </c>
      <c r="F628" s="16">
        <f>D628*E628</f>
        <v/>
      </c>
    </row>
    <row r="629">
      <c r="A629" s="13" t="inlineStr">
        <is>
          <t>9999</t>
        </is>
      </c>
      <c r="B629" s="14" t="inlineStr">
        <is>
          <t>Sundries</t>
        </is>
      </c>
      <c r="C629" s="13" t="inlineStr">
        <is>
          <t>LS</t>
        </is>
      </c>
      <c r="D629" s="15" t="n">
        <v>13.52</v>
      </c>
      <c r="E629" s="16" t="n">
        <v>2</v>
      </c>
      <c r="F629" s="16">
        <f>D629*E629</f>
        <v/>
      </c>
    </row>
    <row r="630">
      <c r="A630" s="17" t="inlineStr">
        <is>
          <t>Resource Total (Material + Labour + Machinery, as printed)</t>
        </is>
      </c>
      <c r="B630" s="18" t="n"/>
      <c r="C630" s="18" t="n"/>
      <c r="D630" s="18" t="n"/>
      <c r="E630" s="18" t="n"/>
      <c r="F630" s="19">
        <f>SUM(F628:F629)</f>
        <v/>
      </c>
    </row>
    <row r="631">
      <c r="A631" s="20" t="inlineStr">
        <is>
          <t>SAY (Rs.) — final DAR rate</t>
        </is>
      </c>
      <c r="B631" s="21" t="n"/>
      <c r="C631" s="21" t="n"/>
      <c r="D631" s="21" t="n"/>
      <c r="E631" s="21" t="n"/>
      <c r="F631" s="22" t="n">
        <v>79.3</v>
      </c>
    </row>
    <row r="633" ht="56" customHeight="1">
      <c r="A633" s="9" t="inlineStr">
        <is>
          <t>2.30.2</t>
        </is>
      </c>
      <c r="B633" s="10"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Ordinary rock</t>
        </is>
      </c>
      <c r="C633" s="11" t="n"/>
      <c r="D633" s="11" t="n"/>
      <c r="E633" s="11" t="n"/>
      <c r="F633" s="11" t="n"/>
    </row>
    <row r="634">
      <c r="A634" s="12" t="inlineStr">
        <is>
          <t>Rate basis: per each  (source: cost for 10 each)</t>
        </is>
      </c>
    </row>
    <row r="635">
      <c r="A635" s="5" t="inlineStr">
        <is>
          <t>Code</t>
        </is>
      </c>
      <c r="B635" s="5" t="inlineStr">
        <is>
          <t>Description</t>
        </is>
      </c>
      <c r="C635" s="5" t="inlineStr">
        <is>
          <t>Unit</t>
        </is>
      </c>
      <c r="D635" s="5" t="inlineStr">
        <is>
          <t>Quantity</t>
        </is>
      </c>
      <c r="E635" s="5" t="inlineStr">
        <is>
          <t>Rate (Rs.)</t>
        </is>
      </c>
      <c r="F635" s="5" t="inlineStr">
        <is>
          <t>Amount (Rs.)</t>
        </is>
      </c>
    </row>
    <row r="636">
      <c r="A636" s="13" t="inlineStr">
        <is>
          <t>REF 2.9.1</t>
        </is>
      </c>
      <c r="B636" s="14" t="inlineStr">
        <is>
          <t>Excavation ordinary rock (3.00 cum)</t>
        </is>
      </c>
      <c r="C636" s="13" t="inlineStr">
        <is>
          <t>cum</t>
        </is>
      </c>
      <c r="D636" s="15" t="n">
        <v>3</v>
      </c>
      <c r="E636" s="16" t="n">
        <v>448.15</v>
      </c>
      <c r="F636" s="16">
        <f>D636*E636</f>
        <v/>
      </c>
    </row>
    <row r="637">
      <c r="A637" s="13" t="inlineStr">
        <is>
          <t>9999</t>
        </is>
      </c>
      <c r="B637" s="14" t="inlineStr">
        <is>
          <t>Sundries</t>
        </is>
      </c>
      <c r="C637" s="13" t="inlineStr">
        <is>
          <t>LS</t>
        </is>
      </c>
      <c r="D637" s="15" t="n">
        <v>27.04</v>
      </c>
      <c r="E637" s="16" t="n">
        <v>2</v>
      </c>
      <c r="F637" s="16">
        <f>D637*E637</f>
        <v/>
      </c>
    </row>
    <row r="638">
      <c r="A638" s="17" t="inlineStr">
        <is>
          <t>Resource Total (Material + Labour + Machinery, as printed)</t>
        </is>
      </c>
      <c r="B638" s="18" t="n"/>
      <c r="C638" s="18" t="n"/>
      <c r="D638" s="18" t="n"/>
      <c r="E638" s="18" t="n"/>
      <c r="F638" s="19">
        <f>SUM(F636:F637)</f>
        <v/>
      </c>
    </row>
    <row r="639">
      <c r="A639" s="20" t="inlineStr">
        <is>
          <t>SAY (Rs.) — final DAR rate</t>
        </is>
      </c>
      <c r="B639" s="21" t="n"/>
      <c r="C639" s="21" t="n"/>
      <c r="D639" s="21" t="n"/>
      <c r="E639" s="21" t="n"/>
      <c r="F639" s="22" t="n">
        <v>138.05</v>
      </c>
    </row>
    <row r="641" ht="70" customHeight="1">
      <c r="A641" s="9" t="inlineStr">
        <is>
          <t>2.30.3</t>
        </is>
      </c>
      <c r="B641" s="10"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Hard rock (requiring blasting)</t>
        </is>
      </c>
      <c r="C641" s="11" t="n"/>
      <c r="D641" s="11" t="n"/>
      <c r="E641" s="11" t="n"/>
      <c r="F641" s="11" t="n"/>
    </row>
    <row r="642">
      <c r="A642" s="12" t="inlineStr">
        <is>
          <t>Rate basis: per each  (source: cost for 10 each)</t>
        </is>
      </c>
    </row>
    <row r="643">
      <c r="A643" s="5" t="inlineStr">
        <is>
          <t>Code</t>
        </is>
      </c>
      <c r="B643" s="5" t="inlineStr">
        <is>
          <t>Description</t>
        </is>
      </c>
      <c r="C643" s="5" t="inlineStr">
        <is>
          <t>Unit</t>
        </is>
      </c>
      <c r="D643" s="5" t="inlineStr">
        <is>
          <t>Quantity</t>
        </is>
      </c>
      <c r="E643" s="5" t="inlineStr">
        <is>
          <t>Rate (Rs.)</t>
        </is>
      </c>
      <c r="F643" s="5" t="inlineStr">
        <is>
          <t>Amount (Rs.)</t>
        </is>
      </c>
    </row>
    <row r="644">
      <c r="A644" s="13" t="inlineStr">
        <is>
          <t>REF 2.9.2</t>
        </is>
      </c>
      <c r="B644" s="14" t="inlineStr">
        <is>
          <t>Excavation hard rock blasting (3.00 cum)</t>
        </is>
      </c>
      <c r="C644" s="13" t="inlineStr">
        <is>
          <t>cum</t>
        </is>
      </c>
      <c r="D644" s="15" t="n">
        <v>3</v>
      </c>
      <c r="E644" s="16" t="n">
        <v>729</v>
      </c>
      <c r="F644" s="16">
        <f>D644*E644</f>
        <v/>
      </c>
    </row>
    <row r="645">
      <c r="A645" s="13" t="inlineStr">
        <is>
          <t>9999</t>
        </is>
      </c>
      <c r="B645" s="14" t="inlineStr">
        <is>
          <t>Sundries</t>
        </is>
      </c>
      <c r="C645" s="13" t="inlineStr">
        <is>
          <t>LS</t>
        </is>
      </c>
      <c r="D645" s="15" t="n">
        <v>27.04</v>
      </c>
      <c r="E645" s="16" t="n">
        <v>2</v>
      </c>
      <c r="F645" s="16">
        <f>D645*E645</f>
        <v/>
      </c>
    </row>
    <row r="646">
      <c r="A646" s="17" t="inlineStr">
        <is>
          <t>Resource Total (Material + Labour + Machinery, as printed)</t>
        </is>
      </c>
      <c r="B646" s="18" t="n"/>
      <c r="C646" s="18" t="n"/>
      <c r="D646" s="18" t="n"/>
      <c r="E646" s="18" t="n"/>
      <c r="F646" s="19">
        <f>SUM(F644:F645)</f>
        <v/>
      </c>
    </row>
    <row r="647">
      <c r="A647" s="20" t="inlineStr">
        <is>
          <t>SAY (Rs.) — final DAR rate</t>
        </is>
      </c>
      <c r="B647" s="21" t="n"/>
      <c r="C647" s="21" t="n"/>
      <c r="D647" s="21" t="n"/>
      <c r="E647" s="21" t="n"/>
      <c r="F647" s="22" t="n">
        <v>222.3</v>
      </c>
    </row>
    <row r="649" ht="70" customHeight="1">
      <c r="A649" s="9" t="inlineStr">
        <is>
          <t>2.30.4</t>
        </is>
      </c>
      <c r="B649" s="10"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 Hard rock (blasting prohibited)</t>
        </is>
      </c>
      <c r="C649" s="11" t="n"/>
      <c r="D649" s="11" t="n"/>
      <c r="E649" s="11" t="n"/>
      <c r="F649" s="11" t="n"/>
    </row>
    <row r="650">
      <c r="A650" s="12" t="inlineStr">
        <is>
          <t>Rate basis: per each  (source: cost for 10 each)</t>
        </is>
      </c>
    </row>
    <row r="651">
      <c r="A651" s="5" t="inlineStr">
        <is>
          <t>Code</t>
        </is>
      </c>
      <c r="B651" s="5" t="inlineStr">
        <is>
          <t>Description</t>
        </is>
      </c>
      <c r="C651" s="5" t="inlineStr">
        <is>
          <t>Unit</t>
        </is>
      </c>
      <c r="D651" s="5" t="inlineStr">
        <is>
          <t>Quantity</t>
        </is>
      </c>
      <c r="E651" s="5" t="inlineStr">
        <is>
          <t>Rate (Rs.)</t>
        </is>
      </c>
      <c r="F651" s="5" t="inlineStr">
        <is>
          <t>Amount (Rs.)</t>
        </is>
      </c>
    </row>
    <row r="652">
      <c r="A652" s="13" t="inlineStr">
        <is>
          <t>REF 2.9.3</t>
        </is>
      </c>
      <c r="B652" s="14" t="inlineStr">
        <is>
          <t>Excavation hard rock no blasting (3.00 cum)</t>
        </is>
      </c>
      <c r="C652" s="13" t="inlineStr">
        <is>
          <t>cum</t>
        </is>
      </c>
      <c r="D652" s="15" t="n">
        <v>3</v>
      </c>
      <c r="E652" s="16" t="n">
        <v>1080.55</v>
      </c>
      <c r="F652" s="16">
        <f>D652*E652</f>
        <v/>
      </c>
    </row>
    <row r="653">
      <c r="A653" s="13" t="inlineStr">
        <is>
          <t>9999</t>
        </is>
      </c>
      <c r="B653" s="14" t="inlineStr">
        <is>
          <t>Sundries</t>
        </is>
      </c>
      <c r="C653" s="13" t="inlineStr">
        <is>
          <t>LS</t>
        </is>
      </c>
      <c r="D653" s="15" t="n">
        <v>27.04</v>
      </c>
      <c r="E653" s="16" t="n">
        <v>2</v>
      </c>
      <c r="F653" s="16">
        <f>D653*E653</f>
        <v/>
      </c>
    </row>
    <row r="654">
      <c r="A654" s="17" t="inlineStr">
        <is>
          <t>Resource Total (Material + Labour + Machinery, as printed)</t>
        </is>
      </c>
      <c r="B654" s="18" t="n"/>
      <c r="C654" s="18" t="n"/>
      <c r="D654" s="18" t="n"/>
      <c r="E654" s="18" t="n"/>
      <c r="F654" s="19">
        <f>SUM(F652:F653)</f>
        <v/>
      </c>
    </row>
    <row r="655">
      <c r="A655" s="20" t="inlineStr">
        <is>
          <t>SAY (Rs.) — final DAR rate</t>
        </is>
      </c>
      <c r="B655" s="21" t="n"/>
      <c r="C655" s="21" t="n"/>
      <c r="D655" s="21" t="n"/>
      <c r="E655" s="21" t="n"/>
      <c r="F655" s="22" t="n">
        <v>327.8</v>
      </c>
    </row>
    <row r="657" ht="42" customHeight="1">
      <c r="A657" s="9" t="inlineStr">
        <is>
          <t>2.31</t>
        </is>
      </c>
      <c r="B657" s="10" t="inlineStr">
        <is>
          <t>Clearing jungle including uprooting of rank vegetation, grass, brush wood, trees and saplings of girth up to 30 cm measured at a height of 1 m above ground level and removal of rubbish up to a distance of 50 m outside the periphery of the area cleared.</t>
        </is>
      </c>
      <c r="C657" s="11" t="n"/>
      <c r="D657" s="11" t="n"/>
      <c r="E657" s="11" t="n"/>
      <c r="F657" s="11" t="n"/>
    </row>
    <row r="658">
      <c r="A658" s="12" t="inlineStr">
        <is>
          <t>Rate basis: per sqm  (source: cost for 100 sqm)</t>
        </is>
      </c>
    </row>
    <row r="659">
      <c r="A659" s="5" t="inlineStr">
        <is>
          <t>Code</t>
        </is>
      </c>
      <c r="B659" s="5" t="inlineStr">
        <is>
          <t>Description</t>
        </is>
      </c>
      <c r="C659" s="5" t="inlineStr">
        <is>
          <t>Unit</t>
        </is>
      </c>
      <c r="D659" s="5" t="inlineStr">
        <is>
          <t>Quantity</t>
        </is>
      </c>
      <c r="E659" s="5" t="inlineStr">
        <is>
          <t>Rate (Rs.)</t>
        </is>
      </c>
      <c r="F659" s="5" t="inlineStr">
        <is>
          <t>Amount (Rs.)</t>
        </is>
      </c>
    </row>
    <row r="660">
      <c r="A660" s="13" t="inlineStr">
        <is>
          <t>0114</t>
        </is>
      </c>
      <c r="B660" s="14" t="inlineStr">
        <is>
          <t>Beldar</t>
        </is>
      </c>
      <c r="C660" s="13" t="inlineStr">
        <is>
          <t>day</t>
        </is>
      </c>
      <c r="D660" s="15" t="n">
        <v>1.08</v>
      </c>
      <c r="E660" s="16" t="n">
        <v>558</v>
      </c>
      <c r="F660" s="16">
        <f>D660*E660</f>
        <v/>
      </c>
    </row>
    <row r="661">
      <c r="A661" s="13" t="inlineStr">
        <is>
          <t>0115</t>
        </is>
      </c>
      <c r="B661" s="14" t="inlineStr">
        <is>
          <t>Coolie</t>
        </is>
      </c>
      <c r="C661" s="13" t="inlineStr">
        <is>
          <t>day</t>
        </is>
      </c>
      <c r="D661" s="15" t="n">
        <v>0.6</v>
      </c>
      <c r="E661" s="16" t="n">
        <v>558</v>
      </c>
      <c r="F661" s="16">
        <f>D661*E661</f>
        <v/>
      </c>
    </row>
    <row r="662">
      <c r="A662" s="17" t="inlineStr">
        <is>
          <t>Resource Total (Material + Labour + Machinery, as printed)</t>
        </is>
      </c>
      <c r="B662" s="18" t="n"/>
      <c r="C662" s="18" t="n"/>
      <c r="D662" s="18" t="n"/>
      <c r="E662" s="18" t="n"/>
      <c r="F662" s="19">
        <f>SUM(F660:F661)</f>
        <v/>
      </c>
    </row>
    <row r="663">
      <c r="A663" s="20" t="inlineStr">
        <is>
          <t>SAY (Rs.) — final DAR rate</t>
        </is>
      </c>
      <c r="B663" s="21" t="n"/>
      <c r="C663" s="21" t="n"/>
      <c r="D663" s="21" t="n"/>
      <c r="E663" s="21" t="n"/>
      <c r="F663" s="22" t="n">
        <v>12.55</v>
      </c>
    </row>
    <row r="665" ht="28" customHeight="1">
      <c r="A665" s="9" t="inlineStr">
        <is>
          <t>2.32</t>
        </is>
      </c>
      <c r="B665" s="10" t="inlineStr">
        <is>
          <t>Clearing grass and removal of the rubbish up to a distance of 50 m outside the periphery of the area cleared.</t>
        </is>
      </c>
      <c r="C665" s="11" t="n"/>
      <c r="D665" s="11" t="n"/>
      <c r="E665" s="11" t="n"/>
      <c r="F665" s="11" t="n"/>
    </row>
    <row r="666">
      <c r="A666" s="12" t="inlineStr">
        <is>
          <t>Rate basis: per sqm  (source: cost for 100 sqm)</t>
        </is>
      </c>
    </row>
    <row r="667">
      <c r="A667" s="5" t="inlineStr">
        <is>
          <t>Code</t>
        </is>
      </c>
      <c r="B667" s="5" t="inlineStr">
        <is>
          <t>Description</t>
        </is>
      </c>
      <c r="C667" s="5" t="inlineStr">
        <is>
          <t>Unit</t>
        </is>
      </c>
      <c r="D667" s="5" t="inlineStr">
        <is>
          <t>Quantity</t>
        </is>
      </c>
      <c r="E667" s="5" t="inlineStr">
        <is>
          <t>Rate (Rs.)</t>
        </is>
      </c>
      <c r="F667" s="5" t="inlineStr">
        <is>
          <t>Amount (Rs.)</t>
        </is>
      </c>
    </row>
    <row r="668">
      <c r="A668" s="13" t="inlineStr">
        <is>
          <t>0114</t>
        </is>
      </c>
      <c r="B668" s="14" t="inlineStr">
        <is>
          <t>Beldar</t>
        </is>
      </c>
      <c r="C668" s="13" t="inlineStr">
        <is>
          <t>day</t>
        </is>
      </c>
      <c r="D668" s="15" t="n">
        <v>0.6</v>
      </c>
      <c r="E668" s="16" t="n">
        <v>558</v>
      </c>
      <c r="F668" s="16">
        <f>D668*E668</f>
        <v/>
      </c>
    </row>
    <row r="669">
      <c r="A669" s="13" t="inlineStr">
        <is>
          <t>0115</t>
        </is>
      </c>
      <c r="B669" s="14" t="inlineStr">
        <is>
          <t>Coolie</t>
        </is>
      </c>
      <c r="C669" s="13" t="inlineStr">
        <is>
          <t>day</t>
        </is>
      </c>
      <c r="D669" s="15" t="n">
        <v>0.25</v>
      </c>
      <c r="E669" s="16" t="n">
        <v>558</v>
      </c>
      <c r="F669" s="16">
        <f>D669*E669</f>
        <v/>
      </c>
    </row>
    <row r="670">
      <c r="A670" s="13" t="inlineStr">
        <is>
          <t>9999</t>
        </is>
      </c>
      <c r="B670" s="14" t="inlineStr">
        <is>
          <t>Sundries</t>
        </is>
      </c>
      <c r="C670" s="13" t="inlineStr">
        <is>
          <t>LS</t>
        </is>
      </c>
      <c r="D670" s="15" t="n">
        <v>1.82</v>
      </c>
      <c r="E670" s="16" t="n">
        <v>2</v>
      </c>
      <c r="F670" s="16">
        <f>D670*E670</f>
        <v/>
      </c>
    </row>
    <row r="671">
      <c r="A671" s="17" t="inlineStr">
        <is>
          <t>Resource Total (Material + Labour + Machinery, as printed)</t>
        </is>
      </c>
      <c r="B671" s="18" t="n"/>
      <c r="C671" s="18" t="n"/>
      <c r="D671" s="18" t="n"/>
      <c r="E671" s="18" t="n"/>
      <c r="F671" s="19">
        <f>SUM(F668:F670)</f>
        <v/>
      </c>
    </row>
    <row r="672">
      <c r="A672" s="20" t="inlineStr">
        <is>
          <t>SAY (Rs.) — final DAR rate</t>
        </is>
      </c>
      <c r="B672" s="21" t="n"/>
      <c r="C672" s="21" t="n"/>
      <c r="D672" s="21" t="n"/>
      <c r="E672" s="21" t="n"/>
      <c r="F672" s="22" t="n">
        <v>6.4</v>
      </c>
    </row>
    <row r="674" ht="42" customHeight="1">
      <c r="A674" s="9" t="inlineStr">
        <is>
          <t>2.33.1</t>
        </is>
      </c>
      <c r="B674" s="10" t="inlineStr">
        <is>
          <t>Felling trees of the girth (measured at a height of 1 m above ground level), including cutting of trunks and branches, removing the roots and stacking of serviceable material and disposal of unserviceable material. - Beyond 30 cm girth upto and including 60 cm girth</t>
        </is>
      </c>
      <c r="C674" s="11" t="n"/>
      <c r="D674" s="11" t="n"/>
      <c r="E674" s="11" t="n"/>
      <c r="F674" s="11" t="n"/>
    </row>
    <row r="675">
      <c r="A675" s="12" t="inlineStr">
        <is>
          <t>Rate basis: per each  (source: cost for 1 each)</t>
        </is>
      </c>
    </row>
    <row r="676">
      <c r="A676" s="5" t="inlineStr">
        <is>
          <t>Code</t>
        </is>
      </c>
      <c r="B676" s="5" t="inlineStr">
        <is>
          <t>Description</t>
        </is>
      </c>
      <c r="C676" s="5" t="inlineStr">
        <is>
          <t>Unit</t>
        </is>
      </c>
      <c r="D676" s="5" t="inlineStr">
        <is>
          <t>Quantity</t>
        </is>
      </c>
      <c r="E676" s="5" t="inlineStr">
        <is>
          <t>Rate (Rs.)</t>
        </is>
      </c>
      <c r="F676" s="5" t="inlineStr">
        <is>
          <t>Amount (Rs.)</t>
        </is>
      </c>
    </row>
    <row r="677">
      <c r="A677" s="13" t="inlineStr">
        <is>
          <t>0114</t>
        </is>
      </c>
      <c r="B677" s="14" t="inlineStr">
        <is>
          <t>Beldar</t>
        </is>
      </c>
      <c r="C677" s="13" t="inlineStr">
        <is>
          <t>day</t>
        </is>
      </c>
      <c r="D677" s="15" t="n">
        <v>0.33</v>
      </c>
      <c r="E677" s="16" t="n">
        <v>558</v>
      </c>
      <c r="F677" s="16">
        <f>D677*E677</f>
        <v/>
      </c>
    </row>
    <row r="678">
      <c r="A678" s="13" t="inlineStr">
        <is>
          <t>0115</t>
        </is>
      </c>
      <c r="B678" s="14" t="inlineStr">
        <is>
          <t>Coolie</t>
        </is>
      </c>
      <c r="C678" s="13" t="inlineStr">
        <is>
          <t>day</t>
        </is>
      </c>
      <c r="D678" s="15" t="n">
        <v>0.17</v>
      </c>
      <c r="E678" s="16" t="n">
        <v>558</v>
      </c>
      <c r="F678" s="16">
        <f>D678*E678</f>
        <v/>
      </c>
    </row>
    <row r="679">
      <c r="A679" s="13" t="inlineStr">
        <is>
          <t>9999</t>
        </is>
      </c>
      <c r="B679" s="14" t="inlineStr">
        <is>
          <t>Sundries</t>
        </is>
      </c>
      <c r="C679" s="13" t="inlineStr">
        <is>
          <t>LS</t>
        </is>
      </c>
      <c r="D679" s="15" t="n">
        <v>2.73</v>
      </c>
      <c r="E679" s="16" t="n">
        <v>2</v>
      </c>
      <c r="F679" s="16">
        <f>D679*E679</f>
        <v/>
      </c>
    </row>
    <row r="680">
      <c r="A680" s="17" t="inlineStr">
        <is>
          <t>Resource Total (Material + Labour + Machinery, as printed)</t>
        </is>
      </c>
      <c r="B680" s="18" t="n"/>
      <c r="C680" s="18" t="n"/>
      <c r="D680" s="18" t="n"/>
      <c r="E680" s="18" t="n"/>
      <c r="F680" s="19">
        <f>SUM(F677:F679)</f>
        <v/>
      </c>
    </row>
    <row r="681">
      <c r="A681" s="20" t="inlineStr">
        <is>
          <t>SAY (Rs.) — final DAR rate</t>
        </is>
      </c>
      <c r="B681" s="21" t="n"/>
      <c r="C681" s="21" t="n"/>
      <c r="D681" s="21" t="n"/>
      <c r="E681" s="21" t="n"/>
      <c r="F681" s="22" t="n">
        <v>380.6</v>
      </c>
    </row>
    <row r="683" ht="42" customHeight="1">
      <c r="A683" s="9" t="inlineStr">
        <is>
          <t>2.33.2</t>
        </is>
      </c>
      <c r="B683" s="10" t="inlineStr">
        <is>
          <t>Felling trees of the girth (measured at a height of 1 m above ground level), including cutting of trunks and branches, removing the roots and stacking of serviceable material and disposal of unserviceable material. - Beyond 60 cm girth upto and including 120 cm girth</t>
        </is>
      </c>
      <c r="C683" s="11" t="n"/>
      <c r="D683" s="11" t="n"/>
      <c r="E683" s="11" t="n"/>
      <c r="F683" s="11" t="n"/>
    </row>
    <row r="684">
      <c r="A684" s="12" t="inlineStr">
        <is>
          <t>Rate basis: per each  (source: cost for 1 each)</t>
        </is>
      </c>
    </row>
    <row r="685">
      <c r="A685" s="5" t="inlineStr">
        <is>
          <t>Code</t>
        </is>
      </c>
      <c r="B685" s="5" t="inlineStr">
        <is>
          <t>Description</t>
        </is>
      </c>
      <c r="C685" s="5" t="inlineStr">
        <is>
          <t>Unit</t>
        </is>
      </c>
      <c r="D685" s="5" t="inlineStr">
        <is>
          <t>Quantity</t>
        </is>
      </c>
      <c r="E685" s="5" t="inlineStr">
        <is>
          <t>Rate (Rs.)</t>
        </is>
      </c>
      <c r="F685" s="5" t="inlineStr">
        <is>
          <t>Amount (Rs.)</t>
        </is>
      </c>
    </row>
    <row r="686">
      <c r="A686" s="13" t="inlineStr">
        <is>
          <t>0114</t>
        </is>
      </c>
      <c r="B686" s="14" t="inlineStr">
        <is>
          <t>Beldar</t>
        </is>
      </c>
      <c r="C686" s="13" t="inlineStr">
        <is>
          <t>day</t>
        </is>
      </c>
      <c r="D686" s="15" t="n">
        <v>1.5</v>
      </c>
      <c r="E686" s="16" t="n">
        <v>558</v>
      </c>
      <c r="F686" s="16">
        <f>D686*E686</f>
        <v/>
      </c>
    </row>
    <row r="687">
      <c r="A687" s="13" t="inlineStr">
        <is>
          <t>0115</t>
        </is>
      </c>
      <c r="B687" s="14" t="inlineStr">
        <is>
          <t>Coolie</t>
        </is>
      </c>
      <c r="C687" s="13" t="inlineStr">
        <is>
          <t>day</t>
        </is>
      </c>
      <c r="D687" s="15" t="n">
        <v>0.75</v>
      </c>
      <c r="E687" s="16" t="n">
        <v>558</v>
      </c>
      <c r="F687" s="16">
        <f>D687*E687</f>
        <v/>
      </c>
    </row>
    <row r="688">
      <c r="A688" s="13" t="inlineStr">
        <is>
          <t>9999</t>
        </is>
      </c>
      <c r="B688" s="14" t="inlineStr">
        <is>
          <t>Sundries</t>
        </is>
      </c>
      <c r="C688" s="13" t="inlineStr">
        <is>
          <t>LS</t>
        </is>
      </c>
      <c r="D688" s="15" t="n">
        <v>5.46</v>
      </c>
      <c r="E688" s="16" t="n">
        <v>2</v>
      </c>
      <c r="F688" s="16">
        <f>D688*E688</f>
        <v/>
      </c>
    </row>
    <row r="689">
      <c r="A689" s="17" t="inlineStr">
        <is>
          <t>Resource Total (Material + Labour + Machinery, as printed)</t>
        </is>
      </c>
      <c r="B689" s="18" t="n"/>
      <c r="C689" s="18" t="n"/>
      <c r="D689" s="18" t="n"/>
      <c r="E689" s="18" t="n"/>
      <c r="F689" s="19">
        <f>SUM(F686:F688)</f>
        <v/>
      </c>
    </row>
    <row r="690">
      <c r="A690" s="20" t="inlineStr">
        <is>
          <t>SAY (Rs.) — final DAR rate</t>
        </is>
      </c>
      <c r="B690" s="21" t="n"/>
      <c r="C690" s="21" t="n"/>
      <c r="D690" s="21" t="n"/>
      <c r="E690" s="21" t="n"/>
      <c r="F690" s="22" t="n">
        <v>1694.4</v>
      </c>
    </row>
    <row r="692" ht="42" customHeight="1">
      <c r="A692" s="9" t="inlineStr">
        <is>
          <t>2.33.3</t>
        </is>
      </c>
      <c r="B692" s="10" t="inlineStr">
        <is>
          <t>Felling trees of the girth (measured at a height of 1 m above ground level), including cutting of trunks and branches, removing the roots and stacking of serviceable material and disposal of unserviceable material. - Beyond 120 cm girth upto and including 240 cm girth</t>
        </is>
      </c>
      <c r="C692" s="11" t="n"/>
      <c r="D692" s="11" t="n"/>
      <c r="E692" s="11" t="n"/>
      <c r="F692" s="11" t="n"/>
    </row>
    <row r="693">
      <c r="A693" s="12" t="inlineStr">
        <is>
          <t>Rate basis: per each  (source: cost for 1 each)</t>
        </is>
      </c>
    </row>
    <row r="694">
      <c r="A694" s="5" t="inlineStr">
        <is>
          <t>Code</t>
        </is>
      </c>
      <c r="B694" s="5" t="inlineStr">
        <is>
          <t>Description</t>
        </is>
      </c>
      <c r="C694" s="5" t="inlineStr">
        <is>
          <t>Unit</t>
        </is>
      </c>
      <c r="D694" s="5" t="inlineStr">
        <is>
          <t>Quantity</t>
        </is>
      </c>
      <c r="E694" s="5" t="inlineStr">
        <is>
          <t>Rate (Rs.)</t>
        </is>
      </c>
      <c r="F694" s="5" t="inlineStr">
        <is>
          <t>Amount (Rs.)</t>
        </is>
      </c>
    </row>
    <row r="695">
      <c r="A695" s="13" t="inlineStr">
        <is>
          <t>0114</t>
        </is>
      </c>
      <c r="B695" s="14" t="inlineStr">
        <is>
          <t>Beldar</t>
        </is>
      </c>
      <c r="C695" s="13" t="inlineStr">
        <is>
          <t>day</t>
        </is>
      </c>
      <c r="D695" s="15" t="n">
        <v>7</v>
      </c>
      <c r="E695" s="16" t="n">
        <v>558</v>
      </c>
      <c r="F695" s="16">
        <f>D695*E695</f>
        <v/>
      </c>
    </row>
    <row r="696">
      <c r="A696" s="13" t="inlineStr">
        <is>
          <t>0115</t>
        </is>
      </c>
      <c r="B696" s="14" t="inlineStr">
        <is>
          <t>Coolie</t>
        </is>
      </c>
      <c r="C696" s="13" t="inlineStr">
        <is>
          <t>day</t>
        </is>
      </c>
      <c r="D696" s="15" t="n">
        <v>3.5</v>
      </c>
      <c r="E696" s="16" t="n">
        <v>558</v>
      </c>
      <c r="F696" s="16">
        <f>D696*E696</f>
        <v/>
      </c>
    </row>
    <row r="697">
      <c r="A697" s="13" t="inlineStr">
        <is>
          <t>9999</t>
        </is>
      </c>
      <c r="B697" s="14" t="inlineStr">
        <is>
          <t>Sundries</t>
        </is>
      </c>
      <c r="C697" s="13" t="inlineStr">
        <is>
          <t>LS</t>
        </is>
      </c>
      <c r="D697" s="15" t="n">
        <v>8.06</v>
      </c>
      <c r="E697" s="16" t="n">
        <v>2</v>
      </c>
      <c r="F697" s="16">
        <f>D697*E697</f>
        <v/>
      </c>
    </row>
    <row r="698">
      <c r="A698" s="17" t="inlineStr">
        <is>
          <t>Resource Total (Material + Labour + Machinery, as printed)</t>
        </is>
      </c>
      <c r="B698" s="18" t="n"/>
      <c r="C698" s="18" t="n"/>
      <c r="D698" s="18" t="n"/>
      <c r="E698" s="18" t="n"/>
      <c r="F698" s="19">
        <f>SUM(F695:F697)</f>
        <v/>
      </c>
    </row>
    <row r="699">
      <c r="A699" s="20" t="inlineStr">
        <is>
          <t>SAY (Rs.) — final DAR rate</t>
        </is>
      </c>
      <c r="B699" s="21" t="n"/>
      <c r="C699" s="21" t="n"/>
      <c r="D699" s="21" t="n"/>
      <c r="E699" s="21" t="n"/>
      <c r="F699" s="22" t="n">
        <v>7860.55</v>
      </c>
    </row>
    <row r="701" ht="42" customHeight="1">
      <c r="A701" s="9" t="inlineStr">
        <is>
          <t>2.33.4</t>
        </is>
      </c>
      <c r="B701" s="10" t="inlineStr">
        <is>
          <t>Felling trees of the girth (measured at a height of 1 m above ground level), including cutting of trunks and branches, removing the roots and stacking of serviceable material and disposal of unserviceable material. - Above 240 cm girth</t>
        </is>
      </c>
      <c r="C701" s="11" t="n"/>
      <c r="D701" s="11" t="n"/>
      <c r="E701" s="11" t="n"/>
      <c r="F701" s="11" t="n"/>
    </row>
    <row r="702">
      <c r="A702" s="12" t="inlineStr">
        <is>
          <t>Rate basis: per each  (source: cost for 1 each)</t>
        </is>
      </c>
    </row>
    <row r="703">
      <c r="A703" s="5" t="inlineStr">
        <is>
          <t>Code</t>
        </is>
      </c>
      <c r="B703" s="5" t="inlineStr">
        <is>
          <t>Description</t>
        </is>
      </c>
      <c r="C703" s="5" t="inlineStr">
        <is>
          <t>Unit</t>
        </is>
      </c>
      <c r="D703" s="5" t="inlineStr">
        <is>
          <t>Quantity</t>
        </is>
      </c>
      <c r="E703" s="5" t="inlineStr">
        <is>
          <t>Rate (Rs.)</t>
        </is>
      </c>
      <c r="F703" s="5" t="inlineStr">
        <is>
          <t>Amount (Rs.)</t>
        </is>
      </c>
    </row>
    <row r="704">
      <c r="A704" s="13" t="inlineStr">
        <is>
          <t>0114</t>
        </is>
      </c>
      <c r="B704" s="14" t="inlineStr">
        <is>
          <t>Beldar</t>
        </is>
      </c>
      <c r="C704" s="13" t="inlineStr">
        <is>
          <t>day</t>
        </is>
      </c>
      <c r="D704" s="15" t="n">
        <v>14</v>
      </c>
      <c r="E704" s="16" t="n">
        <v>558</v>
      </c>
      <c r="F704" s="16">
        <f>D704*E704</f>
        <v/>
      </c>
    </row>
    <row r="705">
      <c r="A705" s="13" t="inlineStr">
        <is>
          <t>0115</t>
        </is>
      </c>
      <c r="B705" s="14" t="inlineStr">
        <is>
          <t>Coolie</t>
        </is>
      </c>
      <c r="C705" s="13" t="inlineStr">
        <is>
          <t>day</t>
        </is>
      </c>
      <c r="D705" s="15" t="n">
        <v>7</v>
      </c>
      <c r="E705" s="16" t="n">
        <v>558</v>
      </c>
      <c r="F705" s="16">
        <f>D705*E705</f>
        <v/>
      </c>
    </row>
    <row r="706">
      <c r="A706" s="13" t="inlineStr">
        <is>
          <t>9999</t>
        </is>
      </c>
      <c r="B706" s="14" t="inlineStr">
        <is>
          <t>Sundries</t>
        </is>
      </c>
      <c r="C706" s="13" t="inlineStr">
        <is>
          <t>LS</t>
        </is>
      </c>
      <c r="D706" s="15" t="n">
        <v>26.91</v>
      </c>
      <c r="E706" s="16" t="n">
        <v>2</v>
      </c>
      <c r="F706" s="16">
        <f>D706*E706</f>
        <v/>
      </c>
    </row>
    <row r="707">
      <c r="A707" s="17" t="inlineStr">
        <is>
          <t>Resource Total (Material + Labour + Machinery, as printed)</t>
        </is>
      </c>
      <c r="B707" s="18" t="n"/>
      <c r="C707" s="18" t="n"/>
      <c r="D707" s="18" t="n"/>
      <c r="E707" s="18" t="n"/>
      <c r="F707" s="19">
        <f>SUM(F704:F706)</f>
        <v/>
      </c>
    </row>
    <row r="708">
      <c r="A708" s="20" t="inlineStr">
        <is>
          <t>SAY (Rs.) — final DAR rate</t>
        </is>
      </c>
      <c r="B708" s="21" t="n"/>
      <c r="C708" s="21" t="n"/>
      <c r="D708" s="21" t="n"/>
      <c r="E708" s="21" t="n"/>
      <c r="F708" s="22" t="n">
        <v>15749.95</v>
      </c>
    </row>
    <row r="710" ht="28" customHeight="1">
      <c r="A710" s="9" t="inlineStr">
        <is>
          <t>2.34.1</t>
        </is>
      </c>
      <c r="B710" s="10" t="inlineStr">
        <is>
          <t>Supplying chemical emulsion in sealed containers including delivery as specified. - Chlorpyriphos/ Lindane emulsifiable concentrate of 20%</t>
        </is>
      </c>
      <c r="C710" s="11" t="n"/>
      <c r="D710" s="11" t="n"/>
      <c r="E710" s="11" t="n"/>
      <c r="F710" s="11" t="n"/>
    </row>
    <row r="711">
      <c r="A711" s="12" t="inlineStr">
        <is>
          <t>Rate basis: per litre  (source: cost for 100 litre)</t>
        </is>
      </c>
    </row>
    <row r="712">
      <c r="A712" s="5" t="inlineStr">
        <is>
          <t>Code</t>
        </is>
      </c>
      <c r="B712" s="5" t="inlineStr">
        <is>
          <t>Description</t>
        </is>
      </c>
      <c r="C712" s="5" t="inlineStr">
        <is>
          <t>Unit</t>
        </is>
      </c>
      <c r="D712" s="5" t="inlineStr">
        <is>
          <t>Quantity</t>
        </is>
      </c>
      <c r="E712" s="5" t="inlineStr">
        <is>
          <t>Rate (Rs.)</t>
        </is>
      </c>
      <c r="F712" s="5" t="inlineStr">
        <is>
          <t>Amount (Rs.)</t>
        </is>
      </c>
    </row>
    <row r="713">
      <c r="A713" s="13" t="inlineStr">
        <is>
          <t>7022</t>
        </is>
      </c>
      <c r="B713" s="14" t="inlineStr">
        <is>
          <t>Chlorpyriphos 20% EC concentrate</t>
        </is>
      </c>
      <c r="C713" s="13" t="inlineStr">
        <is>
          <t>litre</t>
        </is>
      </c>
      <c r="D713" s="15" t="n">
        <v>100</v>
      </c>
      <c r="E713" s="16" t="n">
        <v>150</v>
      </c>
      <c r="F713" s="16">
        <f>D713*E713</f>
        <v/>
      </c>
    </row>
    <row r="714">
      <c r="A714" s="13" t="inlineStr">
        <is>
          <t>2342</t>
        </is>
      </c>
      <c r="B714" s="14" t="inlineStr">
        <is>
          <t>Carriage of chemical</t>
        </is>
      </c>
      <c r="C714" s="13" t="inlineStr">
        <is>
          <t>cum</t>
        </is>
      </c>
      <c r="D714" s="15" t="n">
        <v>1</v>
      </c>
      <c r="E714" s="16" t="n">
        <v>10.38</v>
      </c>
      <c r="F714" s="16">
        <f>D714*E714</f>
        <v/>
      </c>
    </row>
    <row r="715">
      <c r="A715" s="17" t="inlineStr">
        <is>
          <t>Resource Total (Material + Labour + Machinery, as printed)</t>
        </is>
      </c>
      <c r="B715" s="18" t="n"/>
      <c r="C715" s="18" t="n"/>
      <c r="D715" s="18" t="n"/>
      <c r="E715" s="18" t="n"/>
      <c r="F715" s="19">
        <f>SUM(F713:F714)</f>
        <v/>
      </c>
    </row>
    <row r="716">
      <c r="A716" s="20" t="inlineStr">
        <is>
          <t>SAY (Rs.) — final DAR rate</t>
        </is>
      </c>
      <c r="B716" s="21" t="n"/>
      <c r="C716" s="21" t="n"/>
      <c r="D716" s="21" t="n"/>
      <c r="E716" s="21" t="n"/>
      <c r="F716" s="22" t="n">
        <v>200.85</v>
      </c>
    </row>
    <row r="718" ht="70" customHeight="1">
      <c r="A718" s="9" t="inlineStr">
        <is>
          <t>2.35.1.1</t>
        </is>
      </c>
      <c r="B718" s="10" t="inlineStr">
        <is>
          <t>Diluting and injecting chemical emulsion for POST-CONSTRUCTIONAL anti- termite treatment (excluding the cost of chemical emulsion) : - Along external wall where the apron is not provided using chemical emulsion @ 7.5 litres / sqm of the vertical surface of the substructure to a depth of 300mm including excavation channel along the wall &amp; rodding etc. complete: - With Chlorpyriphos/ Lindane E.C. 20% with 1% concentration</t>
        </is>
      </c>
      <c r="C718" s="11" t="n"/>
      <c r="D718" s="11" t="n"/>
      <c r="E718" s="11" t="n"/>
      <c r="F718" s="11" t="n"/>
    </row>
    <row r="719">
      <c r="A719" s="12" t="inlineStr">
        <is>
          <t>Rate basis: per metre  (source: cost for 1 metre)</t>
        </is>
      </c>
    </row>
    <row r="720">
      <c r="A720" s="5" t="inlineStr">
        <is>
          <t>Code</t>
        </is>
      </c>
      <c r="B720" s="5" t="inlineStr">
        <is>
          <t>Description</t>
        </is>
      </c>
      <c r="C720" s="5" t="inlineStr">
        <is>
          <t>Unit</t>
        </is>
      </c>
      <c r="D720" s="5" t="inlineStr">
        <is>
          <t>Quantity</t>
        </is>
      </c>
      <c r="E720" s="5" t="inlineStr">
        <is>
          <t>Rate (Rs.)</t>
        </is>
      </c>
      <c r="F720" s="5" t="inlineStr">
        <is>
          <t>Amount (Rs.)</t>
        </is>
      </c>
    </row>
    <row r="721">
      <c r="A721" s="13" t="inlineStr">
        <is>
          <t>0114</t>
        </is>
      </c>
      <c r="B721" s="14" t="inlineStr">
        <is>
          <t>Beldar</t>
        </is>
      </c>
      <c r="C721" s="13" t="inlineStr">
        <is>
          <t>day</t>
        </is>
      </c>
      <c r="D721" s="15" t="n">
        <v>0.33</v>
      </c>
      <c r="E721" s="16" t="n">
        <v>558</v>
      </c>
      <c r="F721" s="16">
        <f>D721*E721</f>
        <v/>
      </c>
    </row>
    <row r="722">
      <c r="A722" s="13" t="inlineStr">
        <is>
          <t>9999</t>
        </is>
      </c>
      <c r="B722" s="14" t="inlineStr">
        <is>
          <t>Sundries</t>
        </is>
      </c>
      <c r="C722" s="13" t="inlineStr">
        <is>
          <t>LS</t>
        </is>
      </c>
      <c r="D722" s="15" t="n">
        <v>13.52</v>
      </c>
      <c r="E722" s="16" t="n">
        <v>2</v>
      </c>
      <c r="F722" s="16">
        <f>D722*E722</f>
        <v/>
      </c>
    </row>
    <row r="723">
      <c r="A723" s="17" t="inlineStr">
        <is>
          <t>Resource Total (Material + Labour + Machinery, as printed)</t>
        </is>
      </c>
      <c r="B723" s="18" t="n"/>
      <c r="C723" s="18" t="n"/>
      <c r="D723" s="18" t="n"/>
      <c r="E723" s="18" t="n"/>
      <c r="F723" s="19">
        <f>SUM(F721:F722)</f>
        <v/>
      </c>
    </row>
    <row r="724">
      <c r="A724" s="20" t="inlineStr">
        <is>
          <t>SAY (Rs.) — final DAR rate</t>
        </is>
      </c>
      <c r="B724" s="21" t="n"/>
      <c r="C724" s="21" t="n"/>
      <c r="D724" s="21" t="n"/>
      <c r="E724" s="21" t="n"/>
      <c r="F724" s="22" t="n">
        <v>28.25</v>
      </c>
    </row>
    <row r="726" ht="56" customHeight="1">
      <c r="A726" s="9" t="inlineStr">
        <is>
          <t>2.35.2.1</t>
        </is>
      </c>
      <c r="B726" s="10" t="inlineStr">
        <is>
          <t>Diluting and injecting chemical emulsion for POST-CONSTRUCTIONAL anti- termite treatment (excluding the cost of chemical emulsion) : - Along the external wall below concrete or masonry apron using chemical emulsion @ 2.25 litres per linear metre including drilling and plugging holes etc.: - With Chlorpyriphos/ Lindane E.C. 20% with 1% concentration</t>
        </is>
      </c>
      <c r="C726" s="11" t="n"/>
      <c r="D726" s="11" t="n"/>
      <c r="E726" s="11" t="n"/>
      <c r="F726" s="11" t="n"/>
    </row>
    <row r="727">
      <c r="A727" s="12" t="inlineStr">
        <is>
          <t>Rate basis: per metre  (source: cost for 1 metre)</t>
        </is>
      </c>
    </row>
    <row r="728">
      <c r="A728" s="5" t="inlineStr">
        <is>
          <t>Code</t>
        </is>
      </c>
      <c r="B728" s="5" t="inlineStr">
        <is>
          <t>Description</t>
        </is>
      </c>
      <c r="C728" s="5" t="inlineStr">
        <is>
          <t>Unit</t>
        </is>
      </c>
      <c r="D728" s="5" t="inlineStr">
        <is>
          <t>Quantity</t>
        </is>
      </c>
      <c r="E728" s="5" t="inlineStr">
        <is>
          <t>Rate (Rs.)</t>
        </is>
      </c>
      <c r="F728" s="5" t="inlineStr">
        <is>
          <t>Amount (Rs.)</t>
        </is>
      </c>
    </row>
    <row r="729">
      <c r="A729" s="13" t="inlineStr">
        <is>
          <t>0114</t>
        </is>
      </c>
      <c r="B729" s="14" t="inlineStr">
        <is>
          <t>Beldar</t>
        </is>
      </c>
      <c r="C729" s="13" t="inlineStr">
        <is>
          <t>day</t>
        </is>
      </c>
      <c r="D729" s="15" t="n">
        <v>0.4</v>
      </c>
      <c r="E729" s="16" t="n">
        <v>558</v>
      </c>
      <c r="F729" s="16">
        <f>D729*E729</f>
        <v/>
      </c>
    </row>
    <row r="730">
      <c r="A730" s="13" t="inlineStr">
        <is>
          <t>9999</t>
        </is>
      </c>
      <c r="B730" s="14" t="inlineStr">
        <is>
          <t>Sundries</t>
        </is>
      </c>
      <c r="C730" s="13" t="inlineStr">
        <is>
          <t>LS</t>
        </is>
      </c>
      <c r="D730" s="15" t="n">
        <v>35.88</v>
      </c>
      <c r="E730" s="16" t="n">
        <v>2</v>
      </c>
      <c r="F730" s="16">
        <f>D730*E730</f>
        <v/>
      </c>
    </row>
    <row r="731">
      <c r="A731" s="17" t="inlineStr">
        <is>
          <t>Resource Total (Material + Labour + Machinery, as printed)</t>
        </is>
      </c>
      <c r="B731" s="18" t="n"/>
      <c r="C731" s="18" t="n"/>
      <c r="D731" s="18" t="n"/>
      <c r="E731" s="18" t="n"/>
      <c r="F731" s="19">
        <f>SUM(F729:F730)</f>
        <v/>
      </c>
    </row>
    <row r="732">
      <c r="A732" s="20" t="inlineStr">
        <is>
          <t>SAY (Rs.) — final DAR rate</t>
        </is>
      </c>
      <c r="B732" s="21" t="n"/>
      <c r="C732" s="21" t="n"/>
      <c r="D732" s="21" t="n"/>
      <c r="E732" s="21" t="n"/>
      <c r="F732" s="22" t="n">
        <v>39.45</v>
      </c>
    </row>
    <row r="734" ht="70" customHeight="1">
      <c r="A734" s="9" t="inlineStr">
        <is>
          <t>2.35.3.1</t>
        </is>
      </c>
      <c r="B734" s="10" t="inlineStr">
        <is>
          <t>Diluting and injecting chemical emulsion for POST-CONSTRUCTIONAL anti- termite treatment (excluding the cost of chemical emulsion) : - Treatment of soil under existing floors using chemical emulsion @ one litre per hole, 300 mm apart including drilling 12 mm diameter holes and plugging with cement mortar 1 :2 (1 cement : 2 Coarse sand) to match the existing floor: - With Chlorpyriphos/Lindane E.C. 20% with 1% concentration</t>
        </is>
      </c>
      <c r="C734" s="11" t="n"/>
      <c r="D734" s="11" t="n"/>
      <c r="E734" s="11" t="n"/>
      <c r="F734" s="11" t="n"/>
    </row>
    <row r="735">
      <c r="A735" s="12" t="inlineStr">
        <is>
          <t>Rate basis: per sqm  (source: cost for 1 sqm)</t>
        </is>
      </c>
    </row>
    <row r="736">
      <c r="A736" s="5" t="inlineStr">
        <is>
          <t>Code</t>
        </is>
      </c>
      <c r="B736" s="5" t="inlineStr">
        <is>
          <t>Description</t>
        </is>
      </c>
      <c r="C736" s="5" t="inlineStr">
        <is>
          <t>Unit</t>
        </is>
      </c>
      <c r="D736" s="5" t="inlineStr">
        <is>
          <t>Quantity</t>
        </is>
      </c>
      <c r="E736" s="5" t="inlineStr">
        <is>
          <t>Rate (Rs.)</t>
        </is>
      </c>
      <c r="F736" s="5" t="inlineStr">
        <is>
          <t>Amount (Rs.)</t>
        </is>
      </c>
    </row>
    <row r="737">
      <c r="A737" s="13" t="inlineStr">
        <is>
          <t>0114</t>
        </is>
      </c>
      <c r="B737" s="14" t="inlineStr">
        <is>
          <t>Beldar</t>
        </is>
      </c>
      <c r="C737" s="13" t="inlineStr">
        <is>
          <t>day</t>
        </is>
      </c>
      <c r="D737" s="15" t="n">
        <v>2</v>
      </c>
      <c r="E737" s="16" t="n">
        <v>558</v>
      </c>
      <c r="F737" s="16">
        <f>D737*E737</f>
        <v/>
      </c>
    </row>
    <row r="738">
      <c r="A738" s="13" t="inlineStr">
        <is>
          <t>0124</t>
        </is>
      </c>
      <c r="B738" s="14" t="inlineStr">
        <is>
          <t>Mason 2nd class</t>
        </is>
      </c>
      <c r="C738" s="13" t="inlineStr">
        <is>
          <t>day</t>
        </is>
      </c>
      <c r="D738" s="15" t="n">
        <v>0.5</v>
      </c>
      <c r="E738" s="16" t="n">
        <v>679</v>
      </c>
      <c r="F738" s="16">
        <f>D738*E738</f>
        <v/>
      </c>
    </row>
    <row r="739">
      <c r="A739" s="13" t="inlineStr">
        <is>
          <t>9999</t>
        </is>
      </c>
      <c r="B739" s="14" t="inlineStr">
        <is>
          <t>Sundries</t>
        </is>
      </c>
      <c r="C739" s="13" t="inlineStr">
        <is>
          <t>LS</t>
        </is>
      </c>
      <c r="D739" s="15" t="n">
        <v>35.88</v>
      </c>
      <c r="E739" s="16" t="n">
        <v>2</v>
      </c>
      <c r="F739" s="16">
        <f>D739*E739</f>
        <v/>
      </c>
    </row>
    <row r="740">
      <c r="A740" s="17" t="inlineStr">
        <is>
          <t>Resource Total (Material + Labour + Machinery, as printed)</t>
        </is>
      </c>
      <c r="B740" s="18" t="n"/>
      <c r="C740" s="18" t="n"/>
      <c r="D740" s="18" t="n"/>
      <c r="E740" s="18" t="n"/>
      <c r="F740" s="19">
        <f>SUM(F737:F739)</f>
        <v/>
      </c>
    </row>
    <row r="741">
      <c r="A741" s="20" t="inlineStr">
        <is>
          <t>SAY (Rs.) — final DAR rate</t>
        </is>
      </c>
      <c r="B741" s="21" t="n"/>
      <c r="C741" s="21" t="n"/>
      <c r="D741" s="21" t="n"/>
      <c r="E741" s="21" t="n"/>
      <c r="F741" s="22" t="n">
        <v>227.05</v>
      </c>
    </row>
    <row r="743" ht="70" customHeight="1">
      <c r="A743" s="9" t="inlineStr">
        <is>
          <t>2.35.4.1</t>
        </is>
      </c>
      <c r="B743" s="10" t="inlineStr">
        <is>
          <t>Diluting and injecting chemical emulsion for POST-CONSTRUCTIONAL anti- termite treatment (excluding the cost of chemical emulsion) : - Treatment of existing masonry using chemical emulsion @ one litre per hole at 300 mm interval including drilling holes at 45 degree and plugging them with cement mortar 1:2 (1 cement : 2 coarse sand) to the full depth of the hole : - With Chlorpyriphos/Lindane E.C. 20% with 1% concentration</t>
        </is>
      </c>
      <c r="C743" s="11" t="n"/>
      <c r="D743" s="11" t="n"/>
      <c r="E743" s="11" t="n"/>
      <c r="F743" s="11" t="n"/>
    </row>
    <row r="744">
      <c r="A744" s="12" t="inlineStr">
        <is>
          <t>Rate basis: per metre  (source: cost for 1 metre)</t>
        </is>
      </c>
    </row>
    <row r="745">
      <c r="A745" s="5" t="inlineStr">
        <is>
          <t>Code</t>
        </is>
      </c>
      <c r="B745" s="5" t="inlineStr">
        <is>
          <t>Description</t>
        </is>
      </c>
      <c r="C745" s="5" t="inlineStr">
        <is>
          <t>Unit</t>
        </is>
      </c>
      <c r="D745" s="5" t="inlineStr">
        <is>
          <t>Quantity</t>
        </is>
      </c>
      <c r="E745" s="5" t="inlineStr">
        <is>
          <t>Rate (Rs.)</t>
        </is>
      </c>
      <c r="F745" s="5" t="inlineStr">
        <is>
          <t>Amount (Rs.)</t>
        </is>
      </c>
    </row>
    <row r="746">
      <c r="A746" s="13" t="inlineStr">
        <is>
          <t>0114</t>
        </is>
      </c>
      <c r="B746" s="14" t="inlineStr">
        <is>
          <t>Beldar</t>
        </is>
      </c>
      <c r="C746" s="13" t="inlineStr">
        <is>
          <t>day</t>
        </is>
      </c>
      <c r="D746" s="15" t="n">
        <v>0.3</v>
      </c>
      <c r="E746" s="16" t="n">
        <v>558</v>
      </c>
      <c r="F746" s="16">
        <f>D746*E746</f>
        <v/>
      </c>
    </row>
    <row r="747">
      <c r="A747" s="13" t="inlineStr">
        <is>
          <t>0124</t>
        </is>
      </c>
      <c r="B747" s="14" t="inlineStr">
        <is>
          <t>Mason 2nd class</t>
        </is>
      </c>
      <c r="C747" s="13" t="inlineStr">
        <is>
          <t>day</t>
        </is>
      </c>
      <c r="D747" s="15" t="n">
        <v>0.05</v>
      </c>
      <c r="E747" s="16" t="n">
        <v>679</v>
      </c>
      <c r="F747" s="16">
        <f>D747*E747</f>
        <v/>
      </c>
    </row>
    <row r="748">
      <c r="A748" s="13" t="inlineStr">
        <is>
          <t>9999</t>
        </is>
      </c>
      <c r="B748" s="14" t="inlineStr">
        <is>
          <t>Sundries</t>
        </is>
      </c>
      <c r="C748" s="13" t="inlineStr">
        <is>
          <t>LS</t>
        </is>
      </c>
      <c r="D748" s="15" t="n">
        <v>17.94</v>
      </c>
      <c r="E748" s="16" t="n">
        <v>2</v>
      </c>
      <c r="F748" s="16">
        <f>D748*E748</f>
        <v/>
      </c>
    </row>
    <row r="749">
      <c r="A749" s="17" t="inlineStr">
        <is>
          <t>Resource Total (Material + Labour + Machinery, as printed)</t>
        </is>
      </c>
      <c r="B749" s="18" t="n"/>
      <c r="C749" s="18" t="n"/>
      <c r="D749" s="18" t="n"/>
      <c r="E749" s="18" t="n"/>
      <c r="F749" s="19">
        <f>SUM(F746:F748)</f>
        <v/>
      </c>
    </row>
    <row r="750">
      <c r="A750" s="20" t="inlineStr">
        <is>
          <t>SAY (Rs.) — final DAR rate</t>
        </is>
      </c>
      <c r="B750" s="21" t="n"/>
      <c r="C750" s="21" t="n"/>
      <c r="D750" s="21" t="n"/>
      <c r="E750" s="21" t="n"/>
      <c r="F750" s="22" t="n">
        <v>31.75</v>
      </c>
    </row>
    <row r="752" ht="70" customHeight="1">
      <c r="A752" s="9" t="inlineStr">
        <is>
          <t>2.35.5</t>
        </is>
      </c>
      <c r="B752" s="1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t>
        </is>
      </c>
      <c r="C752" s="11" t="n"/>
      <c r="D752" s="11" t="n"/>
      <c r="E752" s="11" t="n"/>
      <c r="F752" s="11" t="n"/>
    </row>
    <row r="753">
      <c r="A753" s="12" t="inlineStr">
        <is>
          <t>Rate basis: per metre  (source: cost for 1 metre)</t>
        </is>
      </c>
    </row>
    <row r="754">
      <c r="A754" s="5" t="inlineStr">
        <is>
          <t>Code</t>
        </is>
      </c>
      <c r="B754" s="5" t="inlineStr">
        <is>
          <t>Description</t>
        </is>
      </c>
      <c r="C754" s="5" t="inlineStr">
        <is>
          <t>Unit</t>
        </is>
      </c>
      <c r="D754" s="5" t="inlineStr">
        <is>
          <t>Quantity</t>
        </is>
      </c>
      <c r="E754" s="5" t="inlineStr">
        <is>
          <t>Rate (Rs.)</t>
        </is>
      </c>
      <c r="F754" s="5" t="inlineStr">
        <is>
          <t>Amount (Rs.)</t>
        </is>
      </c>
    </row>
    <row r="755">
      <c r="A755" s="13" t="inlineStr"/>
      <c r="B755" s="14" t="inlineStr">
        <is>
          <t>Kerosene oil</t>
        </is>
      </c>
      <c r="C755" s="13" t="inlineStr">
        <is>
          <t>litre</t>
        </is>
      </c>
      <c r="D755" s="15" t="n">
        <v>32.3</v>
      </c>
      <c r="E755" s="16" t="n">
        <v>50</v>
      </c>
      <c r="F755" s="16">
        <f>D755*E755</f>
        <v/>
      </c>
    </row>
    <row r="756">
      <c r="A756" s="13" t="inlineStr">
        <is>
          <t>0112</t>
        </is>
      </c>
      <c r="B756" s="14" t="inlineStr">
        <is>
          <t>Carpenter 2nd class</t>
        </is>
      </c>
      <c r="C756" s="13" t="inlineStr">
        <is>
          <t>day</t>
        </is>
      </c>
      <c r="D756" s="15" t="n">
        <v>0.2</v>
      </c>
      <c r="E756" s="16" t="n">
        <v>679</v>
      </c>
      <c r="F756" s="16">
        <f>D756*E756</f>
        <v/>
      </c>
    </row>
    <row r="757">
      <c r="A757" s="13" t="inlineStr">
        <is>
          <t>0114</t>
        </is>
      </c>
      <c r="B757" s="14" t="inlineStr">
        <is>
          <t>Beldar</t>
        </is>
      </c>
      <c r="C757" s="13" t="inlineStr">
        <is>
          <t>day</t>
        </is>
      </c>
      <c r="D757" s="15" t="n">
        <v>0.2</v>
      </c>
      <c r="E757" s="16" t="n">
        <v>558</v>
      </c>
      <c r="F757" s="16">
        <f>D757*E757</f>
        <v/>
      </c>
    </row>
    <row r="758">
      <c r="A758" s="13" t="inlineStr">
        <is>
          <t>9999</t>
        </is>
      </c>
      <c r="B758" s="14" t="inlineStr">
        <is>
          <t>Sundries</t>
        </is>
      </c>
      <c r="C758" s="13" t="inlineStr">
        <is>
          <t>LS</t>
        </is>
      </c>
      <c r="D758" s="15" t="n">
        <v>17.94</v>
      </c>
      <c r="E758" s="16" t="n">
        <v>2</v>
      </c>
      <c r="F758" s="16">
        <f>D758*E758</f>
        <v/>
      </c>
    </row>
    <row r="759">
      <c r="A759" s="17" t="inlineStr">
        <is>
          <t>Resource Total (Material + Labour + Machinery, as printed)</t>
        </is>
      </c>
      <c r="B759" s="18" t="n"/>
      <c r="C759" s="18" t="n"/>
      <c r="D759" s="18" t="n"/>
      <c r="E759" s="18" t="n"/>
      <c r="F759" s="19">
        <f>SUM(F755:F758)</f>
        <v/>
      </c>
    </row>
    <row r="760">
      <c r="A760" s="20" t="inlineStr">
        <is>
          <t>SAY (Rs.) — final DAR rate</t>
        </is>
      </c>
      <c r="B760" s="21" t="n"/>
      <c r="C760" s="21" t="n"/>
      <c r="D760" s="21" t="n"/>
      <c r="E760" s="21" t="n"/>
      <c r="F760" s="22" t="n">
        <v>254</v>
      </c>
    </row>
    <row r="762" ht="28" customHeight="1">
      <c r="A762" s="9" t="inlineStr">
        <is>
          <t>2.36</t>
        </is>
      </c>
      <c r="B762" s="10" t="inlineStr">
        <is>
          <t>Extra for levelling &amp; neatly dressing of disposed soil completely as directed by Engineer-in-charge.</t>
        </is>
      </c>
      <c r="C762" s="11" t="n"/>
      <c r="D762" s="11" t="n"/>
      <c r="E762" s="11" t="n"/>
      <c r="F762" s="11" t="n"/>
    </row>
    <row r="763">
      <c r="A763" s="12" t="inlineStr">
        <is>
          <t>Rate basis: per cum  (source: cost for 10 cum)</t>
        </is>
      </c>
    </row>
    <row r="764">
      <c r="A764" s="5" t="inlineStr">
        <is>
          <t>Code</t>
        </is>
      </c>
      <c r="B764" s="5" t="inlineStr">
        <is>
          <t>Description</t>
        </is>
      </c>
      <c r="C764" s="5" t="inlineStr">
        <is>
          <t>Unit</t>
        </is>
      </c>
      <c r="D764" s="5" t="inlineStr">
        <is>
          <t>Quantity</t>
        </is>
      </c>
      <c r="E764" s="5" t="inlineStr">
        <is>
          <t>Rate (Rs.)</t>
        </is>
      </c>
      <c r="F764" s="5" t="inlineStr">
        <is>
          <t>Amount (Rs.)</t>
        </is>
      </c>
    </row>
    <row r="765">
      <c r="A765" s="13" t="inlineStr">
        <is>
          <t>0128</t>
        </is>
      </c>
      <c r="B765" s="14" t="inlineStr">
        <is>
          <t>Mate</t>
        </is>
      </c>
      <c r="C765" s="13" t="inlineStr">
        <is>
          <t>day</t>
        </is>
      </c>
      <c r="D765" s="15" t="n">
        <v>0.08</v>
      </c>
      <c r="E765" s="16" t="n">
        <v>617</v>
      </c>
      <c r="F765" s="16">
        <f>D765*E765</f>
        <v/>
      </c>
    </row>
    <row r="766">
      <c r="A766" s="13" t="inlineStr">
        <is>
          <t>0114</t>
        </is>
      </c>
      <c r="B766" s="14" t="inlineStr">
        <is>
          <t>Beldar/Coolie</t>
        </is>
      </c>
      <c r="C766" s="13" t="inlineStr">
        <is>
          <t>day</t>
        </is>
      </c>
      <c r="D766" s="15" t="n">
        <v>0.8</v>
      </c>
      <c r="E766" s="16" t="n">
        <v>558</v>
      </c>
      <c r="F766" s="16">
        <f>D766*E766</f>
        <v/>
      </c>
    </row>
    <row r="767">
      <c r="A767" s="17" t="inlineStr">
        <is>
          <t>Resource Total (Material + Labour + Machinery, as printed)</t>
        </is>
      </c>
      <c r="B767" s="18" t="n"/>
      <c r="C767" s="18" t="n"/>
      <c r="D767" s="18" t="n"/>
      <c r="E767" s="18" t="n"/>
      <c r="F767" s="19">
        <f>SUM(F765:F766)</f>
        <v/>
      </c>
    </row>
    <row r="768">
      <c r="A768" s="20" t="inlineStr">
        <is>
          <t>SAY (Rs.) — final DAR rate</t>
        </is>
      </c>
      <c r="B768" s="21" t="n"/>
      <c r="C768" s="21" t="n"/>
      <c r="D768" s="21" t="n"/>
      <c r="E768" s="21" t="n"/>
      <c r="F768" s="22" t="n">
        <v>66.34999999999999</v>
      </c>
    </row>
    <row r="770" ht="42" customHeight="1">
      <c r="A770" s="9" t="inlineStr">
        <is>
          <t>2.37</t>
        </is>
      </c>
      <c r="B770" s="10" t="inlineStr">
        <is>
          <t>Supply and stacking of Fly ash conforming to IRC- 58 at site, including carriage, loading , unloading &amp; stacking up to any lead (measured stacks will be reduced by 20% for payment).</t>
        </is>
      </c>
      <c r="C770" s="11" t="n"/>
      <c r="D770" s="11" t="n"/>
      <c r="E770" s="11" t="n"/>
      <c r="F770" s="11" t="n"/>
    </row>
    <row r="771">
      <c r="A771" s="12" t="inlineStr">
        <is>
          <t>Rate basis: per cum  (source: cost for 1 cum)</t>
        </is>
      </c>
    </row>
    <row r="772">
      <c r="A772" s="5" t="inlineStr">
        <is>
          <t>Code</t>
        </is>
      </c>
      <c r="B772" s="5" t="inlineStr">
        <is>
          <t>Description</t>
        </is>
      </c>
      <c r="C772" s="5" t="inlineStr">
        <is>
          <t>Unit</t>
        </is>
      </c>
      <c r="D772" s="5" t="inlineStr">
        <is>
          <t>Quantity</t>
        </is>
      </c>
      <c r="E772" s="5" t="inlineStr">
        <is>
          <t>Rate (Rs.)</t>
        </is>
      </c>
      <c r="F772" s="5" t="inlineStr">
        <is>
          <t>Amount (Rs.)</t>
        </is>
      </c>
    </row>
    <row r="773">
      <c r="A773" s="13" t="inlineStr">
        <is>
          <t>1980</t>
        </is>
      </c>
      <c r="B773" s="14" t="inlineStr">
        <is>
          <t>Fly ash</t>
        </is>
      </c>
      <c r="C773" s="13" t="inlineStr">
        <is>
          <t>cum</t>
        </is>
      </c>
      <c r="D773" s="15" t="n">
        <v>1</v>
      </c>
      <c r="E773" s="16" t="n">
        <v>10</v>
      </c>
      <c r="F773" s="16">
        <f>D773*E773</f>
        <v/>
      </c>
    </row>
    <row r="774">
      <c r="A774" s="13" t="inlineStr">
        <is>
          <t>2262</t>
        </is>
      </c>
      <c r="B774" s="14" t="inlineStr">
        <is>
          <t>Carriage of fly ash</t>
        </is>
      </c>
      <c r="C774" s="13" t="inlineStr">
        <is>
          <t>cum</t>
        </is>
      </c>
      <c r="D774" s="15" t="n">
        <v>1</v>
      </c>
      <c r="E774" s="16" t="n">
        <v>103.77</v>
      </c>
      <c r="F774" s="16">
        <f>D774*E774</f>
        <v/>
      </c>
    </row>
    <row r="775">
      <c r="A775" s="17" t="inlineStr">
        <is>
          <t>Resource Total (Material + Labour + Machinery, as printed)</t>
        </is>
      </c>
      <c r="B775" s="18" t="n"/>
      <c r="C775" s="18" t="n"/>
      <c r="D775" s="18" t="n"/>
      <c r="E775" s="18" t="n"/>
      <c r="F775" s="19">
        <f>SUM(F773:F774)</f>
        <v/>
      </c>
    </row>
    <row r="776">
      <c r="A776" s="20" t="inlineStr">
        <is>
          <t>SAY (Rs.) — final DAR rate</t>
        </is>
      </c>
      <c r="B776" s="21" t="n"/>
      <c r="C776" s="21" t="n"/>
      <c r="D776" s="21" t="n"/>
      <c r="E776" s="21" t="n"/>
      <c r="F776" s="22" t="n">
        <v>152.2</v>
      </c>
    </row>
    <row r="778" ht="84" customHeight="1">
      <c r="A778" s="9" t="inlineStr">
        <is>
          <t>2.38</t>
        </is>
      </c>
      <c r="B778" s="10"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t>
        </is>
      </c>
      <c r="C778" s="11" t="n"/>
      <c r="D778" s="11" t="n"/>
      <c r="E778" s="11" t="n"/>
      <c r="F778" s="11" t="n"/>
    </row>
    <row r="779">
      <c r="A779" s="12" t="inlineStr">
        <is>
          <t>Rate basis: per cum  (source: cost for 10 cum)</t>
        </is>
      </c>
    </row>
    <row r="780">
      <c r="A780" s="5" t="inlineStr">
        <is>
          <t>Code</t>
        </is>
      </c>
      <c r="B780" s="5" t="inlineStr">
        <is>
          <t>Description</t>
        </is>
      </c>
      <c r="C780" s="5" t="inlineStr">
        <is>
          <t>Unit</t>
        </is>
      </c>
      <c r="D780" s="5" t="inlineStr">
        <is>
          <t>Quantity</t>
        </is>
      </c>
      <c r="E780" s="5" t="inlineStr">
        <is>
          <t>Rate (Rs.)</t>
        </is>
      </c>
      <c r="F780" s="5" t="inlineStr">
        <is>
          <t>Amount (Rs.)</t>
        </is>
      </c>
    </row>
    <row r="781">
      <c r="A781" s="13" t="inlineStr">
        <is>
          <t>0128</t>
        </is>
      </c>
      <c r="B781" s="14" t="inlineStr">
        <is>
          <t>Mate</t>
        </is>
      </c>
      <c r="C781" s="13" t="inlineStr">
        <is>
          <t>day</t>
        </is>
      </c>
      <c r="D781" s="15" t="n">
        <v>0.2</v>
      </c>
      <c r="E781" s="16" t="n">
        <v>617</v>
      </c>
      <c r="F781" s="16">
        <f>D781*E781</f>
        <v/>
      </c>
    </row>
    <row r="782">
      <c r="A782" s="13" t="inlineStr">
        <is>
          <t>0115</t>
        </is>
      </c>
      <c r="B782" s="14" t="inlineStr">
        <is>
          <t>Coolie</t>
        </is>
      </c>
      <c r="C782" s="13" t="inlineStr">
        <is>
          <t>day</t>
        </is>
      </c>
      <c r="D782" s="15" t="n">
        <v>2.5</v>
      </c>
      <c r="E782" s="16" t="n">
        <v>558</v>
      </c>
      <c r="F782" s="16">
        <f>D782*E782</f>
        <v/>
      </c>
    </row>
    <row r="783">
      <c r="A783" s="13" t="inlineStr">
        <is>
          <t>0101</t>
        </is>
      </c>
      <c r="B783" s="14" t="inlineStr">
        <is>
          <t>Bhisti</t>
        </is>
      </c>
      <c r="C783" s="13" t="inlineStr">
        <is>
          <t>day</t>
        </is>
      </c>
      <c r="D783" s="15" t="n">
        <v>0.2</v>
      </c>
      <c r="E783" s="16" t="n">
        <v>617</v>
      </c>
      <c r="F783" s="16">
        <f>D783*E783</f>
        <v/>
      </c>
    </row>
    <row r="784">
      <c r="A784" s="17" t="inlineStr">
        <is>
          <t>Resource Total (Material + Labour + Machinery, as printed)</t>
        </is>
      </c>
      <c r="B784" s="18" t="n"/>
      <c r="C784" s="18" t="n"/>
      <c r="D784" s="18" t="n"/>
      <c r="E784" s="18" t="n"/>
      <c r="F784" s="19">
        <f>SUM(F781:F783)</f>
        <v/>
      </c>
    </row>
    <row r="785">
      <c r="A785" s="20" t="inlineStr">
        <is>
          <t>SAY (Rs.) — final DAR rate</t>
        </is>
      </c>
      <c r="B785" s="21" t="n"/>
      <c r="C785" s="21" t="n"/>
      <c r="D785" s="21" t="n"/>
      <c r="E785" s="21" t="n"/>
      <c r="F785" s="22" t="n">
        <v>219.65</v>
      </c>
    </row>
  </sheetData>
  <mergeCells count="312">
    <mergeCell ref="A319:E319"/>
    <mergeCell ref="B743:F743"/>
    <mergeCell ref="B537:F537"/>
    <mergeCell ref="A719:F719"/>
    <mergeCell ref="B601:F601"/>
    <mergeCell ref="A280:F280"/>
    <mergeCell ref="A272:E272"/>
    <mergeCell ref="A13:F13"/>
    <mergeCell ref="A210:E210"/>
    <mergeCell ref="A249:F249"/>
    <mergeCell ref="A618:F618"/>
    <mergeCell ref="A768:E768"/>
    <mergeCell ref="A555:F555"/>
    <mergeCell ref="A349:F349"/>
    <mergeCell ref="A43:E43"/>
    <mergeCell ref="B527:F527"/>
    <mergeCell ref="A567:F567"/>
    <mergeCell ref="B718:F718"/>
    <mergeCell ref="A267:F267"/>
    <mergeCell ref="A204:F204"/>
    <mergeCell ref="A498:E498"/>
    <mergeCell ref="A489:F489"/>
    <mergeCell ref="A183:E183"/>
    <mergeCell ref="B657:F657"/>
    <mergeCell ref="B322:F322"/>
    <mergeCell ref="A264:E264"/>
    <mergeCell ref="A654:E654"/>
    <mergeCell ref="B609:F609"/>
    <mergeCell ref="A362:F362"/>
    <mergeCell ref="A209:E209"/>
    <mergeCell ref="A372:E372"/>
    <mergeCell ref="B554:F554"/>
    <mergeCell ref="A534:E534"/>
    <mergeCell ref="A672:E672"/>
    <mergeCell ref="A732:E732"/>
    <mergeCell ref="A388:F388"/>
    <mergeCell ref="A375:F375"/>
    <mergeCell ref="A707:E707"/>
    <mergeCell ref="A511:E511"/>
    <mergeCell ref="A486:E486"/>
    <mergeCell ref="A675:F675"/>
    <mergeCell ref="B726:F726"/>
    <mergeCell ref="A650:F650"/>
    <mergeCell ref="A723:E723"/>
    <mergeCell ref="A698:E698"/>
    <mergeCell ref="B436:F436"/>
    <mergeCell ref="B770:F770"/>
    <mergeCell ref="A160:E160"/>
    <mergeCell ref="A598:E598"/>
    <mergeCell ref="A276:F276"/>
    <mergeCell ref="A433:E433"/>
    <mergeCell ref="A420:E420"/>
    <mergeCell ref="A591:E591"/>
    <mergeCell ref="A662:E662"/>
    <mergeCell ref="B752:F752"/>
    <mergeCell ref="A1:F1"/>
    <mergeCell ref="A634:F634"/>
    <mergeCell ref="A59:E59"/>
    <mergeCell ref="B625:F625"/>
    <mergeCell ref="A580:E580"/>
    <mergeCell ref="A359:E359"/>
    <mergeCell ref="A346:E346"/>
    <mergeCell ref="A90:E90"/>
    <mergeCell ref="A277:E277"/>
    <mergeCell ref="A512:E512"/>
    <mergeCell ref="A306:E306"/>
    <mergeCell ref="A437:F437"/>
    <mergeCell ref="A284:F284"/>
    <mergeCell ref="A222:F222"/>
    <mergeCell ref="B275:F275"/>
    <mergeCell ref="B778:F778"/>
    <mergeCell ref="A9:E9"/>
    <mergeCell ref="A741:E741"/>
    <mergeCell ref="A515:F515"/>
    <mergeCell ref="A273:E273"/>
    <mergeCell ref="B170:F170"/>
    <mergeCell ref="A684:F684"/>
    <mergeCell ref="A571:E571"/>
    <mergeCell ref="A744:F744"/>
    <mergeCell ref="A323:F323"/>
    <mergeCell ref="A450:F450"/>
    <mergeCell ref="B762:F762"/>
    <mergeCell ref="A735:F735"/>
    <mergeCell ref="B186:F186"/>
    <mergeCell ref="B257:F257"/>
    <mergeCell ref="A681:E681"/>
    <mergeCell ref="B92:F92"/>
    <mergeCell ref="B692:F692"/>
    <mergeCell ref="A460:E460"/>
    <mergeCell ref="A293:E293"/>
    <mergeCell ref="A463:F463"/>
    <mergeCell ref="A599:E599"/>
    <mergeCell ref="A528:F528"/>
    <mergeCell ref="A626:F626"/>
    <mergeCell ref="A163:F163"/>
    <mergeCell ref="B475:F475"/>
    <mergeCell ref="A763:F763"/>
    <mergeCell ref="A2:F2"/>
    <mergeCell ref="A551:E551"/>
    <mergeCell ref="B710:F710"/>
    <mergeCell ref="B107:F107"/>
    <mergeCell ref="A246:E246"/>
    <mergeCell ref="A749:E749"/>
    <mergeCell ref="B641:F641"/>
    <mergeCell ref="A767:E767"/>
    <mergeCell ref="A104:E104"/>
    <mergeCell ref="A175:E175"/>
    <mergeCell ref="A775:E775"/>
    <mergeCell ref="A631:E631"/>
    <mergeCell ref="A579:E579"/>
    <mergeCell ref="A191:F191"/>
    <mergeCell ref="A476:F476"/>
    <mergeCell ref="B296:F296"/>
    <mergeCell ref="B4:F4"/>
    <mergeCell ref="A46:F46"/>
    <mergeCell ref="B62:F62"/>
    <mergeCell ref="A201:E201"/>
    <mergeCell ref="A760:E760"/>
    <mergeCell ref="A228:E228"/>
    <mergeCell ref="A699:E699"/>
    <mergeCell ref="A542:F542"/>
    <mergeCell ref="A171:F171"/>
    <mergeCell ref="A236:E236"/>
    <mergeCell ref="A231:F231"/>
    <mergeCell ref="A336:F336"/>
    <mergeCell ref="A771:F771"/>
    <mergeCell ref="A294:E294"/>
    <mergeCell ref="A594:F594"/>
    <mergeCell ref="B178:F178"/>
    <mergeCell ref="A642:F642"/>
    <mergeCell ref="A254:E254"/>
    <mergeCell ref="A310:F310"/>
    <mergeCell ref="B649:F649"/>
    <mergeCell ref="A646:E646"/>
    <mergeCell ref="B221:F221"/>
    <mergeCell ref="A320:E320"/>
    <mergeCell ref="A176:E176"/>
    <mergeCell ref="A114:E114"/>
    <mergeCell ref="A539:E539"/>
    <mergeCell ref="A647:E647"/>
    <mergeCell ref="B12:F12"/>
    <mergeCell ref="B248:F248"/>
    <mergeCell ref="A33:E33"/>
    <mergeCell ref="B574:F574"/>
    <mergeCell ref="B501:F501"/>
    <mergeCell ref="A333:E333"/>
    <mergeCell ref="A10:E10"/>
    <mergeCell ref="A187:F187"/>
    <mergeCell ref="A245:E245"/>
    <mergeCell ref="B194:F194"/>
    <mergeCell ref="A118:F118"/>
    <mergeCell ref="B734:F734"/>
    <mergeCell ref="B131:F131"/>
    <mergeCell ref="A168:E168"/>
    <mergeCell ref="B52:F52"/>
    <mergeCell ref="B665:F665"/>
    <mergeCell ref="A128:E128"/>
    <mergeCell ref="A255:E255"/>
    <mergeCell ref="A655:E655"/>
    <mergeCell ref="A776:E776"/>
    <mergeCell ref="A21:E21"/>
    <mergeCell ref="A192:E192"/>
    <mergeCell ref="A499:E499"/>
    <mergeCell ref="A129:E129"/>
    <mergeCell ref="A784:E784"/>
    <mergeCell ref="A258:F258"/>
    <mergeCell ref="A715:E715"/>
    <mergeCell ref="A502:F502"/>
    <mergeCell ref="B449:F449"/>
    <mergeCell ref="A658:F658"/>
    <mergeCell ref="A34:E34"/>
    <mergeCell ref="A639:E639"/>
    <mergeCell ref="A49:E49"/>
    <mergeCell ref="A731:E731"/>
    <mergeCell ref="A195:F195"/>
    <mergeCell ref="A213:F213"/>
    <mergeCell ref="A424:F424"/>
    <mergeCell ref="A240:F240"/>
    <mergeCell ref="A411:F411"/>
    <mergeCell ref="A538:F538"/>
    <mergeCell ref="A711:F711"/>
    <mergeCell ref="B593:F593"/>
    <mergeCell ref="B239:F239"/>
    <mergeCell ref="A200:E200"/>
    <mergeCell ref="A563:E563"/>
    <mergeCell ref="B76:F76"/>
    <mergeCell ref="A525:E525"/>
    <mergeCell ref="B374:F374"/>
    <mergeCell ref="B361:F361"/>
    <mergeCell ref="A727:F727"/>
    <mergeCell ref="A785:E785"/>
    <mergeCell ref="A73:E73"/>
    <mergeCell ref="A564:E564"/>
    <mergeCell ref="A60:E60"/>
    <mergeCell ref="A358:E358"/>
    <mergeCell ref="A666:F666"/>
    <mergeCell ref="B387:F387"/>
    <mergeCell ref="B514:F514"/>
    <mergeCell ref="A447:E447"/>
    <mergeCell ref="A385:E385"/>
    <mergeCell ref="A689:E689"/>
    <mergeCell ref="A63:F63"/>
    <mergeCell ref="A50:E50"/>
    <mergeCell ref="A434:E434"/>
    <mergeCell ref="B147:F147"/>
    <mergeCell ref="A42:E42"/>
    <mergeCell ref="A384:E384"/>
    <mergeCell ref="A607:E607"/>
    <mergeCell ref="A144:E144"/>
    <mergeCell ref="B545:F545"/>
    <mergeCell ref="A671:E671"/>
    <mergeCell ref="B36:F36"/>
    <mergeCell ref="B309:F309"/>
    <mergeCell ref="A610:F610"/>
    <mergeCell ref="B674:F674"/>
    <mergeCell ref="B400:F400"/>
    <mergeCell ref="A572:E572"/>
    <mergeCell ref="A397:E397"/>
    <mergeCell ref="A74:E74"/>
    <mergeCell ref="A145:E145"/>
    <mergeCell ref="A630:E630"/>
    <mergeCell ref="A77:F77"/>
    <mergeCell ref="A148:F148"/>
    <mergeCell ref="B24:F24"/>
    <mergeCell ref="A740:E740"/>
    <mergeCell ref="B266:F266"/>
    <mergeCell ref="B566:F566"/>
    <mergeCell ref="A281:E281"/>
    <mergeCell ref="A623:E623"/>
    <mergeCell ref="A750:E750"/>
    <mergeCell ref="A218:E218"/>
    <mergeCell ref="A345:E345"/>
    <mergeCell ref="A5:F5"/>
    <mergeCell ref="A89:E89"/>
    <mergeCell ref="A693:F693"/>
    <mergeCell ref="A105:E105"/>
    <mergeCell ref="B423:F423"/>
    <mergeCell ref="B230:F230"/>
    <mergeCell ref="B279:F279"/>
    <mergeCell ref="A307:E307"/>
    <mergeCell ref="B410:F410"/>
    <mergeCell ref="A184:E184"/>
    <mergeCell ref="B683:F683"/>
    <mergeCell ref="A371:E371"/>
    <mergeCell ref="A407:E407"/>
    <mergeCell ref="A115:E115"/>
    <mergeCell ref="B541:F541"/>
    <mergeCell ref="A680:E680"/>
    <mergeCell ref="A753:F753"/>
    <mergeCell ref="A446:E446"/>
    <mergeCell ref="A108:F108"/>
    <mergeCell ref="A575:F575"/>
    <mergeCell ref="A583:F583"/>
    <mergeCell ref="B701:F701"/>
    <mergeCell ref="B617:F617"/>
    <mergeCell ref="B162:F162"/>
    <mergeCell ref="A401:F401"/>
    <mergeCell ref="A524:E524"/>
    <mergeCell ref="A159:E159"/>
    <mergeCell ref="A219:E219"/>
    <mergeCell ref="A759:E759"/>
    <mergeCell ref="A332:E332"/>
    <mergeCell ref="A459:E459"/>
    <mergeCell ref="B45:F45"/>
    <mergeCell ref="A615:E615"/>
    <mergeCell ref="B190:F190"/>
    <mergeCell ref="B488:F488"/>
    <mergeCell ref="A614:E614"/>
    <mergeCell ref="A179:F179"/>
    <mergeCell ref="A552:E552"/>
    <mergeCell ref="A237:E237"/>
    <mergeCell ref="A408:E408"/>
    <mergeCell ref="A535:E535"/>
    <mergeCell ref="A779:F779"/>
    <mergeCell ref="A473:E473"/>
    <mergeCell ref="A606:E606"/>
    <mergeCell ref="A485:E485"/>
    <mergeCell ref="A690:E690"/>
    <mergeCell ref="B582:F582"/>
    <mergeCell ref="A472:E472"/>
    <mergeCell ref="A708:E708"/>
    <mergeCell ref="A53:F53"/>
    <mergeCell ref="A93:F93"/>
    <mergeCell ref="A22:E22"/>
    <mergeCell ref="A263:E263"/>
    <mergeCell ref="B335:F335"/>
    <mergeCell ref="B462:F462"/>
    <mergeCell ref="B633:F633"/>
    <mergeCell ref="B212:F212"/>
    <mergeCell ref="B203:F203"/>
    <mergeCell ref="A167:E167"/>
    <mergeCell ref="A590:E590"/>
    <mergeCell ref="A421:E421"/>
    <mergeCell ref="A663:E663"/>
    <mergeCell ref="A37:F37"/>
    <mergeCell ref="A702:F702"/>
    <mergeCell ref="A602:F602"/>
    <mergeCell ref="A638:E638"/>
    <mergeCell ref="A297:F297"/>
    <mergeCell ref="A227:E227"/>
    <mergeCell ref="A398:E398"/>
    <mergeCell ref="B117:F117"/>
    <mergeCell ref="A543:E543"/>
    <mergeCell ref="B283:F283"/>
    <mergeCell ref="B348:F348"/>
    <mergeCell ref="A716:E716"/>
    <mergeCell ref="A188:E188"/>
    <mergeCell ref="A546:F546"/>
    <mergeCell ref="A622:E622"/>
    <mergeCell ref="A132:F132"/>
    <mergeCell ref="A724:E724"/>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5"/>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03: MORTARS</t>
        </is>
      </c>
    </row>
    <row r="2" ht="28" customHeight="1">
      <c r="A2" s="8" t="inlineStr">
        <is>
          <t>19 priced items. Amount and SAY are live Excel formulas computed from the Quantity x Rate figures below - edit any Quantity or Rate and the item's rate recalculates.</t>
        </is>
      </c>
    </row>
    <row r="4" ht="18" customHeight="1">
      <c r="A4" s="9" t="inlineStr">
        <is>
          <t>3.1</t>
        </is>
      </c>
      <c r="B4" s="10" t="inlineStr">
        <is>
          <t>Cement mortar 1:1 (1 cement : 1 fine sand)</t>
        </is>
      </c>
      <c r="C4" s="11" t="n"/>
      <c r="D4" s="11" t="n"/>
      <c r="E4" s="11" t="n"/>
      <c r="F4" s="11" t="n"/>
    </row>
    <row r="5">
      <c r="A5" s="12" t="inlineStr">
        <is>
          <t>Rate basis: per cum  (source: cost for 1 cum)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0367</t>
        </is>
      </c>
      <c r="B7" s="14" t="inlineStr">
        <is>
          <t>Portland Cement</t>
        </is>
      </c>
      <c r="C7" s="13" t="inlineStr">
        <is>
          <t>tonne</t>
        </is>
      </c>
      <c r="D7" s="15" t="n">
        <v>1.02</v>
      </c>
      <c r="E7" s="16" t="n">
        <v>4940</v>
      </c>
      <c r="F7" s="16">
        <f>D7*E7</f>
        <v/>
      </c>
    </row>
    <row r="8">
      <c r="A8" s="13" t="inlineStr">
        <is>
          <t>2209</t>
        </is>
      </c>
      <c r="B8" s="14" t="inlineStr">
        <is>
          <t>Carriage of Cement</t>
        </is>
      </c>
      <c r="C8" s="13" t="inlineStr">
        <is>
          <t>tonne</t>
        </is>
      </c>
      <c r="D8" s="15" t="n">
        <v>1.02</v>
      </c>
      <c r="E8" s="16" t="n">
        <v>92.23999999999999</v>
      </c>
      <c r="F8" s="16">
        <f>D8*E8</f>
        <v/>
      </c>
    </row>
    <row r="9">
      <c r="A9" s="13" t="inlineStr">
        <is>
          <t>0983</t>
        </is>
      </c>
      <c r="B9" s="14" t="inlineStr">
        <is>
          <t>Fine Sand (Zone IV)</t>
        </is>
      </c>
      <c r="C9" s="13" t="inlineStr">
        <is>
          <t>cum</t>
        </is>
      </c>
      <c r="D9" s="15" t="n">
        <v>0.7125</v>
      </c>
      <c r="E9" s="16" t="n">
        <v>900</v>
      </c>
      <c r="F9" s="16">
        <f>D9*E9</f>
        <v/>
      </c>
    </row>
    <row r="10">
      <c r="A10" s="13" t="inlineStr">
        <is>
          <t>2261</t>
        </is>
      </c>
      <c r="B10" s="14" t="inlineStr">
        <is>
          <t>Carriage of Fine sand (1 part badarpur sand : 2 parts jamuna sand)</t>
        </is>
      </c>
      <c r="C10" s="13" t="inlineStr">
        <is>
          <t>cum</t>
        </is>
      </c>
      <c r="D10" s="15" t="n">
        <v>0.7125</v>
      </c>
      <c r="E10" s="16" t="n">
        <v>103.77</v>
      </c>
      <c r="F10" s="16">
        <f>D10*E10</f>
        <v/>
      </c>
    </row>
    <row r="11">
      <c r="A11" s="13" t="inlineStr">
        <is>
          <t>0114</t>
        </is>
      </c>
      <c r="B11" s="14" t="inlineStr">
        <is>
          <t>Beldar</t>
        </is>
      </c>
      <c r="C11" s="13" t="inlineStr">
        <is>
          <t>day</t>
        </is>
      </c>
      <c r="D11" s="15" t="n">
        <v>0.75</v>
      </c>
      <c r="E11" s="16" t="n">
        <v>558</v>
      </c>
      <c r="F11" s="16">
        <f>D11*E11</f>
        <v/>
      </c>
    </row>
    <row r="12">
      <c r="A12" s="13" t="inlineStr">
        <is>
          <t>0101</t>
        </is>
      </c>
      <c r="B12" s="14" t="inlineStr">
        <is>
          <t>Bhisti</t>
        </is>
      </c>
      <c r="C12" s="13" t="inlineStr">
        <is>
          <t>day</t>
        </is>
      </c>
      <c r="D12" s="15" t="n">
        <v>0.07000000000000001</v>
      </c>
      <c r="E12" s="16" t="n">
        <v>617</v>
      </c>
      <c r="F12" s="16">
        <f>D12*E12</f>
        <v/>
      </c>
    </row>
    <row r="13">
      <c r="A13" s="13" t="inlineStr">
        <is>
          <t>9999</t>
        </is>
      </c>
      <c r="B13" s="14" t="inlineStr">
        <is>
          <t>Hire and running charges of mechanical mixer</t>
        </is>
      </c>
      <c r="C13" s="13" t="inlineStr">
        <is>
          <t>L.S.</t>
        </is>
      </c>
      <c r="D13" s="15" t="n">
        <v>26.9</v>
      </c>
      <c r="E13" s="16" t="n">
        <v>2</v>
      </c>
      <c r="F13" s="16">
        <f>D13*E13</f>
        <v/>
      </c>
    </row>
    <row r="14">
      <c r="A14" s="13" t="inlineStr">
        <is>
          <t>9999</t>
        </is>
      </c>
      <c r="B14" s="14" t="inlineStr">
        <is>
          <t>Sundries</t>
        </is>
      </c>
      <c r="C14" s="13" t="inlineStr">
        <is>
          <t>L.S.</t>
        </is>
      </c>
      <c r="D14" s="15" t="n">
        <v>13.52</v>
      </c>
      <c r="E14" s="16" t="n">
        <v>2</v>
      </c>
      <c r="F14" s="16">
        <f>D14*E14</f>
        <v/>
      </c>
    </row>
    <row r="15">
      <c r="A15" s="17" t="inlineStr">
        <is>
          <t>Resource Total (Material + Labour + Machinery, as printed)</t>
        </is>
      </c>
      <c r="B15" s="18" t="n"/>
      <c r="C15" s="18" t="n"/>
      <c r="D15" s="18" t="n"/>
      <c r="E15" s="18" t="n"/>
      <c r="F15" s="19">
        <f>SUM(F7:F14)</f>
        <v/>
      </c>
    </row>
    <row r="16">
      <c r="A16" s="20" t="inlineStr">
        <is>
          <t>SAY (Rs.) — final DAR rate</t>
        </is>
      </c>
      <c r="B16" s="21" t="n"/>
      <c r="C16" s="21" t="n"/>
      <c r="D16" s="21" t="n"/>
      <c r="E16" s="21" t="n"/>
      <c r="F16" s="22" t="n">
        <v>6390.6</v>
      </c>
    </row>
    <row r="18" ht="18" customHeight="1">
      <c r="A18" s="9" t="inlineStr">
        <is>
          <t>3.2</t>
        </is>
      </c>
      <c r="B18" s="10" t="inlineStr">
        <is>
          <t>Cement mortar 1:2 (1 cement : 2 fine sand).</t>
        </is>
      </c>
      <c r="C18" s="11" t="n"/>
      <c r="D18" s="11" t="n"/>
      <c r="E18" s="11" t="n"/>
      <c r="F18" s="11" t="n"/>
    </row>
    <row r="19">
      <c r="A19" s="12" t="inlineStr">
        <is>
          <t>Rate basis: per cum  (source: cost for 1 cum)</t>
        </is>
      </c>
    </row>
    <row r="20">
      <c r="A20" s="5" t="inlineStr">
        <is>
          <t>Code</t>
        </is>
      </c>
      <c r="B20" s="5" t="inlineStr">
        <is>
          <t>Description</t>
        </is>
      </c>
      <c r="C20" s="5" t="inlineStr">
        <is>
          <t>Unit</t>
        </is>
      </c>
      <c r="D20" s="5" t="inlineStr">
        <is>
          <t>Quantity</t>
        </is>
      </c>
      <c r="E20" s="5" t="inlineStr">
        <is>
          <t>Rate (Rs.)</t>
        </is>
      </c>
      <c r="F20" s="5" t="inlineStr">
        <is>
          <t>Amount (Rs.)</t>
        </is>
      </c>
    </row>
    <row r="21">
      <c r="A21" s="13" t="inlineStr">
        <is>
          <t>0367</t>
        </is>
      </c>
      <c r="B21" s="14" t="inlineStr">
        <is>
          <t>Portland Cement</t>
        </is>
      </c>
      <c r="C21" s="13" t="inlineStr">
        <is>
          <t>tonne</t>
        </is>
      </c>
      <c r="D21" s="15" t="n">
        <v>0.68</v>
      </c>
      <c r="E21" s="16" t="n">
        <v>4940</v>
      </c>
      <c r="F21" s="16">
        <f>D21*E21</f>
        <v/>
      </c>
    </row>
    <row r="22">
      <c r="A22" s="13" t="inlineStr">
        <is>
          <t>2209</t>
        </is>
      </c>
      <c r="B22" s="14" t="inlineStr">
        <is>
          <t>Carriage of Cement</t>
        </is>
      </c>
      <c r="C22" s="13" t="inlineStr">
        <is>
          <t>tonne</t>
        </is>
      </c>
      <c r="D22" s="15" t="n">
        <v>0.68</v>
      </c>
      <c r="E22" s="16" t="n">
        <v>92.23999999999999</v>
      </c>
      <c r="F22" s="16">
        <f>D22*E22</f>
        <v/>
      </c>
    </row>
    <row r="23">
      <c r="A23" s="13" t="inlineStr">
        <is>
          <t>0983</t>
        </is>
      </c>
      <c r="B23" s="14" t="inlineStr">
        <is>
          <t>Fine sand (zone IV)</t>
        </is>
      </c>
      <c r="C23" s="13" t="inlineStr">
        <is>
          <t>cum</t>
        </is>
      </c>
      <c r="D23" s="15" t="n">
        <v>0.95</v>
      </c>
      <c r="E23" s="16" t="n">
        <v>900</v>
      </c>
      <c r="F23" s="16">
        <f>D23*E23</f>
        <v/>
      </c>
    </row>
    <row r="24">
      <c r="A24" s="13" t="inlineStr">
        <is>
          <t>2261</t>
        </is>
      </c>
      <c r="B24" s="14" t="inlineStr">
        <is>
          <t>Carriage of Fine sand (1 part badarpur sand : 2 parts jamuna sand)</t>
        </is>
      </c>
      <c r="C24" s="13" t="inlineStr">
        <is>
          <t>cum</t>
        </is>
      </c>
      <c r="D24" s="15" t="n">
        <v>0.95</v>
      </c>
      <c r="E24" s="16" t="n">
        <v>103.77</v>
      </c>
      <c r="F24" s="16">
        <f>D24*E24</f>
        <v/>
      </c>
    </row>
    <row r="25">
      <c r="A25" s="13" t="inlineStr">
        <is>
          <t>0114</t>
        </is>
      </c>
      <c r="B25" s="14" t="inlineStr">
        <is>
          <t>Beldar</t>
        </is>
      </c>
      <c r="C25" s="13" t="inlineStr">
        <is>
          <t>day</t>
        </is>
      </c>
      <c r="D25" s="15" t="n">
        <v>0.75</v>
      </c>
      <c r="E25" s="16" t="n">
        <v>558</v>
      </c>
      <c r="F25" s="16">
        <f>D25*E25</f>
        <v/>
      </c>
    </row>
    <row r="26">
      <c r="A26" s="13" t="inlineStr">
        <is>
          <t>0101</t>
        </is>
      </c>
      <c r="B26" s="14" t="inlineStr">
        <is>
          <t>Bhisti</t>
        </is>
      </c>
      <c r="C26" s="13" t="inlineStr">
        <is>
          <t>day</t>
        </is>
      </c>
      <c r="D26" s="15" t="n">
        <v>0.07000000000000001</v>
      </c>
      <c r="E26" s="16" t="n">
        <v>617</v>
      </c>
      <c r="F26" s="16">
        <f>D26*E26</f>
        <v/>
      </c>
    </row>
    <row r="27">
      <c r="A27" s="13" t="inlineStr">
        <is>
          <t>9999</t>
        </is>
      </c>
      <c r="B27" s="14" t="inlineStr">
        <is>
          <t>Hire and running charges of mechanical mixer</t>
        </is>
      </c>
      <c r="C27" s="13" t="inlineStr">
        <is>
          <t>L.S.</t>
        </is>
      </c>
      <c r="D27" s="15" t="n">
        <v>26.91</v>
      </c>
      <c r="E27" s="16" t="n">
        <v>2</v>
      </c>
      <c r="F27" s="16">
        <f>D27*E27</f>
        <v/>
      </c>
    </row>
    <row r="28">
      <c r="A28" s="13" t="inlineStr">
        <is>
          <t>9999</t>
        </is>
      </c>
      <c r="B28" s="14" t="inlineStr">
        <is>
          <t>Sundries</t>
        </is>
      </c>
      <c r="C28" s="13" t="inlineStr">
        <is>
          <t>L.S.</t>
        </is>
      </c>
      <c r="D28" s="15" t="n">
        <v>13.52</v>
      </c>
      <c r="E28" s="16" t="n">
        <v>2</v>
      </c>
      <c r="F28" s="16">
        <f>D28*E28</f>
        <v/>
      </c>
    </row>
    <row r="29">
      <c r="A29" s="17" t="inlineStr">
        <is>
          <t>Resource Total (Material + Labour + Machinery, as printed)</t>
        </is>
      </c>
      <c r="B29" s="18" t="n"/>
      <c r="C29" s="18" t="n"/>
      <c r="D29" s="18" t="n"/>
      <c r="E29" s="18" t="n"/>
      <c r="F29" s="19">
        <f>SUM(F21:F28)</f>
        <v/>
      </c>
    </row>
    <row r="30">
      <c r="A30" s="20" t="inlineStr">
        <is>
          <t>SAY (Rs.) — final DAR rate</t>
        </is>
      </c>
      <c r="B30" s="21" t="n"/>
      <c r="C30" s="21" t="n"/>
      <c r="D30" s="21" t="n"/>
      <c r="E30" s="21" t="n"/>
      <c r="F30" s="22" t="n">
        <v>4918.05</v>
      </c>
    </row>
    <row r="32" ht="18" customHeight="1">
      <c r="A32" s="9" t="inlineStr">
        <is>
          <t>3.3</t>
        </is>
      </c>
      <c r="B32" s="10" t="inlineStr">
        <is>
          <t>Cement mortar 1:3 (1 cement : 3 fine sand).</t>
        </is>
      </c>
      <c r="C32" s="11" t="n"/>
      <c r="D32" s="11" t="n"/>
      <c r="E32" s="11" t="n"/>
      <c r="F32" s="11" t="n"/>
    </row>
    <row r="33">
      <c r="A33" s="12" t="inlineStr">
        <is>
          <t>Rate basis: per cum  (source: cost for 1 cum)</t>
        </is>
      </c>
    </row>
    <row r="34">
      <c r="A34" s="5" t="inlineStr">
        <is>
          <t>Code</t>
        </is>
      </c>
      <c r="B34" s="5" t="inlineStr">
        <is>
          <t>Description</t>
        </is>
      </c>
      <c r="C34" s="5" t="inlineStr">
        <is>
          <t>Unit</t>
        </is>
      </c>
      <c r="D34" s="5" t="inlineStr">
        <is>
          <t>Quantity</t>
        </is>
      </c>
      <c r="E34" s="5" t="inlineStr">
        <is>
          <t>Rate (Rs.)</t>
        </is>
      </c>
      <c r="F34" s="5" t="inlineStr">
        <is>
          <t>Amount (Rs.)</t>
        </is>
      </c>
    </row>
    <row r="35">
      <c r="A35" s="13" t="inlineStr">
        <is>
          <t>0367</t>
        </is>
      </c>
      <c r="B35" s="14" t="inlineStr">
        <is>
          <t>Portland Cement</t>
        </is>
      </c>
      <c r="C35" s="13" t="inlineStr">
        <is>
          <t>tonne</t>
        </is>
      </c>
      <c r="D35" s="15" t="n">
        <v>0.51</v>
      </c>
      <c r="E35" s="16" t="n">
        <v>4940</v>
      </c>
      <c r="F35" s="16">
        <f>D35*E35</f>
        <v/>
      </c>
    </row>
    <row r="36">
      <c r="A36" s="13" t="inlineStr">
        <is>
          <t>2209</t>
        </is>
      </c>
      <c r="B36" s="14" t="inlineStr">
        <is>
          <t>Carriage of Cement</t>
        </is>
      </c>
      <c r="C36" s="13" t="inlineStr">
        <is>
          <t>tonne</t>
        </is>
      </c>
      <c r="D36" s="15" t="n">
        <v>0.51</v>
      </c>
      <c r="E36" s="16" t="n">
        <v>92.23999999999999</v>
      </c>
      <c r="F36" s="16">
        <f>D36*E36</f>
        <v/>
      </c>
    </row>
    <row r="37">
      <c r="A37" s="13" t="inlineStr">
        <is>
          <t>0983</t>
        </is>
      </c>
      <c r="B37" s="14" t="inlineStr">
        <is>
          <t>Fine sand (zone IV)</t>
        </is>
      </c>
      <c r="C37" s="13" t="inlineStr">
        <is>
          <t>cum</t>
        </is>
      </c>
      <c r="D37" s="15" t="n">
        <v>1.07</v>
      </c>
      <c r="E37" s="16" t="n">
        <v>900</v>
      </c>
      <c r="F37" s="16">
        <f>D37*E37</f>
        <v/>
      </c>
    </row>
    <row r="38">
      <c r="A38" s="13" t="inlineStr">
        <is>
          <t>2261</t>
        </is>
      </c>
      <c r="B38" s="14" t="inlineStr">
        <is>
          <t>Carriage of Fine sand (1 part badarpur sand : 2 parts jamuna sand)</t>
        </is>
      </c>
      <c r="C38" s="13" t="inlineStr">
        <is>
          <t>cum</t>
        </is>
      </c>
      <c r="D38" s="15" t="n">
        <v>1.07</v>
      </c>
      <c r="E38" s="16" t="n">
        <v>103.77</v>
      </c>
      <c r="F38" s="16">
        <f>D38*E38</f>
        <v/>
      </c>
    </row>
    <row r="39">
      <c r="A39" s="13" t="inlineStr">
        <is>
          <t>0114</t>
        </is>
      </c>
      <c r="B39" s="14" t="inlineStr">
        <is>
          <t>Beldar</t>
        </is>
      </c>
      <c r="C39" s="13" t="inlineStr">
        <is>
          <t>day</t>
        </is>
      </c>
      <c r="D39" s="15" t="n">
        <v>0.75</v>
      </c>
      <c r="E39" s="16" t="n">
        <v>558</v>
      </c>
      <c r="F39" s="16">
        <f>D39*E39</f>
        <v/>
      </c>
    </row>
    <row r="40">
      <c r="A40" s="13" t="inlineStr">
        <is>
          <t>0101</t>
        </is>
      </c>
      <c r="B40" s="14" t="inlineStr">
        <is>
          <t>Bhisti</t>
        </is>
      </c>
      <c r="C40" s="13" t="inlineStr">
        <is>
          <t>day</t>
        </is>
      </c>
      <c r="D40" s="15" t="n">
        <v>0.07000000000000001</v>
      </c>
      <c r="E40" s="16" t="n">
        <v>617</v>
      </c>
      <c r="F40" s="16">
        <f>D40*E40</f>
        <v/>
      </c>
    </row>
    <row r="41">
      <c r="A41" s="13" t="inlineStr">
        <is>
          <t>9999</t>
        </is>
      </c>
      <c r="B41" s="14" t="inlineStr">
        <is>
          <t>Hire and running charges of mechanical mixer</t>
        </is>
      </c>
      <c r="C41" s="13" t="inlineStr">
        <is>
          <t>L.S.</t>
        </is>
      </c>
      <c r="D41" s="15" t="n">
        <v>26.91</v>
      </c>
      <c r="E41" s="16" t="n">
        <v>2</v>
      </c>
      <c r="F41" s="16">
        <f>D41*E41</f>
        <v/>
      </c>
    </row>
    <row r="42">
      <c r="A42" s="13" t="inlineStr">
        <is>
          <t>9999</t>
        </is>
      </c>
      <c r="B42" s="14" t="inlineStr">
        <is>
          <t>Sundries</t>
        </is>
      </c>
      <c r="C42" s="13" t="inlineStr">
        <is>
          <t>L.S.</t>
        </is>
      </c>
      <c r="D42" s="15" t="n">
        <v>13.52</v>
      </c>
      <c r="E42" s="16" t="n">
        <v>2</v>
      </c>
      <c r="F42" s="16">
        <f>D42*E42</f>
        <v/>
      </c>
    </row>
    <row r="43">
      <c r="A43" s="17" t="inlineStr">
        <is>
          <t>Resource Total (Material + Labour + Machinery, as printed)</t>
        </is>
      </c>
      <c r="B43" s="18" t="n"/>
      <c r="C43" s="18" t="n"/>
      <c r="D43" s="18" t="n"/>
      <c r="E43" s="18" t="n"/>
      <c r="F43" s="19">
        <f>SUM(F35:F42)</f>
        <v/>
      </c>
    </row>
    <row r="44">
      <c r="A44" s="20" t="inlineStr">
        <is>
          <t>SAY (Rs.) — final DAR rate</t>
        </is>
      </c>
      <c r="B44" s="21" t="n"/>
      <c r="C44" s="21" t="n"/>
      <c r="D44" s="21" t="n"/>
      <c r="E44" s="21" t="n"/>
      <c r="F44" s="22" t="n">
        <v>4183.05</v>
      </c>
    </row>
    <row r="46" ht="18" customHeight="1">
      <c r="A46" s="9" t="inlineStr">
        <is>
          <t>3.4</t>
        </is>
      </c>
      <c r="B46" s="10" t="inlineStr">
        <is>
          <t>Cement mortar 1:4 (1 cement : 4 fine sand).</t>
        </is>
      </c>
      <c r="C46" s="11" t="n"/>
      <c r="D46" s="11" t="n"/>
      <c r="E46" s="11" t="n"/>
      <c r="F46" s="11" t="n"/>
    </row>
    <row r="47">
      <c r="A47" s="12" t="inlineStr">
        <is>
          <t>Rate basis: per cum  (source: cost for 1 cum)</t>
        </is>
      </c>
    </row>
    <row r="48">
      <c r="A48" s="5" t="inlineStr">
        <is>
          <t>Code</t>
        </is>
      </c>
      <c r="B48" s="5" t="inlineStr">
        <is>
          <t>Description</t>
        </is>
      </c>
      <c r="C48" s="5" t="inlineStr">
        <is>
          <t>Unit</t>
        </is>
      </c>
      <c r="D48" s="5" t="inlineStr">
        <is>
          <t>Quantity</t>
        </is>
      </c>
      <c r="E48" s="5" t="inlineStr">
        <is>
          <t>Rate (Rs.)</t>
        </is>
      </c>
      <c r="F48" s="5" t="inlineStr">
        <is>
          <t>Amount (Rs.)</t>
        </is>
      </c>
    </row>
    <row r="49">
      <c r="A49" s="13" t="inlineStr">
        <is>
          <t>0367</t>
        </is>
      </c>
      <c r="B49" s="14" t="inlineStr">
        <is>
          <t>Portland Cement</t>
        </is>
      </c>
      <c r="C49" s="13" t="inlineStr">
        <is>
          <t>tonne</t>
        </is>
      </c>
      <c r="D49" s="15" t="n">
        <v>0.38</v>
      </c>
      <c r="E49" s="16" t="n">
        <v>4940</v>
      </c>
      <c r="F49" s="16">
        <f>D49*E49</f>
        <v/>
      </c>
    </row>
    <row r="50">
      <c r="A50" s="13" t="inlineStr">
        <is>
          <t>2209</t>
        </is>
      </c>
      <c r="B50" s="14" t="inlineStr">
        <is>
          <t>Carriage of Cement</t>
        </is>
      </c>
      <c r="C50" s="13" t="inlineStr">
        <is>
          <t>tonne</t>
        </is>
      </c>
      <c r="D50" s="15" t="n">
        <v>0.38</v>
      </c>
      <c r="E50" s="16" t="n">
        <v>92.23999999999999</v>
      </c>
      <c r="F50" s="16">
        <f>D50*E50</f>
        <v/>
      </c>
    </row>
    <row r="51">
      <c r="A51" s="13" t="inlineStr">
        <is>
          <t>0983</t>
        </is>
      </c>
      <c r="B51" s="14" t="inlineStr">
        <is>
          <t>Fine sand (zone IV)</t>
        </is>
      </c>
      <c r="C51" s="13" t="inlineStr">
        <is>
          <t>cum</t>
        </is>
      </c>
      <c r="D51" s="15" t="n">
        <v>1.07</v>
      </c>
      <c r="E51" s="16" t="n">
        <v>900</v>
      </c>
      <c r="F51" s="16">
        <f>D51*E51</f>
        <v/>
      </c>
    </row>
    <row r="52">
      <c r="A52" s="13" t="inlineStr">
        <is>
          <t>2261</t>
        </is>
      </c>
      <c r="B52" s="14" t="inlineStr">
        <is>
          <t>Carriage of Fine sand (1 part badarpur sand : 2 parts jamuna sand)</t>
        </is>
      </c>
      <c r="C52" s="13" t="inlineStr">
        <is>
          <t>cum</t>
        </is>
      </c>
      <c r="D52" s="15" t="n">
        <v>1.07</v>
      </c>
      <c r="E52" s="16" t="n">
        <v>103.77</v>
      </c>
      <c r="F52" s="16">
        <f>D52*E52</f>
        <v/>
      </c>
    </row>
    <row r="53">
      <c r="A53" s="13" t="inlineStr">
        <is>
          <t>0114</t>
        </is>
      </c>
      <c r="B53" s="14" t="inlineStr">
        <is>
          <t>Beldar</t>
        </is>
      </c>
      <c r="C53" s="13" t="inlineStr">
        <is>
          <t>day</t>
        </is>
      </c>
      <c r="D53" s="15" t="n">
        <v>0.75</v>
      </c>
      <c r="E53" s="16" t="n">
        <v>558</v>
      </c>
      <c r="F53" s="16">
        <f>D53*E53</f>
        <v/>
      </c>
    </row>
    <row r="54">
      <c r="A54" s="13" t="inlineStr">
        <is>
          <t>0101</t>
        </is>
      </c>
      <c r="B54" s="14" t="inlineStr">
        <is>
          <t>Bhisti</t>
        </is>
      </c>
      <c r="C54" s="13" t="inlineStr">
        <is>
          <t>day</t>
        </is>
      </c>
      <c r="D54" s="15" t="n">
        <v>0.07000000000000001</v>
      </c>
      <c r="E54" s="16" t="n">
        <v>617</v>
      </c>
      <c r="F54" s="16">
        <f>D54*E54</f>
        <v/>
      </c>
    </row>
    <row r="55">
      <c r="A55" s="13" t="inlineStr">
        <is>
          <t>9999</t>
        </is>
      </c>
      <c r="B55" s="14" t="inlineStr">
        <is>
          <t>Hire and running charges of mechanical mixer</t>
        </is>
      </c>
      <c r="C55" s="13" t="inlineStr">
        <is>
          <t>L.S.</t>
        </is>
      </c>
      <c r="D55" s="15" t="n">
        <v>26.91</v>
      </c>
      <c r="E55" s="16" t="n">
        <v>2</v>
      </c>
      <c r="F55" s="16">
        <f>D55*E55</f>
        <v/>
      </c>
    </row>
    <row r="56">
      <c r="A56" s="13" t="inlineStr">
        <is>
          <t>9999</t>
        </is>
      </c>
      <c r="B56" s="14" t="inlineStr">
        <is>
          <t>Sundries</t>
        </is>
      </c>
      <c r="C56" s="13" t="inlineStr">
        <is>
          <t>L.S.</t>
        </is>
      </c>
      <c r="D56" s="15" t="n">
        <v>13.52</v>
      </c>
      <c r="E56" s="16" t="n">
        <v>2</v>
      </c>
      <c r="F56" s="16">
        <f>D56*E56</f>
        <v/>
      </c>
    </row>
    <row r="57">
      <c r="A57" s="17" t="inlineStr">
        <is>
          <t>Resource Total (Material + Labour + Machinery, as printed)</t>
        </is>
      </c>
      <c r="B57" s="18" t="n"/>
      <c r="C57" s="18" t="n"/>
      <c r="D57" s="18" t="n"/>
      <c r="E57" s="18" t="n"/>
      <c r="F57" s="19">
        <f>SUM(F49:F56)</f>
        <v/>
      </c>
    </row>
    <row r="58">
      <c r="A58" s="20" t="inlineStr">
        <is>
          <t>SAY (Rs.) — final DAR rate</t>
        </is>
      </c>
      <c r="B58" s="21" t="n"/>
      <c r="C58" s="21" t="n"/>
      <c r="D58" s="21" t="n"/>
      <c r="E58" s="21" t="n"/>
      <c r="F58" s="22" t="n">
        <v>3528.85</v>
      </c>
    </row>
    <row r="60" ht="18" customHeight="1">
      <c r="A60" s="9" t="inlineStr">
        <is>
          <t>3.5</t>
        </is>
      </c>
      <c r="B60" s="10" t="inlineStr">
        <is>
          <t>Cement mortar 1:5 (1 cement : 5 fine sand).</t>
        </is>
      </c>
      <c r="C60" s="11" t="n"/>
      <c r="D60" s="11" t="n"/>
      <c r="E60" s="11" t="n"/>
      <c r="F60" s="11" t="n"/>
    </row>
    <row r="61">
      <c r="A61" s="12" t="inlineStr">
        <is>
          <t>Rate basis: per cum  (source: cost for 1 cum)</t>
        </is>
      </c>
    </row>
    <row r="62">
      <c r="A62" s="5" t="inlineStr">
        <is>
          <t>Code</t>
        </is>
      </c>
      <c r="B62" s="5" t="inlineStr">
        <is>
          <t>Description</t>
        </is>
      </c>
      <c r="C62" s="5" t="inlineStr">
        <is>
          <t>Unit</t>
        </is>
      </c>
      <c r="D62" s="5" t="inlineStr">
        <is>
          <t>Quantity</t>
        </is>
      </c>
      <c r="E62" s="5" t="inlineStr">
        <is>
          <t>Rate (Rs.)</t>
        </is>
      </c>
      <c r="F62" s="5" t="inlineStr">
        <is>
          <t>Amount (Rs.)</t>
        </is>
      </c>
    </row>
    <row r="63">
      <c r="A63" s="13" t="inlineStr">
        <is>
          <t>0367</t>
        </is>
      </c>
      <c r="B63" s="14" t="inlineStr">
        <is>
          <t>Portland Cement</t>
        </is>
      </c>
      <c r="C63" s="13" t="inlineStr">
        <is>
          <t>tonne</t>
        </is>
      </c>
      <c r="D63" s="15" t="n">
        <v>0.31</v>
      </c>
      <c r="E63" s="16" t="n">
        <v>4940</v>
      </c>
      <c r="F63" s="16">
        <f>D63*E63</f>
        <v/>
      </c>
    </row>
    <row r="64">
      <c r="A64" s="13" t="inlineStr">
        <is>
          <t>2209</t>
        </is>
      </c>
      <c r="B64" s="14" t="inlineStr">
        <is>
          <t>Carriage of Cement</t>
        </is>
      </c>
      <c r="C64" s="13" t="inlineStr">
        <is>
          <t>tonne</t>
        </is>
      </c>
      <c r="D64" s="15" t="n">
        <v>0.31</v>
      </c>
      <c r="E64" s="16" t="n">
        <v>92.23999999999999</v>
      </c>
      <c r="F64" s="16">
        <f>D64*E64</f>
        <v/>
      </c>
    </row>
    <row r="65">
      <c r="A65" s="13" t="inlineStr">
        <is>
          <t>0983</t>
        </is>
      </c>
      <c r="B65" s="14" t="inlineStr">
        <is>
          <t>Fine sand (zone IV)</t>
        </is>
      </c>
      <c r="C65" s="13" t="inlineStr">
        <is>
          <t>cum</t>
        </is>
      </c>
      <c r="D65" s="15" t="n">
        <v>1.07</v>
      </c>
      <c r="E65" s="16" t="n">
        <v>900</v>
      </c>
      <c r="F65" s="16">
        <f>D65*E65</f>
        <v/>
      </c>
    </row>
    <row r="66">
      <c r="A66" s="13" t="inlineStr">
        <is>
          <t>2261</t>
        </is>
      </c>
      <c r="B66" s="14" t="inlineStr">
        <is>
          <t>Carriage of Fine sand (1 part badarpur sand : 2 parts jamuna sand)</t>
        </is>
      </c>
      <c r="C66" s="13" t="inlineStr">
        <is>
          <t>cum</t>
        </is>
      </c>
      <c r="D66" s="15" t="n">
        <v>1.07</v>
      </c>
      <c r="E66" s="16" t="n">
        <v>103.77</v>
      </c>
      <c r="F66" s="16">
        <f>D66*E66</f>
        <v/>
      </c>
    </row>
    <row r="67">
      <c r="A67" s="13" t="inlineStr">
        <is>
          <t>0114</t>
        </is>
      </c>
      <c r="B67" s="14" t="inlineStr">
        <is>
          <t>Beldar</t>
        </is>
      </c>
      <c r="C67" s="13" t="inlineStr">
        <is>
          <t>day</t>
        </is>
      </c>
      <c r="D67" s="15" t="n">
        <v>0.75</v>
      </c>
      <c r="E67" s="16" t="n">
        <v>558</v>
      </c>
      <c r="F67" s="16">
        <f>D67*E67</f>
        <v/>
      </c>
    </row>
    <row r="68">
      <c r="A68" s="13" t="inlineStr">
        <is>
          <t>0101</t>
        </is>
      </c>
      <c r="B68" s="14" t="inlineStr">
        <is>
          <t>Bhisti</t>
        </is>
      </c>
      <c r="C68" s="13" t="inlineStr">
        <is>
          <t>day</t>
        </is>
      </c>
      <c r="D68" s="15" t="n">
        <v>0.07000000000000001</v>
      </c>
      <c r="E68" s="16" t="n">
        <v>617</v>
      </c>
      <c r="F68" s="16">
        <f>D68*E68</f>
        <v/>
      </c>
    </row>
    <row r="69">
      <c r="A69" s="13" t="inlineStr">
        <is>
          <t>9999</t>
        </is>
      </c>
      <c r="B69" s="14" t="inlineStr">
        <is>
          <t>Hire and running charges of mechanical mixer</t>
        </is>
      </c>
      <c r="C69" s="13" t="inlineStr">
        <is>
          <t>L.S.</t>
        </is>
      </c>
      <c r="D69" s="15" t="n">
        <v>26.91</v>
      </c>
      <c r="E69" s="16" t="n">
        <v>2</v>
      </c>
      <c r="F69" s="16">
        <f>D69*E69</f>
        <v/>
      </c>
    </row>
    <row r="70">
      <c r="A70" s="13" t="inlineStr">
        <is>
          <t>9999</t>
        </is>
      </c>
      <c r="B70" s="14" t="inlineStr">
        <is>
          <t>Sundries</t>
        </is>
      </c>
      <c r="C70" s="13" t="inlineStr">
        <is>
          <t>L.S.</t>
        </is>
      </c>
      <c r="D70" s="15" t="n">
        <v>13.52</v>
      </c>
      <c r="E70" s="16" t="n">
        <v>2</v>
      </c>
      <c r="F70" s="16">
        <f>D70*E70</f>
        <v/>
      </c>
    </row>
    <row r="71">
      <c r="A71" s="17" t="inlineStr">
        <is>
          <t>Resource Total (Material + Labour + Machinery, as printed)</t>
        </is>
      </c>
      <c r="B71" s="18" t="n"/>
      <c r="C71" s="18" t="n"/>
      <c r="D71" s="18" t="n"/>
      <c r="E71" s="18" t="n"/>
      <c r="F71" s="19">
        <f>SUM(F63:F70)</f>
        <v/>
      </c>
    </row>
    <row r="72">
      <c r="A72" s="20" t="inlineStr">
        <is>
          <t>SAY (Rs.) — final DAR rate</t>
        </is>
      </c>
      <c r="B72" s="21" t="n"/>
      <c r="C72" s="21" t="n"/>
      <c r="D72" s="21" t="n"/>
      <c r="E72" s="21" t="n"/>
      <c r="F72" s="22" t="n">
        <v>3176.6</v>
      </c>
    </row>
    <row r="74" ht="18" customHeight="1">
      <c r="A74" s="9" t="inlineStr">
        <is>
          <t>3.6</t>
        </is>
      </c>
      <c r="B74" s="10" t="inlineStr">
        <is>
          <t>Cement mortar 1:6 (1 cement : 6 fine sand).</t>
        </is>
      </c>
      <c r="C74" s="11" t="n"/>
      <c r="D74" s="11" t="n"/>
      <c r="E74" s="11" t="n"/>
      <c r="F74" s="11" t="n"/>
    </row>
    <row r="75">
      <c r="A75" s="12" t="inlineStr">
        <is>
          <t>Rate basis: per cum  (source: cost for 1 cum)</t>
        </is>
      </c>
    </row>
    <row r="76">
      <c r="A76" s="5" t="inlineStr">
        <is>
          <t>Code</t>
        </is>
      </c>
      <c r="B76" s="5" t="inlineStr">
        <is>
          <t>Description</t>
        </is>
      </c>
      <c r="C76" s="5" t="inlineStr">
        <is>
          <t>Unit</t>
        </is>
      </c>
      <c r="D76" s="5" t="inlineStr">
        <is>
          <t>Quantity</t>
        </is>
      </c>
      <c r="E76" s="5" t="inlineStr">
        <is>
          <t>Rate (Rs.)</t>
        </is>
      </c>
      <c r="F76" s="5" t="inlineStr">
        <is>
          <t>Amount (Rs.)</t>
        </is>
      </c>
    </row>
    <row r="77">
      <c r="A77" s="13" t="inlineStr">
        <is>
          <t>0367</t>
        </is>
      </c>
      <c r="B77" s="14" t="inlineStr">
        <is>
          <t>Portland Cement</t>
        </is>
      </c>
      <c r="C77" s="13" t="inlineStr">
        <is>
          <t>tonne</t>
        </is>
      </c>
      <c r="D77" s="15" t="n">
        <v>0.25</v>
      </c>
      <c r="E77" s="16" t="n">
        <v>4940</v>
      </c>
      <c r="F77" s="16">
        <f>D77*E77</f>
        <v/>
      </c>
    </row>
    <row r="78">
      <c r="A78" s="13" t="inlineStr">
        <is>
          <t>2209</t>
        </is>
      </c>
      <c r="B78" s="14" t="inlineStr">
        <is>
          <t>Carriage of Cement</t>
        </is>
      </c>
      <c r="C78" s="13" t="inlineStr">
        <is>
          <t>tonne</t>
        </is>
      </c>
      <c r="D78" s="15" t="n">
        <v>0.25</v>
      </c>
      <c r="E78" s="16" t="n">
        <v>92.23999999999999</v>
      </c>
      <c r="F78" s="16">
        <f>D78*E78</f>
        <v/>
      </c>
    </row>
    <row r="79">
      <c r="A79" s="13" t="inlineStr">
        <is>
          <t>0983</t>
        </is>
      </c>
      <c r="B79" s="14" t="inlineStr">
        <is>
          <t>Fine sand (zone IV)</t>
        </is>
      </c>
      <c r="C79" s="13" t="inlineStr">
        <is>
          <t>cum</t>
        </is>
      </c>
      <c r="D79" s="15" t="n">
        <v>1.07</v>
      </c>
      <c r="E79" s="16" t="n">
        <v>900</v>
      </c>
      <c r="F79" s="16">
        <f>D79*E79</f>
        <v/>
      </c>
    </row>
    <row r="80">
      <c r="A80" s="13" t="inlineStr">
        <is>
          <t>2261</t>
        </is>
      </c>
      <c r="B80" s="14" t="inlineStr">
        <is>
          <t>Carriage of Fine sand (1 part badarpur sand : 2 parts jamuna sand)</t>
        </is>
      </c>
      <c r="C80" s="13" t="inlineStr">
        <is>
          <t>cum</t>
        </is>
      </c>
      <c r="D80" s="15" t="n">
        <v>1.07</v>
      </c>
      <c r="E80" s="16" t="n">
        <v>103.77</v>
      </c>
      <c r="F80" s="16">
        <f>D80*E80</f>
        <v/>
      </c>
    </row>
    <row r="81">
      <c r="A81" s="13" t="inlineStr">
        <is>
          <t>0114</t>
        </is>
      </c>
      <c r="B81" s="14" t="inlineStr">
        <is>
          <t>Beldar</t>
        </is>
      </c>
      <c r="C81" s="13" t="inlineStr">
        <is>
          <t>day</t>
        </is>
      </c>
      <c r="D81" s="15" t="n">
        <v>0.75</v>
      </c>
      <c r="E81" s="16" t="n">
        <v>558</v>
      </c>
      <c r="F81" s="16">
        <f>D81*E81</f>
        <v/>
      </c>
    </row>
    <row r="82">
      <c r="A82" s="13" t="inlineStr">
        <is>
          <t>0101</t>
        </is>
      </c>
      <c r="B82" s="14" t="inlineStr">
        <is>
          <t>Bhisti</t>
        </is>
      </c>
      <c r="C82" s="13" t="inlineStr">
        <is>
          <t>day</t>
        </is>
      </c>
      <c r="D82" s="15" t="n">
        <v>0.07000000000000001</v>
      </c>
      <c r="E82" s="16" t="n">
        <v>617</v>
      </c>
      <c r="F82" s="16">
        <f>D82*E82</f>
        <v/>
      </c>
    </row>
    <row r="83">
      <c r="A83" s="13" t="inlineStr">
        <is>
          <t>9999</t>
        </is>
      </c>
      <c r="B83" s="14" t="inlineStr">
        <is>
          <t>Hire and running charges of mechanical mixer</t>
        </is>
      </c>
      <c r="C83" s="13" t="inlineStr">
        <is>
          <t>L.S.</t>
        </is>
      </c>
      <c r="D83" s="15" t="n">
        <v>26.91</v>
      </c>
      <c r="E83" s="16" t="n">
        <v>2</v>
      </c>
      <c r="F83" s="16">
        <f>D83*E83</f>
        <v/>
      </c>
    </row>
    <row r="84">
      <c r="A84" s="13" t="inlineStr">
        <is>
          <t>9999</t>
        </is>
      </c>
      <c r="B84" s="14" t="inlineStr">
        <is>
          <t>Sundries</t>
        </is>
      </c>
      <c r="C84" s="13" t="inlineStr">
        <is>
          <t>L.S.</t>
        </is>
      </c>
      <c r="D84" s="15" t="n">
        <v>13.52</v>
      </c>
      <c r="E84" s="16" t="n">
        <v>2</v>
      </c>
      <c r="F84" s="16">
        <f>D84*E84</f>
        <v/>
      </c>
    </row>
    <row r="85">
      <c r="A85" s="17" t="inlineStr">
        <is>
          <t>Resource Total (Material + Labour + Machinery, as printed)</t>
        </is>
      </c>
      <c r="B85" s="18" t="n"/>
      <c r="C85" s="18" t="n"/>
      <c r="D85" s="18" t="n"/>
      <c r="E85" s="18" t="n"/>
      <c r="F85" s="19">
        <f>SUM(F77:F84)</f>
        <v/>
      </c>
    </row>
    <row r="86">
      <c r="A86" s="20" t="inlineStr">
        <is>
          <t>SAY (Rs.) — final DAR rate</t>
        </is>
      </c>
      <c r="B86" s="21" t="n"/>
      <c r="C86" s="21" t="n"/>
      <c r="D86" s="21" t="n"/>
      <c r="E86" s="21" t="n"/>
      <c r="F86" s="22" t="n">
        <v>2874.65</v>
      </c>
    </row>
    <row r="88" ht="18" customHeight="1">
      <c r="A88" s="9" t="inlineStr">
        <is>
          <t>3.7</t>
        </is>
      </c>
      <c r="B88" s="10" t="inlineStr">
        <is>
          <t>Cement mortar 1:2 (1 cement : 2 coarse sand).</t>
        </is>
      </c>
      <c r="C88" s="11" t="n"/>
      <c r="D88" s="11" t="n"/>
      <c r="E88" s="11" t="n"/>
      <c r="F88" s="11" t="n"/>
    </row>
    <row r="89">
      <c r="A89" s="12" t="inlineStr">
        <is>
          <t>Rate basis: per cum  (source: cost for 1 cum)</t>
        </is>
      </c>
    </row>
    <row r="90">
      <c r="A90" s="5" t="inlineStr">
        <is>
          <t>Code</t>
        </is>
      </c>
      <c r="B90" s="5" t="inlineStr">
        <is>
          <t>Description</t>
        </is>
      </c>
      <c r="C90" s="5" t="inlineStr">
        <is>
          <t>Unit</t>
        </is>
      </c>
      <c r="D90" s="5" t="inlineStr">
        <is>
          <t>Quantity</t>
        </is>
      </c>
      <c r="E90" s="5" t="inlineStr">
        <is>
          <t>Rate (Rs.)</t>
        </is>
      </c>
      <c r="F90" s="5" t="inlineStr">
        <is>
          <t>Amount (Rs.)</t>
        </is>
      </c>
    </row>
    <row r="91">
      <c r="A91" s="13" t="inlineStr">
        <is>
          <t>0367</t>
        </is>
      </c>
      <c r="B91" s="14" t="inlineStr">
        <is>
          <t>Portland Cement</t>
        </is>
      </c>
      <c r="C91" s="13" t="inlineStr">
        <is>
          <t>tonne</t>
        </is>
      </c>
      <c r="D91" s="15" t="n">
        <v>0.68</v>
      </c>
      <c r="E91" s="16" t="n">
        <v>4940</v>
      </c>
      <c r="F91" s="16">
        <f>D91*E91</f>
        <v/>
      </c>
    </row>
    <row r="92">
      <c r="A92" s="13" t="inlineStr">
        <is>
          <t>2209</t>
        </is>
      </c>
      <c r="B92" s="14" t="inlineStr">
        <is>
          <t>Carriage of Cement</t>
        </is>
      </c>
      <c r="C92" s="13" t="inlineStr">
        <is>
          <t>tonne</t>
        </is>
      </c>
      <c r="D92" s="15" t="n">
        <v>0.68</v>
      </c>
      <c r="E92" s="16" t="n">
        <v>92.23999999999999</v>
      </c>
      <c r="F92" s="16">
        <f>D92*E92</f>
        <v/>
      </c>
    </row>
    <row r="93">
      <c r="A93" s="13" t="inlineStr">
        <is>
          <t>0982</t>
        </is>
      </c>
      <c r="B93" s="14" t="inlineStr">
        <is>
          <t>Coarse sand (zone III)</t>
        </is>
      </c>
      <c r="C93" s="13" t="inlineStr">
        <is>
          <t>cum</t>
        </is>
      </c>
      <c r="D93" s="15" t="n">
        <v>0.95</v>
      </c>
      <c r="E93" s="16" t="n">
        <v>1350</v>
      </c>
      <c r="F93" s="16">
        <f>D93*E93</f>
        <v/>
      </c>
    </row>
    <row r="94">
      <c r="A94" s="13" t="inlineStr">
        <is>
          <t>2203</t>
        </is>
      </c>
      <c r="B94" s="14" t="inlineStr">
        <is>
          <t>Carriage of Coarse sand</t>
        </is>
      </c>
      <c r="C94" s="13" t="inlineStr">
        <is>
          <t>cum</t>
        </is>
      </c>
      <c r="D94" s="15" t="n">
        <v>0.95</v>
      </c>
      <c r="E94" s="16" t="n">
        <v>103.77</v>
      </c>
      <c r="F94" s="16">
        <f>D94*E94</f>
        <v/>
      </c>
    </row>
    <row r="95">
      <c r="A95" s="13" t="inlineStr">
        <is>
          <t>0114</t>
        </is>
      </c>
      <c r="B95" s="14" t="inlineStr">
        <is>
          <t>Beldar</t>
        </is>
      </c>
      <c r="C95" s="13" t="inlineStr">
        <is>
          <t>day</t>
        </is>
      </c>
      <c r="D95" s="15" t="n">
        <v>0.75</v>
      </c>
      <c r="E95" s="16" t="n">
        <v>558</v>
      </c>
      <c r="F95" s="16">
        <f>D95*E95</f>
        <v/>
      </c>
    </row>
    <row r="96">
      <c r="A96" s="13" t="inlineStr">
        <is>
          <t>0101</t>
        </is>
      </c>
      <c r="B96" s="14" t="inlineStr">
        <is>
          <t>Bhisti</t>
        </is>
      </c>
      <c r="C96" s="13" t="inlineStr">
        <is>
          <t>day</t>
        </is>
      </c>
      <c r="D96" s="15" t="n">
        <v>0.07000000000000001</v>
      </c>
      <c r="E96" s="16" t="n">
        <v>617</v>
      </c>
      <c r="F96" s="16">
        <f>D96*E96</f>
        <v/>
      </c>
    </row>
    <row r="97">
      <c r="A97" s="13" t="inlineStr">
        <is>
          <t>9999</t>
        </is>
      </c>
      <c r="B97" s="14" t="inlineStr">
        <is>
          <t>Hire and running charges of mechanical mixer</t>
        </is>
      </c>
      <c r="C97" s="13" t="inlineStr">
        <is>
          <t>L.S.</t>
        </is>
      </c>
      <c r="D97" s="15" t="n">
        <v>26.91</v>
      </c>
      <c r="E97" s="16" t="n">
        <v>2</v>
      </c>
      <c r="F97" s="16">
        <f>D97*E97</f>
        <v/>
      </c>
    </row>
    <row r="98">
      <c r="A98" s="13" t="inlineStr">
        <is>
          <t>9999</t>
        </is>
      </c>
      <c r="B98" s="14" t="inlineStr">
        <is>
          <t>Sundries</t>
        </is>
      </c>
      <c r="C98" s="13" t="inlineStr">
        <is>
          <t>L.S.</t>
        </is>
      </c>
      <c r="D98" s="15" t="n">
        <v>13.52</v>
      </c>
      <c r="E98" s="16" t="n">
        <v>2</v>
      </c>
      <c r="F98" s="16">
        <f>D98*E98</f>
        <v/>
      </c>
    </row>
    <row r="99">
      <c r="A99" s="17" t="inlineStr">
        <is>
          <t>Resource Total (Material + Labour + Machinery, as printed)</t>
        </is>
      </c>
      <c r="B99" s="18" t="n"/>
      <c r="C99" s="18" t="n"/>
      <c r="D99" s="18" t="n"/>
      <c r="E99" s="18" t="n"/>
      <c r="F99" s="19">
        <f>SUM(F91:F98)</f>
        <v/>
      </c>
    </row>
    <row r="100">
      <c r="A100" s="20" t="inlineStr">
        <is>
          <t>SAY (Rs.) — final DAR rate</t>
        </is>
      </c>
      <c r="B100" s="21" t="n"/>
      <c r="C100" s="21" t="n"/>
      <c r="D100" s="21" t="n"/>
      <c r="E100" s="21" t="n"/>
      <c r="F100" s="22" t="n">
        <v>5345.55</v>
      </c>
    </row>
    <row r="102" ht="18" customHeight="1">
      <c r="A102" s="9" t="inlineStr">
        <is>
          <t>3.8</t>
        </is>
      </c>
      <c r="B102" s="10" t="inlineStr">
        <is>
          <t>Cement mortar 1:3 (1 cement : 3 coarse sand).</t>
        </is>
      </c>
      <c r="C102" s="11" t="n"/>
      <c r="D102" s="11" t="n"/>
      <c r="E102" s="11" t="n"/>
      <c r="F102" s="11" t="n"/>
    </row>
    <row r="103">
      <c r="A103" s="12" t="inlineStr">
        <is>
          <t>Rate basis: per cum  (source: cost for 1 cum)</t>
        </is>
      </c>
    </row>
    <row r="104">
      <c r="A104" s="5" t="inlineStr">
        <is>
          <t>Code</t>
        </is>
      </c>
      <c r="B104" s="5" t="inlineStr">
        <is>
          <t>Description</t>
        </is>
      </c>
      <c r="C104" s="5" t="inlineStr">
        <is>
          <t>Unit</t>
        </is>
      </c>
      <c r="D104" s="5" t="inlineStr">
        <is>
          <t>Quantity</t>
        </is>
      </c>
      <c r="E104" s="5" t="inlineStr">
        <is>
          <t>Rate (Rs.)</t>
        </is>
      </c>
      <c r="F104" s="5" t="inlineStr">
        <is>
          <t>Amount (Rs.)</t>
        </is>
      </c>
    </row>
    <row r="105">
      <c r="A105" s="13" t="inlineStr">
        <is>
          <t>0367</t>
        </is>
      </c>
      <c r="B105" s="14" t="inlineStr">
        <is>
          <t>Portland Cement</t>
        </is>
      </c>
      <c r="C105" s="13" t="inlineStr">
        <is>
          <t>tonne</t>
        </is>
      </c>
      <c r="D105" s="15" t="n">
        <v>0.51</v>
      </c>
      <c r="E105" s="16" t="n">
        <v>4940</v>
      </c>
      <c r="F105" s="16">
        <f>D105*E105</f>
        <v/>
      </c>
    </row>
    <row r="106">
      <c r="A106" s="13" t="inlineStr">
        <is>
          <t>2209</t>
        </is>
      </c>
      <c r="B106" s="14" t="inlineStr">
        <is>
          <t>Carriage of Cement</t>
        </is>
      </c>
      <c r="C106" s="13" t="inlineStr">
        <is>
          <t>tonne</t>
        </is>
      </c>
      <c r="D106" s="15" t="n">
        <v>0.51</v>
      </c>
      <c r="E106" s="16" t="n">
        <v>92.23999999999999</v>
      </c>
      <c r="F106" s="16">
        <f>D106*E106</f>
        <v/>
      </c>
    </row>
    <row r="107">
      <c r="A107" s="13" t="inlineStr">
        <is>
          <t>0982</t>
        </is>
      </c>
      <c r="B107" s="14" t="inlineStr">
        <is>
          <t>Coarse sand (zone III)</t>
        </is>
      </c>
      <c r="C107" s="13" t="inlineStr">
        <is>
          <t>cum</t>
        </is>
      </c>
      <c r="D107" s="15" t="n">
        <v>1.07</v>
      </c>
      <c r="E107" s="16" t="n">
        <v>1350</v>
      </c>
      <c r="F107" s="16">
        <f>D107*E107</f>
        <v/>
      </c>
    </row>
    <row r="108">
      <c r="A108" s="13" t="inlineStr">
        <is>
          <t>2203</t>
        </is>
      </c>
      <c r="B108" s="14" t="inlineStr">
        <is>
          <t>Carriage of Coarse sand</t>
        </is>
      </c>
      <c r="C108" s="13" t="inlineStr">
        <is>
          <t>cum</t>
        </is>
      </c>
      <c r="D108" s="15" t="n">
        <v>1.07</v>
      </c>
      <c r="E108" s="16" t="n">
        <v>103.77</v>
      </c>
      <c r="F108" s="16">
        <f>D108*E108</f>
        <v/>
      </c>
    </row>
    <row r="109">
      <c r="A109" s="13" t="inlineStr">
        <is>
          <t>0114</t>
        </is>
      </c>
      <c r="B109" s="14" t="inlineStr">
        <is>
          <t>Beldar</t>
        </is>
      </c>
      <c r="C109" s="13" t="inlineStr">
        <is>
          <t>day</t>
        </is>
      </c>
      <c r="D109" s="15" t="n">
        <v>0.75</v>
      </c>
      <c r="E109" s="16" t="n">
        <v>558</v>
      </c>
      <c r="F109" s="16">
        <f>D109*E109</f>
        <v/>
      </c>
    </row>
    <row r="110">
      <c r="A110" s="13" t="inlineStr">
        <is>
          <t>0101</t>
        </is>
      </c>
      <c r="B110" s="14" t="inlineStr">
        <is>
          <t>Bhisti</t>
        </is>
      </c>
      <c r="C110" s="13" t="inlineStr">
        <is>
          <t>day</t>
        </is>
      </c>
      <c r="D110" s="15" t="n">
        <v>0.07000000000000001</v>
      </c>
      <c r="E110" s="16" t="n">
        <v>617</v>
      </c>
      <c r="F110" s="16">
        <f>D110*E110</f>
        <v/>
      </c>
    </row>
    <row r="111">
      <c r="A111" s="13" t="inlineStr">
        <is>
          <t>9999</t>
        </is>
      </c>
      <c r="B111" s="14" t="inlineStr">
        <is>
          <t>Hire and running charges of mechanical mixer</t>
        </is>
      </c>
      <c r="C111" s="13" t="inlineStr">
        <is>
          <t>L.S.</t>
        </is>
      </c>
      <c r="D111" s="15" t="n">
        <v>26.91</v>
      </c>
      <c r="E111" s="16" t="n">
        <v>2</v>
      </c>
      <c r="F111" s="16">
        <f>D111*E111</f>
        <v/>
      </c>
    </row>
    <row r="112">
      <c r="A112" s="13" t="inlineStr">
        <is>
          <t>9999</t>
        </is>
      </c>
      <c r="B112" s="14" t="inlineStr">
        <is>
          <t>Sundries</t>
        </is>
      </c>
      <c r="C112" s="13" t="inlineStr">
        <is>
          <t>L.S.</t>
        </is>
      </c>
      <c r="D112" s="15" t="n">
        <v>13.52</v>
      </c>
      <c r="E112" s="16" t="n">
        <v>2</v>
      </c>
      <c r="F112" s="16">
        <f>D112*E112</f>
        <v/>
      </c>
    </row>
    <row r="113">
      <c r="A113" s="17" t="inlineStr">
        <is>
          <t>Resource Total (Material + Labour + Machinery, as printed)</t>
        </is>
      </c>
      <c r="B113" s="18" t="n"/>
      <c r="C113" s="18" t="n"/>
      <c r="D113" s="18" t="n"/>
      <c r="E113" s="18" t="n"/>
      <c r="F113" s="19">
        <f>SUM(F105:F112)</f>
        <v/>
      </c>
    </row>
    <row r="114">
      <c r="A114" s="20" t="inlineStr">
        <is>
          <t>SAY (Rs.) — final DAR rate</t>
        </is>
      </c>
      <c r="B114" s="21" t="n"/>
      <c r="C114" s="21" t="n"/>
      <c r="D114" s="21" t="n"/>
      <c r="E114" s="21" t="n"/>
      <c r="F114" s="22" t="n">
        <v>4664.55</v>
      </c>
    </row>
    <row r="116" ht="18" customHeight="1">
      <c r="A116" s="9" t="inlineStr">
        <is>
          <t>3.9</t>
        </is>
      </c>
      <c r="B116" s="10" t="inlineStr">
        <is>
          <t>Cement mortar 1:4 (1 cement : 4 coarse sand).</t>
        </is>
      </c>
      <c r="C116" s="11" t="n"/>
      <c r="D116" s="11" t="n"/>
      <c r="E116" s="11" t="n"/>
      <c r="F116" s="11" t="n"/>
    </row>
    <row r="117">
      <c r="A117" s="12" t="inlineStr">
        <is>
          <t>Rate basis: per cum  (source: cost for 1 cum)</t>
        </is>
      </c>
    </row>
    <row r="118">
      <c r="A118" s="5" t="inlineStr">
        <is>
          <t>Code</t>
        </is>
      </c>
      <c r="B118" s="5" t="inlineStr">
        <is>
          <t>Description</t>
        </is>
      </c>
      <c r="C118" s="5" t="inlineStr">
        <is>
          <t>Unit</t>
        </is>
      </c>
      <c r="D118" s="5" t="inlineStr">
        <is>
          <t>Quantity</t>
        </is>
      </c>
      <c r="E118" s="5" t="inlineStr">
        <is>
          <t>Rate (Rs.)</t>
        </is>
      </c>
      <c r="F118" s="5" t="inlineStr">
        <is>
          <t>Amount (Rs.)</t>
        </is>
      </c>
    </row>
    <row r="119">
      <c r="A119" s="13" t="inlineStr">
        <is>
          <t>0367</t>
        </is>
      </c>
      <c r="B119" s="14" t="inlineStr">
        <is>
          <t>Portland Cement</t>
        </is>
      </c>
      <c r="C119" s="13" t="inlineStr">
        <is>
          <t>tonne</t>
        </is>
      </c>
      <c r="D119" s="15" t="n">
        <v>0.38</v>
      </c>
      <c r="E119" s="16" t="n">
        <v>4940</v>
      </c>
      <c r="F119" s="16">
        <f>D119*E119</f>
        <v/>
      </c>
    </row>
    <row r="120">
      <c r="A120" s="13" t="inlineStr">
        <is>
          <t>2209</t>
        </is>
      </c>
      <c r="B120" s="14" t="inlineStr">
        <is>
          <t>Carriage of Cement</t>
        </is>
      </c>
      <c r="C120" s="13" t="inlineStr">
        <is>
          <t>tonne</t>
        </is>
      </c>
      <c r="D120" s="15" t="n">
        <v>0.38</v>
      </c>
      <c r="E120" s="16" t="n">
        <v>92.23999999999999</v>
      </c>
      <c r="F120" s="16">
        <f>D120*E120</f>
        <v/>
      </c>
    </row>
    <row r="121">
      <c r="A121" s="13" t="inlineStr">
        <is>
          <t>0982</t>
        </is>
      </c>
      <c r="B121" s="14" t="inlineStr">
        <is>
          <t>Coarse sand (zone III)</t>
        </is>
      </c>
      <c r="C121" s="13" t="inlineStr">
        <is>
          <t>cum</t>
        </is>
      </c>
      <c r="D121" s="15" t="n">
        <v>1.07</v>
      </c>
      <c r="E121" s="16" t="n">
        <v>1350</v>
      </c>
      <c r="F121" s="16">
        <f>D121*E121</f>
        <v/>
      </c>
    </row>
    <row r="122">
      <c r="A122" s="13" t="inlineStr">
        <is>
          <t>2203</t>
        </is>
      </c>
      <c r="B122" s="14" t="inlineStr">
        <is>
          <t>Carriage of Coarse sand</t>
        </is>
      </c>
      <c r="C122" s="13" t="inlineStr">
        <is>
          <t>cum</t>
        </is>
      </c>
      <c r="D122" s="15" t="n">
        <v>1.07</v>
      </c>
      <c r="E122" s="16" t="n">
        <v>103.77</v>
      </c>
      <c r="F122" s="16">
        <f>D122*E122</f>
        <v/>
      </c>
    </row>
    <row r="123">
      <c r="A123" s="13" t="inlineStr">
        <is>
          <t>0114</t>
        </is>
      </c>
      <c r="B123" s="14" t="inlineStr">
        <is>
          <t>Beldar</t>
        </is>
      </c>
      <c r="C123" s="13" t="inlineStr">
        <is>
          <t>day</t>
        </is>
      </c>
      <c r="D123" s="15" t="n">
        <v>0.75</v>
      </c>
      <c r="E123" s="16" t="n">
        <v>558</v>
      </c>
      <c r="F123" s="16">
        <f>D123*E123</f>
        <v/>
      </c>
    </row>
    <row r="124">
      <c r="A124" s="13" t="inlineStr">
        <is>
          <t>0101</t>
        </is>
      </c>
      <c r="B124" s="14" t="inlineStr">
        <is>
          <t>Bhisti</t>
        </is>
      </c>
      <c r="C124" s="13" t="inlineStr">
        <is>
          <t>day</t>
        </is>
      </c>
      <c r="D124" s="15" t="n">
        <v>0.07000000000000001</v>
      </c>
      <c r="E124" s="16" t="n">
        <v>617</v>
      </c>
      <c r="F124" s="16">
        <f>D124*E124</f>
        <v/>
      </c>
    </row>
    <row r="125">
      <c r="A125" s="13" t="inlineStr">
        <is>
          <t>9999</t>
        </is>
      </c>
      <c r="B125" s="14" t="inlineStr">
        <is>
          <t>Hire and running charges of mechanical mixer</t>
        </is>
      </c>
      <c r="C125" s="13" t="inlineStr">
        <is>
          <t>L.S.</t>
        </is>
      </c>
      <c r="D125" s="15" t="n">
        <v>26.91</v>
      </c>
      <c r="E125" s="16" t="n">
        <v>2</v>
      </c>
      <c r="F125" s="16">
        <f>D125*E125</f>
        <v/>
      </c>
    </row>
    <row r="126">
      <c r="A126" s="13" t="inlineStr">
        <is>
          <t>9999</t>
        </is>
      </c>
      <c r="B126" s="14" t="inlineStr">
        <is>
          <t>Sundries</t>
        </is>
      </c>
      <c r="C126" s="13" t="inlineStr">
        <is>
          <t>L.S.</t>
        </is>
      </c>
      <c r="D126" s="15" t="n">
        <v>13.52</v>
      </c>
      <c r="E126" s="16" t="n">
        <v>2</v>
      </c>
      <c r="F126" s="16">
        <f>D126*E126</f>
        <v/>
      </c>
    </row>
    <row r="127">
      <c r="A127" s="17" t="inlineStr">
        <is>
          <t>Resource Total (Material + Labour + Machinery, as printed)</t>
        </is>
      </c>
      <c r="B127" s="18" t="n"/>
      <c r="C127" s="18" t="n"/>
      <c r="D127" s="18" t="n"/>
      <c r="E127" s="18" t="n"/>
      <c r="F127" s="19">
        <f>SUM(F119:F126)</f>
        <v/>
      </c>
    </row>
    <row r="128">
      <c r="A128" s="20" t="inlineStr">
        <is>
          <t>SAY (Rs.) — final DAR rate</t>
        </is>
      </c>
      <c r="B128" s="21" t="n"/>
      <c r="C128" s="21" t="n"/>
      <c r="D128" s="21" t="n"/>
      <c r="E128" s="21" t="n"/>
      <c r="F128" s="22" t="n">
        <v>4010.35</v>
      </c>
    </row>
    <row r="130" ht="18" customHeight="1">
      <c r="A130" s="9" t="inlineStr">
        <is>
          <t>3.10</t>
        </is>
      </c>
      <c r="B130" s="10" t="inlineStr">
        <is>
          <t>Cement mortar 1:5 (1 cement : 5 coarse sand).</t>
        </is>
      </c>
      <c r="C130" s="11" t="n"/>
      <c r="D130" s="11" t="n"/>
      <c r="E130" s="11" t="n"/>
      <c r="F130" s="11" t="n"/>
    </row>
    <row r="131">
      <c r="A131" s="12" t="inlineStr">
        <is>
          <t>Rate basis: per cum  (source: cost for 1 cum)</t>
        </is>
      </c>
    </row>
    <row r="132">
      <c r="A132" s="5" t="inlineStr">
        <is>
          <t>Code</t>
        </is>
      </c>
      <c r="B132" s="5" t="inlineStr">
        <is>
          <t>Description</t>
        </is>
      </c>
      <c r="C132" s="5" t="inlineStr">
        <is>
          <t>Unit</t>
        </is>
      </c>
      <c r="D132" s="5" t="inlineStr">
        <is>
          <t>Quantity</t>
        </is>
      </c>
      <c r="E132" s="5" t="inlineStr">
        <is>
          <t>Rate (Rs.)</t>
        </is>
      </c>
      <c r="F132" s="5" t="inlineStr">
        <is>
          <t>Amount (Rs.)</t>
        </is>
      </c>
    </row>
    <row r="133">
      <c r="A133" s="13" t="inlineStr">
        <is>
          <t>0367</t>
        </is>
      </c>
      <c r="B133" s="14" t="inlineStr">
        <is>
          <t>Portland Cement</t>
        </is>
      </c>
      <c r="C133" s="13" t="inlineStr">
        <is>
          <t>tonne</t>
        </is>
      </c>
      <c r="D133" s="15" t="n">
        <v>0.31</v>
      </c>
      <c r="E133" s="16" t="n">
        <v>4940</v>
      </c>
      <c r="F133" s="16">
        <f>D133*E133</f>
        <v/>
      </c>
    </row>
    <row r="134">
      <c r="A134" s="13" t="inlineStr">
        <is>
          <t>2209</t>
        </is>
      </c>
      <c r="B134" s="14" t="inlineStr">
        <is>
          <t>Carriage of Cement</t>
        </is>
      </c>
      <c r="C134" s="13" t="inlineStr">
        <is>
          <t>tonne</t>
        </is>
      </c>
      <c r="D134" s="15" t="n">
        <v>0.31</v>
      </c>
      <c r="E134" s="16" t="n">
        <v>92.23999999999999</v>
      </c>
      <c r="F134" s="16">
        <f>D134*E134</f>
        <v/>
      </c>
    </row>
    <row r="135">
      <c r="A135" s="13" t="inlineStr">
        <is>
          <t>0982</t>
        </is>
      </c>
      <c r="B135" s="14" t="inlineStr">
        <is>
          <t>Coarse sand (zone III)</t>
        </is>
      </c>
      <c r="C135" s="13" t="inlineStr">
        <is>
          <t>cum</t>
        </is>
      </c>
      <c r="D135" s="15" t="n">
        <v>1.07</v>
      </c>
      <c r="E135" s="16" t="n">
        <v>1350</v>
      </c>
      <c r="F135" s="16">
        <f>D135*E135</f>
        <v/>
      </c>
    </row>
    <row r="136">
      <c r="A136" s="13" t="inlineStr">
        <is>
          <t>2203</t>
        </is>
      </c>
      <c r="B136" s="14" t="inlineStr">
        <is>
          <t>Carriage of Coarse sand</t>
        </is>
      </c>
      <c r="C136" s="13" t="inlineStr">
        <is>
          <t>cum</t>
        </is>
      </c>
      <c r="D136" s="15" t="n">
        <v>1.07</v>
      </c>
      <c r="E136" s="16" t="n">
        <v>103.77</v>
      </c>
      <c r="F136" s="16">
        <f>D136*E136</f>
        <v/>
      </c>
    </row>
    <row r="137">
      <c r="A137" s="13" t="inlineStr">
        <is>
          <t>0114</t>
        </is>
      </c>
      <c r="B137" s="14" t="inlineStr">
        <is>
          <t>Beldar</t>
        </is>
      </c>
      <c r="C137" s="13" t="inlineStr">
        <is>
          <t>day</t>
        </is>
      </c>
      <c r="D137" s="15" t="n">
        <v>0.75</v>
      </c>
      <c r="E137" s="16" t="n">
        <v>558</v>
      </c>
      <c r="F137" s="16">
        <f>D137*E137</f>
        <v/>
      </c>
    </row>
    <row r="138">
      <c r="A138" s="13" t="inlineStr">
        <is>
          <t>0101</t>
        </is>
      </c>
      <c r="B138" s="14" t="inlineStr">
        <is>
          <t>Bhisti</t>
        </is>
      </c>
      <c r="C138" s="13" t="inlineStr">
        <is>
          <t>day</t>
        </is>
      </c>
      <c r="D138" s="15" t="n">
        <v>0.07000000000000001</v>
      </c>
      <c r="E138" s="16" t="n">
        <v>617</v>
      </c>
      <c r="F138" s="16">
        <f>D138*E138</f>
        <v/>
      </c>
    </row>
    <row r="139">
      <c r="A139" s="13" t="inlineStr">
        <is>
          <t>9999</t>
        </is>
      </c>
      <c r="B139" s="14" t="inlineStr">
        <is>
          <t>Hire and running charges of mechanical mixer</t>
        </is>
      </c>
      <c r="C139" s="13" t="inlineStr">
        <is>
          <t>L.S.</t>
        </is>
      </c>
      <c r="D139" s="15" t="n">
        <v>26.91</v>
      </c>
      <c r="E139" s="16" t="n">
        <v>2</v>
      </c>
      <c r="F139" s="16">
        <f>D139*E139</f>
        <v/>
      </c>
    </row>
    <row r="140">
      <c r="A140" s="13" t="inlineStr">
        <is>
          <t>9999</t>
        </is>
      </c>
      <c r="B140" s="14" t="inlineStr">
        <is>
          <t>Sundries</t>
        </is>
      </c>
      <c r="C140" s="13" t="inlineStr">
        <is>
          <t>L.S.</t>
        </is>
      </c>
      <c r="D140" s="15" t="n">
        <v>13.52</v>
      </c>
      <c r="E140" s="16" t="n">
        <v>2</v>
      </c>
      <c r="F140" s="16">
        <f>D140*E140</f>
        <v/>
      </c>
    </row>
    <row r="141">
      <c r="A141" s="17" t="inlineStr">
        <is>
          <t>Resource Total (Material + Labour + Machinery, as printed)</t>
        </is>
      </c>
      <c r="B141" s="18" t="n"/>
      <c r="C141" s="18" t="n"/>
      <c r="D141" s="18" t="n"/>
      <c r="E141" s="18" t="n"/>
      <c r="F141" s="19">
        <f>SUM(F133:F140)</f>
        <v/>
      </c>
    </row>
    <row r="142">
      <c r="A142" s="20" t="inlineStr">
        <is>
          <t>SAY (Rs.) — final DAR rate</t>
        </is>
      </c>
      <c r="B142" s="21" t="n"/>
      <c r="C142" s="21" t="n"/>
      <c r="D142" s="21" t="n"/>
      <c r="E142" s="21" t="n"/>
      <c r="F142" s="22" t="n">
        <v>3658.1</v>
      </c>
    </row>
    <row r="144" ht="18" customHeight="1">
      <c r="A144" s="9" t="inlineStr">
        <is>
          <t>3.11</t>
        </is>
      </c>
      <c r="B144" s="10" t="inlineStr">
        <is>
          <t>Cement mortar 1:6 (1 cement : 6 coarse sand).</t>
        </is>
      </c>
      <c r="C144" s="11" t="n"/>
      <c r="D144" s="11" t="n"/>
      <c r="E144" s="11" t="n"/>
      <c r="F144" s="11" t="n"/>
    </row>
    <row r="145">
      <c r="A145" s="12" t="inlineStr">
        <is>
          <t>Rate basis: per cum  (source: cost for 1 cum)</t>
        </is>
      </c>
    </row>
    <row r="146">
      <c r="A146" s="5" t="inlineStr">
        <is>
          <t>Code</t>
        </is>
      </c>
      <c r="B146" s="5" t="inlineStr">
        <is>
          <t>Description</t>
        </is>
      </c>
      <c r="C146" s="5" t="inlineStr">
        <is>
          <t>Unit</t>
        </is>
      </c>
      <c r="D146" s="5" t="inlineStr">
        <is>
          <t>Quantity</t>
        </is>
      </c>
      <c r="E146" s="5" t="inlineStr">
        <is>
          <t>Rate (Rs.)</t>
        </is>
      </c>
      <c r="F146" s="5" t="inlineStr">
        <is>
          <t>Amount (Rs.)</t>
        </is>
      </c>
    </row>
    <row r="147">
      <c r="A147" s="13" t="inlineStr">
        <is>
          <t>0367</t>
        </is>
      </c>
      <c r="B147" s="14" t="inlineStr">
        <is>
          <t>Portland Cement</t>
        </is>
      </c>
      <c r="C147" s="13" t="inlineStr">
        <is>
          <t>tonne</t>
        </is>
      </c>
      <c r="D147" s="15" t="n">
        <v>0.25</v>
      </c>
      <c r="E147" s="16" t="n">
        <v>4940</v>
      </c>
      <c r="F147" s="16">
        <f>D147*E147</f>
        <v/>
      </c>
    </row>
    <row r="148">
      <c r="A148" s="13" t="inlineStr">
        <is>
          <t>2209</t>
        </is>
      </c>
      <c r="B148" s="14" t="inlineStr">
        <is>
          <t>Carriage of Cement</t>
        </is>
      </c>
      <c r="C148" s="13" t="inlineStr">
        <is>
          <t>tonne</t>
        </is>
      </c>
      <c r="D148" s="15" t="n">
        <v>0.25</v>
      </c>
      <c r="E148" s="16" t="n">
        <v>92.23999999999999</v>
      </c>
      <c r="F148" s="16">
        <f>D148*E148</f>
        <v/>
      </c>
    </row>
    <row r="149">
      <c r="A149" s="13" t="inlineStr">
        <is>
          <t>0982</t>
        </is>
      </c>
      <c r="B149" s="14" t="inlineStr">
        <is>
          <t>Coarse sand (zone III)</t>
        </is>
      </c>
      <c r="C149" s="13" t="inlineStr">
        <is>
          <t>cum</t>
        </is>
      </c>
      <c r="D149" s="15" t="n">
        <v>1.07</v>
      </c>
      <c r="E149" s="16" t="n">
        <v>1350</v>
      </c>
      <c r="F149" s="16">
        <f>D149*E149</f>
        <v/>
      </c>
    </row>
    <row r="150">
      <c r="A150" s="13" t="inlineStr">
        <is>
          <t>2203</t>
        </is>
      </c>
      <c r="B150" s="14" t="inlineStr">
        <is>
          <t>Carriage of Coarse sand</t>
        </is>
      </c>
      <c r="C150" s="13" t="inlineStr">
        <is>
          <t>cum</t>
        </is>
      </c>
      <c r="D150" s="15" t="n">
        <v>1.07</v>
      </c>
      <c r="E150" s="16" t="n">
        <v>103.77</v>
      </c>
      <c r="F150" s="16">
        <f>D150*E150</f>
        <v/>
      </c>
    </row>
    <row r="151">
      <c r="A151" s="13" t="inlineStr">
        <is>
          <t>0114</t>
        </is>
      </c>
      <c r="B151" s="14" t="inlineStr">
        <is>
          <t>Beldar</t>
        </is>
      </c>
      <c r="C151" s="13" t="inlineStr">
        <is>
          <t>day</t>
        </is>
      </c>
      <c r="D151" s="15" t="n">
        <v>0.75</v>
      </c>
      <c r="E151" s="16" t="n">
        <v>558</v>
      </c>
      <c r="F151" s="16">
        <f>D151*E151</f>
        <v/>
      </c>
    </row>
    <row r="152">
      <c r="A152" s="13" t="inlineStr">
        <is>
          <t>0101</t>
        </is>
      </c>
      <c r="B152" s="14" t="inlineStr">
        <is>
          <t>Bhisti</t>
        </is>
      </c>
      <c r="C152" s="13" t="inlineStr">
        <is>
          <t>day</t>
        </is>
      </c>
      <c r="D152" s="15" t="n">
        <v>0.07000000000000001</v>
      </c>
      <c r="E152" s="16" t="n">
        <v>617</v>
      </c>
      <c r="F152" s="16">
        <f>D152*E152</f>
        <v/>
      </c>
    </row>
    <row r="153">
      <c r="A153" s="13" t="inlineStr">
        <is>
          <t>9999</t>
        </is>
      </c>
      <c r="B153" s="14" t="inlineStr">
        <is>
          <t>Hire and running charges of mechanical mixer</t>
        </is>
      </c>
      <c r="C153" s="13" t="inlineStr">
        <is>
          <t>L.S.</t>
        </is>
      </c>
      <c r="D153" s="15" t="n">
        <v>26.91</v>
      </c>
      <c r="E153" s="16" t="n">
        <v>2</v>
      </c>
      <c r="F153" s="16">
        <f>D153*E153</f>
        <v/>
      </c>
    </row>
    <row r="154">
      <c r="A154" s="13" t="inlineStr">
        <is>
          <t>9999</t>
        </is>
      </c>
      <c r="B154" s="14" t="inlineStr">
        <is>
          <t>Sundries</t>
        </is>
      </c>
      <c r="C154" s="13" t="inlineStr">
        <is>
          <t>L.S.</t>
        </is>
      </c>
      <c r="D154" s="15" t="n">
        <v>13.52</v>
      </c>
      <c r="E154" s="16" t="n">
        <v>2</v>
      </c>
      <c r="F154" s="16">
        <f>D154*E154</f>
        <v/>
      </c>
    </row>
    <row r="155">
      <c r="A155" s="17" t="inlineStr">
        <is>
          <t>Resource Total (Material + Labour + Machinery, as printed)</t>
        </is>
      </c>
      <c r="B155" s="18" t="n"/>
      <c r="C155" s="18" t="n"/>
      <c r="D155" s="18" t="n"/>
      <c r="E155" s="18" t="n"/>
      <c r="F155" s="19">
        <f>SUM(F147:F154)</f>
        <v/>
      </c>
    </row>
    <row r="156">
      <c r="A156" s="20" t="inlineStr">
        <is>
          <t>SAY (Rs.) — final DAR rate</t>
        </is>
      </c>
      <c r="B156" s="21" t="n"/>
      <c r="C156" s="21" t="n"/>
      <c r="D156" s="21" t="n"/>
      <c r="E156" s="21" t="n"/>
      <c r="F156" s="22" t="n">
        <v>3356.15</v>
      </c>
    </row>
    <row r="158" ht="18" customHeight="1">
      <c r="A158" s="9" t="inlineStr">
        <is>
          <t>3.12</t>
        </is>
      </c>
      <c r="B158" s="10" t="inlineStr">
        <is>
          <t>Cement mortar 1:2 (1 cement : 2 stone dust).</t>
        </is>
      </c>
      <c r="C158" s="11" t="n"/>
      <c r="D158" s="11" t="n"/>
      <c r="E158" s="11" t="n"/>
      <c r="F158" s="11" t="n"/>
    </row>
    <row r="159">
      <c r="A159" s="12" t="inlineStr">
        <is>
          <t>Rate basis: per cum  (source: cost for 1 cum)</t>
        </is>
      </c>
    </row>
    <row r="160">
      <c r="A160" s="5" t="inlineStr">
        <is>
          <t>Code</t>
        </is>
      </c>
      <c r="B160" s="5" t="inlineStr">
        <is>
          <t>Description</t>
        </is>
      </c>
      <c r="C160" s="5" t="inlineStr">
        <is>
          <t>Unit</t>
        </is>
      </c>
      <c r="D160" s="5" t="inlineStr">
        <is>
          <t>Quantity</t>
        </is>
      </c>
      <c r="E160" s="5" t="inlineStr">
        <is>
          <t>Rate (Rs.)</t>
        </is>
      </c>
      <c r="F160" s="5" t="inlineStr">
        <is>
          <t>Amount (Rs.)</t>
        </is>
      </c>
    </row>
    <row r="161">
      <c r="A161" s="13" t="inlineStr">
        <is>
          <t>0367</t>
        </is>
      </c>
      <c r="B161" s="14" t="inlineStr">
        <is>
          <t>Portland Cement</t>
        </is>
      </c>
      <c r="C161" s="13" t="inlineStr">
        <is>
          <t>tonne</t>
        </is>
      </c>
      <c r="D161" s="15" t="n">
        <v>0.68</v>
      </c>
      <c r="E161" s="16" t="n">
        <v>4940</v>
      </c>
      <c r="F161" s="16">
        <f>D161*E161</f>
        <v/>
      </c>
    </row>
    <row r="162">
      <c r="A162" s="13" t="inlineStr">
        <is>
          <t>2209</t>
        </is>
      </c>
      <c r="B162" s="14" t="inlineStr">
        <is>
          <t>Carriage of Cement</t>
        </is>
      </c>
      <c r="C162" s="13" t="inlineStr">
        <is>
          <t>tonne</t>
        </is>
      </c>
      <c r="D162" s="15" t="n">
        <v>0.68</v>
      </c>
      <c r="E162" s="16" t="n">
        <v>92.23999999999999</v>
      </c>
      <c r="F162" s="16">
        <f>D162*E162</f>
        <v/>
      </c>
    </row>
    <row r="163">
      <c r="A163" s="13" t="inlineStr">
        <is>
          <t>1159</t>
        </is>
      </c>
      <c r="B163" s="14" t="inlineStr">
        <is>
          <t>Stone dust</t>
        </is>
      </c>
      <c r="C163" s="13" t="inlineStr">
        <is>
          <t>cum</t>
        </is>
      </c>
      <c r="D163" s="15" t="n">
        <v>0.95</v>
      </c>
      <c r="E163" s="16" t="n">
        <v>1100</v>
      </c>
      <c r="F163" s="16">
        <f>D163*E163</f>
        <v/>
      </c>
    </row>
    <row r="164">
      <c r="A164" s="13" t="inlineStr">
        <is>
          <t>2267</t>
        </is>
      </c>
      <c r="B164" s="14" t="inlineStr">
        <is>
          <t>Carriage of Stone dust</t>
        </is>
      </c>
      <c r="C164" s="13" t="inlineStr">
        <is>
          <t>cum</t>
        </is>
      </c>
      <c r="D164" s="15" t="n">
        <v>0.95</v>
      </c>
      <c r="E164" s="16" t="n">
        <v>103.77</v>
      </c>
      <c r="F164" s="16">
        <f>D164*E164</f>
        <v/>
      </c>
    </row>
    <row r="165">
      <c r="A165" s="13" t="inlineStr">
        <is>
          <t>0114</t>
        </is>
      </c>
      <c r="B165" s="14" t="inlineStr">
        <is>
          <t>Beldar</t>
        </is>
      </c>
      <c r="C165" s="13" t="inlineStr">
        <is>
          <t>day</t>
        </is>
      </c>
      <c r="D165" s="15" t="n">
        <v>0.75</v>
      </c>
      <c r="E165" s="16" t="n">
        <v>558</v>
      </c>
      <c r="F165" s="16">
        <f>D165*E165</f>
        <v/>
      </c>
    </row>
    <row r="166">
      <c r="A166" s="13" t="inlineStr">
        <is>
          <t>0101</t>
        </is>
      </c>
      <c r="B166" s="14" t="inlineStr">
        <is>
          <t>Bhisti</t>
        </is>
      </c>
      <c r="C166" s="13" t="inlineStr">
        <is>
          <t>day</t>
        </is>
      </c>
      <c r="D166" s="15" t="n">
        <v>0.07000000000000001</v>
      </c>
      <c r="E166" s="16" t="n">
        <v>617</v>
      </c>
      <c r="F166" s="16">
        <f>D166*E166</f>
        <v/>
      </c>
    </row>
    <row r="167">
      <c r="A167" s="13" t="inlineStr">
        <is>
          <t>9999</t>
        </is>
      </c>
      <c r="B167" s="14" t="inlineStr">
        <is>
          <t>Hire and running charges of mechanical mixer</t>
        </is>
      </c>
      <c r="C167" s="13" t="inlineStr">
        <is>
          <t>L.S.</t>
        </is>
      </c>
      <c r="D167" s="15" t="n">
        <v>26.91</v>
      </c>
      <c r="E167" s="16" t="n">
        <v>2</v>
      </c>
      <c r="F167" s="16">
        <f>D167*E167</f>
        <v/>
      </c>
    </row>
    <row r="168">
      <c r="A168" s="13" t="inlineStr">
        <is>
          <t>9999</t>
        </is>
      </c>
      <c r="B168" s="14" t="inlineStr">
        <is>
          <t>Sundries</t>
        </is>
      </c>
      <c r="C168" s="13" t="inlineStr">
        <is>
          <t>L.S.</t>
        </is>
      </c>
      <c r="D168" s="15" t="n">
        <v>13.52</v>
      </c>
      <c r="E168" s="16" t="n">
        <v>2</v>
      </c>
      <c r="F168" s="16">
        <f>D168*E168</f>
        <v/>
      </c>
    </row>
    <row r="169">
      <c r="A169" s="17" t="inlineStr">
        <is>
          <t>Resource Total (Material + Labour + Machinery, as printed)</t>
        </is>
      </c>
      <c r="B169" s="18" t="n"/>
      <c r="C169" s="18" t="n"/>
      <c r="D169" s="18" t="n"/>
      <c r="E169" s="18" t="n"/>
      <c r="F169" s="19">
        <f>SUM(F161:F168)</f>
        <v/>
      </c>
    </row>
    <row r="170">
      <c r="A170" s="20" t="inlineStr">
        <is>
          <t>SAY (Rs.) — final DAR rate</t>
        </is>
      </c>
      <c r="B170" s="21" t="n"/>
      <c r="C170" s="21" t="n"/>
      <c r="D170" s="21" t="n"/>
      <c r="E170" s="21" t="n"/>
      <c r="F170" s="22" t="n">
        <v>5108.05</v>
      </c>
    </row>
    <row r="172" ht="18" customHeight="1">
      <c r="A172" s="9" t="inlineStr">
        <is>
          <t>3.13</t>
        </is>
      </c>
      <c r="B172" s="10" t="inlineStr">
        <is>
          <t>Cement mortar 1:2 (1 cement : 2 marble dust).</t>
        </is>
      </c>
      <c r="C172" s="11" t="n"/>
      <c r="D172" s="11" t="n"/>
      <c r="E172" s="11" t="n"/>
      <c r="F172" s="11" t="n"/>
    </row>
    <row r="173">
      <c r="A173" s="12" t="inlineStr">
        <is>
          <t>Rate basis: per cum  (source: cost for 1 cum)</t>
        </is>
      </c>
    </row>
    <row r="174">
      <c r="A174" s="5" t="inlineStr">
        <is>
          <t>Code</t>
        </is>
      </c>
      <c r="B174" s="5" t="inlineStr">
        <is>
          <t>Description</t>
        </is>
      </c>
      <c r="C174" s="5" t="inlineStr">
        <is>
          <t>Unit</t>
        </is>
      </c>
      <c r="D174" s="5" t="inlineStr">
        <is>
          <t>Quantity</t>
        </is>
      </c>
      <c r="E174" s="5" t="inlineStr">
        <is>
          <t>Rate (Rs.)</t>
        </is>
      </c>
      <c r="F174" s="5" t="inlineStr">
        <is>
          <t>Amount (Rs.)</t>
        </is>
      </c>
    </row>
    <row r="175">
      <c r="A175" s="13" t="inlineStr">
        <is>
          <t>0367</t>
        </is>
      </c>
      <c r="B175" s="14" t="inlineStr">
        <is>
          <t>Portland Cement</t>
        </is>
      </c>
      <c r="C175" s="13" t="inlineStr">
        <is>
          <t>tonne</t>
        </is>
      </c>
      <c r="D175" s="15" t="n">
        <v>0.68</v>
      </c>
      <c r="E175" s="16" t="n">
        <v>4940</v>
      </c>
      <c r="F175" s="16">
        <f>D175*E175</f>
        <v/>
      </c>
    </row>
    <row r="176">
      <c r="A176" s="13" t="inlineStr">
        <is>
          <t>2209</t>
        </is>
      </c>
      <c r="B176" s="14" t="inlineStr">
        <is>
          <t>Carriage of Cement</t>
        </is>
      </c>
      <c r="C176" s="13" t="inlineStr">
        <is>
          <t>tonne</t>
        </is>
      </c>
      <c r="D176" s="15" t="n">
        <v>0.68</v>
      </c>
      <c r="E176" s="16" t="n">
        <v>92.23999999999999</v>
      </c>
      <c r="F176" s="16">
        <f>D176*E176</f>
        <v/>
      </c>
    </row>
    <row r="177">
      <c r="A177" s="13" t="inlineStr">
        <is>
          <t>0784</t>
        </is>
      </c>
      <c r="B177" s="14" t="inlineStr">
        <is>
          <t>Marble dust/ powder</t>
        </is>
      </c>
      <c r="C177" s="13" t="inlineStr">
        <is>
          <t>cum</t>
        </is>
      </c>
      <c r="D177" s="15" t="n">
        <v>0.95</v>
      </c>
      <c r="E177" s="16" t="n">
        <v>1130</v>
      </c>
      <c r="F177" s="16">
        <f>D177*E177</f>
        <v/>
      </c>
    </row>
    <row r="178">
      <c r="A178" s="13" t="inlineStr">
        <is>
          <t>2268</t>
        </is>
      </c>
      <c r="B178" s="14" t="inlineStr">
        <is>
          <t>Carriage of Marble dust and marble chips</t>
        </is>
      </c>
      <c r="C178" s="13" t="inlineStr">
        <is>
          <t>cum</t>
        </is>
      </c>
      <c r="D178" s="15" t="n">
        <v>0.95</v>
      </c>
      <c r="E178" s="16" t="n">
        <v>103.77</v>
      </c>
      <c r="F178" s="16">
        <f>D178*E178</f>
        <v/>
      </c>
    </row>
    <row r="179">
      <c r="A179" s="13" t="inlineStr">
        <is>
          <t>0114</t>
        </is>
      </c>
      <c r="B179" s="14" t="inlineStr">
        <is>
          <t>Beldar</t>
        </is>
      </c>
      <c r="C179" s="13" t="inlineStr">
        <is>
          <t>day</t>
        </is>
      </c>
      <c r="D179" s="15" t="n">
        <v>0.75</v>
      </c>
      <c r="E179" s="16" t="n">
        <v>558</v>
      </c>
      <c r="F179" s="16">
        <f>D179*E179</f>
        <v/>
      </c>
    </row>
    <row r="180">
      <c r="A180" s="13" t="inlineStr">
        <is>
          <t>0101</t>
        </is>
      </c>
      <c r="B180" s="14" t="inlineStr">
        <is>
          <t>Bhisti</t>
        </is>
      </c>
      <c r="C180" s="13" t="inlineStr">
        <is>
          <t>day</t>
        </is>
      </c>
      <c r="D180" s="15" t="n">
        <v>0.07000000000000001</v>
      </c>
      <c r="E180" s="16" t="n">
        <v>617</v>
      </c>
      <c r="F180" s="16">
        <f>D180*E180</f>
        <v/>
      </c>
    </row>
    <row r="181">
      <c r="A181" s="13" t="inlineStr">
        <is>
          <t>9999</t>
        </is>
      </c>
      <c r="B181" s="14" t="inlineStr">
        <is>
          <t>Hire and running charges of mechanical mixer</t>
        </is>
      </c>
      <c r="C181" s="13" t="inlineStr">
        <is>
          <t>L.S.</t>
        </is>
      </c>
      <c r="D181" s="15" t="n">
        <v>26.91</v>
      </c>
      <c r="E181" s="16" t="n">
        <v>2</v>
      </c>
      <c r="F181" s="16">
        <f>D181*E181</f>
        <v/>
      </c>
    </row>
    <row r="182">
      <c r="A182" s="13" t="inlineStr">
        <is>
          <t>9999</t>
        </is>
      </c>
      <c r="B182" s="14" t="inlineStr">
        <is>
          <t>Sundries</t>
        </is>
      </c>
      <c r="C182" s="13" t="inlineStr">
        <is>
          <t>L.S.</t>
        </is>
      </c>
      <c r="D182" s="15" t="n">
        <v>13.52</v>
      </c>
      <c r="E182" s="16" t="n">
        <v>2</v>
      </c>
      <c r="F182" s="16">
        <f>D182*E182</f>
        <v/>
      </c>
    </row>
    <row r="183">
      <c r="A183" s="17" t="inlineStr">
        <is>
          <t>Resource Total (Material + Labour + Machinery, as printed)</t>
        </is>
      </c>
      <c r="B183" s="18" t="n"/>
      <c r="C183" s="18" t="n"/>
      <c r="D183" s="18" t="n"/>
      <c r="E183" s="18" t="n"/>
      <c r="F183" s="19">
        <f>SUM(F175:F182)</f>
        <v/>
      </c>
    </row>
    <row r="184">
      <c r="A184" s="20" t="inlineStr">
        <is>
          <t>SAY (Rs.) — final DAR rate</t>
        </is>
      </c>
      <c r="B184" s="21" t="n"/>
      <c r="C184" s="21" t="n"/>
      <c r="D184" s="21" t="n"/>
      <c r="E184" s="21" t="n"/>
      <c r="F184" s="22" t="n">
        <v>5136.55</v>
      </c>
    </row>
    <row r="186" ht="18" customHeight="1">
      <c r="A186" s="9" t="inlineStr">
        <is>
          <t>3.14</t>
        </is>
      </c>
      <c r="B186" s="10" t="inlineStr">
        <is>
          <t>Cement mortar 1:5 (1 cement : 5 marble dust).</t>
        </is>
      </c>
      <c r="C186" s="11" t="n"/>
      <c r="D186" s="11" t="n"/>
      <c r="E186" s="11" t="n"/>
      <c r="F186" s="11" t="n"/>
    </row>
    <row r="187">
      <c r="A187" s="12" t="inlineStr">
        <is>
          <t>Rate basis: per cum  (source: cost for 1 cum)</t>
        </is>
      </c>
    </row>
    <row r="188">
      <c r="A188" s="5" t="inlineStr">
        <is>
          <t>Code</t>
        </is>
      </c>
      <c r="B188" s="5" t="inlineStr">
        <is>
          <t>Description</t>
        </is>
      </c>
      <c r="C188" s="5" t="inlineStr">
        <is>
          <t>Unit</t>
        </is>
      </c>
      <c r="D188" s="5" t="inlineStr">
        <is>
          <t>Quantity</t>
        </is>
      </c>
      <c r="E188" s="5" t="inlineStr">
        <is>
          <t>Rate (Rs.)</t>
        </is>
      </c>
      <c r="F188" s="5" t="inlineStr">
        <is>
          <t>Amount (Rs.)</t>
        </is>
      </c>
    </row>
    <row r="189">
      <c r="A189" s="13" t="inlineStr">
        <is>
          <t>0367</t>
        </is>
      </c>
      <c r="B189" s="14" t="inlineStr">
        <is>
          <t>Portland Cement</t>
        </is>
      </c>
      <c r="C189" s="13" t="inlineStr">
        <is>
          <t>tonne</t>
        </is>
      </c>
      <c r="D189" s="15" t="n">
        <v>0.31</v>
      </c>
      <c r="E189" s="16" t="n">
        <v>4940</v>
      </c>
      <c r="F189" s="16">
        <f>D189*E189</f>
        <v/>
      </c>
    </row>
    <row r="190">
      <c r="A190" s="13" t="inlineStr">
        <is>
          <t>2209</t>
        </is>
      </c>
      <c r="B190" s="14" t="inlineStr">
        <is>
          <t>Carriage of Cement</t>
        </is>
      </c>
      <c r="C190" s="13" t="inlineStr">
        <is>
          <t>tonne</t>
        </is>
      </c>
      <c r="D190" s="15" t="n">
        <v>0.31</v>
      </c>
      <c r="E190" s="16" t="n">
        <v>92.23999999999999</v>
      </c>
      <c r="F190" s="16">
        <f>D190*E190</f>
        <v/>
      </c>
    </row>
    <row r="191">
      <c r="A191" s="13" t="inlineStr">
        <is>
          <t>0784</t>
        </is>
      </c>
      <c r="B191" s="14" t="inlineStr">
        <is>
          <t>Marble dust/ powder</t>
        </is>
      </c>
      <c r="C191" s="13" t="inlineStr">
        <is>
          <t>cum</t>
        </is>
      </c>
      <c r="D191" s="15" t="n">
        <v>1.07</v>
      </c>
      <c r="E191" s="16" t="n">
        <v>1130</v>
      </c>
      <c r="F191" s="16">
        <f>D191*E191</f>
        <v/>
      </c>
    </row>
    <row r="192">
      <c r="A192" s="13" t="inlineStr">
        <is>
          <t>2268</t>
        </is>
      </c>
      <c r="B192" s="14" t="inlineStr">
        <is>
          <t>Carriage of Marble dust and marble chips</t>
        </is>
      </c>
      <c r="C192" s="13" t="inlineStr">
        <is>
          <t>cum</t>
        </is>
      </c>
      <c r="D192" s="15" t="n">
        <v>1.07</v>
      </c>
      <c r="E192" s="16" t="n">
        <v>103.77</v>
      </c>
      <c r="F192" s="16">
        <f>D192*E192</f>
        <v/>
      </c>
    </row>
    <row r="193">
      <c r="A193" s="13" t="inlineStr">
        <is>
          <t>0114</t>
        </is>
      </c>
      <c r="B193" s="14" t="inlineStr">
        <is>
          <t>Beldar</t>
        </is>
      </c>
      <c r="C193" s="13" t="inlineStr">
        <is>
          <t>day</t>
        </is>
      </c>
      <c r="D193" s="15" t="n">
        <v>0.75</v>
      </c>
      <c r="E193" s="16" t="n">
        <v>558</v>
      </c>
      <c r="F193" s="16">
        <f>D193*E193</f>
        <v/>
      </c>
    </row>
    <row r="194">
      <c r="A194" s="13" t="inlineStr">
        <is>
          <t>0101</t>
        </is>
      </c>
      <c r="B194" s="14" t="inlineStr">
        <is>
          <t>Bhisti</t>
        </is>
      </c>
      <c r="C194" s="13" t="inlineStr">
        <is>
          <t>day</t>
        </is>
      </c>
      <c r="D194" s="15" t="n">
        <v>0.07000000000000001</v>
      </c>
      <c r="E194" s="16" t="n">
        <v>617</v>
      </c>
      <c r="F194" s="16">
        <f>D194*E194</f>
        <v/>
      </c>
    </row>
    <row r="195">
      <c r="A195" s="13" t="inlineStr">
        <is>
          <t>9999</t>
        </is>
      </c>
      <c r="B195" s="14" t="inlineStr">
        <is>
          <t>Hire and running charges of mechanical mixer</t>
        </is>
      </c>
      <c r="C195" s="13" t="inlineStr">
        <is>
          <t>L.S.</t>
        </is>
      </c>
      <c r="D195" s="15" t="n">
        <v>26.91</v>
      </c>
      <c r="E195" s="16" t="n">
        <v>2</v>
      </c>
      <c r="F195" s="16">
        <f>D195*E195</f>
        <v/>
      </c>
    </row>
    <row r="196">
      <c r="A196" s="13" t="inlineStr">
        <is>
          <t>9999</t>
        </is>
      </c>
      <c r="B196" s="14" t="inlineStr">
        <is>
          <t>Sundries</t>
        </is>
      </c>
      <c r="C196" s="13" t="inlineStr">
        <is>
          <t>L.S.</t>
        </is>
      </c>
      <c r="D196" s="15" t="n">
        <v>13.52</v>
      </c>
      <c r="E196" s="16" t="n">
        <v>2</v>
      </c>
      <c r="F196" s="16">
        <f>D196*E196</f>
        <v/>
      </c>
    </row>
    <row r="197">
      <c r="A197" s="17" t="inlineStr">
        <is>
          <t>Resource Total (Material + Labour + Machinery, as printed)</t>
        </is>
      </c>
      <c r="B197" s="18" t="n"/>
      <c r="C197" s="18" t="n"/>
      <c r="D197" s="18" t="n"/>
      <c r="E197" s="18" t="n"/>
      <c r="F197" s="19">
        <f>SUM(F189:F196)</f>
        <v/>
      </c>
    </row>
    <row r="198">
      <c r="A198" s="20" t="inlineStr">
        <is>
          <t>SAY (Rs.) — final DAR rate</t>
        </is>
      </c>
      <c r="B198" s="21" t="n"/>
      <c r="C198" s="21" t="n"/>
      <c r="D198" s="21" t="n"/>
      <c r="E198" s="21" t="n"/>
      <c r="F198" s="22" t="n">
        <v>3422.7</v>
      </c>
    </row>
    <row r="200" ht="18" customHeight="1">
      <c r="A200" s="9" t="inlineStr">
        <is>
          <t>3.15</t>
        </is>
      </c>
      <c r="B200" s="10" t="inlineStr">
        <is>
          <t>White cement mortar 1:2 (1 white cement : 2 marble dust).</t>
        </is>
      </c>
      <c r="C200" s="11" t="n"/>
      <c r="D200" s="11" t="n"/>
      <c r="E200" s="11" t="n"/>
      <c r="F200" s="11" t="n"/>
    </row>
    <row r="201">
      <c r="A201" s="12" t="inlineStr">
        <is>
          <t>Rate basis: per cum  (source: cost for 1 cum)</t>
        </is>
      </c>
    </row>
    <row r="202">
      <c r="A202" s="5" t="inlineStr">
        <is>
          <t>Code</t>
        </is>
      </c>
      <c r="B202" s="5" t="inlineStr">
        <is>
          <t>Description</t>
        </is>
      </c>
      <c r="C202" s="5" t="inlineStr">
        <is>
          <t>Unit</t>
        </is>
      </c>
      <c r="D202" s="5" t="inlineStr">
        <is>
          <t>Quantity</t>
        </is>
      </c>
      <c r="E202" s="5" t="inlineStr">
        <is>
          <t>Rate (Rs.)</t>
        </is>
      </c>
      <c r="F202" s="5" t="inlineStr">
        <is>
          <t>Amount (Rs.)</t>
        </is>
      </c>
    </row>
    <row r="203">
      <c r="A203" s="13" t="inlineStr">
        <is>
          <t>0368</t>
        </is>
      </c>
      <c r="B203" s="14" t="inlineStr">
        <is>
          <t>White Cement</t>
        </is>
      </c>
      <c r="C203" s="13" t="inlineStr">
        <is>
          <t>tonne</t>
        </is>
      </c>
      <c r="D203" s="15" t="n">
        <v>0.68</v>
      </c>
      <c r="E203" s="16" t="n">
        <v>11200</v>
      </c>
      <c r="F203" s="16">
        <f>D203*E203</f>
        <v/>
      </c>
    </row>
    <row r="204">
      <c r="A204" s="13" t="inlineStr">
        <is>
          <t>2209</t>
        </is>
      </c>
      <c r="B204" s="14" t="inlineStr">
        <is>
          <t>Carriage of Cement</t>
        </is>
      </c>
      <c r="C204" s="13" t="inlineStr">
        <is>
          <t>tonne</t>
        </is>
      </c>
      <c r="D204" s="15" t="n">
        <v>0.68</v>
      </c>
      <c r="E204" s="16" t="n">
        <v>92.23999999999999</v>
      </c>
      <c r="F204" s="16">
        <f>D204*E204</f>
        <v/>
      </c>
    </row>
    <row r="205">
      <c r="A205" s="13" t="inlineStr">
        <is>
          <t>0784</t>
        </is>
      </c>
      <c r="B205" s="14" t="inlineStr">
        <is>
          <t>Marble dust/ powder</t>
        </is>
      </c>
      <c r="C205" s="13" t="inlineStr">
        <is>
          <t>cum</t>
        </is>
      </c>
      <c r="D205" s="15" t="n">
        <v>0.95</v>
      </c>
      <c r="E205" s="16" t="n">
        <v>1130</v>
      </c>
      <c r="F205" s="16">
        <f>D205*E205</f>
        <v/>
      </c>
    </row>
    <row r="206">
      <c r="A206" s="13" t="inlineStr">
        <is>
          <t>2268</t>
        </is>
      </c>
      <c r="B206" s="14" t="inlineStr">
        <is>
          <t>Carriage of Marble dust and marble chips</t>
        </is>
      </c>
      <c r="C206" s="13" t="inlineStr">
        <is>
          <t>cum</t>
        </is>
      </c>
      <c r="D206" s="15" t="n">
        <v>0.95</v>
      </c>
      <c r="E206" s="16" t="n">
        <v>103.77</v>
      </c>
      <c r="F206" s="16">
        <f>D206*E206</f>
        <v/>
      </c>
    </row>
    <row r="207">
      <c r="A207" s="13" t="inlineStr">
        <is>
          <t>0114</t>
        </is>
      </c>
      <c r="B207" s="14" t="inlineStr">
        <is>
          <t>Beldar</t>
        </is>
      </c>
      <c r="C207" s="13" t="inlineStr">
        <is>
          <t>day</t>
        </is>
      </c>
      <c r="D207" s="15" t="n">
        <v>0.75</v>
      </c>
      <c r="E207" s="16" t="n">
        <v>558</v>
      </c>
      <c r="F207" s="16">
        <f>D207*E207</f>
        <v/>
      </c>
    </row>
    <row r="208">
      <c r="A208" s="13" t="inlineStr">
        <is>
          <t>0101</t>
        </is>
      </c>
      <c r="B208" s="14" t="inlineStr">
        <is>
          <t>Bhisti</t>
        </is>
      </c>
      <c r="C208" s="13" t="inlineStr">
        <is>
          <t>day</t>
        </is>
      </c>
      <c r="D208" s="15" t="n">
        <v>0.07000000000000001</v>
      </c>
      <c r="E208" s="16" t="n">
        <v>617</v>
      </c>
      <c r="F208" s="16">
        <f>D208*E208</f>
        <v/>
      </c>
    </row>
    <row r="209">
      <c r="A209" s="13" t="inlineStr">
        <is>
          <t>9999</t>
        </is>
      </c>
      <c r="B209" s="14" t="inlineStr">
        <is>
          <t>Hire and running charges of mechanical mixer</t>
        </is>
      </c>
      <c r="C209" s="13" t="inlineStr">
        <is>
          <t>L.S.</t>
        </is>
      </c>
      <c r="D209" s="15" t="n">
        <v>26.91</v>
      </c>
      <c r="E209" s="16" t="n">
        <v>2</v>
      </c>
      <c r="F209" s="16">
        <f>D209*E209</f>
        <v/>
      </c>
    </row>
    <row r="210">
      <c r="A210" s="13" t="inlineStr">
        <is>
          <t>9999</t>
        </is>
      </c>
      <c r="B210" s="14" t="inlineStr">
        <is>
          <t>Sundries</t>
        </is>
      </c>
      <c r="C210" s="13" t="inlineStr">
        <is>
          <t>L.S.</t>
        </is>
      </c>
      <c r="D210" s="15" t="n">
        <v>13.52</v>
      </c>
      <c r="E210" s="16" t="n">
        <v>2</v>
      </c>
      <c r="F210" s="16">
        <f>D210*E210</f>
        <v/>
      </c>
    </row>
    <row r="211">
      <c r="A211" s="17" t="inlineStr">
        <is>
          <t>Resource Total (Material + Labour + Machinery, as printed)</t>
        </is>
      </c>
      <c r="B211" s="18" t="n"/>
      <c r="C211" s="18" t="n"/>
      <c r="D211" s="18" t="n"/>
      <c r="E211" s="18" t="n"/>
      <c r="F211" s="19">
        <f>SUM(F203:F210)</f>
        <v/>
      </c>
    </row>
    <row r="212">
      <c r="A212" s="20" t="inlineStr">
        <is>
          <t>SAY (Rs.) — final DAR rate</t>
        </is>
      </c>
      <c r="B212" s="21" t="n"/>
      <c r="C212" s="21" t="n"/>
      <c r="D212" s="21" t="n"/>
      <c r="E212" s="21" t="n"/>
      <c r="F212" s="22" t="n">
        <v>9393.35</v>
      </c>
    </row>
    <row r="214" ht="18" customHeight="1">
      <c r="A214" s="9" t="inlineStr">
        <is>
          <t>3.16</t>
        </is>
      </c>
      <c r="B214" s="10" t="inlineStr">
        <is>
          <t>White cement mortar 1:3 (1 white cement : 3 marble dust).</t>
        </is>
      </c>
      <c r="C214" s="11" t="n"/>
      <c r="D214" s="11" t="n"/>
      <c r="E214" s="11" t="n"/>
      <c r="F214" s="11" t="n"/>
    </row>
    <row r="215">
      <c r="A215" s="12" t="inlineStr">
        <is>
          <t>Rate basis: per cum  (source: cost for 1 cum)</t>
        </is>
      </c>
    </row>
    <row r="216">
      <c r="A216" s="5" t="inlineStr">
        <is>
          <t>Code</t>
        </is>
      </c>
      <c r="B216" s="5" t="inlineStr">
        <is>
          <t>Description</t>
        </is>
      </c>
      <c r="C216" s="5" t="inlineStr">
        <is>
          <t>Unit</t>
        </is>
      </c>
      <c r="D216" s="5" t="inlineStr">
        <is>
          <t>Quantity</t>
        </is>
      </c>
      <c r="E216" s="5" t="inlineStr">
        <is>
          <t>Rate (Rs.)</t>
        </is>
      </c>
      <c r="F216" s="5" t="inlineStr">
        <is>
          <t>Amount (Rs.)</t>
        </is>
      </c>
    </row>
    <row r="217">
      <c r="A217" s="13" t="inlineStr">
        <is>
          <t>0368</t>
        </is>
      </c>
      <c r="B217" s="14" t="inlineStr">
        <is>
          <t>White Cement</t>
        </is>
      </c>
      <c r="C217" s="13" t="inlineStr">
        <is>
          <t>tonne</t>
        </is>
      </c>
      <c r="D217" s="15" t="n">
        <v>0.51</v>
      </c>
      <c r="E217" s="16" t="n">
        <v>11200</v>
      </c>
      <c r="F217" s="16">
        <f>D217*E217</f>
        <v/>
      </c>
    </row>
    <row r="218">
      <c r="A218" s="13" t="inlineStr">
        <is>
          <t>2209</t>
        </is>
      </c>
      <c r="B218" s="14" t="inlineStr">
        <is>
          <t>Carriage of Cement</t>
        </is>
      </c>
      <c r="C218" s="13" t="inlineStr">
        <is>
          <t>tonne</t>
        </is>
      </c>
      <c r="D218" s="15" t="n">
        <v>0.51</v>
      </c>
      <c r="E218" s="16" t="n">
        <v>92.23999999999999</v>
      </c>
      <c r="F218" s="16">
        <f>D218*E218</f>
        <v/>
      </c>
    </row>
    <row r="219">
      <c r="A219" s="13" t="inlineStr">
        <is>
          <t>0784</t>
        </is>
      </c>
      <c r="B219" s="14" t="inlineStr">
        <is>
          <t>Marble dust/ powder</t>
        </is>
      </c>
      <c r="C219" s="13" t="inlineStr">
        <is>
          <t>cum</t>
        </is>
      </c>
      <c r="D219" s="15" t="n">
        <v>1.07</v>
      </c>
      <c r="E219" s="16" t="n">
        <v>1130</v>
      </c>
      <c r="F219" s="16">
        <f>D219*E219</f>
        <v/>
      </c>
    </row>
    <row r="220">
      <c r="A220" s="13" t="inlineStr">
        <is>
          <t>2268</t>
        </is>
      </c>
      <c r="B220" s="14" t="inlineStr">
        <is>
          <t>Carriage of Marble dust and marble chips</t>
        </is>
      </c>
      <c r="C220" s="13" t="inlineStr">
        <is>
          <t>cum</t>
        </is>
      </c>
      <c r="D220" s="15" t="n">
        <v>1.07</v>
      </c>
      <c r="E220" s="16" t="n">
        <v>103.77</v>
      </c>
      <c r="F220" s="16">
        <f>D220*E220</f>
        <v/>
      </c>
    </row>
    <row r="221">
      <c r="A221" s="13" t="inlineStr">
        <is>
          <t>0114</t>
        </is>
      </c>
      <c r="B221" s="14" t="inlineStr">
        <is>
          <t>Beldar</t>
        </is>
      </c>
      <c r="C221" s="13" t="inlineStr">
        <is>
          <t>day</t>
        </is>
      </c>
      <c r="D221" s="15" t="n">
        <v>0.75</v>
      </c>
      <c r="E221" s="16" t="n">
        <v>558</v>
      </c>
      <c r="F221" s="16">
        <f>D221*E221</f>
        <v/>
      </c>
    </row>
    <row r="222">
      <c r="A222" s="13" t="inlineStr">
        <is>
          <t>0101</t>
        </is>
      </c>
      <c r="B222" s="14" t="inlineStr">
        <is>
          <t>Bhisti</t>
        </is>
      </c>
      <c r="C222" s="13" t="inlineStr">
        <is>
          <t>day</t>
        </is>
      </c>
      <c r="D222" s="15" t="n">
        <v>0.07000000000000001</v>
      </c>
      <c r="E222" s="16" t="n">
        <v>617</v>
      </c>
      <c r="F222" s="16">
        <f>D222*E222</f>
        <v/>
      </c>
    </row>
    <row r="223">
      <c r="A223" s="13" t="inlineStr">
        <is>
          <t>9999</t>
        </is>
      </c>
      <c r="B223" s="14" t="inlineStr">
        <is>
          <t>Hire and running charges of mechanical mixer</t>
        </is>
      </c>
      <c r="C223" s="13" t="inlineStr">
        <is>
          <t>L.S.</t>
        </is>
      </c>
      <c r="D223" s="15" t="n">
        <v>26.91</v>
      </c>
      <c r="E223" s="16" t="n">
        <v>2</v>
      </c>
      <c r="F223" s="16">
        <f>D223*E223</f>
        <v/>
      </c>
    </row>
    <row r="224">
      <c r="A224" s="13" t="inlineStr">
        <is>
          <t>9999</t>
        </is>
      </c>
      <c r="B224" s="14" t="inlineStr">
        <is>
          <t>Sundries</t>
        </is>
      </c>
      <c r="C224" s="13" t="inlineStr">
        <is>
          <t>L.S.</t>
        </is>
      </c>
      <c r="D224" s="15" t="n">
        <v>13.52</v>
      </c>
      <c r="E224" s="16" t="n">
        <v>2</v>
      </c>
      <c r="F224" s="16">
        <f>D224*E224</f>
        <v/>
      </c>
    </row>
    <row r="225">
      <c r="A225" s="17" t="inlineStr">
        <is>
          <t>Resource Total (Material + Labour + Machinery, as printed)</t>
        </is>
      </c>
      <c r="B225" s="18" t="n"/>
      <c r="C225" s="18" t="n"/>
      <c r="D225" s="18" t="n"/>
      <c r="E225" s="18" t="n"/>
      <c r="F225" s="19">
        <f>SUM(F217:F224)</f>
        <v/>
      </c>
    </row>
    <row r="226">
      <c r="A226" s="20" t="inlineStr">
        <is>
          <t>SAY (Rs.) — final DAR rate</t>
        </is>
      </c>
      <c r="B226" s="21" t="n"/>
      <c r="C226" s="21" t="n"/>
      <c r="D226" s="21" t="n"/>
      <c r="E226" s="21" t="n"/>
      <c r="F226" s="22" t="n">
        <v>7621.75</v>
      </c>
    </row>
    <row r="228" ht="18" customHeight="1">
      <c r="A228" s="9" t="inlineStr">
        <is>
          <t>3.17</t>
        </is>
      </c>
      <c r="B228" s="10" t="inlineStr">
        <is>
          <t>White cement mortar 1:5 (1 white cement : 5 marble dust).</t>
        </is>
      </c>
      <c r="C228" s="11" t="n"/>
      <c r="D228" s="11" t="n"/>
      <c r="E228" s="11" t="n"/>
      <c r="F228" s="11" t="n"/>
    </row>
    <row r="229">
      <c r="A229" s="12" t="inlineStr">
        <is>
          <t>Rate basis: per cum  (source: cost for 1 cum)</t>
        </is>
      </c>
    </row>
    <row r="230">
      <c r="A230" s="5" t="inlineStr">
        <is>
          <t>Code</t>
        </is>
      </c>
      <c r="B230" s="5" t="inlineStr">
        <is>
          <t>Description</t>
        </is>
      </c>
      <c r="C230" s="5" t="inlineStr">
        <is>
          <t>Unit</t>
        </is>
      </c>
      <c r="D230" s="5" t="inlineStr">
        <is>
          <t>Quantity</t>
        </is>
      </c>
      <c r="E230" s="5" t="inlineStr">
        <is>
          <t>Rate (Rs.)</t>
        </is>
      </c>
      <c r="F230" s="5" t="inlineStr">
        <is>
          <t>Amount (Rs.)</t>
        </is>
      </c>
    </row>
    <row r="231">
      <c r="A231" s="13" t="inlineStr">
        <is>
          <t>0368</t>
        </is>
      </c>
      <c r="B231" s="14" t="inlineStr">
        <is>
          <t>White Cement</t>
        </is>
      </c>
      <c r="C231" s="13" t="inlineStr">
        <is>
          <t>tonne</t>
        </is>
      </c>
      <c r="D231" s="15" t="n">
        <v>0.31</v>
      </c>
      <c r="E231" s="16" t="n">
        <v>11200</v>
      </c>
      <c r="F231" s="16">
        <f>D231*E231</f>
        <v/>
      </c>
    </row>
    <row r="232">
      <c r="A232" s="13" t="inlineStr">
        <is>
          <t>2209</t>
        </is>
      </c>
      <c r="B232" s="14" t="inlineStr">
        <is>
          <t>Carriage of Cement</t>
        </is>
      </c>
      <c r="C232" s="13" t="inlineStr">
        <is>
          <t>tonne</t>
        </is>
      </c>
      <c r="D232" s="15" t="n">
        <v>0.31</v>
      </c>
      <c r="E232" s="16" t="n">
        <v>92.23999999999999</v>
      </c>
      <c r="F232" s="16">
        <f>D232*E232</f>
        <v/>
      </c>
    </row>
    <row r="233">
      <c r="A233" s="13" t="inlineStr">
        <is>
          <t>0784</t>
        </is>
      </c>
      <c r="B233" s="14" t="inlineStr">
        <is>
          <t>Marble dust/ powder</t>
        </is>
      </c>
      <c r="C233" s="13" t="inlineStr">
        <is>
          <t>cum</t>
        </is>
      </c>
      <c r="D233" s="15" t="n">
        <v>1.07</v>
      </c>
      <c r="E233" s="16" t="n">
        <v>1130</v>
      </c>
      <c r="F233" s="16">
        <f>D233*E233</f>
        <v/>
      </c>
    </row>
    <row r="234">
      <c r="A234" s="13" t="inlineStr">
        <is>
          <t>2268</t>
        </is>
      </c>
      <c r="B234" s="14" t="inlineStr">
        <is>
          <t>Carriage of Marble dust and marble chips</t>
        </is>
      </c>
      <c r="C234" s="13" t="inlineStr">
        <is>
          <t>cum</t>
        </is>
      </c>
      <c r="D234" s="15" t="n">
        <v>1.07</v>
      </c>
      <c r="E234" s="16" t="n">
        <v>103.77</v>
      </c>
      <c r="F234" s="16">
        <f>D234*E234</f>
        <v/>
      </c>
    </row>
    <row r="235">
      <c r="A235" s="13" t="inlineStr">
        <is>
          <t>0114</t>
        </is>
      </c>
      <c r="B235" s="14" t="inlineStr">
        <is>
          <t>Beldar</t>
        </is>
      </c>
      <c r="C235" s="13" t="inlineStr">
        <is>
          <t>day</t>
        </is>
      </c>
      <c r="D235" s="15" t="n">
        <v>0.75</v>
      </c>
      <c r="E235" s="16" t="n">
        <v>558</v>
      </c>
      <c r="F235" s="16">
        <f>D235*E235</f>
        <v/>
      </c>
    </row>
    <row r="236">
      <c r="A236" s="13" t="inlineStr">
        <is>
          <t>0101</t>
        </is>
      </c>
      <c r="B236" s="14" t="inlineStr">
        <is>
          <t>Bhisti</t>
        </is>
      </c>
      <c r="C236" s="13" t="inlineStr">
        <is>
          <t>day</t>
        </is>
      </c>
      <c r="D236" s="15" t="n">
        <v>0.07000000000000001</v>
      </c>
      <c r="E236" s="16" t="n">
        <v>617</v>
      </c>
      <c r="F236" s="16">
        <f>D236*E236</f>
        <v/>
      </c>
    </row>
    <row r="237">
      <c r="A237" s="13" t="inlineStr">
        <is>
          <t>9999</t>
        </is>
      </c>
      <c r="B237" s="14" t="inlineStr">
        <is>
          <t>Hire and running charges of mechanical mixer</t>
        </is>
      </c>
      <c r="C237" s="13" t="inlineStr">
        <is>
          <t>L.S.</t>
        </is>
      </c>
      <c r="D237" s="15" t="n">
        <v>26.91</v>
      </c>
      <c r="E237" s="16" t="n">
        <v>2</v>
      </c>
      <c r="F237" s="16">
        <f>D237*E237</f>
        <v/>
      </c>
    </row>
    <row r="238">
      <c r="A238" s="13" t="inlineStr">
        <is>
          <t>9999</t>
        </is>
      </c>
      <c r="B238" s="14" t="inlineStr">
        <is>
          <t>Sundries</t>
        </is>
      </c>
      <c r="C238" s="13" t="inlineStr">
        <is>
          <t>L.S.</t>
        </is>
      </c>
      <c r="D238" s="15" t="n">
        <v>13.52</v>
      </c>
      <c r="E238" s="16" t="n">
        <v>2</v>
      </c>
      <c r="F238" s="16">
        <f>D238*E238</f>
        <v/>
      </c>
    </row>
    <row r="239">
      <c r="A239" s="17" t="inlineStr">
        <is>
          <t>Resource Total (Material + Labour + Machinery, as printed)</t>
        </is>
      </c>
      <c r="B239" s="18" t="n"/>
      <c r="C239" s="18" t="n"/>
      <c r="D239" s="18" t="n"/>
      <c r="E239" s="18" t="n"/>
      <c r="F239" s="19">
        <f>SUM(F231:F238)</f>
        <v/>
      </c>
    </row>
    <row r="240">
      <c r="A240" s="20" t="inlineStr">
        <is>
          <t>SAY (Rs.) — final DAR rate</t>
        </is>
      </c>
      <c r="B240" s="21" t="n"/>
      <c r="C240" s="21" t="n"/>
      <c r="D240" s="21" t="n"/>
      <c r="E240" s="21" t="n"/>
      <c r="F240" s="22" t="n">
        <v>5363.3</v>
      </c>
    </row>
    <row r="242" ht="18" customHeight="1">
      <c r="A242" s="9" t="inlineStr">
        <is>
          <t>3.18</t>
        </is>
      </c>
      <c r="B242" s="10" t="inlineStr">
        <is>
          <t>Mud mortar</t>
        </is>
      </c>
      <c r="C242" s="11" t="n"/>
      <c r="D242" s="11" t="n"/>
      <c r="E242" s="11" t="n"/>
      <c r="F242" s="11" t="n"/>
    </row>
    <row r="243">
      <c r="A243" s="12" t="inlineStr">
        <is>
          <t>Rate basis: per nos  (source: cost for 1 nos)</t>
        </is>
      </c>
    </row>
    <row r="244">
      <c r="A244" s="5" t="inlineStr">
        <is>
          <t>Code</t>
        </is>
      </c>
      <c r="B244" s="5" t="inlineStr">
        <is>
          <t>Description</t>
        </is>
      </c>
      <c r="C244" s="5" t="inlineStr">
        <is>
          <t>Unit</t>
        </is>
      </c>
      <c r="D244" s="5" t="inlineStr">
        <is>
          <t>Quantity</t>
        </is>
      </c>
      <c r="E244" s="5" t="inlineStr">
        <is>
          <t>Rate (Rs.)</t>
        </is>
      </c>
      <c r="F244" s="5" t="inlineStr">
        <is>
          <t>Amount (Rs.)</t>
        </is>
      </c>
    </row>
    <row r="245">
      <c r="A245" s="13" t="inlineStr">
        <is>
          <t>0811</t>
        </is>
      </c>
      <c r="B245" s="14" t="inlineStr">
        <is>
          <t>Mud (dry)</t>
        </is>
      </c>
      <c r="C245" s="13" t="inlineStr">
        <is>
          <t>cum</t>
        </is>
      </c>
      <c r="D245" s="15" t="n">
        <v>1.08</v>
      </c>
      <c r="E245" s="16" t="n">
        <v>165</v>
      </c>
      <c r="F245" s="16">
        <f>D245*E245</f>
        <v/>
      </c>
    </row>
    <row r="246">
      <c r="A246" s="13" t="inlineStr">
        <is>
          <t>0114</t>
        </is>
      </c>
      <c r="B246" s="14" t="inlineStr">
        <is>
          <t>Beldar</t>
        </is>
      </c>
      <c r="C246" s="13" t="inlineStr">
        <is>
          <t>day</t>
        </is>
      </c>
      <c r="D246" s="15" t="n">
        <v>0.63</v>
      </c>
      <c r="E246" s="16" t="n">
        <v>558</v>
      </c>
      <c r="F246" s="16">
        <f>D246*E246</f>
        <v/>
      </c>
    </row>
    <row r="247">
      <c r="A247" s="13" t="inlineStr">
        <is>
          <t>0101</t>
        </is>
      </c>
      <c r="B247" s="14" t="inlineStr">
        <is>
          <t>Bhisti</t>
        </is>
      </c>
      <c r="C247" s="13" t="inlineStr">
        <is>
          <t>day</t>
        </is>
      </c>
      <c r="D247" s="15" t="n">
        <v>0.315</v>
      </c>
      <c r="E247" s="16" t="n">
        <v>617</v>
      </c>
      <c r="F247" s="16">
        <f>D247*E247</f>
        <v/>
      </c>
    </row>
    <row r="248">
      <c r="A248" s="13" t="inlineStr">
        <is>
          <t>9999</t>
        </is>
      </c>
      <c r="B248" s="14" t="inlineStr">
        <is>
          <t>Sundries</t>
        </is>
      </c>
      <c r="C248" s="13" t="inlineStr">
        <is>
          <t>L.S.</t>
        </is>
      </c>
      <c r="D248" s="15" t="n">
        <v>6.45</v>
      </c>
      <c r="E248" s="16" t="n">
        <v>2</v>
      </c>
      <c r="F248" s="16">
        <f>D248*E248</f>
        <v/>
      </c>
    </row>
    <row r="249">
      <c r="A249" s="17" t="inlineStr">
        <is>
          <t>Resource Total (Material + Labour + Machinery, as printed)</t>
        </is>
      </c>
      <c r="B249" s="18" t="n"/>
      <c r="C249" s="18" t="n"/>
      <c r="D249" s="18" t="n"/>
      <c r="E249" s="18" t="n"/>
      <c r="F249" s="19">
        <f>SUM(F245:F248)</f>
        <v/>
      </c>
    </row>
    <row r="250">
      <c r="A250" s="20" t="inlineStr">
        <is>
          <t>SAY (Rs.) — final DAR rate</t>
        </is>
      </c>
      <c r="B250" s="21" t="n"/>
      <c r="C250" s="21" t="n"/>
      <c r="D250" s="21" t="n"/>
      <c r="E250" s="21" t="n"/>
      <c r="F250" s="22" t="n">
        <v>737</v>
      </c>
    </row>
    <row r="252" ht="18" customHeight="1">
      <c r="A252" s="9" t="inlineStr">
        <is>
          <t>3.19</t>
        </is>
      </c>
      <c r="B252" s="10" t="inlineStr">
        <is>
          <t>Mortar in lime, surkhi (50% red and 50% light yellow) and marble dust 1:1.5:0.5</t>
        </is>
      </c>
      <c r="C252" s="11" t="n"/>
      <c r="D252" s="11" t="n"/>
      <c r="E252" s="11" t="n"/>
      <c r="F252" s="11" t="n"/>
    </row>
    <row r="253">
      <c r="A253" s="12" t="inlineStr">
        <is>
          <t>Rate basis: per cum  (source: cost for 1 cum)</t>
        </is>
      </c>
    </row>
    <row r="254">
      <c r="A254" s="5" t="inlineStr">
        <is>
          <t>Code</t>
        </is>
      </c>
      <c r="B254" s="5" t="inlineStr">
        <is>
          <t>Description</t>
        </is>
      </c>
      <c r="C254" s="5" t="inlineStr">
        <is>
          <t>Unit</t>
        </is>
      </c>
      <c r="D254" s="5" t="inlineStr">
        <is>
          <t>Quantity</t>
        </is>
      </c>
      <c r="E254" s="5" t="inlineStr">
        <is>
          <t>Rate (Rs.)</t>
        </is>
      </c>
      <c r="F254" s="5" t="inlineStr">
        <is>
          <t>Amount (Rs.)</t>
        </is>
      </c>
    </row>
    <row r="255">
      <c r="A255" s="13" t="inlineStr">
        <is>
          <t>1182</t>
        </is>
      </c>
      <c r="B255" s="14" t="inlineStr">
        <is>
          <t>Surkhi</t>
        </is>
      </c>
      <c r="C255" s="13" t="inlineStr">
        <is>
          <t>cum</t>
        </is>
      </c>
      <c r="D255" s="15" t="n">
        <v>0.7125</v>
      </c>
      <c r="E255" s="16" t="n">
        <v>700</v>
      </c>
      <c r="F255" s="16">
        <f>D255*E255</f>
        <v/>
      </c>
    </row>
    <row r="256">
      <c r="A256" s="13" t="inlineStr">
        <is>
          <t>0773</t>
        </is>
      </c>
      <c r="B256" s="14" t="inlineStr">
        <is>
          <t>Unslaked lime</t>
        </is>
      </c>
      <c r="C256" s="13" t="inlineStr">
        <is>
          <t>quintal</t>
        </is>
      </c>
      <c r="D256" s="15" t="n">
        <v>3.01</v>
      </c>
      <c r="E256" s="16" t="n">
        <v>300</v>
      </c>
      <c r="F256" s="16">
        <f>D256*E256</f>
        <v/>
      </c>
    </row>
    <row r="257">
      <c r="A257" s="13" t="inlineStr">
        <is>
          <t>0784</t>
        </is>
      </c>
      <c r="B257" s="14" t="inlineStr">
        <is>
          <t>Marble dust/ powder</t>
        </is>
      </c>
      <c r="C257" s="13" t="inlineStr">
        <is>
          <t>cum</t>
        </is>
      </c>
      <c r="D257" s="15" t="n">
        <v>0.24</v>
      </c>
      <c r="E257" s="16" t="n">
        <v>1130</v>
      </c>
      <c r="F257" s="16">
        <f>D257*E257</f>
        <v/>
      </c>
    </row>
    <row r="258">
      <c r="A258" s="13" t="inlineStr">
        <is>
          <t>2268</t>
        </is>
      </c>
      <c r="B258" s="14" t="inlineStr">
        <is>
          <t>Marble dust and/or marble chips</t>
        </is>
      </c>
      <c r="C258" s="13" t="inlineStr">
        <is>
          <t>cum</t>
        </is>
      </c>
      <c r="D258" s="15" t="n">
        <v>0.24</v>
      </c>
      <c r="E258" s="16" t="n">
        <v>103.77</v>
      </c>
      <c r="F258" s="16">
        <f>D258*E258</f>
        <v/>
      </c>
    </row>
    <row r="259">
      <c r="A259" s="13" t="inlineStr">
        <is>
          <t>2208</t>
        </is>
      </c>
      <c r="B259" s="14" t="inlineStr">
        <is>
          <t>Carriage of Lime</t>
        </is>
      </c>
      <c r="C259" s="13" t="inlineStr">
        <is>
          <t>cum</t>
        </is>
      </c>
      <c r="D259" s="15" t="n">
        <v>3.01</v>
      </c>
      <c r="E259" s="16" t="n">
        <v>103.77</v>
      </c>
      <c r="F259" s="16">
        <f>D259*E259</f>
        <v/>
      </c>
    </row>
    <row r="260">
      <c r="A260" s="13" t="inlineStr">
        <is>
          <t>0114</t>
        </is>
      </c>
      <c r="B260" s="14" t="inlineStr">
        <is>
          <t>Beldar</t>
        </is>
      </c>
      <c r="C260" s="13" t="inlineStr">
        <is>
          <t>day</t>
        </is>
      </c>
      <c r="D260" s="15" t="n">
        <v>0.9</v>
      </c>
      <c r="E260" s="16" t="n">
        <v>558</v>
      </c>
      <c r="F260" s="16">
        <f>D260*E260</f>
        <v/>
      </c>
    </row>
    <row r="261">
      <c r="A261" s="13" t="inlineStr">
        <is>
          <t>0101</t>
        </is>
      </c>
      <c r="B261" s="14" t="inlineStr">
        <is>
          <t>Bhisti</t>
        </is>
      </c>
      <c r="C261" s="13" t="inlineStr">
        <is>
          <t>day</t>
        </is>
      </c>
      <c r="D261" s="15" t="n">
        <v>0.45</v>
      </c>
      <c r="E261" s="16" t="n">
        <v>617</v>
      </c>
      <c r="F261" s="16">
        <f>D261*E261</f>
        <v/>
      </c>
    </row>
    <row r="262">
      <c r="A262" s="13" t="inlineStr">
        <is>
          <t>9999</t>
        </is>
      </c>
      <c r="B262" s="14" t="inlineStr">
        <is>
          <t>As cost for running and upkeep of mortar mill</t>
        </is>
      </c>
      <c r="C262" s="13" t="inlineStr">
        <is>
          <t>L.S.</t>
        </is>
      </c>
      <c r="D262" s="15" t="n">
        <v>10.35</v>
      </c>
      <c r="E262" s="16" t="n">
        <v>2</v>
      </c>
      <c r="F262" s="16">
        <f>D262*E262</f>
        <v/>
      </c>
    </row>
    <row r="263">
      <c r="A263" s="13" t="inlineStr">
        <is>
          <t>9999</t>
        </is>
      </c>
      <c r="B263" s="14" t="inlineStr">
        <is>
          <t>Sundries</t>
        </is>
      </c>
      <c r="C263" s="13" t="inlineStr">
        <is>
          <t>L.S.</t>
        </is>
      </c>
      <c r="D263" s="15" t="n">
        <v>5.2</v>
      </c>
      <c r="E263" s="16" t="n">
        <v>2</v>
      </c>
      <c r="F263" s="16">
        <f>D263*E263</f>
        <v/>
      </c>
    </row>
    <row r="264">
      <c r="A264" s="17" t="inlineStr">
        <is>
          <t>Resource Total (Material + Labour + Machinery, as printed)</t>
        </is>
      </c>
      <c r="B264" s="18" t="n"/>
      <c r="C264" s="18" t="n"/>
      <c r="D264" s="18" t="n"/>
      <c r="E264" s="18" t="n"/>
      <c r="F264" s="19">
        <f>SUM(F255:F263)</f>
        <v/>
      </c>
    </row>
    <row r="265">
      <c r="A265" s="20" t="inlineStr">
        <is>
          <t>SAY (Rs.) — final DAR rate</t>
        </is>
      </c>
      <c r="B265" s="21" t="n"/>
      <c r="C265" s="21" t="n"/>
      <c r="D265" s="21" t="n"/>
      <c r="E265" s="21" t="n"/>
      <c r="F265" s="22" t="n">
        <v>2821.15</v>
      </c>
    </row>
  </sheetData>
  <mergeCells count="78">
    <mergeCell ref="B200:F200"/>
    <mergeCell ref="B252:F252"/>
    <mergeCell ref="A75:F75"/>
    <mergeCell ref="A142:E142"/>
    <mergeCell ref="B214:F214"/>
    <mergeCell ref="B18:F18"/>
    <mergeCell ref="A47:F47"/>
    <mergeCell ref="A5:F5"/>
    <mergeCell ref="A128:E128"/>
    <mergeCell ref="B60:F60"/>
    <mergeCell ref="A159:F159"/>
    <mergeCell ref="A57:E57"/>
    <mergeCell ref="A113:E113"/>
    <mergeCell ref="B116:F116"/>
    <mergeCell ref="B172:F172"/>
    <mergeCell ref="A71:E71"/>
    <mergeCell ref="B186:F186"/>
    <mergeCell ref="B158:F158"/>
    <mergeCell ref="A184:E184"/>
    <mergeCell ref="A100:E100"/>
    <mergeCell ref="A43:E43"/>
    <mergeCell ref="A156:E156"/>
    <mergeCell ref="A155:E155"/>
    <mergeCell ref="B144:F144"/>
    <mergeCell ref="A243:F243"/>
    <mergeCell ref="B242:F242"/>
    <mergeCell ref="A2:F2"/>
    <mergeCell ref="A33:F33"/>
    <mergeCell ref="B228:F228"/>
    <mergeCell ref="A183:E183"/>
    <mergeCell ref="A264:E264"/>
    <mergeCell ref="A198:E198"/>
    <mergeCell ref="A215:F215"/>
    <mergeCell ref="B88:F88"/>
    <mergeCell ref="A239:E239"/>
    <mergeCell ref="B74:F74"/>
    <mergeCell ref="A29:E29"/>
    <mergeCell ref="A265:E265"/>
    <mergeCell ref="A170:E170"/>
    <mergeCell ref="A61:F61"/>
    <mergeCell ref="A58:E58"/>
    <mergeCell ref="A211:E211"/>
    <mergeCell ref="B4:F4"/>
    <mergeCell ref="A226:E226"/>
    <mergeCell ref="B46:F46"/>
    <mergeCell ref="A145:F145"/>
    <mergeCell ref="A250:E250"/>
    <mergeCell ref="A197:E197"/>
    <mergeCell ref="A16:E16"/>
    <mergeCell ref="A131:F131"/>
    <mergeCell ref="A253:F253"/>
    <mergeCell ref="A19:F19"/>
    <mergeCell ref="A86:E86"/>
    <mergeCell ref="A117:F117"/>
    <mergeCell ref="A173:F173"/>
    <mergeCell ref="A229:F229"/>
    <mergeCell ref="A141:E141"/>
    <mergeCell ref="A72:E72"/>
    <mergeCell ref="A1:F1"/>
    <mergeCell ref="A103:F103"/>
    <mergeCell ref="A44:E44"/>
    <mergeCell ref="A249:E249"/>
    <mergeCell ref="A127:E127"/>
    <mergeCell ref="A30:E30"/>
    <mergeCell ref="A114:E114"/>
    <mergeCell ref="A15:E15"/>
    <mergeCell ref="A169:E169"/>
    <mergeCell ref="A89:F89"/>
    <mergeCell ref="A225:E225"/>
    <mergeCell ref="B102:F102"/>
    <mergeCell ref="B130:F130"/>
    <mergeCell ref="A212:E212"/>
    <mergeCell ref="A99:E99"/>
    <mergeCell ref="A85:E85"/>
    <mergeCell ref="A201:F201"/>
    <mergeCell ref="A240:E240"/>
    <mergeCell ref="B32:F32"/>
    <mergeCell ref="A187:F1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9"/>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04: CONCRETE WORK</t>
        </is>
      </c>
    </row>
    <row r="2" ht="28" customHeight="1">
      <c r="A2" s="8" t="inlineStr">
        <is>
          <t>40 priced items. Amount and SAY are live Excel formulas computed from the Quantity x Rate figures below - edit any Quantity or Rate and the item's rate recalculates.</t>
        </is>
      </c>
    </row>
    <row r="4" ht="28" customHeight="1">
      <c r="A4" s="9" t="inlineStr">
        <is>
          <t>4.1.2</t>
        </is>
      </c>
      <c r="B4" s="10" t="inlineStr">
        <is>
          <t>1:1½:3 (1 Cement: 1½ coarse sand (zone-III) : 3 graded stone aggregate 20 mm nominal size)</t>
        </is>
      </c>
      <c r="C4" s="11" t="n"/>
      <c r="D4" s="11" t="n"/>
      <c r="E4" s="11" t="n"/>
      <c r="F4" s="11" t="n"/>
    </row>
    <row r="5">
      <c r="A5" s="12" t="inlineStr">
        <is>
          <t>Rate basis: per cum  (source: cost for 1 cum)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0295</t>
        </is>
      </c>
      <c r="B7" s="14" t="inlineStr">
        <is>
          <t>Stone Aggregate (Single size) : 20 mm nominal size</t>
        </is>
      </c>
      <c r="C7" s="13" t="inlineStr">
        <is>
          <t>cum</t>
        </is>
      </c>
      <c r="D7" s="15" t="n">
        <v>0.57</v>
      </c>
      <c r="E7" s="16" t="n">
        <v>1350</v>
      </c>
      <c r="F7" s="16">
        <f>D7*E7</f>
        <v/>
      </c>
    </row>
    <row r="8">
      <c r="A8" s="13" t="inlineStr">
        <is>
          <t>0297</t>
        </is>
      </c>
      <c r="B8" s="14" t="inlineStr">
        <is>
          <t>Stone Aggregate (Single size) : 10 mm nominal size</t>
        </is>
      </c>
      <c r="C8" s="13" t="inlineStr">
        <is>
          <t>cum</t>
        </is>
      </c>
      <c r="D8" s="15" t="n">
        <v>0.28</v>
      </c>
      <c r="E8" s="16" t="n">
        <v>1350</v>
      </c>
      <c r="F8" s="16">
        <f>D8*E8</f>
        <v/>
      </c>
    </row>
    <row r="9">
      <c r="A9" s="13" t="inlineStr">
        <is>
          <t>2202</t>
        </is>
      </c>
      <c r="B9" s="14" t="inlineStr">
        <is>
          <t>Carriage of Stone aggregate below 40 mm nominal size</t>
        </is>
      </c>
      <c r="C9" s="13" t="inlineStr">
        <is>
          <t>cum</t>
        </is>
      </c>
      <c r="D9" s="15" t="n">
        <v>0.85</v>
      </c>
      <c r="E9" s="16" t="n">
        <v>103.77</v>
      </c>
      <c r="F9" s="16">
        <f>D9*E9</f>
        <v/>
      </c>
    </row>
    <row r="10">
      <c r="A10" s="13" t="inlineStr">
        <is>
          <t>0982</t>
        </is>
      </c>
      <c r="B10" s="14" t="inlineStr">
        <is>
          <t>Coarse sand (zone III)</t>
        </is>
      </c>
      <c r="C10" s="13" t="inlineStr">
        <is>
          <t>cum</t>
        </is>
      </c>
      <c r="D10" s="15" t="n">
        <v>0.425</v>
      </c>
      <c r="E10" s="16" t="n">
        <v>1350</v>
      </c>
      <c r="F10" s="16">
        <f>D10*E10</f>
        <v/>
      </c>
    </row>
    <row r="11">
      <c r="A11" s="13" t="inlineStr">
        <is>
          <t>2203</t>
        </is>
      </c>
      <c r="B11" s="14" t="inlineStr">
        <is>
          <t>Carriage of Coarse sand</t>
        </is>
      </c>
      <c r="C11" s="13" t="inlineStr">
        <is>
          <t>cum</t>
        </is>
      </c>
      <c r="D11" s="15" t="n">
        <v>0.425</v>
      </c>
      <c r="E11" s="16" t="n">
        <v>103.77</v>
      </c>
      <c r="F11" s="16">
        <f>D11*E11</f>
        <v/>
      </c>
    </row>
    <row r="12">
      <c r="A12" s="13" t="inlineStr">
        <is>
          <t>0367</t>
        </is>
      </c>
      <c r="B12" s="14" t="inlineStr">
        <is>
          <t>Portland Cement (0.2833 cum)</t>
        </is>
      </c>
      <c r="C12" s="13" t="inlineStr">
        <is>
          <t>tonne</t>
        </is>
      </c>
      <c r="D12" s="15" t="n">
        <v>0.4</v>
      </c>
      <c r="E12" s="16" t="n">
        <v>4940</v>
      </c>
      <c r="F12" s="16">
        <f>D12*E12</f>
        <v/>
      </c>
    </row>
    <row r="13">
      <c r="A13" s="13" t="inlineStr">
        <is>
          <t>2209</t>
        </is>
      </c>
      <c r="B13" s="14" t="inlineStr">
        <is>
          <t>Carriage of Cement</t>
        </is>
      </c>
      <c r="C13" s="13" t="inlineStr">
        <is>
          <t>tonne</t>
        </is>
      </c>
      <c r="D13" s="15" t="n">
        <v>0.4</v>
      </c>
      <c r="E13" s="16" t="n">
        <v>92.23999999999999</v>
      </c>
      <c r="F13" s="16">
        <f>D13*E13</f>
        <v/>
      </c>
    </row>
    <row r="14">
      <c r="A14" s="13" t="inlineStr">
        <is>
          <t>0155</t>
        </is>
      </c>
      <c r="B14" s="14" t="inlineStr">
        <is>
          <t>Mason (average)</t>
        </is>
      </c>
      <c r="C14" s="13" t="inlineStr">
        <is>
          <t>day</t>
        </is>
      </c>
      <c r="D14" s="15" t="n">
        <v>0.1</v>
      </c>
      <c r="E14" s="16" t="n">
        <v>709</v>
      </c>
      <c r="F14" s="16">
        <f>D14*E14</f>
        <v/>
      </c>
    </row>
    <row r="15">
      <c r="A15" s="13" t="inlineStr">
        <is>
          <t>0114</t>
        </is>
      </c>
      <c r="B15" s="14" t="inlineStr">
        <is>
          <t>Beldar</t>
        </is>
      </c>
      <c r="C15" s="13" t="inlineStr">
        <is>
          <t>day</t>
        </is>
      </c>
      <c r="D15" s="15" t="n">
        <v>1.63</v>
      </c>
      <c r="E15" s="16" t="n">
        <v>558</v>
      </c>
      <c r="F15" s="16">
        <f>D15*E15</f>
        <v/>
      </c>
    </row>
    <row r="16">
      <c r="A16" s="13" t="inlineStr">
        <is>
          <t>0101</t>
        </is>
      </c>
      <c r="B16" s="14" t="inlineStr">
        <is>
          <t>Bhisti</t>
        </is>
      </c>
      <c r="C16" s="13" t="inlineStr">
        <is>
          <t>day</t>
        </is>
      </c>
      <c r="D16" s="15" t="n">
        <v>0.7</v>
      </c>
      <c r="E16" s="16" t="n">
        <v>617</v>
      </c>
      <c r="F16" s="16">
        <f>D16*E16</f>
        <v/>
      </c>
    </row>
    <row r="17">
      <c r="A17" s="13" t="inlineStr">
        <is>
          <t>0002</t>
        </is>
      </c>
      <c r="B17" s="14" t="inlineStr">
        <is>
          <t>Hire charges of Concrete Mixer 0.25 to 0.40 cum with hooper</t>
        </is>
      </c>
      <c r="C17" s="13" t="inlineStr">
        <is>
          <t>day</t>
        </is>
      </c>
      <c r="D17" s="15" t="n">
        <v>0.07000000000000001</v>
      </c>
      <c r="E17" s="16" t="n">
        <v>800</v>
      </c>
      <c r="F17" s="16">
        <f>D17*E17</f>
        <v/>
      </c>
    </row>
    <row r="18">
      <c r="A18" s="13" t="inlineStr">
        <is>
          <t>0012</t>
        </is>
      </c>
      <c r="B18" s="14" t="inlineStr">
        <is>
          <t>Vibrator(Needle type 40mm)</t>
        </is>
      </c>
      <c r="C18" s="13" t="inlineStr">
        <is>
          <t>day</t>
        </is>
      </c>
      <c r="D18" s="15" t="n">
        <v>0.07000000000000001</v>
      </c>
      <c r="E18" s="16" t="n">
        <v>370</v>
      </c>
      <c r="F18" s="16">
        <f>D18*E18</f>
        <v/>
      </c>
    </row>
    <row r="19">
      <c r="A19" s="13" t="inlineStr">
        <is>
          <t>9999</t>
        </is>
      </c>
      <c r="B19" s="14" t="inlineStr">
        <is>
          <t>Sundries</t>
        </is>
      </c>
      <c r="C19" s="13" t="inlineStr">
        <is>
          <t>L.S.</t>
        </is>
      </c>
      <c r="D19" s="15" t="n">
        <v>14.3</v>
      </c>
      <c r="E19" s="16" t="n">
        <v>2</v>
      </c>
      <c r="F19" s="16">
        <f>D19*E19</f>
        <v/>
      </c>
    </row>
    <row r="20">
      <c r="A20" s="17" t="inlineStr">
        <is>
          <t>Resource Total (Material + Labour + Machinery, as printed)</t>
        </is>
      </c>
      <c r="B20" s="18" t="n"/>
      <c r="C20" s="18" t="n"/>
      <c r="D20" s="18" t="n"/>
      <c r="E20" s="18" t="n"/>
      <c r="F20" s="19">
        <f>SUM(F7:F19)</f>
        <v/>
      </c>
    </row>
    <row r="21">
      <c r="A21" s="20" t="inlineStr">
        <is>
          <t>SAY (Rs.) — final DAR rate</t>
        </is>
      </c>
      <c r="B21" s="21" t="n"/>
      <c r="C21" s="21" t="n"/>
      <c r="D21" s="21" t="n"/>
      <c r="E21" s="21" t="n"/>
      <c r="F21" s="22" t="n">
        <v>7210.55</v>
      </c>
    </row>
    <row r="23" ht="18" customHeight="1">
      <c r="A23" s="9" t="inlineStr">
        <is>
          <t>4.1.3</t>
        </is>
      </c>
      <c r="B23" s="10" t="inlineStr">
        <is>
          <t>1:2:4 (1 cement : 2 coarse sand (zone-III) : 4 graded stone aggregate 20 mm nominal size)</t>
        </is>
      </c>
      <c r="C23" s="11" t="n"/>
      <c r="D23" s="11" t="n"/>
      <c r="E23" s="11" t="n"/>
      <c r="F23" s="11" t="n"/>
    </row>
    <row r="24">
      <c r="A24" s="12" t="inlineStr">
        <is>
          <t>Rate basis: per cum  (source: cost for 1 cum)</t>
        </is>
      </c>
    </row>
    <row r="25">
      <c r="A25" s="5" t="inlineStr">
        <is>
          <t>Code</t>
        </is>
      </c>
      <c r="B25" s="5" t="inlineStr">
        <is>
          <t>Description</t>
        </is>
      </c>
      <c r="C25" s="5" t="inlineStr">
        <is>
          <t>Unit</t>
        </is>
      </c>
      <c r="D25" s="5" t="inlineStr">
        <is>
          <t>Quantity</t>
        </is>
      </c>
      <c r="E25" s="5" t="inlineStr">
        <is>
          <t>Rate (Rs.)</t>
        </is>
      </c>
      <c r="F25" s="5" t="inlineStr">
        <is>
          <t>Amount (Rs.)</t>
        </is>
      </c>
    </row>
    <row r="26">
      <c r="A26" s="13" t="inlineStr">
        <is>
          <t>0295</t>
        </is>
      </c>
      <c r="B26" s="14" t="inlineStr">
        <is>
          <t>Stone Aggregate (Single size) : 20 mm nominal size</t>
        </is>
      </c>
      <c r="C26" s="13" t="inlineStr">
        <is>
          <t>cum</t>
        </is>
      </c>
      <c r="D26" s="15" t="n">
        <v>0.67</v>
      </c>
      <c r="E26" s="16" t="n">
        <v>1350</v>
      </c>
      <c r="F26" s="16">
        <f>D26*E26</f>
        <v/>
      </c>
    </row>
    <row r="27">
      <c r="A27" s="13" t="inlineStr">
        <is>
          <t>0297</t>
        </is>
      </c>
      <c r="B27" s="14" t="inlineStr">
        <is>
          <t>Stone Aggregate (Single size) : 10 mm nominal size</t>
        </is>
      </c>
      <c r="C27" s="13" t="inlineStr">
        <is>
          <t>cum</t>
        </is>
      </c>
      <c r="D27" s="15" t="n">
        <v>0.22</v>
      </c>
      <c r="E27" s="16" t="n">
        <v>1350</v>
      </c>
      <c r="F27" s="16">
        <f>D27*E27</f>
        <v/>
      </c>
    </row>
    <row r="28">
      <c r="A28" s="13" t="inlineStr">
        <is>
          <t>2202</t>
        </is>
      </c>
      <c r="B28" s="14" t="inlineStr">
        <is>
          <t>Carriage of Stone aggregate below 40 mm nominal size</t>
        </is>
      </c>
      <c r="C28" s="13" t="inlineStr">
        <is>
          <t>cum</t>
        </is>
      </c>
      <c r="D28" s="15" t="n">
        <v>0.89</v>
      </c>
      <c r="E28" s="16" t="n">
        <v>103.77</v>
      </c>
      <c r="F28" s="16">
        <f>D28*E28</f>
        <v/>
      </c>
    </row>
    <row r="29">
      <c r="A29" s="13" t="inlineStr">
        <is>
          <t>0982</t>
        </is>
      </c>
      <c r="B29" s="14" t="inlineStr">
        <is>
          <t>Coarse sand (zone III)</t>
        </is>
      </c>
      <c r="C29" s="13" t="inlineStr">
        <is>
          <t>cum</t>
        </is>
      </c>
      <c r="D29" s="15" t="n">
        <v>0.445</v>
      </c>
      <c r="E29" s="16" t="n">
        <v>1350</v>
      </c>
      <c r="F29" s="16">
        <f>D29*E29</f>
        <v/>
      </c>
    </row>
    <row r="30">
      <c r="A30" s="13" t="inlineStr">
        <is>
          <t>2203</t>
        </is>
      </c>
      <c r="B30" s="14" t="inlineStr">
        <is>
          <t>Carriage of Coarse sand</t>
        </is>
      </c>
      <c r="C30" s="13" t="inlineStr">
        <is>
          <t>cum</t>
        </is>
      </c>
      <c r="D30" s="15" t="n">
        <v>0.445</v>
      </c>
      <c r="E30" s="16" t="n">
        <v>103.77</v>
      </c>
      <c r="F30" s="16">
        <f>D30*E30</f>
        <v/>
      </c>
    </row>
    <row r="31">
      <c r="A31" s="13" t="inlineStr">
        <is>
          <t>0367</t>
        </is>
      </c>
      <c r="B31" s="14" t="inlineStr">
        <is>
          <t>Portland Cement (0.2225 cum)</t>
        </is>
      </c>
      <c r="C31" s="13" t="inlineStr">
        <is>
          <t>tonne</t>
        </is>
      </c>
      <c r="D31" s="15" t="n">
        <v>0.32</v>
      </c>
      <c r="E31" s="16" t="n">
        <v>4940</v>
      </c>
      <c r="F31" s="16">
        <f>D31*E31</f>
        <v/>
      </c>
    </row>
    <row r="32">
      <c r="A32" s="13" t="inlineStr">
        <is>
          <t>2209</t>
        </is>
      </c>
      <c r="B32" s="14" t="inlineStr">
        <is>
          <t>Carriage of Cement</t>
        </is>
      </c>
      <c r="C32" s="13" t="inlineStr">
        <is>
          <t>tonne</t>
        </is>
      </c>
      <c r="D32" s="15" t="n">
        <v>0.32</v>
      </c>
      <c r="E32" s="16" t="n">
        <v>92.23999999999999</v>
      </c>
      <c r="F32" s="16">
        <f>D32*E32</f>
        <v/>
      </c>
    </row>
    <row r="33">
      <c r="A33" s="13" t="inlineStr">
        <is>
          <t>0155</t>
        </is>
      </c>
      <c r="B33" s="14" t="inlineStr">
        <is>
          <t>Mason (average)</t>
        </is>
      </c>
      <c r="C33" s="13" t="inlineStr">
        <is>
          <t>day</t>
        </is>
      </c>
      <c r="D33" s="15" t="n">
        <v>0.1</v>
      </c>
      <c r="E33" s="16" t="n">
        <v>709</v>
      </c>
      <c r="F33" s="16">
        <f>D33*E33</f>
        <v/>
      </c>
    </row>
    <row r="34">
      <c r="A34" s="13" t="inlineStr">
        <is>
          <t>0114</t>
        </is>
      </c>
      <c r="B34" s="14" t="inlineStr">
        <is>
          <t>Beldar</t>
        </is>
      </c>
      <c r="C34" s="13" t="inlineStr">
        <is>
          <t>day</t>
        </is>
      </c>
      <c r="D34" s="15" t="n">
        <v>1.63</v>
      </c>
      <c r="E34" s="16" t="n">
        <v>558</v>
      </c>
      <c r="F34" s="16">
        <f>D34*E34</f>
        <v/>
      </c>
    </row>
    <row r="35">
      <c r="A35" s="13" t="inlineStr">
        <is>
          <t>0101</t>
        </is>
      </c>
      <c r="B35" s="14" t="inlineStr">
        <is>
          <t>Bhisti</t>
        </is>
      </c>
      <c r="C35" s="13" t="inlineStr">
        <is>
          <t>day</t>
        </is>
      </c>
      <c r="D35" s="15" t="n">
        <v>0.7</v>
      </c>
      <c r="E35" s="16" t="n">
        <v>617</v>
      </c>
      <c r="F35" s="16">
        <f>D35*E35</f>
        <v/>
      </c>
    </row>
    <row r="36">
      <c r="A36" s="13" t="inlineStr">
        <is>
          <t>0002</t>
        </is>
      </c>
      <c r="B36" s="14" t="inlineStr">
        <is>
          <t>Hire charges of Concrete Mixer 0.25 to 0.40 cum with hooper</t>
        </is>
      </c>
      <c r="C36" s="13" t="inlineStr">
        <is>
          <t>day</t>
        </is>
      </c>
      <c r="D36" s="15" t="n">
        <v>0.07000000000000001</v>
      </c>
      <c r="E36" s="16" t="n">
        <v>800</v>
      </c>
      <c r="F36" s="16">
        <f>D36*E36</f>
        <v/>
      </c>
    </row>
    <row r="37">
      <c r="A37" s="13" t="inlineStr">
        <is>
          <t>0012</t>
        </is>
      </c>
      <c r="B37" s="14" t="inlineStr">
        <is>
          <t>Vibrator(Needle type 40mm)</t>
        </is>
      </c>
      <c r="C37" s="13" t="inlineStr">
        <is>
          <t>day</t>
        </is>
      </c>
      <c r="D37" s="15" t="n">
        <v>0.07000000000000001</v>
      </c>
      <c r="E37" s="16" t="n">
        <v>370</v>
      </c>
      <c r="F37" s="16">
        <f>D37*E37</f>
        <v/>
      </c>
    </row>
    <row r="38">
      <c r="A38" s="13" t="inlineStr">
        <is>
          <t>9999</t>
        </is>
      </c>
      <c r="B38" s="14" t="inlineStr">
        <is>
          <t>Sundries</t>
        </is>
      </c>
      <c r="C38" s="13" t="inlineStr">
        <is>
          <t>L.S.</t>
        </is>
      </c>
      <c r="D38" s="15" t="n">
        <v>14.3</v>
      </c>
      <c r="E38" s="16" t="n">
        <v>2</v>
      </c>
      <c r="F38" s="16">
        <f>D38*E38</f>
        <v/>
      </c>
    </row>
    <row r="39">
      <c r="A39" s="17" t="inlineStr">
        <is>
          <t>Resource Total (Material + Labour + Machinery, as printed)</t>
        </is>
      </c>
      <c r="B39" s="18" t="n"/>
      <c r="C39" s="18" t="n"/>
      <c r="D39" s="18" t="n"/>
      <c r="E39" s="18" t="n"/>
      <c r="F39" s="19">
        <f>SUM(F26:F38)</f>
        <v/>
      </c>
    </row>
    <row r="40">
      <c r="A40" s="20" t="inlineStr">
        <is>
          <t>SAY (Rs.) — final DAR rate</t>
        </is>
      </c>
      <c r="B40" s="21" t="n"/>
      <c r="C40" s="21" t="n"/>
      <c r="D40" s="21" t="n"/>
      <c r="E40" s="21" t="n"/>
      <c r="F40" s="22" t="n">
        <v>6788.6</v>
      </c>
    </row>
    <row r="42" ht="18" customHeight="1">
      <c r="A42" s="9" t="inlineStr">
        <is>
          <t>4.1.4</t>
        </is>
      </c>
      <c r="B42" s="10" t="inlineStr">
        <is>
          <t>1:2:4 (1 Cement : 2 coarse sand (zone-III) : 4 graded stone aggregate 40 mm nominal size)</t>
        </is>
      </c>
      <c r="C42" s="11" t="n"/>
      <c r="D42" s="11" t="n"/>
      <c r="E42" s="11" t="n"/>
      <c r="F42" s="11" t="n"/>
    </row>
    <row r="43">
      <c r="A43" s="12" t="inlineStr">
        <is>
          <t>Rate basis: per cum  (source: cost for 1 cum)</t>
        </is>
      </c>
    </row>
    <row r="44">
      <c r="A44" s="5" t="inlineStr">
        <is>
          <t>Code</t>
        </is>
      </c>
      <c r="B44" s="5" t="inlineStr">
        <is>
          <t>Description</t>
        </is>
      </c>
      <c r="C44" s="5" t="inlineStr">
        <is>
          <t>Unit</t>
        </is>
      </c>
      <c r="D44" s="5" t="inlineStr">
        <is>
          <t>Quantity</t>
        </is>
      </c>
      <c r="E44" s="5" t="inlineStr">
        <is>
          <t>Rate (Rs.)</t>
        </is>
      </c>
      <c r="F44" s="5" t="inlineStr">
        <is>
          <t>Amount (Rs.)</t>
        </is>
      </c>
    </row>
    <row r="45">
      <c r="A45" s="13" t="inlineStr">
        <is>
          <t>0293</t>
        </is>
      </c>
      <c r="B45" s="14" t="inlineStr">
        <is>
          <t>Stone Aggregate (Single size) : 40 mm nominal size,</t>
        </is>
      </c>
      <c r="C45" s="13" t="inlineStr">
        <is>
          <t>cum</t>
        </is>
      </c>
      <c r="D45" s="15" t="n">
        <v>0.52</v>
      </c>
      <c r="E45" s="16" t="n">
        <v>1300</v>
      </c>
      <c r="F45" s="16">
        <f>D45*E45</f>
        <v/>
      </c>
    </row>
    <row r="46">
      <c r="A46" s="13" t="inlineStr">
        <is>
          <t>0295</t>
        </is>
      </c>
      <c r="B46" s="14" t="inlineStr">
        <is>
          <t>Stone Aggregate (Single size) : 20 mm nominal size</t>
        </is>
      </c>
      <c r="C46" s="13" t="inlineStr">
        <is>
          <t>cum</t>
        </is>
      </c>
      <c r="D46" s="15" t="n">
        <v>0.22</v>
      </c>
      <c r="E46" s="16" t="n">
        <v>1350</v>
      </c>
      <c r="F46" s="16">
        <f>D46*E46</f>
        <v/>
      </c>
    </row>
    <row r="47">
      <c r="A47" s="13" t="inlineStr">
        <is>
          <t>0297</t>
        </is>
      </c>
      <c r="B47" s="14" t="inlineStr">
        <is>
          <t>Stone Aggregate (Single size) : 10 mm nominal size</t>
        </is>
      </c>
      <c r="C47" s="13" t="inlineStr">
        <is>
          <t>cum</t>
        </is>
      </c>
      <c r="D47" s="15" t="n">
        <v>0.11</v>
      </c>
      <c r="E47" s="16" t="n">
        <v>1350</v>
      </c>
      <c r="F47" s="16">
        <f>D47*E47</f>
        <v/>
      </c>
    </row>
    <row r="48">
      <c r="A48" s="13" t="inlineStr">
        <is>
          <t>2206</t>
        </is>
      </c>
      <c r="B48" s="14" t="inlineStr">
        <is>
          <t>Carriage of Stone aggregate 40 mm nominal size and above</t>
        </is>
      </c>
      <c r="C48" s="13" t="inlineStr">
        <is>
          <t>cum</t>
        </is>
      </c>
      <c r="D48" s="15" t="n">
        <v>0.52</v>
      </c>
      <c r="E48" s="16" t="n">
        <v>112.79</v>
      </c>
      <c r="F48" s="16">
        <f>D48*E48</f>
        <v/>
      </c>
    </row>
    <row r="49">
      <c r="A49" s="13" t="inlineStr">
        <is>
          <t>2202</t>
        </is>
      </c>
      <c r="B49" s="14" t="inlineStr">
        <is>
          <t>Carriage of Stone aggregate below 40 mm nominal size</t>
        </is>
      </c>
      <c r="C49" s="13" t="inlineStr">
        <is>
          <t>cum</t>
        </is>
      </c>
      <c r="D49" s="15" t="n">
        <v>0.33</v>
      </c>
      <c r="E49" s="16" t="n">
        <v>103.77</v>
      </c>
      <c r="F49" s="16">
        <f>D49*E49</f>
        <v/>
      </c>
    </row>
    <row r="50">
      <c r="A50" s="13" t="inlineStr">
        <is>
          <t>0982</t>
        </is>
      </c>
      <c r="B50" s="14" t="inlineStr">
        <is>
          <t>Coarse sand (zone III)</t>
        </is>
      </c>
      <c r="C50" s="13" t="inlineStr">
        <is>
          <t>cum</t>
        </is>
      </c>
      <c r="D50" s="15" t="n">
        <v>0.445</v>
      </c>
      <c r="E50" s="16" t="n">
        <v>1350</v>
      </c>
      <c r="F50" s="16">
        <f>D50*E50</f>
        <v/>
      </c>
    </row>
    <row r="51">
      <c r="A51" s="13" t="inlineStr">
        <is>
          <t>2203</t>
        </is>
      </c>
      <c r="B51" s="14" t="inlineStr">
        <is>
          <t>Carriage of Coarse sand</t>
        </is>
      </c>
      <c r="C51" s="13" t="inlineStr">
        <is>
          <t>cum</t>
        </is>
      </c>
      <c r="D51" s="15" t="n">
        <v>0.445</v>
      </c>
      <c r="E51" s="16" t="n">
        <v>103.77</v>
      </c>
      <c r="F51" s="16">
        <f>D51*E51</f>
        <v/>
      </c>
    </row>
    <row r="52">
      <c r="A52" s="13" t="inlineStr">
        <is>
          <t>0367</t>
        </is>
      </c>
      <c r="B52" s="14" t="inlineStr">
        <is>
          <t>Portland Cement (0.2225 cum)</t>
        </is>
      </c>
      <c r="C52" s="13" t="inlineStr">
        <is>
          <t>tonne</t>
        </is>
      </c>
      <c r="D52" s="15" t="n">
        <v>0.32</v>
      </c>
      <c r="E52" s="16" t="n">
        <v>4940</v>
      </c>
      <c r="F52" s="16">
        <f>D52*E52</f>
        <v/>
      </c>
    </row>
    <row r="53">
      <c r="A53" s="13" t="inlineStr">
        <is>
          <t>2209</t>
        </is>
      </c>
      <c r="B53" s="14" t="inlineStr">
        <is>
          <t>Carriage of Cement</t>
        </is>
      </c>
      <c r="C53" s="13" t="inlineStr">
        <is>
          <t>tonne</t>
        </is>
      </c>
      <c r="D53" s="15" t="n">
        <v>0.32</v>
      </c>
      <c r="E53" s="16" t="n">
        <v>92.23999999999999</v>
      </c>
      <c r="F53" s="16">
        <f>D53*E53</f>
        <v/>
      </c>
    </row>
    <row r="54">
      <c r="A54" s="13" t="inlineStr">
        <is>
          <t>0155</t>
        </is>
      </c>
      <c r="B54" s="14" t="inlineStr">
        <is>
          <t>Mason (average)</t>
        </is>
      </c>
      <c r="C54" s="13" t="inlineStr">
        <is>
          <t>day</t>
        </is>
      </c>
      <c r="D54" s="15" t="n">
        <v>0.1</v>
      </c>
      <c r="E54" s="16" t="n">
        <v>709</v>
      </c>
      <c r="F54" s="16">
        <f>D54*E54</f>
        <v/>
      </c>
    </row>
    <row r="55">
      <c r="A55" s="13" t="inlineStr">
        <is>
          <t>0114</t>
        </is>
      </c>
      <c r="B55" s="14" t="inlineStr">
        <is>
          <t>Beldar</t>
        </is>
      </c>
      <c r="C55" s="13" t="inlineStr">
        <is>
          <t>day</t>
        </is>
      </c>
      <c r="D55" s="15" t="n">
        <v>1.63</v>
      </c>
      <c r="E55" s="16" t="n">
        <v>558</v>
      </c>
      <c r="F55" s="16">
        <f>D55*E55</f>
        <v/>
      </c>
    </row>
    <row r="56">
      <c r="A56" s="13" t="inlineStr">
        <is>
          <t>0101</t>
        </is>
      </c>
      <c r="B56" s="14" t="inlineStr">
        <is>
          <t>Bhisti</t>
        </is>
      </c>
      <c r="C56" s="13" t="inlineStr">
        <is>
          <t>day</t>
        </is>
      </c>
      <c r="D56" s="15" t="n">
        <v>0.7</v>
      </c>
      <c r="E56" s="16" t="n">
        <v>617</v>
      </c>
      <c r="F56" s="16">
        <f>D56*E56</f>
        <v/>
      </c>
    </row>
    <row r="57">
      <c r="A57" s="13" t="inlineStr">
        <is>
          <t>0002</t>
        </is>
      </c>
      <c r="B57" s="14" t="inlineStr">
        <is>
          <t>Hire charges of Concrete Mixer 0.25 to 0.40 cum with hooper</t>
        </is>
      </c>
      <c r="C57" s="13" t="inlineStr">
        <is>
          <t>day</t>
        </is>
      </c>
      <c r="D57" s="15" t="n">
        <v>0.07000000000000001</v>
      </c>
      <c r="E57" s="16" t="n">
        <v>800</v>
      </c>
      <c r="F57" s="16">
        <f>D57*E57</f>
        <v/>
      </c>
    </row>
    <row r="58">
      <c r="A58" s="13" t="inlineStr">
        <is>
          <t>0012</t>
        </is>
      </c>
      <c r="B58" s="14" t="inlineStr">
        <is>
          <t>Vibrator(Needle type 40mm)</t>
        </is>
      </c>
      <c r="C58" s="13" t="inlineStr">
        <is>
          <t>day</t>
        </is>
      </c>
      <c r="D58" s="15" t="n">
        <v>0.07000000000000001</v>
      </c>
      <c r="E58" s="16" t="n">
        <v>370</v>
      </c>
      <c r="F58" s="16">
        <f>D58*E58</f>
        <v/>
      </c>
    </row>
    <row r="59">
      <c r="A59" s="13" t="inlineStr">
        <is>
          <t>9999</t>
        </is>
      </c>
      <c r="B59" s="14" t="inlineStr">
        <is>
          <t>Sundries</t>
        </is>
      </c>
      <c r="C59" s="13" t="inlineStr">
        <is>
          <t>L.S.</t>
        </is>
      </c>
      <c r="D59" s="15" t="n">
        <v>13.52</v>
      </c>
      <c r="E59" s="16" t="n">
        <v>2</v>
      </c>
      <c r="F59" s="16">
        <f>D59*E59</f>
        <v/>
      </c>
    </row>
    <row r="60">
      <c r="A60" s="17" t="inlineStr">
        <is>
          <t>Resource Total (Material + Labour + Machinery, as printed)</t>
        </is>
      </c>
      <c r="B60" s="18" t="n"/>
      <c r="C60" s="18" t="n"/>
      <c r="D60" s="18" t="n"/>
      <c r="E60" s="18" t="n"/>
      <c r="F60" s="19">
        <f>SUM(F45:F59)</f>
        <v/>
      </c>
    </row>
    <row r="61">
      <c r="A61" s="20" t="inlineStr">
        <is>
          <t>SAY (Rs.) — final DAR rate</t>
        </is>
      </c>
      <c r="B61" s="21" t="n"/>
      <c r="C61" s="21" t="n"/>
      <c r="D61" s="21" t="n"/>
      <c r="E61" s="21" t="n"/>
      <c r="F61" s="22" t="n">
        <v>6680.2</v>
      </c>
    </row>
    <row r="63" ht="18" customHeight="1">
      <c r="A63" s="9" t="inlineStr">
        <is>
          <t>4.1.5</t>
        </is>
      </c>
      <c r="B63" s="10" t="inlineStr">
        <is>
          <t>1:3:6 (1 Cement : 3 coarse sand (zone-III) : 6 graded stone aggregate 20 mm nominal size)</t>
        </is>
      </c>
      <c r="C63" s="11" t="n"/>
      <c r="D63" s="11" t="n"/>
      <c r="E63" s="11" t="n"/>
      <c r="F63" s="11" t="n"/>
    </row>
    <row r="64">
      <c r="A64" s="12" t="inlineStr">
        <is>
          <t>Rate basis: per cum  (source: cost for 1 cum)</t>
        </is>
      </c>
    </row>
    <row r="65">
      <c r="A65" s="5" t="inlineStr">
        <is>
          <t>Code</t>
        </is>
      </c>
      <c r="B65" s="5" t="inlineStr">
        <is>
          <t>Description</t>
        </is>
      </c>
      <c r="C65" s="5" t="inlineStr">
        <is>
          <t>Unit</t>
        </is>
      </c>
      <c r="D65" s="5" t="inlineStr">
        <is>
          <t>Quantity</t>
        </is>
      </c>
      <c r="E65" s="5" t="inlineStr">
        <is>
          <t>Rate (Rs.)</t>
        </is>
      </c>
      <c r="F65" s="5" t="inlineStr">
        <is>
          <t>Amount (Rs.)</t>
        </is>
      </c>
    </row>
    <row r="66">
      <c r="A66" s="13" t="inlineStr">
        <is>
          <t>0295</t>
        </is>
      </c>
      <c r="B66" s="14" t="inlineStr">
        <is>
          <t>Stone Aggregate (Single size) : 20 mm nominal size</t>
        </is>
      </c>
      <c r="C66" s="13" t="inlineStr">
        <is>
          <t>cum</t>
        </is>
      </c>
      <c r="D66" s="15" t="n">
        <v>0.7</v>
      </c>
      <c r="E66" s="16" t="n">
        <v>1350</v>
      </c>
      <c r="F66" s="16">
        <f>D66*E66</f>
        <v/>
      </c>
    </row>
    <row r="67">
      <c r="A67" s="13" t="inlineStr">
        <is>
          <t>0297</t>
        </is>
      </c>
      <c r="B67" s="14" t="inlineStr">
        <is>
          <t>Stone Aggregate (Single size) : 10 mm nominal size</t>
        </is>
      </c>
      <c r="C67" s="13" t="inlineStr">
        <is>
          <t>cum</t>
        </is>
      </c>
      <c r="D67" s="15" t="n">
        <v>0.24</v>
      </c>
      <c r="E67" s="16" t="n">
        <v>1350</v>
      </c>
      <c r="F67" s="16">
        <f>D67*E67</f>
        <v/>
      </c>
    </row>
    <row r="68">
      <c r="A68" s="13" t="inlineStr">
        <is>
          <t>2202</t>
        </is>
      </c>
      <c r="B68" s="14" t="inlineStr">
        <is>
          <t>Carriage of Stone aggregate below 40 mm nominal size</t>
        </is>
      </c>
      <c r="C68" s="13" t="inlineStr">
        <is>
          <t>cum</t>
        </is>
      </c>
      <c r="D68" s="15" t="n">
        <v>0.9399999999999999</v>
      </c>
      <c r="E68" s="16" t="n">
        <v>103.77</v>
      </c>
      <c r="F68" s="16">
        <f>D68*E68</f>
        <v/>
      </c>
    </row>
    <row r="69">
      <c r="A69" s="13" t="inlineStr">
        <is>
          <t>0982</t>
        </is>
      </c>
      <c r="B69" s="14" t="inlineStr">
        <is>
          <t>Coarse sand (zone III)</t>
        </is>
      </c>
      <c r="C69" s="13" t="inlineStr">
        <is>
          <t>cum</t>
        </is>
      </c>
      <c r="D69" s="15" t="n">
        <v>0.47</v>
      </c>
      <c r="E69" s="16" t="n">
        <v>1350</v>
      </c>
      <c r="F69" s="16">
        <f>D69*E69</f>
        <v/>
      </c>
    </row>
    <row r="70">
      <c r="A70" s="13" t="inlineStr">
        <is>
          <t>2203</t>
        </is>
      </c>
      <c r="B70" s="14" t="inlineStr">
        <is>
          <t>Carriage of Coarse sand</t>
        </is>
      </c>
      <c r="C70" s="13" t="inlineStr">
        <is>
          <t>cum</t>
        </is>
      </c>
      <c r="D70" s="15" t="n">
        <v>0.47</v>
      </c>
      <c r="E70" s="16" t="n">
        <v>103.77</v>
      </c>
      <c r="F70" s="16">
        <f>D70*E70</f>
        <v/>
      </c>
    </row>
    <row r="71">
      <c r="A71" s="13" t="inlineStr">
        <is>
          <t>0367</t>
        </is>
      </c>
      <c r="B71" s="14" t="inlineStr">
        <is>
          <t>Portland Cement(0.15674 cum)</t>
        </is>
      </c>
      <c r="C71" s="13" t="inlineStr">
        <is>
          <t>tonne</t>
        </is>
      </c>
      <c r="D71" s="15" t="n">
        <v>0.22</v>
      </c>
      <c r="E71" s="16" t="n">
        <v>4940</v>
      </c>
      <c r="F71" s="16">
        <f>D71*E71</f>
        <v/>
      </c>
    </row>
    <row r="72">
      <c r="A72" s="13" t="inlineStr">
        <is>
          <t>2209</t>
        </is>
      </c>
      <c r="B72" s="14" t="inlineStr">
        <is>
          <t>Carriage of Cement</t>
        </is>
      </c>
      <c r="C72" s="13" t="inlineStr">
        <is>
          <t>tonne</t>
        </is>
      </c>
      <c r="D72" s="15" t="n">
        <v>0.22</v>
      </c>
      <c r="E72" s="16" t="n">
        <v>92.23999999999999</v>
      </c>
      <c r="F72" s="16">
        <f>D72*E72</f>
        <v/>
      </c>
    </row>
    <row r="73">
      <c r="A73" s="13" t="inlineStr">
        <is>
          <t>0155</t>
        </is>
      </c>
      <c r="B73" s="14" t="inlineStr">
        <is>
          <t>Mason (average)</t>
        </is>
      </c>
      <c r="C73" s="13" t="inlineStr">
        <is>
          <t>day</t>
        </is>
      </c>
      <c r="D73" s="15" t="n">
        <v>0.1</v>
      </c>
      <c r="E73" s="16" t="n">
        <v>709</v>
      </c>
      <c r="F73" s="16">
        <f>D73*E73</f>
        <v/>
      </c>
    </row>
    <row r="74">
      <c r="A74" s="13" t="inlineStr">
        <is>
          <t>0114</t>
        </is>
      </c>
      <c r="B74" s="14" t="inlineStr">
        <is>
          <t>Beldar</t>
        </is>
      </c>
      <c r="C74" s="13" t="inlineStr">
        <is>
          <t>day</t>
        </is>
      </c>
      <c r="D74" s="15" t="n">
        <v>1.63</v>
      </c>
      <c r="E74" s="16" t="n">
        <v>558</v>
      </c>
      <c r="F74" s="16">
        <f>D74*E74</f>
        <v/>
      </c>
    </row>
    <row r="75">
      <c r="A75" s="13" t="inlineStr">
        <is>
          <t>0101</t>
        </is>
      </c>
      <c r="B75" s="14" t="inlineStr">
        <is>
          <t>Bhisti</t>
        </is>
      </c>
      <c r="C75" s="13" t="inlineStr">
        <is>
          <t>day</t>
        </is>
      </c>
      <c r="D75" s="15" t="n">
        <v>0.7</v>
      </c>
      <c r="E75" s="16" t="n">
        <v>617</v>
      </c>
      <c r="F75" s="16">
        <f>D75*E75</f>
        <v/>
      </c>
    </row>
    <row r="76">
      <c r="A76" s="13" t="inlineStr">
        <is>
          <t>0002</t>
        </is>
      </c>
      <c r="B76" s="14" t="inlineStr">
        <is>
          <t>Hire charges of Concrete Mixer 0.25 to 0.40 cum with hooper</t>
        </is>
      </c>
      <c r="C76" s="13" t="inlineStr">
        <is>
          <t>day</t>
        </is>
      </c>
      <c r="D76" s="15" t="n">
        <v>0.07000000000000001</v>
      </c>
      <c r="E76" s="16" t="n">
        <v>800</v>
      </c>
      <c r="F76" s="16">
        <f>D76*E76</f>
        <v/>
      </c>
    </row>
    <row r="77">
      <c r="A77" s="13" t="inlineStr">
        <is>
          <t>0012</t>
        </is>
      </c>
      <c r="B77" s="14" t="inlineStr">
        <is>
          <t>Vibrator(Needle type 40mm)</t>
        </is>
      </c>
      <c r="C77" s="13" t="inlineStr">
        <is>
          <t>day</t>
        </is>
      </c>
      <c r="D77" s="15" t="n">
        <v>0.07000000000000001</v>
      </c>
      <c r="E77" s="16" t="n">
        <v>370</v>
      </c>
      <c r="F77" s="16">
        <f>D77*E77</f>
        <v/>
      </c>
    </row>
    <row r="78">
      <c r="A78" s="13" t="inlineStr">
        <is>
          <t>9999</t>
        </is>
      </c>
      <c r="B78" s="14" t="inlineStr">
        <is>
          <t>Sundries</t>
        </is>
      </c>
      <c r="C78" s="13" t="inlineStr">
        <is>
          <t>L.S.</t>
        </is>
      </c>
      <c r="D78" s="15" t="n">
        <v>13.52</v>
      </c>
      <c r="E78" s="16" t="n">
        <v>2</v>
      </c>
      <c r="F78" s="16">
        <f>D78*E78</f>
        <v/>
      </c>
    </row>
    <row r="79">
      <c r="A79" s="17" t="inlineStr">
        <is>
          <t>Resource Total (Material + Labour + Machinery, as printed)</t>
        </is>
      </c>
      <c r="B79" s="18" t="n"/>
      <c r="C79" s="18" t="n"/>
      <c r="D79" s="18" t="n"/>
      <c r="E79" s="18" t="n"/>
      <c r="F79" s="19">
        <f>SUM(F66:F78)</f>
        <v/>
      </c>
    </row>
    <row r="80">
      <c r="A80" s="20" t="inlineStr">
        <is>
          <t>SAY (Rs.) — final DAR rate</t>
        </is>
      </c>
      <c r="B80" s="21" t="n"/>
      <c r="C80" s="21" t="n"/>
      <c r="D80" s="21" t="n"/>
      <c r="E80" s="21" t="n"/>
      <c r="F80" s="22" t="n">
        <v>6259.1</v>
      </c>
    </row>
    <row r="82" ht="18" customHeight="1">
      <c r="A82" s="9" t="inlineStr">
        <is>
          <t>4.1.6</t>
        </is>
      </c>
      <c r="B82" s="10" t="inlineStr">
        <is>
          <t>1:3:6 (1 Cement : 3 coarse sand (zone-III): 6 graded stone aggregate 40 mm nominal size)</t>
        </is>
      </c>
      <c r="C82" s="11" t="n"/>
      <c r="D82" s="11" t="n"/>
      <c r="E82" s="11" t="n"/>
      <c r="F82" s="11" t="n"/>
    </row>
    <row r="83">
      <c r="A83" s="12" t="inlineStr">
        <is>
          <t>Rate basis: per cum  (source: cost for 1 cum)</t>
        </is>
      </c>
    </row>
    <row r="84">
      <c r="A84" s="5" t="inlineStr">
        <is>
          <t>Code</t>
        </is>
      </c>
      <c r="B84" s="5" t="inlineStr">
        <is>
          <t>Description</t>
        </is>
      </c>
      <c r="C84" s="5" t="inlineStr">
        <is>
          <t>Unit</t>
        </is>
      </c>
      <c r="D84" s="5" t="inlineStr">
        <is>
          <t>Quantity</t>
        </is>
      </c>
      <c r="E84" s="5" t="inlineStr">
        <is>
          <t>Rate (Rs.)</t>
        </is>
      </c>
      <c r="F84" s="5" t="inlineStr">
        <is>
          <t>Amount (Rs.)</t>
        </is>
      </c>
    </row>
    <row r="85">
      <c r="A85" s="13" t="inlineStr">
        <is>
          <t>0293</t>
        </is>
      </c>
      <c r="B85" s="14" t="inlineStr">
        <is>
          <t>Stone Aggregate (Single size) : 40 mm nominal size</t>
        </is>
      </c>
      <c r="C85" s="13" t="inlineStr">
        <is>
          <t>cum</t>
        </is>
      </c>
      <c r="D85" s="15" t="n">
        <v>0.65</v>
      </c>
      <c r="E85" s="16" t="n">
        <v>1300</v>
      </c>
      <c r="F85" s="16">
        <f>D85*E85</f>
        <v/>
      </c>
    </row>
    <row r="86">
      <c r="A86" s="13" t="inlineStr">
        <is>
          <t>0295</t>
        </is>
      </c>
      <c r="B86" s="14" t="inlineStr">
        <is>
          <t>Stone Aggregate (Single size) : 20 mm nominal size</t>
        </is>
      </c>
      <c r="C86" s="13" t="inlineStr">
        <is>
          <t>cum</t>
        </is>
      </c>
      <c r="D86" s="15" t="n">
        <v>0.24</v>
      </c>
      <c r="E86" s="16" t="n">
        <v>1350</v>
      </c>
      <c r="F86" s="16">
        <f>D86*E86</f>
        <v/>
      </c>
    </row>
    <row r="87">
      <c r="A87" s="13" t="inlineStr">
        <is>
          <t>2206</t>
        </is>
      </c>
      <c r="B87" s="14" t="inlineStr">
        <is>
          <t>Carriage of Stone aggregate 40 mm nominal size and above</t>
        </is>
      </c>
      <c r="C87" s="13" t="inlineStr">
        <is>
          <t>cum</t>
        </is>
      </c>
      <c r="D87" s="15" t="n">
        <v>0.65</v>
      </c>
      <c r="E87" s="16" t="n">
        <v>112.79</v>
      </c>
      <c r="F87" s="16">
        <f>D87*E87</f>
        <v/>
      </c>
    </row>
    <row r="88">
      <c r="A88" s="13" t="inlineStr">
        <is>
          <t>2202</t>
        </is>
      </c>
      <c r="B88" s="14" t="inlineStr">
        <is>
          <t>Carriage of Stone aggregate below 40 mm nominal size</t>
        </is>
      </c>
      <c r="C88" s="13" t="inlineStr">
        <is>
          <t>cum</t>
        </is>
      </c>
      <c r="D88" s="15" t="n">
        <v>0.24</v>
      </c>
      <c r="E88" s="16" t="n">
        <v>103.77</v>
      </c>
      <c r="F88" s="16">
        <f>D88*E88</f>
        <v/>
      </c>
    </row>
    <row r="89">
      <c r="A89" s="13" t="inlineStr">
        <is>
          <t>0982</t>
        </is>
      </c>
      <c r="B89" s="14" t="inlineStr">
        <is>
          <t>Coarse sand (zone III)</t>
        </is>
      </c>
      <c r="C89" s="13" t="inlineStr">
        <is>
          <t>cum</t>
        </is>
      </c>
      <c r="D89" s="15" t="n">
        <v>0.47</v>
      </c>
      <c r="E89" s="16" t="n">
        <v>1350</v>
      </c>
      <c r="F89" s="16">
        <f>D89*E89</f>
        <v/>
      </c>
    </row>
    <row r="90">
      <c r="A90" s="13" t="inlineStr">
        <is>
          <t>2203</t>
        </is>
      </c>
      <c r="B90" s="14" t="inlineStr">
        <is>
          <t>Carriage of Coarse sand</t>
        </is>
      </c>
      <c r="C90" s="13" t="inlineStr">
        <is>
          <t>cum</t>
        </is>
      </c>
      <c r="D90" s="15" t="n">
        <v>0.47</v>
      </c>
      <c r="E90" s="16" t="n">
        <v>103.77</v>
      </c>
      <c r="F90" s="16">
        <f>D90*E90</f>
        <v/>
      </c>
    </row>
    <row r="91">
      <c r="A91" s="13" t="inlineStr">
        <is>
          <t>0367</t>
        </is>
      </c>
      <c r="B91" s="14" t="inlineStr">
        <is>
          <t>Portland Cement (0.15674 cum)</t>
        </is>
      </c>
      <c r="C91" s="13" t="inlineStr">
        <is>
          <t>tonne</t>
        </is>
      </c>
      <c r="D91" s="15" t="n">
        <v>0.22</v>
      </c>
      <c r="E91" s="16" t="n">
        <v>4940</v>
      </c>
      <c r="F91" s="16">
        <f>D91*E91</f>
        <v/>
      </c>
    </row>
    <row r="92">
      <c r="A92" s="13" t="inlineStr">
        <is>
          <t>2209</t>
        </is>
      </c>
      <c r="B92" s="14" t="inlineStr">
        <is>
          <t>Carriage of Cement</t>
        </is>
      </c>
      <c r="C92" s="13" t="inlineStr">
        <is>
          <t>tonne</t>
        </is>
      </c>
      <c r="D92" s="15" t="n">
        <v>0.22</v>
      </c>
      <c r="E92" s="16" t="n">
        <v>92.23999999999999</v>
      </c>
      <c r="F92" s="16">
        <f>D92*E92</f>
        <v/>
      </c>
    </row>
    <row r="93">
      <c r="A93" s="13" t="inlineStr">
        <is>
          <t>0155</t>
        </is>
      </c>
      <c r="B93" s="14" t="inlineStr">
        <is>
          <t>Mason (average)</t>
        </is>
      </c>
      <c r="C93" s="13" t="inlineStr">
        <is>
          <t>day</t>
        </is>
      </c>
      <c r="D93" s="15" t="n">
        <v>0.1</v>
      </c>
      <c r="E93" s="16" t="n">
        <v>709</v>
      </c>
      <c r="F93" s="16">
        <f>D93*E93</f>
        <v/>
      </c>
    </row>
    <row r="94">
      <c r="A94" s="13" t="inlineStr">
        <is>
          <t>0114</t>
        </is>
      </c>
      <c r="B94" s="14" t="inlineStr">
        <is>
          <t>Beldar</t>
        </is>
      </c>
      <c r="C94" s="13" t="inlineStr">
        <is>
          <t>day</t>
        </is>
      </c>
      <c r="D94" s="15" t="n">
        <v>1.63</v>
      </c>
      <c r="E94" s="16" t="n">
        <v>558</v>
      </c>
      <c r="F94" s="16">
        <f>D94*E94</f>
        <v/>
      </c>
    </row>
    <row r="95">
      <c r="A95" s="13" t="inlineStr">
        <is>
          <t>0101</t>
        </is>
      </c>
      <c r="B95" s="14" t="inlineStr">
        <is>
          <t>Bhisti</t>
        </is>
      </c>
      <c r="C95" s="13" t="inlineStr">
        <is>
          <t>day</t>
        </is>
      </c>
      <c r="D95" s="15" t="n">
        <v>0.7</v>
      </c>
      <c r="E95" s="16" t="n">
        <v>617</v>
      </c>
      <c r="F95" s="16">
        <f>D95*E95</f>
        <v/>
      </c>
    </row>
    <row r="96">
      <c r="A96" s="13" t="inlineStr">
        <is>
          <t>0002</t>
        </is>
      </c>
      <c r="B96" s="14" t="inlineStr">
        <is>
          <t>Hire charges of Concrete Mixer 0.25 to 0.40 cum with hooper</t>
        </is>
      </c>
      <c r="C96" s="13" t="inlineStr">
        <is>
          <t>day</t>
        </is>
      </c>
      <c r="D96" s="15" t="n">
        <v>0.07000000000000001</v>
      </c>
      <c r="E96" s="16" t="n">
        <v>800</v>
      </c>
      <c r="F96" s="16">
        <f>D96*E96</f>
        <v/>
      </c>
    </row>
    <row r="97">
      <c r="A97" s="13" t="inlineStr">
        <is>
          <t>0012</t>
        </is>
      </c>
      <c r="B97" s="14" t="inlineStr">
        <is>
          <t>Vibrator(Needle type 40mm)</t>
        </is>
      </c>
      <c r="C97" s="13" t="inlineStr">
        <is>
          <t>day</t>
        </is>
      </c>
      <c r="D97" s="15" t="n">
        <v>0.07000000000000001</v>
      </c>
      <c r="E97" s="16" t="n">
        <v>370</v>
      </c>
      <c r="F97" s="16">
        <f>D97*E97</f>
        <v/>
      </c>
    </row>
    <row r="98">
      <c r="A98" s="13" t="inlineStr">
        <is>
          <t>9999</t>
        </is>
      </c>
      <c r="B98" s="14" t="inlineStr">
        <is>
          <t>Sundries</t>
        </is>
      </c>
      <c r="C98" s="13" t="inlineStr">
        <is>
          <t>L.S.</t>
        </is>
      </c>
      <c r="D98" s="15" t="n">
        <v>13.52</v>
      </c>
      <c r="E98" s="16" t="n">
        <v>2</v>
      </c>
      <c r="F98" s="16">
        <f>D98*E98</f>
        <v/>
      </c>
    </row>
    <row r="99">
      <c r="A99" s="17" t="inlineStr">
        <is>
          <t>Resource Total (Material + Labour + Machinery, as printed)</t>
        </is>
      </c>
      <c r="B99" s="18" t="n"/>
      <c r="C99" s="18" t="n"/>
      <c r="D99" s="18" t="n"/>
      <c r="E99" s="18" t="n"/>
      <c r="F99" s="19">
        <f>SUM(F85:F98)</f>
        <v/>
      </c>
    </row>
    <row r="100">
      <c r="A100" s="20" t="inlineStr">
        <is>
          <t>SAY (Rs.) — final DAR rate</t>
        </is>
      </c>
      <c r="B100" s="21" t="n"/>
      <c r="C100" s="21" t="n"/>
      <c r="D100" s="21" t="n"/>
      <c r="E100" s="21" t="n"/>
      <c r="F100" s="22" t="n">
        <v>6126.25</v>
      </c>
    </row>
    <row r="102" ht="18" customHeight="1">
      <c r="A102" s="9" t="inlineStr">
        <is>
          <t>4.1.8</t>
        </is>
      </c>
      <c r="B102" s="10" t="inlineStr">
        <is>
          <t>1:4:8 (1 Cement : 4 coarse sand (zone-III) : 8 graded stone aggregate 40 mm nominal size)</t>
        </is>
      </c>
      <c r="C102" s="11" t="n"/>
      <c r="D102" s="11" t="n"/>
      <c r="E102" s="11" t="n"/>
      <c r="F102" s="11" t="n"/>
    </row>
    <row r="103">
      <c r="A103" s="12" t="inlineStr">
        <is>
          <t>Rate basis: per cum  (source: cost for 1 cum)</t>
        </is>
      </c>
    </row>
    <row r="104">
      <c r="A104" s="5" t="inlineStr">
        <is>
          <t>Code</t>
        </is>
      </c>
      <c r="B104" s="5" t="inlineStr">
        <is>
          <t>Description</t>
        </is>
      </c>
      <c r="C104" s="5" t="inlineStr">
        <is>
          <t>Unit</t>
        </is>
      </c>
      <c r="D104" s="5" t="inlineStr">
        <is>
          <t>Quantity</t>
        </is>
      </c>
      <c r="E104" s="5" t="inlineStr">
        <is>
          <t>Rate (Rs.)</t>
        </is>
      </c>
      <c r="F104" s="5" t="inlineStr">
        <is>
          <t>Amount (Rs.)</t>
        </is>
      </c>
    </row>
    <row r="105">
      <c r="A105" s="13" t="inlineStr">
        <is>
          <t>0293</t>
        </is>
      </c>
      <c r="B105" s="14" t="inlineStr">
        <is>
          <t>Stone Aggregate (Single size) : 40 mm nominal size</t>
        </is>
      </c>
      <c r="C105" s="13" t="inlineStr">
        <is>
          <t>cum</t>
        </is>
      </c>
      <c r="D105" s="15" t="n">
        <v>0.65</v>
      </c>
      <c r="E105" s="16" t="n">
        <v>1300</v>
      </c>
      <c r="F105" s="16">
        <f>D105*E105</f>
        <v/>
      </c>
    </row>
    <row r="106">
      <c r="A106" s="13" t="inlineStr">
        <is>
          <t>0295</t>
        </is>
      </c>
      <c r="B106" s="14" t="inlineStr">
        <is>
          <t>Stone Aggregate (Single size) : 20 mm nominal size</t>
        </is>
      </c>
      <c r="C106" s="13" t="inlineStr">
        <is>
          <t>cum</t>
        </is>
      </c>
      <c r="D106" s="15" t="n">
        <v>0.24</v>
      </c>
      <c r="E106" s="16" t="n">
        <v>1350</v>
      </c>
      <c r="F106" s="16">
        <f>D106*E106</f>
        <v/>
      </c>
    </row>
    <row r="107">
      <c r="A107" s="13" t="inlineStr">
        <is>
          <t>2206</t>
        </is>
      </c>
      <c r="B107" s="14" t="inlineStr">
        <is>
          <t>Carriage of Stone aggregate 40 mm nominal size and above</t>
        </is>
      </c>
      <c r="C107" s="13" t="inlineStr">
        <is>
          <t>cum</t>
        </is>
      </c>
      <c r="D107" s="15" t="n">
        <v>0.65</v>
      </c>
      <c r="E107" s="16" t="n">
        <v>112.79</v>
      </c>
      <c r="F107" s="16">
        <f>D107*E107</f>
        <v/>
      </c>
    </row>
    <row r="108">
      <c r="A108" s="13" t="inlineStr">
        <is>
          <t>2202</t>
        </is>
      </c>
      <c r="B108" s="14" t="inlineStr">
        <is>
          <t>Carriage of Stone aggregate below 40 mm nominal size</t>
        </is>
      </c>
      <c r="C108" s="13" t="inlineStr">
        <is>
          <t>cum</t>
        </is>
      </c>
      <c r="D108" s="15" t="n">
        <v>0.24</v>
      </c>
      <c r="E108" s="16" t="n">
        <v>103.77</v>
      </c>
      <c r="F108" s="16">
        <f>D108*E108</f>
        <v/>
      </c>
    </row>
    <row r="109">
      <c r="A109" s="13" t="inlineStr">
        <is>
          <t>0982</t>
        </is>
      </c>
      <c r="B109" s="14" t="inlineStr">
        <is>
          <t>Coarse sand (zone III)</t>
        </is>
      </c>
      <c r="C109" s="13" t="inlineStr">
        <is>
          <t>cum</t>
        </is>
      </c>
      <c r="D109" s="15" t="n">
        <v>0.47</v>
      </c>
      <c r="E109" s="16" t="n">
        <v>1350</v>
      </c>
      <c r="F109" s="16">
        <f>D109*E109</f>
        <v/>
      </c>
    </row>
    <row r="110">
      <c r="A110" s="13" t="inlineStr">
        <is>
          <t>2203</t>
        </is>
      </c>
      <c r="B110" s="14" t="inlineStr">
        <is>
          <t>Carriage of Coarse sand</t>
        </is>
      </c>
      <c r="C110" s="13" t="inlineStr">
        <is>
          <t>cum</t>
        </is>
      </c>
      <c r="D110" s="15" t="n">
        <v>0.47</v>
      </c>
      <c r="E110" s="16" t="n">
        <v>103.77</v>
      </c>
      <c r="F110" s="16">
        <f>D110*E110</f>
        <v/>
      </c>
    </row>
    <row r="111">
      <c r="A111" s="13" t="inlineStr">
        <is>
          <t>0367</t>
        </is>
      </c>
      <c r="B111" s="14" t="inlineStr">
        <is>
          <t>Portland Cement (0.1175 cum)</t>
        </is>
      </c>
      <c r="C111" s="13" t="inlineStr">
        <is>
          <t>tonne</t>
        </is>
      </c>
      <c r="D111" s="15" t="n">
        <v>0.17</v>
      </c>
      <c r="E111" s="16" t="n">
        <v>4940</v>
      </c>
      <c r="F111" s="16">
        <f>D111*E111</f>
        <v/>
      </c>
    </row>
    <row r="112">
      <c r="A112" s="13" t="inlineStr">
        <is>
          <t>2209</t>
        </is>
      </c>
      <c r="B112" s="14" t="inlineStr">
        <is>
          <t>Carriage of Cement</t>
        </is>
      </c>
      <c r="C112" s="13" t="inlineStr">
        <is>
          <t>tonne</t>
        </is>
      </c>
      <c r="D112" s="15" t="n">
        <v>0.17</v>
      </c>
      <c r="E112" s="16" t="n">
        <v>92.23999999999999</v>
      </c>
      <c r="F112" s="16">
        <f>D112*E112</f>
        <v/>
      </c>
    </row>
    <row r="113">
      <c r="A113" s="13" t="inlineStr">
        <is>
          <t>0155</t>
        </is>
      </c>
      <c r="B113" s="14" t="inlineStr">
        <is>
          <t>Mason (average)</t>
        </is>
      </c>
      <c r="C113" s="13" t="inlineStr">
        <is>
          <t>day</t>
        </is>
      </c>
      <c r="D113" s="15" t="n">
        <v>0.1</v>
      </c>
      <c r="E113" s="16" t="n">
        <v>709</v>
      </c>
      <c r="F113" s="16">
        <f>D113*E113</f>
        <v/>
      </c>
    </row>
    <row r="114">
      <c r="A114" s="13" t="inlineStr">
        <is>
          <t>0114</t>
        </is>
      </c>
      <c r="B114" s="14" t="inlineStr">
        <is>
          <t>Beldar</t>
        </is>
      </c>
      <c r="C114" s="13" t="inlineStr">
        <is>
          <t>day</t>
        </is>
      </c>
      <c r="D114" s="15" t="n">
        <v>1.63</v>
      </c>
      <c r="E114" s="16" t="n">
        <v>558</v>
      </c>
      <c r="F114" s="16">
        <f>D114*E114</f>
        <v/>
      </c>
    </row>
    <row r="115">
      <c r="A115" s="13" t="inlineStr">
        <is>
          <t>0101</t>
        </is>
      </c>
      <c r="B115" s="14" t="inlineStr">
        <is>
          <t>Bhisti</t>
        </is>
      </c>
      <c r="C115" s="13" t="inlineStr">
        <is>
          <t>day</t>
        </is>
      </c>
      <c r="D115" s="15" t="n">
        <v>0.7</v>
      </c>
      <c r="E115" s="16" t="n">
        <v>617</v>
      </c>
      <c r="F115" s="16">
        <f>D115*E115</f>
        <v/>
      </c>
    </row>
    <row r="116">
      <c r="A116" s="13" t="inlineStr">
        <is>
          <t>0002</t>
        </is>
      </c>
      <c r="B116" s="14" t="inlineStr">
        <is>
          <t>Hire charges of Concrete Mixer 0.25 to 0.40 cum with hooper</t>
        </is>
      </c>
      <c r="C116" s="13" t="inlineStr">
        <is>
          <t>day</t>
        </is>
      </c>
      <c r="D116" s="15" t="n">
        <v>0.07000000000000001</v>
      </c>
      <c r="E116" s="16" t="n">
        <v>800</v>
      </c>
      <c r="F116" s="16">
        <f>D116*E116</f>
        <v/>
      </c>
    </row>
    <row r="117">
      <c r="A117" s="13" t="inlineStr">
        <is>
          <t>0012</t>
        </is>
      </c>
      <c r="B117" s="14" t="inlineStr">
        <is>
          <t>Vibrator(Needle type 40mm)</t>
        </is>
      </c>
      <c r="C117" s="13" t="inlineStr">
        <is>
          <t>day</t>
        </is>
      </c>
      <c r="D117" s="15" t="n">
        <v>0.07000000000000001</v>
      </c>
      <c r="E117" s="16" t="n">
        <v>370</v>
      </c>
      <c r="F117" s="16">
        <f>D117*E117</f>
        <v/>
      </c>
    </row>
    <row r="118">
      <c r="A118" s="13" t="inlineStr">
        <is>
          <t>9999</t>
        </is>
      </c>
      <c r="B118" s="14" t="inlineStr">
        <is>
          <t>Sundries</t>
        </is>
      </c>
      <c r="C118" s="13" t="inlineStr">
        <is>
          <t>L.S.</t>
        </is>
      </c>
      <c r="D118" s="15" t="n">
        <v>13.52</v>
      </c>
      <c r="E118" s="16" t="n">
        <v>2</v>
      </c>
      <c r="F118" s="16">
        <f>D118*E118</f>
        <v/>
      </c>
    </row>
    <row r="119">
      <c r="A119" s="17" t="inlineStr">
        <is>
          <t>Resource Total (Material + Labour + Machinery, as printed)</t>
        </is>
      </c>
      <c r="B119" s="18" t="n"/>
      <c r="C119" s="18" t="n"/>
      <c r="D119" s="18" t="n"/>
      <c r="E119" s="18" t="n"/>
      <c r="F119" s="19">
        <f>SUM(F105:F118)</f>
        <v/>
      </c>
    </row>
    <row r="120">
      <c r="A120" s="20" t="inlineStr">
        <is>
          <t>SAY (Rs.) — final DAR rate</t>
        </is>
      </c>
      <c r="B120" s="21" t="n"/>
      <c r="C120" s="21" t="n"/>
      <c r="D120" s="21" t="n"/>
      <c r="E120" s="21" t="n"/>
      <c r="F120" s="22" t="n">
        <v>5789.6</v>
      </c>
    </row>
    <row r="122" ht="28" customHeight="1">
      <c r="A122" s="9" t="inlineStr">
        <is>
          <t>4.1.10</t>
        </is>
      </c>
      <c r="B122" s="10" t="inlineStr">
        <is>
          <t>1:5:10 (1 cement : 5 coarse sand (zone-III): 10 graded stone aggregate 40 mm nominal size)</t>
        </is>
      </c>
      <c r="C122" s="11" t="n"/>
      <c r="D122" s="11" t="n"/>
      <c r="E122" s="11" t="n"/>
      <c r="F122" s="11" t="n"/>
    </row>
    <row r="123">
      <c r="A123" s="12" t="inlineStr">
        <is>
          <t>Rate basis: per cum  (source: cost for 1 cum)</t>
        </is>
      </c>
    </row>
    <row r="124">
      <c r="A124" s="5" t="inlineStr">
        <is>
          <t>Code</t>
        </is>
      </c>
      <c r="B124" s="5" t="inlineStr">
        <is>
          <t>Description</t>
        </is>
      </c>
      <c r="C124" s="5" t="inlineStr">
        <is>
          <t>Unit</t>
        </is>
      </c>
      <c r="D124" s="5" t="inlineStr">
        <is>
          <t>Quantity</t>
        </is>
      </c>
      <c r="E124" s="5" t="inlineStr">
        <is>
          <t>Rate (Rs.)</t>
        </is>
      </c>
      <c r="F124" s="5" t="inlineStr">
        <is>
          <t>Amount (Rs.)</t>
        </is>
      </c>
    </row>
    <row r="125">
      <c r="A125" s="13" t="inlineStr">
        <is>
          <t>0293</t>
        </is>
      </c>
      <c r="B125" s="14" t="inlineStr">
        <is>
          <t>Stone Aggregate (Single size) : 40 mm nominal size</t>
        </is>
      </c>
      <c r="C125" s="13" t="inlineStr">
        <is>
          <t>cum</t>
        </is>
      </c>
      <c r="D125" s="15" t="n">
        <v>0.65</v>
      </c>
      <c r="E125" s="16" t="n">
        <v>1300</v>
      </c>
      <c r="F125" s="16">
        <f>D125*E125</f>
        <v/>
      </c>
    </row>
    <row r="126">
      <c r="A126" s="13" t="inlineStr">
        <is>
          <t>0295</t>
        </is>
      </c>
      <c r="B126" s="14" t="inlineStr">
        <is>
          <t>Stone Aggregate (Single size) : 20 mm nominal size</t>
        </is>
      </c>
      <c r="C126" s="13" t="inlineStr">
        <is>
          <t>cum</t>
        </is>
      </c>
      <c r="D126" s="15" t="n">
        <v>0.24</v>
      </c>
      <c r="E126" s="16" t="n">
        <v>1350</v>
      </c>
      <c r="F126" s="16">
        <f>D126*E126</f>
        <v/>
      </c>
    </row>
    <row r="127">
      <c r="A127" s="13" t="inlineStr">
        <is>
          <t>2206</t>
        </is>
      </c>
      <c r="B127" s="14" t="inlineStr">
        <is>
          <t>Carriage of Stone aggregate 40 mm nominal size and above</t>
        </is>
      </c>
      <c r="C127" s="13" t="inlineStr">
        <is>
          <t>cum</t>
        </is>
      </c>
      <c r="D127" s="15" t="n">
        <v>0.65</v>
      </c>
      <c r="E127" s="16" t="n">
        <v>112.79</v>
      </c>
      <c r="F127" s="16">
        <f>D127*E127</f>
        <v/>
      </c>
    </row>
    <row r="128">
      <c r="A128" s="13" t="inlineStr">
        <is>
          <t>2202</t>
        </is>
      </c>
      <c r="B128" s="14" t="inlineStr">
        <is>
          <t>Carriage of Stone aggregate below 40 mm nominal size</t>
        </is>
      </c>
      <c r="C128" s="13" t="inlineStr">
        <is>
          <t>cum</t>
        </is>
      </c>
      <c r="D128" s="15" t="n">
        <v>0.24</v>
      </c>
      <c r="E128" s="16" t="n">
        <v>103.77</v>
      </c>
      <c r="F128" s="16">
        <f>D128*E128</f>
        <v/>
      </c>
    </row>
    <row r="129">
      <c r="A129" s="13" t="inlineStr">
        <is>
          <t>0982</t>
        </is>
      </c>
      <c r="B129" s="14" t="inlineStr">
        <is>
          <t>Coarse sand (zone III)</t>
        </is>
      </c>
      <c r="C129" s="13" t="inlineStr">
        <is>
          <t>cum</t>
        </is>
      </c>
      <c r="D129" s="15" t="n">
        <v>0.47</v>
      </c>
      <c r="E129" s="16" t="n">
        <v>1350</v>
      </c>
      <c r="F129" s="16">
        <f>D129*E129</f>
        <v/>
      </c>
    </row>
    <row r="130">
      <c r="A130" s="13" t="inlineStr">
        <is>
          <t>2203</t>
        </is>
      </c>
      <c r="B130" s="14" t="inlineStr">
        <is>
          <t>Carriage of Coarse sand</t>
        </is>
      </c>
      <c r="C130" s="13" t="inlineStr">
        <is>
          <t>cum</t>
        </is>
      </c>
      <c r="D130" s="15" t="n">
        <v>0.47</v>
      </c>
      <c r="E130" s="16" t="n">
        <v>103.77</v>
      </c>
      <c r="F130" s="16">
        <f>D130*E130</f>
        <v/>
      </c>
    </row>
    <row r="131">
      <c r="A131" s="13" t="inlineStr">
        <is>
          <t>0367</t>
        </is>
      </c>
      <c r="B131" s="14" t="inlineStr">
        <is>
          <t>Portland Cement (0.2225 cum)</t>
        </is>
      </c>
      <c r="C131" s="13" t="inlineStr">
        <is>
          <t>tonne</t>
        </is>
      </c>
      <c r="D131" s="15" t="n">
        <v>0.13</v>
      </c>
      <c r="E131" s="16" t="n">
        <v>4940</v>
      </c>
      <c r="F131" s="16">
        <f>D131*E131</f>
        <v/>
      </c>
    </row>
    <row r="132">
      <c r="A132" s="13" t="inlineStr">
        <is>
          <t>2209</t>
        </is>
      </c>
      <c r="B132" s="14" t="inlineStr">
        <is>
          <t>Carriage of Cement</t>
        </is>
      </c>
      <c r="C132" s="13" t="inlineStr">
        <is>
          <t>tonne</t>
        </is>
      </c>
      <c r="D132" s="15" t="n">
        <v>0.13</v>
      </c>
      <c r="E132" s="16" t="n">
        <v>92.23999999999999</v>
      </c>
      <c r="F132" s="16">
        <f>D132*E132</f>
        <v/>
      </c>
    </row>
    <row r="133">
      <c r="A133" s="13" t="inlineStr">
        <is>
          <t>0155</t>
        </is>
      </c>
      <c r="B133" s="14" t="inlineStr">
        <is>
          <t>Mason (average)</t>
        </is>
      </c>
      <c r="C133" s="13" t="inlineStr">
        <is>
          <t>day</t>
        </is>
      </c>
      <c r="D133" s="15" t="n">
        <v>0.1</v>
      </c>
      <c r="E133" s="16" t="n">
        <v>709</v>
      </c>
      <c r="F133" s="16">
        <f>D133*E133</f>
        <v/>
      </c>
    </row>
    <row r="134">
      <c r="A134" s="13" t="inlineStr">
        <is>
          <t>0114</t>
        </is>
      </c>
      <c r="B134" s="14" t="inlineStr">
        <is>
          <t>Beldar</t>
        </is>
      </c>
      <c r="C134" s="13" t="inlineStr">
        <is>
          <t>day</t>
        </is>
      </c>
      <c r="D134" s="15" t="n">
        <v>1.63</v>
      </c>
      <c r="E134" s="16" t="n">
        <v>558</v>
      </c>
      <c r="F134" s="16">
        <f>D134*E134</f>
        <v/>
      </c>
    </row>
    <row r="135">
      <c r="A135" s="13" t="inlineStr">
        <is>
          <t>0101</t>
        </is>
      </c>
      <c r="B135" s="14" t="inlineStr">
        <is>
          <t>Bhisti</t>
        </is>
      </c>
      <c r="C135" s="13" t="inlineStr">
        <is>
          <t>day</t>
        </is>
      </c>
      <c r="D135" s="15" t="n">
        <v>0.7</v>
      </c>
      <c r="E135" s="16" t="n">
        <v>617</v>
      </c>
      <c r="F135" s="16">
        <f>D135*E135</f>
        <v/>
      </c>
    </row>
    <row r="136">
      <c r="A136" s="13" t="inlineStr">
        <is>
          <t>0002</t>
        </is>
      </c>
      <c r="B136" s="14" t="inlineStr">
        <is>
          <t>Hire charges of Concrete Mixer 0.25 to 0.40 cum with hooper</t>
        </is>
      </c>
      <c r="C136" s="13" t="inlineStr">
        <is>
          <t>day</t>
        </is>
      </c>
      <c r="D136" s="15" t="n">
        <v>0.07000000000000001</v>
      </c>
      <c r="E136" s="16" t="n">
        <v>800</v>
      </c>
      <c r="F136" s="16">
        <f>D136*E136</f>
        <v/>
      </c>
    </row>
    <row r="137">
      <c r="A137" s="13" t="inlineStr">
        <is>
          <t>0012</t>
        </is>
      </c>
      <c r="B137" s="14" t="inlineStr">
        <is>
          <t>Vibrator(Needle type 40mm)</t>
        </is>
      </c>
      <c r="C137" s="13" t="inlineStr">
        <is>
          <t>day</t>
        </is>
      </c>
      <c r="D137" s="15" t="n">
        <v>0.07000000000000001</v>
      </c>
      <c r="E137" s="16" t="n">
        <v>370</v>
      </c>
      <c r="F137" s="16">
        <f>D137*E137</f>
        <v/>
      </c>
    </row>
    <row r="138">
      <c r="A138" s="13" t="inlineStr">
        <is>
          <t>9999</t>
        </is>
      </c>
      <c r="B138" s="14" t="inlineStr">
        <is>
          <t>Sundries</t>
        </is>
      </c>
      <c r="C138" s="13" t="inlineStr">
        <is>
          <t>L.S.</t>
        </is>
      </c>
      <c r="D138" s="15" t="n">
        <v>13.52</v>
      </c>
      <c r="E138" s="16" t="n">
        <v>2</v>
      </c>
      <c r="F138" s="16">
        <f>D138*E138</f>
        <v/>
      </c>
    </row>
    <row r="139">
      <c r="A139" s="17" t="inlineStr">
        <is>
          <t>Resource Total (Material + Labour + Machinery, as printed)</t>
        </is>
      </c>
      <c r="B139" s="18" t="n"/>
      <c r="C139" s="18" t="n"/>
      <c r="D139" s="18" t="n"/>
      <c r="E139" s="18" t="n"/>
      <c r="F139" s="19">
        <f>SUM(F125:F138)</f>
        <v/>
      </c>
    </row>
    <row r="140">
      <c r="A140" s="20" t="inlineStr">
        <is>
          <t>SAY (Rs.) — final DAR rate</t>
        </is>
      </c>
      <c r="B140" s="21" t="n"/>
      <c r="C140" s="21" t="n"/>
      <c r="D140" s="21" t="n"/>
      <c r="E140" s="21" t="n"/>
      <c r="F140" s="22" t="n">
        <v>5520.3</v>
      </c>
    </row>
    <row r="142" ht="18" customHeight="1">
      <c r="A142" s="9" t="inlineStr">
        <is>
          <t>4.1.11</t>
        </is>
      </c>
      <c r="B142" s="10" t="inlineStr">
        <is>
          <t>1:5:10 (1 cement : 5 fine sand : 10 graded stone aggregate 40 mm nominal size)</t>
        </is>
      </c>
      <c r="C142" s="11" t="n"/>
      <c r="D142" s="11" t="n"/>
      <c r="E142" s="11" t="n"/>
      <c r="F142" s="11" t="n"/>
    </row>
    <row r="143">
      <c r="A143" s="12" t="inlineStr">
        <is>
          <t>Rate basis: per cum  (source: cost for 1 cum)</t>
        </is>
      </c>
    </row>
    <row r="144">
      <c r="A144" s="5" t="inlineStr">
        <is>
          <t>Code</t>
        </is>
      </c>
      <c r="B144" s="5" t="inlineStr">
        <is>
          <t>Description</t>
        </is>
      </c>
      <c r="C144" s="5" t="inlineStr">
        <is>
          <t>Unit</t>
        </is>
      </c>
      <c r="D144" s="5" t="inlineStr">
        <is>
          <t>Quantity</t>
        </is>
      </c>
      <c r="E144" s="5" t="inlineStr">
        <is>
          <t>Rate (Rs.)</t>
        </is>
      </c>
      <c r="F144" s="5" t="inlineStr">
        <is>
          <t>Amount (Rs.)</t>
        </is>
      </c>
    </row>
    <row r="145">
      <c r="A145" s="13" t="inlineStr">
        <is>
          <t>0293</t>
        </is>
      </c>
      <c r="B145" s="14" t="inlineStr">
        <is>
          <t>Stone Aggregate (Single size) : 40 mm nominal size</t>
        </is>
      </c>
      <c r="C145" s="13" t="inlineStr">
        <is>
          <t>cum</t>
        </is>
      </c>
      <c r="D145" s="15" t="n">
        <v>0.65</v>
      </c>
      <c r="E145" s="16" t="n">
        <v>1300</v>
      </c>
      <c r="F145" s="16">
        <f>D145*E145</f>
        <v/>
      </c>
    </row>
    <row r="146">
      <c r="A146" s="13" t="inlineStr">
        <is>
          <t>0295</t>
        </is>
      </c>
      <c r="B146" s="14" t="inlineStr">
        <is>
          <t>Stone Aggregate (Single size) : 20 mm nominal size</t>
        </is>
      </c>
      <c r="C146" s="13" t="inlineStr">
        <is>
          <t>cum</t>
        </is>
      </c>
      <c r="D146" s="15" t="n">
        <v>0.24</v>
      </c>
      <c r="E146" s="16" t="n">
        <v>1350</v>
      </c>
      <c r="F146" s="16">
        <f>D146*E146</f>
        <v/>
      </c>
    </row>
    <row r="147">
      <c r="A147" s="13" t="inlineStr">
        <is>
          <t>2206</t>
        </is>
      </c>
      <c r="B147" s="14" t="inlineStr">
        <is>
          <t>Carriage of Stone aggregate 40 mm nominal size and above</t>
        </is>
      </c>
      <c r="C147" s="13" t="inlineStr">
        <is>
          <t>cum</t>
        </is>
      </c>
      <c r="D147" s="15" t="n">
        <v>0.65</v>
      </c>
      <c r="E147" s="16" t="n">
        <v>112.79</v>
      </c>
      <c r="F147" s="16">
        <f>D147*E147</f>
        <v/>
      </c>
    </row>
    <row r="148">
      <c r="A148" s="13" t="inlineStr">
        <is>
          <t>2202</t>
        </is>
      </c>
      <c r="B148" s="14" t="inlineStr">
        <is>
          <t>Carriage of Stone aggregate below 40 mm nominal size</t>
        </is>
      </c>
      <c r="C148" s="13" t="inlineStr">
        <is>
          <t>cum</t>
        </is>
      </c>
      <c r="D148" s="15" t="n">
        <v>0.24</v>
      </c>
      <c r="E148" s="16" t="n">
        <v>103.77</v>
      </c>
      <c r="F148" s="16">
        <f>D148*E148</f>
        <v/>
      </c>
    </row>
    <row r="149">
      <c r="A149" s="13" t="inlineStr">
        <is>
          <t>0983</t>
        </is>
      </c>
      <c r="B149" s="14" t="inlineStr">
        <is>
          <t>Fine sand (zone IV)</t>
        </is>
      </c>
      <c r="C149" s="13" t="inlineStr">
        <is>
          <t>cum</t>
        </is>
      </c>
      <c r="D149" s="15" t="n">
        <v>0.47</v>
      </c>
      <c r="E149" s="16" t="n">
        <v>900</v>
      </c>
      <c r="F149" s="16">
        <f>D149*E149</f>
        <v/>
      </c>
    </row>
    <row r="150">
      <c r="A150" s="13" t="inlineStr">
        <is>
          <t>2261</t>
        </is>
      </c>
      <c r="B150" s="14" t="inlineStr">
        <is>
          <t>Carriage of Fine sand (1 part badarpur sand : 2 parts jamuna sand)</t>
        </is>
      </c>
      <c r="C150" s="13" t="inlineStr">
        <is>
          <t>cum</t>
        </is>
      </c>
      <c r="D150" s="15" t="n">
        <v>0.47</v>
      </c>
      <c r="E150" s="16" t="n">
        <v>103.77</v>
      </c>
      <c r="F150" s="16">
        <f>D150*E150</f>
        <v/>
      </c>
    </row>
    <row r="151">
      <c r="A151" s="13" t="inlineStr">
        <is>
          <t>0367</t>
        </is>
      </c>
      <c r="B151" s="14" t="inlineStr">
        <is>
          <t>Portland Cement (0.2225 cum)</t>
        </is>
      </c>
      <c r="C151" s="13" t="inlineStr">
        <is>
          <t>tonne</t>
        </is>
      </c>
      <c r="D151" s="15" t="n">
        <v>0.13</v>
      </c>
      <c r="E151" s="16" t="n">
        <v>4940</v>
      </c>
      <c r="F151" s="16">
        <f>D151*E151</f>
        <v/>
      </c>
    </row>
    <row r="152">
      <c r="A152" s="13" t="inlineStr">
        <is>
          <t>2209</t>
        </is>
      </c>
      <c r="B152" s="14" t="inlineStr">
        <is>
          <t>Carriage of Cement</t>
        </is>
      </c>
      <c r="C152" s="13" t="inlineStr">
        <is>
          <t>tonne</t>
        </is>
      </c>
      <c r="D152" s="15" t="n">
        <v>0.13</v>
      </c>
      <c r="E152" s="16" t="n">
        <v>92.23999999999999</v>
      </c>
      <c r="F152" s="16">
        <f>D152*E152</f>
        <v/>
      </c>
    </row>
    <row r="153">
      <c r="A153" s="13" t="inlineStr">
        <is>
          <t>0155</t>
        </is>
      </c>
      <c r="B153" s="14" t="inlineStr">
        <is>
          <t>Mason (average)</t>
        </is>
      </c>
      <c r="C153" s="13" t="inlineStr">
        <is>
          <t>day</t>
        </is>
      </c>
      <c r="D153" s="15" t="n">
        <v>0.1</v>
      </c>
      <c r="E153" s="16" t="n">
        <v>709</v>
      </c>
      <c r="F153" s="16">
        <f>D153*E153</f>
        <v/>
      </c>
    </row>
    <row r="154">
      <c r="A154" s="13" t="inlineStr">
        <is>
          <t>0114</t>
        </is>
      </c>
      <c r="B154" s="14" t="inlineStr">
        <is>
          <t>Beldar</t>
        </is>
      </c>
      <c r="C154" s="13" t="inlineStr">
        <is>
          <t>day</t>
        </is>
      </c>
      <c r="D154" s="15" t="n">
        <v>1.63</v>
      </c>
      <c r="E154" s="16" t="n">
        <v>558</v>
      </c>
      <c r="F154" s="16">
        <f>D154*E154</f>
        <v/>
      </c>
    </row>
    <row r="155">
      <c r="A155" s="13" t="inlineStr">
        <is>
          <t>0101</t>
        </is>
      </c>
      <c r="B155" s="14" t="inlineStr">
        <is>
          <t>Bhisti</t>
        </is>
      </c>
      <c r="C155" s="13" t="inlineStr">
        <is>
          <t>day</t>
        </is>
      </c>
      <c r="D155" s="15" t="n">
        <v>0.7</v>
      </c>
      <c r="E155" s="16" t="n">
        <v>617</v>
      </c>
      <c r="F155" s="16">
        <f>D155*E155</f>
        <v/>
      </c>
    </row>
    <row r="156">
      <c r="A156" s="13" t="inlineStr">
        <is>
          <t>0002</t>
        </is>
      </c>
      <c r="B156" s="14" t="inlineStr">
        <is>
          <t>Hire charges of Concrete Mixer 0.25 to 0.40 cum with hooper</t>
        </is>
      </c>
      <c r="C156" s="13" t="inlineStr">
        <is>
          <t>day</t>
        </is>
      </c>
      <c r="D156" s="15" t="n">
        <v>0.07000000000000001</v>
      </c>
      <c r="E156" s="16" t="n">
        <v>800</v>
      </c>
      <c r="F156" s="16">
        <f>D156*E156</f>
        <v/>
      </c>
    </row>
    <row r="157">
      <c r="A157" s="13" t="inlineStr">
        <is>
          <t>0012</t>
        </is>
      </c>
      <c r="B157" s="14" t="inlineStr">
        <is>
          <t>Vibrator(Needle type 40mm)</t>
        </is>
      </c>
      <c r="C157" s="13" t="inlineStr">
        <is>
          <t>day</t>
        </is>
      </c>
      <c r="D157" s="15" t="n">
        <v>0.07000000000000001</v>
      </c>
      <c r="E157" s="16" t="n">
        <v>370</v>
      </c>
      <c r="F157" s="16">
        <f>D157*E157</f>
        <v/>
      </c>
    </row>
    <row r="158">
      <c r="A158" s="13" t="inlineStr">
        <is>
          <t>9999</t>
        </is>
      </c>
      <c r="B158" s="14" t="inlineStr">
        <is>
          <t>Sundries</t>
        </is>
      </c>
      <c r="C158" s="13" t="inlineStr">
        <is>
          <t>L.S.</t>
        </is>
      </c>
      <c r="D158" s="15" t="n">
        <v>8.970000000000001</v>
      </c>
      <c r="E158" s="16" t="n">
        <v>2</v>
      </c>
      <c r="F158" s="16">
        <f>D158*E158</f>
        <v/>
      </c>
    </row>
    <row r="159">
      <c r="A159" s="17" t="inlineStr">
        <is>
          <t>Resource Total (Material + Labour + Machinery, as printed)</t>
        </is>
      </c>
      <c r="B159" s="18" t="n"/>
      <c r="C159" s="18" t="n"/>
      <c r="D159" s="18" t="n"/>
      <c r="E159" s="18" t="n"/>
      <c r="F159" s="19">
        <f>SUM(F145:F158)</f>
        <v/>
      </c>
    </row>
    <row r="160">
      <c r="A160" s="20" t="inlineStr">
        <is>
          <t>SAY (Rs.) — final DAR rate</t>
        </is>
      </c>
      <c r="B160" s="21" t="n"/>
      <c r="C160" s="21" t="n"/>
      <c r="D160" s="21" t="n"/>
      <c r="E160" s="21" t="n"/>
      <c r="F160" s="22" t="n">
        <v>5225.15</v>
      </c>
    </row>
    <row r="162" ht="28" customHeight="1">
      <c r="A162" s="9" t="inlineStr">
        <is>
          <t>4.1.12</t>
        </is>
      </c>
      <c r="B162" s="10" t="inlineStr">
        <is>
          <t>1:2:3½:9 (1 ordinary portland cement : 2 Fly ash : 3½ coarse sand (zone-III) : 9 graded stone aggregate 40 mm nominal size)</t>
        </is>
      </c>
      <c r="C162" s="11" t="n"/>
      <c r="D162" s="11" t="n"/>
      <c r="E162" s="11" t="n"/>
      <c r="F162" s="11" t="n"/>
    </row>
    <row r="163">
      <c r="A163" s="12" t="inlineStr">
        <is>
          <t>Rate basis: per cum  (source: cost for 1 cum)</t>
        </is>
      </c>
    </row>
    <row r="164">
      <c r="A164" s="5" t="inlineStr">
        <is>
          <t>Code</t>
        </is>
      </c>
      <c r="B164" s="5" t="inlineStr">
        <is>
          <t>Description</t>
        </is>
      </c>
      <c r="C164" s="5" t="inlineStr">
        <is>
          <t>Unit</t>
        </is>
      </c>
      <c r="D164" s="5" t="inlineStr">
        <is>
          <t>Quantity</t>
        </is>
      </c>
      <c r="E164" s="5" t="inlineStr">
        <is>
          <t>Rate (Rs.)</t>
        </is>
      </c>
      <c r="F164" s="5" t="inlineStr">
        <is>
          <t>Amount (Rs.)</t>
        </is>
      </c>
    </row>
    <row r="165">
      <c r="A165" s="13" t="inlineStr">
        <is>
          <t>0293</t>
        </is>
      </c>
      <c r="B165" s="14" t="inlineStr">
        <is>
          <t>Stone Aggregate (Single size) : 40 mm nominal size</t>
        </is>
      </c>
      <c r="C165" s="13" t="inlineStr">
        <is>
          <t>cum</t>
        </is>
      </c>
      <c r="D165" s="15" t="n">
        <v>0.65</v>
      </c>
      <c r="E165" s="16" t="n">
        <v>1300</v>
      </c>
      <c r="F165" s="16">
        <f>D165*E165</f>
        <v/>
      </c>
    </row>
    <row r="166">
      <c r="A166" s="13" t="inlineStr">
        <is>
          <t>0295</t>
        </is>
      </c>
      <c r="B166" s="14" t="inlineStr">
        <is>
          <t>Stone Aggregate (Single size) : 20 mm nominal size</t>
        </is>
      </c>
      <c r="C166" s="13" t="inlineStr">
        <is>
          <t>cum</t>
        </is>
      </c>
      <c r="D166" s="15" t="n">
        <v>0.24</v>
      </c>
      <c r="E166" s="16" t="n">
        <v>1350</v>
      </c>
      <c r="F166" s="16">
        <f>D166*E166</f>
        <v/>
      </c>
    </row>
    <row r="167">
      <c r="A167" s="13" t="inlineStr">
        <is>
          <t>2206</t>
        </is>
      </c>
      <c r="B167" s="14" t="inlineStr">
        <is>
          <t>Carriage of Stone aggregate 40 mm nominal</t>
        </is>
      </c>
      <c r="C167" s="13" t="inlineStr">
        <is>
          <t>cum</t>
        </is>
      </c>
      <c r="D167" s="15" t="n">
        <v>0.65</v>
      </c>
      <c r="E167" s="16" t="n">
        <v>112.79</v>
      </c>
      <c r="F167" s="16">
        <f>D167*E167</f>
        <v/>
      </c>
    </row>
    <row r="168">
      <c r="A168" s="13" t="inlineStr">
        <is>
          <t>2202</t>
        </is>
      </c>
      <c r="B168" s="14" t="inlineStr">
        <is>
          <t>Carriage of Stone aggregate below 40 mm nominal size</t>
        </is>
      </c>
      <c r="C168" s="13" t="inlineStr">
        <is>
          <t>cum</t>
        </is>
      </c>
      <c r="D168" s="15" t="n">
        <v>0.24</v>
      </c>
      <c r="E168" s="16" t="n">
        <v>103.77</v>
      </c>
      <c r="F168" s="16">
        <f>D168*E168</f>
        <v/>
      </c>
    </row>
    <row r="169">
      <c r="A169" s="13" t="inlineStr">
        <is>
          <t>0982</t>
        </is>
      </c>
      <c r="B169" s="14" t="inlineStr">
        <is>
          <t>Coarse sand (zone III)</t>
        </is>
      </c>
      <c r="C169" s="13" t="inlineStr">
        <is>
          <t>cum</t>
        </is>
      </c>
      <c r="D169" s="15" t="n">
        <v>0.37</v>
      </c>
      <c r="E169" s="16" t="n">
        <v>1350</v>
      </c>
      <c r="F169" s="16">
        <f>D169*E169</f>
        <v/>
      </c>
    </row>
    <row r="170">
      <c r="A170" s="13" t="inlineStr">
        <is>
          <t>2203</t>
        </is>
      </c>
      <c r="B170" s="14" t="inlineStr">
        <is>
          <t>Carriage of Coarse sand</t>
        </is>
      </c>
      <c r="C170" s="13" t="inlineStr">
        <is>
          <t>cum</t>
        </is>
      </c>
      <c r="D170" s="15" t="n">
        <v>0.37</v>
      </c>
      <c r="E170" s="16" t="n">
        <v>103.77</v>
      </c>
      <c r="F170" s="16">
        <f>D170*E170</f>
        <v/>
      </c>
    </row>
    <row r="171">
      <c r="A171" s="13" t="inlineStr">
        <is>
          <t>1980</t>
        </is>
      </c>
      <c r="B171" s="14" t="inlineStr">
        <is>
          <t>Flyash</t>
        </is>
      </c>
      <c r="C171" s="13" t="inlineStr">
        <is>
          <t>cum</t>
        </is>
      </c>
      <c r="D171" s="15" t="n">
        <v>0.21</v>
      </c>
      <c r="E171" s="16" t="n">
        <v>10</v>
      </c>
      <c r="F171" s="16">
        <f>D171*E171</f>
        <v/>
      </c>
    </row>
    <row r="172">
      <c r="A172" s="13" t="inlineStr">
        <is>
          <t>2262</t>
        </is>
      </c>
      <c r="B172" s="14" t="inlineStr">
        <is>
          <t>Carriage of Flyash</t>
        </is>
      </c>
      <c r="C172" s="13" t="inlineStr">
        <is>
          <t>cum</t>
        </is>
      </c>
      <c r="D172" s="15" t="n">
        <v>0.21</v>
      </c>
      <c r="E172" s="16" t="n">
        <v>103.77</v>
      </c>
      <c r="F172" s="16">
        <f>D172*E172</f>
        <v/>
      </c>
    </row>
    <row r="173">
      <c r="A173" s="13" t="inlineStr">
        <is>
          <t>0367</t>
        </is>
      </c>
      <c r="B173" s="14" t="inlineStr">
        <is>
          <t>Portland Cement</t>
        </is>
      </c>
      <c r="C173" s="13" t="inlineStr">
        <is>
          <t>tonne</t>
        </is>
      </c>
      <c r="D173" s="15" t="n">
        <v>0.17</v>
      </c>
      <c r="E173" s="16" t="n">
        <v>4940</v>
      </c>
      <c r="F173" s="16">
        <f>D173*E173</f>
        <v/>
      </c>
    </row>
    <row r="174">
      <c r="A174" s="13" t="inlineStr">
        <is>
          <t>2209</t>
        </is>
      </c>
      <c r="B174" s="14" t="inlineStr">
        <is>
          <t>Carriage of Cement</t>
        </is>
      </c>
      <c r="C174" s="13" t="inlineStr">
        <is>
          <t>tonne</t>
        </is>
      </c>
      <c r="D174" s="15" t="n">
        <v>0.17</v>
      </c>
      <c r="E174" s="16" t="n">
        <v>92.23999999999999</v>
      </c>
      <c r="F174" s="16">
        <f>D174*E174</f>
        <v/>
      </c>
    </row>
    <row r="175">
      <c r="A175" s="13" t="inlineStr">
        <is>
          <t>0155</t>
        </is>
      </c>
      <c r="B175" s="14" t="inlineStr">
        <is>
          <t>Mason (average)</t>
        </is>
      </c>
      <c r="C175" s="13" t="inlineStr">
        <is>
          <t>day</t>
        </is>
      </c>
      <c r="D175" s="15" t="n">
        <v>0.1</v>
      </c>
      <c r="E175" s="16" t="n">
        <v>709</v>
      </c>
      <c r="F175" s="16">
        <f>D175*E175</f>
        <v/>
      </c>
    </row>
    <row r="176">
      <c r="A176" s="13" t="inlineStr">
        <is>
          <t>0114</t>
        </is>
      </c>
      <c r="B176" s="14" t="inlineStr">
        <is>
          <t>Beldar</t>
        </is>
      </c>
      <c r="C176" s="13" t="inlineStr">
        <is>
          <t>day</t>
        </is>
      </c>
      <c r="D176" s="15" t="n">
        <v>1.63</v>
      </c>
      <c r="E176" s="16" t="n">
        <v>558</v>
      </c>
      <c r="F176" s="16">
        <f>D176*E176</f>
        <v/>
      </c>
    </row>
    <row r="177">
      <c r="A177" s="13" t="inlineStr">
        <is>
          <t>0101</t>
        </is>
      </c>
      <c r="B177" s="14" t="inlineStr">
        <is>
          <t>Bhisti</t>
        </is>
      </c>
      <c r="C177" s="13" t="inlineStr">
        <is>
          <t>day</t>
        </is>
      </c>
      <c r="D177" s="15" t="n">
        <v>0.7</v>
      </c>
      <c r="E177" s="16" t="n">
        <v>617</v>
      </c>
      <c r="F177" s="16">
        <f>D177*E177</f>
        <v/>
      </c>
    </row>
    <row r="178">
      <c r="A178" s="13" t="inlineStr">
        <is>
          <t>0002</t>
        </is>
      </c>
      <c r="B178" s="14" t="inlineStr">
        <is>
          <t>Hire charges of Concrete Mixer 0.25 to 0.40 cum with hooper</t>
        </is>
      </c>
      <c r="C178" s="13" t="inlineStr">
        <is>
          <t>day</t>
        </is>
      </c>
      <c r="D178" s="15" t="n">
        <v>0.07000000000000001</v>
      </c>
      <c r="E178" s="16" t="n">
        <v>800</v>
      </c>
      <c r="F178" s="16">
        <f>D178*E178</f>
        <v/>
      </c>
    </row>
    <row r="179">
      <c r="A179" s="13" t="inlineStr">
        <is>
          <t>0012</t>
        </is>
      </c>
      <c r="B179" s="14" t="inlineStr">
        <is>
          <t>Vibrator(Needle type 40mm)</t>
        </is>
      </c>
      <c r="C179" s="13" t="inlineStr">
        <is>
          <t>day</t>
        </is>
      </c>
      <c r="D179" s="15" t="n">
        <v>0.07000000000000001</v>
      </c>
      <c r="E179" s="16" t="n">
        <v>370</v>
      </c>
      <c r="F179" s="16">
        <f>D179*E179</f>
        <v/>
      </c>
    </row>
    <row r="180">
      <c r="A180" s="13" t="inlineStr">
        <is>
          <t>9999</t>
        </is>
      </c>
      <c r="B180" s="14" t="inlineStr">
        <is>
          <t>Sundries</t>
        </is>
      </c>
      <c r="C180" s="13" t="inlineStr">
        <is>
          <t>L.S.</t>
        </is>
      </c>
      <c r="D180" s="15" t="n">
        <v>14.3</v>
      </c>
      <c r="E180" s="16" t="n">
        <v>2</v>
      </c>
      <c r="F180" s="16">
        <f>D180*E180</f>
        <v/>
      </c>
    </row>
    <row r="181">
      <c r="A181" s="17" t="inlineStr">
        <is>
          <t>Resource Total (Material + Labour + Machinery, as printed)</t>
        </is>
      </c>
      <c r="B181" s="18" t="n"/>
      <c r="C181" s="18" t="n"/>
      <c r="D181" s="18" t="n"/>
      <c r="E181" s="18" t="n"/>
      <c r="F181" s="19">
        <f>SUM(F165:F180)</f>
        <v/>
      </c>
    </row>
    <row r="182">
      <c r="A182" s="20" t="inlineStr">
        <is>
          <t>SAY (Rs.) — final DAR rate</t>
        </is>
      </c>
      <c r="B182" s="21" t="n"/>
      <c r="C182" s="21" t="n"/>
      <c r="D182" s="21" t="n"/>
      <c r="E182" s="21" t="n"/>
      <c r="F182" s="22" t="n">
        <v>5629.15</v>
      </c>
    </row>
    <row r="184" ht="28" customHeight="1">
      <c r="A184" s="9" t="inlineStr">
        <is>
          <t>4.1.13</t>
        </is>
      </c>
      <c r="B184" s="10" t="inlineStr">
        <is>
          <t>1:2½:4:11 (1 ordinary portland cement : 2½ fly ash : 4 coarse sand(zone-III) : 11 graded stone aggregate 40 mm nominal size)</t>
        </is>
      </c>
      <c r="C184" s="11" t="n"/>
      <c r="D184" s="11" t="n"/>
      <c r="E184" s="11" t="n"/>
      <c r="F184" s="11" t="n"/>
    </row>
    <row r="185">
      <c r="A185" s="12" t="inlineStr">
        <is>
          <t>Rate basis: per cum  (source: cost for 1 cum)</t>
        </is>
      </c>
    </row>
    <row r="186">
      <c r="A186" s="5" t="inlineStr">
        <is>
          <t>Code</t>
        </is>
      </c>
      <c r="B186" s="5" t="inlineStr">
        <is>
          <t>Description</t>
        </is>
      </c>
      <c r="C186" s="5" t="inlineStr">
        <is>
          <t>Unit</t>
        </is>
      </c>
      <c r="D186" s="5" t="inlineStr">
        <is>
          <t>Quantity</t>
        </is>
      </c>
      <c r="E186" s="5" t="inlineStr">
        <is>
          <t>Rate (Rs.)</t>
        </is>
      </c>
      <c r="F186" s="5" t="inlineStr">
        <is>
          <t>Amount (Rs.)</t>
        </is>
      </c>
    </row>
    <row r="187">
      <c r="A187" s="13" t="inlineStr">
        <is>
          <t>0293</t>
        </is>
      </c>
      <c r="B187" s="14" t="inlineStr">
        <is>
          <t>Stone Aggregate (Single size) : 40 mm nominal size</t>
        </is>
      </c>
      <c r="C187" s="13" t="inlineStr">
        <is>
          <t>cum</t>
        </is>
      </c>
      <c r="D187" s="15" t="n">
        <v>0.65</v>
      </c>
      <c r="E187" s="16" t="n">
        <v>1300</v>
      </c>
      <c r="F187" s="16">
        <f>D187*E187</f>
        <v/>
      </c>
    </row>
    <row r="188">
      <c r="A188" s="13" t="inlineStr">
        <is>
          <t>0295</t>
        </is>
      </c>
      <c r="B188" s="14" t="inlineStr">
        <is>
          <t>Stone Aggregate (Single size) : 20 mm nominal size</t>
        </is>
      </c>
      <c r="C188" s="13" t="inlineStr">
        <is>
          <t>cum</t>
        </is>
      </c>
      <c r="D188" s="15" t="n">
        <v>0.24</v>
      </c>
      <c r="E188" s="16" t="n">
        <v>1350</v>
      </c>
      <c r="F188" s="16">
        <f>D188*E188</f>
        <v/>
      </c>
    </row>
    <row r="189">
      <c r="A189" s="13" t="inlineStr">
        <is>
          <t>2206</t>
        </is>
      </c>
      <c r="B189" s="14" t="inlineStr">
        <is>
          <t>Carriage of Stone aggregate 40 mm nominal size and above</t>
        </is>
      </c>
      <c r="C189" s="13" t="inlineStr">
        <is>
          <t>cum</t>
        </is>
      </c>
      <c r="D189" s="15" t="n">
        <v>0.65</v>
      </c>
      <c r="E189" s="16" t="n">
        <v>112.79</v>
      </c>
      <c r="F189" s="16">
        <f>D189*E189</f>
        <v/>
      </c>
    </row>
    <row r="190">
      <c r="A190" s="13" t="inlineStr">
        <is>
          <t>2202</t>
        </is>
      </c>
      <c r="B190" s="14" t="inlineStr">
        <is>
          <t>Carriage of Stone aggregate below 40 mm nominal size</t>
        </is>
      </c>
      <c r="C190" s="13" t="inlineStr">
        <is>
          <t>cum</t>
        </is>
      </c>
      <c r="D190" s="15" t="n">
        <v>0.24</v>
      </c>
      <c r="E190" s="16" t="n">
        <v>103.77</v>
      </c>
      <c r="F190" s="16">
        <f>D190*E190</f>
        <v/>
      </c>
    </row>
    <row r="191">
      <c r="A191" s="13" t="inlineStr">
        <is>
          <t>0982</t>
        </is>
      </c>
      <c r="B191" s="14" t="inlineStr">
        <is>
          <t>Coarse sand (zone III)</t>
        </is>
      </c>
      <c r="C191" s="13" t="inlineStr">
        <is>
          <t>cum</t>
        </is>
      </c>
      <c r="D191" s="15" t="n">
        <v>0.34</v>
      </c>
      <c r="E191" s="16" t="n">
        <v>1350</v>
      </c>
      <c r="F191" s="16">
        <f>D191*E191</f>
        <v/>
      </c>
    </row>
    <row r="192">
      <c r="A192" s="13" t="inlineStr">
        <is>
          <t>2203</t>
        </is>
      </c>
      <c r="B192" s="14" t="inlineStr">
        <is>
          <t>Carriage of Coarse sand</t>
        </is>
      </c>
      <c r="C192" s="13" t="inlineStr">
        <is>
          <t>cum</t>
        </is>
      </c>
      <c r="D192" s="15" t="n">
        <v>0.34</v>
      </c>
      <c r="E192" s="16" t="n">
        <v>103.77</v>
      </c>
      <c r="F192" s="16">
        <f>D192*E192</f>
        <v/>
      </c>
    </row>
    <row r="193">
      <c r="A193" s="13" t="inlineStr">
        <is>
          <t>1980</t>
        </is>
      </c>
      <c r="B193" s="14" t="inlineStr">
        <is>
          <t>Flyash</t>
        </is>
      </c>
      <c r="C193" s="13" t="inlineStr">
        <is>
          <t>cum</t>
        </is>
      </c>
      <c r="D193" s="15" t="n">
        <v>0.21</v>
      </c>
      <c r="E193" s="16" t="n">
        <v>10</v>
      </c>
      <c r="F193" s="16">
        <f>D193*E193</f>
        <v/>
      </c>
    </row>
    <row r="194">
      <c r="A194" s="13" t="inlineStr">
        <is>
          <t>2262</t>
        </is>
      </c>
      <c r="B194" s="14" t="inlineStr">
        <is>
          <t>Carriage of Flyash</t>
        </is>
      </c>
      <c r="C194" s="13" t="inlineStr">
        <is>
          <t>cum</t>
        </is>
      </c>
      <c r="D194" s="15" t="n">
        <v>0.21</v>
      </c>
      <c r="E194" s="16" t="n">
        <v>103.77</v>
      </c>
      <c r="F194" s="16">
        <f>D194*E194</f>
        <v/>
      </c>
    </row>
    <row r="195">
      <c r="A195" s="13" t="inlineStr">
        <is>
          <t>0367</t>
        </is>
      </c>
      <c r="B195" s="14" t="inlineStr">
        <is>
          <t>Portland Cement</t>
        </is>
      </c>
      <c r="C195" s="13" t="inlineStr">
        <is>
          <t>tonne</t>
        </is>
      </c>
      <c r="D195" s="15" t="n">
        <v>0.13</v>
      </c>
      <c r="E195" s="16" t="n">
        <v>4940</v>
      </c>
      <c r="F195" s="16">
        <f>D195*E195</f>
        <v/>
      </c>
    </row>
    <row r="196">
      <c r="A196" s="13" t="inlineStr">
        <is>
          <t>2209</t>
        </is>
      </c>
      <c r="B196" s="14" t="inlineStr">
        <is>
          <t>Carriage of Cement</t>
        </is>
      </c>
      <c r="C196" s="13" t="inlineStr">
        <is>
          <t>tonne</t>
        </is>
      </c>
      <c r="D196" s="15" t="n">
        <v>0.13</v>
      </c>
      <c r="E196" s="16" t="n">
        <v>92.23999999999999</v>
      </c>
      <c r="F196" s="16">
        <f>D196*E196</f>
        <v/>
      </c>
    </row>
    <row r="197">
      <c r="A197" s="13" t="inlineStr">
        <is>
          <t>0155</t>
        </is>
      </c>
      <c r="B197" s="14" t="inlineStr">
        <is>
          <t>Mason (average)</t>
        </is>
      </c>
      <c r="C197" s="13" t="inlineStr">
        <is>
          <t>day</t>
        </is>
      </c>
      <c r="D197" s="15" t="n">
        <v>0.1</v>
      </c>
      <c r="E197" s="16" t="n">
        <v>709</v>
      </c>
      <c r="F197" s="16">
        <f>D197*E197</f>
        <v/>
      </c>
    </row>
    <row r="198">
      <c r="A198" s="13" t="inlineStr">
        <is>
          <t>0114</t>
        </is>
      </c>
      <c r="B198" s="14" t="inlineStr">
        <is>
          <t>Beldar</t>
        </is>
      </c>
      <c r="C198" s="13" t="inlineStr">
        <is>
          <t>day</t>
        </is>
      </c>
      <c r="D198" s="15" t="n">
        <v>1.63</v>
      </c>
      <c r="E198" s="16" t="n">
        <v>558</v>
      </c>
      <c r="F198" s="16">
        <f>D198*E198</f>
        <v/>
      </c>
    </row>
    <row r="199">
      <c r="A199" s="13" t="inlineStr">
        <is>
          <t>0101</t>
        </is>
      </c>
      <c r="B199" s="14" t="inlineStr">
        <is>
          <t>Bhisti</t>
        </is>
      </c>
      <c r="C199" s="13" t="inlineStr">
        <is>
          <t>day</t>
        </is>
      </c>
      <c r="D199" s="15" t="n">
        <v>0.7</v>
      </c>
      <c r="E199" s="16" t="n">
        <v>617</v>
      </c>
      <c r="F199" s="16">
        <f>D199*E199</f>
        <v/>
      </c>
    </row>
    <row r="200">
      <c r="A200" s="13" t="inlineStr">
        <is>
          <t>0002</t>
        </is>
      </c>
      <c r="B200" s="14" t="inlineStr">
        <is>
          <t>Hire charges of Concrete Mixer 0.25 to 0.40 cum with hooper</t>
        </is>
      </c>
      <c r="C200" s="13" t="inlineStr">
        <is>
          <t>day</t>
        </is>
      </c>
      <c r="D200" s="15" t="n">
        <v>0.07000000000000001</v>
      </c>
      <c r="E200" s="16" t="n">
        <v>800</v>
      </c>
      <c r="F200" s="16">
        <f>D200*E200</f>
        <v/>
      </c>
    </row>
    <row r="201">
      <c r="A201" s="13" t="inlineStr">
        <is>
          <t>0012</t>
        </is>
      </c>
      <c r="B201" s="14" t="inlineStr">
        <is>
          <t>Vibrator(Needle type 40mm)</t>
        </is>
      </c>
      <c r="C201" s="13" t="inlineStr">
        <is>
          <t>day</t>
        </is>
      </c>
      <c r="D201" s="15" t="n">
        <v>0.07000000000000001</v>
      </c>
      <c r="E201" s="16" t="n">
        <v>370</v>
      </c>
      <c r="F201" s="16">
        <f>D201*E201</f>
        <v/>
      </c>
    </row>
    <row r="202">
      <c r="A202" s="13" t="inlineStr">
        <is>
          <t>9999</t>
        </is>
      </c>
      <c r="B202" s="14" t="inlineStr">
        <is>
          <t>Sundries</t>
        </is>
      </c>
      <c r="C202" s="13" t="inlineStr">
        <is>
          <t>L.S.</t>
        </is>
      </c>
      <c r="D202" s="15" t="n">
        <v>14.3</v>
      </c>
      <c r="E202" s="16" t="n">
        <v>2</v>
      </c>
      <c r="F202" s="16">
        <f>D202*E202</f>
        <v/>
      </c>
    </row>
    <row r="203">
      <c r="A203" s="17" t="inlineStr">
        <is>
          <t>Resource Total (Material + Labour + Machinery, as printed)</t>
        </is>
      </c>
      <c r="B203" s="18" t="n"/>
      <c r="C203" s="18" t="n"/>
      <c r="D203" s="18" t="n"/>
      <c r="E203" s="18" t="n"/>
      <c r="F203" s="19">
        <f>SUM(F187:F202)</f>
        <v/>
      </c>
    </row>
    <row r="204">
      <c r="A204" s="20" t="inlineStr">
        <is>
          <t>SAY (Rs.) — final DAR rate</t>
        </is>
      </c>
      <c r="B204" s="21" t="n"/>
      <c r="C204" s="21" t="n"/>
      <c r="D204" s="21" t="n"/>
      <c r="E204" s="21" t="n"/>
      <c r="F204" s="22" t="n">
        <v>5301.45</v>
      </c>
    </row>
    <row r="206" ht="28" customHeight="1">
      <c r="A206" s="9" t="inlineStr">
        <is>
          <t>4.2.2</t>
        </is>
      </c>
      <c r="B206" s="10" t="inlineStr">
        <is>
          <t>1:1½:3 (1 cement : 1½ coarse sand (zone-III) : 3 graded stone aggregate 20 mm nominal size).</t>
        </is>
      </c>
      <c r="C206" s="11" t="n"/>
      <c r="D206" s="11" t="n"/>
      <c r="E206" s="11" t="n"/>
      <c r="F206" s="11" t="n"/>
    </row>
    <row r="207">
      <c r="A207" s="12" t="inlineStr">
        <is>
          <t>Rate basis: per cum  (source: cost for 1 cum)</t>
        </is>
      </c>
    </row>
    <row r="208">
      <c r="A208" s="5" t="inlineStr">
        <is>
          <t>Code</t>
        </is>
      </c>
      <c r="B208" s="5" t="inlineStr">
        <is>
          <t>Description</t>
        </is>
      </c>
      <c r="C208" s="5" t="inlineStr">
        <is>
          <t>Unit</t>
        </is>
      </c>
      <c r="D208" s="5" t="inlineStr">
        <is>
          <t>Quantity</t>
        </is>
      </c>
      <c r="E208" s="5" t="inlineStr">
        <is>
          <t>Rate (Rs.)</t>
        </is>
      </c>
      <c r="F208" s="5" t="inlineStr">
        <is>
          <t>Amount (Rs.)</t>
        </is>
      </c>
    </row>
    <row r="209">
      <c r="A209" s="13" t="inlineStr">
        <is>
          <t>0295</t>
        </is>
      </c>
      <c r="B209" s="14" t="inlineStr">
        <is>
          <t>Stone Aggregate (Single size) : 20 mm nominal size</t>
        </is>
      </c>
      <c r="C209" s="13" t="inlineStr">
        <is>
          <t>cum</t>
        </is>
      </c>
      <c r="D209" s="15" t="n">
        <v>0.57</v>
      </c>
      <c r="E209" s="16" t="n">
        <v>1350</v>
      </c>
      <c r="F209" s="16">
        <f>D209*E209</f>
        <v/>
      </c>
    </row>
    <row r="210">
      <c r="A210" s="13" t="inlineStr">
        <is>
          <t>0297</t>
        </is>
      </c>
      <c r="B210" s="14" t="inlineStr">
        <is>
          <t>Stone Aggregate (Single size) : 10 mm nominal size</t>
        </is>
      </c>
      <c r="C210" s="13" t="inlineStr">
        <is>
          <t>cum</t>
        </is>
      </c>
      <c r="D210" s="15" t="n">
        <v>0.28</v>
      </c>
      <c r="E210" s="16" t="n">
        <v>1350</v>
      </c>
      <c r="F210" s="16">
        <f>D210*E210</f>
        <v/>
      </c>
    </row>
    <row r="211">
      <c r="A211" s="13" t="inlineStr">
        <is>
          <t>2202</t>
        </is>
      </c>
      <c r="B211" s="14" t="inlineStr">
        <is>
          <t>Carriage of Stone aggregate below 40 mm nominal size</t>
        </is>
      </c>
      <c r="C211" s="13" t="inlineStr">
        <is>
          <t>cum</t>
        </is>
      </c>
      <c r="D211" s="15" t="n">
        <v>0.85</v>
      </c>
      <c r="E211" s="16" t="n">
        <v>103.77</v>
      </c>
      <c r="F211" s="16">
        <f>D211*E211</f>
        <v/>
      </c>
    </row>
    <row r="212">
      <c r="A212" s="13" t="inlineStr">
        <is>
          <t>0982</t>
        </is>
      </c>
      <c r="B212" s="14" t="inlineStr">
        <is>
          <t>Coarse sand (zone III)</t>
        </is>
      </c>
      <c r="C212" s="13" t="inlineStr">
        <is>
          <t>cum</t>
        </is>
      </c>
      <c r="D212" s="15" t="n">
        <v>0.425</v>
      </c>
      <c r="E212" s="16" t="n">
        <v>1350</v>
      </c>
      <c r="F212" s="16">
        <f>D212*E212</f>
        <v/>
      </c>
    </row>
    <row r="213">
      <c r="A213" s="13" t="inlineStr">
        <is>
          <t>2203</t>
        </is>
      </c>
      <c r="B213" s="14" t="inlineStr">
        <is>
          <t>Carriage of Coarse sand</t>
        </is>
      </c>
      <c r="C213" s="13" t="inlineStr">
        <is>
          <t>cum</t>
        </is>
      </c>
      <c r="D213" s="15" t="n">
        <v>0.425</v>
      </c>
      <c r="E213" s="16" t="n">
        <v>103.77</v>
      </c>
      <c r="F213" s="16">
        <f>D213*E213</f>
        <v/>
      </c>
    </row>
    <row r="214">
      <c r="A214" s="13" t="inlineStr">
        <is>
          <t>0367</t>
        </is>
      </c>
      <c r="B214" s="14" t="inlineStr">
        <is>
          <t>Portland Cement (0.2833 cum)</t>
        </is>
      </c>
      <c r="C214" s="13" t="inlineStr">
        <is>
          <t>tonne</t>
        </is>
      </c>
      <c r="D214" s="15" t="n">
        <v>0.4</v>
      </c>
      <c r="E214" s="16" t="n">
        <v>4940</v>
      </c>
      <c r="F214" s="16">
        <f>D214*E214</f>
        <v/>
      </c>
    </row>
    <row r="215">
      <c r="A215" s="13" t="inlineStr">
        <is>
          <t>2209</t>
        </is>
      </c>
      <c r="B215" s="14" t="inlineStr">
        <is>
          <t>Carriage of Cement</t>
        </is>
      </c>
      <c r="C215" s="13" t="inlineStr">
        <is>
          <t>tonne</t>
        </is>
      </c>
      <c r="D215" s="15" t="n">
        <v>0.4</v>
      </c>
      <c r="E215" s="16" t="n">
        <v>92.23999999999999</v>
      </c>
      <c r="F215" s="16">
        <f>D215*E215</f>
        <v/>
      </c>
    </row>
    <row r="216">
      <c r="A216" s="13" t="inlineStr">
        <is>
          <t>0114</t>
        </is>
      </c>
      <c r="B216" s="14" t="inlineStr">
        <is>
          <t>Beldar</t>
        </is>
      </c>
      <c r="C216" s="13" t="inlineStr">
        <is>
          <t>day</t>
        </is>
      </c>
      <c r="D216" s="15" t="n">
        <v>0.9</v>
      </c>
      <c r="E216" s="16" t="n">
        <v>558</v>
      </c>
      <c r="F216" s="16">
        <f>D216*E216</f>
        <v/>
      </c>
    </row>
    <row r="217">
      <c r="A217" s="13" t="inlineStr">
        <is>
          <t>0115</t>
        </is>
      </c>
      <c r="B217" s="14" t="inlineStr">
        <is>
          <t>Coolie</t>
        </is>
      </c>
      <c r="C217" s="13" t="inlineStr">
        <is>
          <t>day</t>
        </is>
      </c>
      <c r="D217" s="15" t="n">
        <v>0.78</v>
      </c>
      <c r="E217" s="16" t="n">
        <v>558</v>
      </c>
      <c r="F217" s="16">
        <f>D217*E217</f>
        <v/>
      </c>
    </row>
    <row r="218">
      <c r="A218" s="13" t="inlineStr">
        <is>
          <t>0101</t>
        </is>
      </c>
      <c r="B218" s="14" t="inlineStr">
        <is>
          <t>Bhisti</t>
        </is>
      </c>
      <c r="C218" s="13" t="inlineStr">
        <is>
          <t>day</t>
        </is>
      </c>
      <c r="D218" s="15" t="n">
        <v>0.7</v>
      </c>
      <c r="E218" s="16" t="n">
        <v>617</v>
      </c>
      <c r="F218" s="16">
        <f>D218*E218</f>
        <v/>
      </c>
    </row>
    <row r="219">
      <c r="A219" s="13" t="inlineStr">
        <is>
          <t>0123</t>
        </is>
      </c>
      <c r="B219" s="14" t="inlineStr">
        <is>
          <t>Mason (brick layer) 1st class</t>
        </is>
      </c>
      <c r="C219" s="13" t="inlineStr">
        <is>
          <t>day</t>
        </is>
      </c>
      <c r="D219" s="15" t="n">
        <v>0.06</v>
      </c>
      <c r="E219" s="16" t="n">
        <v>738</v>
      </c>
      <c r="F219" s="16">
        <f>D219*E219</f>
        <v/>
      </c>
    </row>
    <row r="220">
      <c r="A220" s="13" t="inlineStr">
        <is>
          <t>0124</t>
        </is>
      </c>
      <c r="B220" s="14" t="inlineStr">
        <is>
          <t>Mason (brick layer) 2nd class</t>
        </is>
      </c>
      <c r="C220" s="13" t="inlineStr">
        <is>
          <t>day</t>
        </is>
      </c>
      <c r="D220" s="15" t="n">
        <v>0.06</v>
      </c>
      <c r="E220" s="16" t="n">
        <v>679</v>
      </c>
      <c r="F220" s="16">
        <f>D220*E220</f>
        <v/>
      </c>
    </row>
    <row r="221">
      <c r="A221" s="13" t="inlineStr">
        <is>
          <t>0002</t>
        </is>
      </c>
      <c r="B221" s="14" t="inlineStr">
        <is>
          <t>Hire charges of Concrete Mixer 0.25 to 0.40 cum with hooper</t>
        </is>
      </c>
      <c r="C221" s="13" t="inlineStr">
        <is>
          <t>day</t>
        </is>
      </c>
      <c r="D221" s="15" t="n">
        <v>0.07000000000000001</v>
      </c>
      <c r="E221" s="16" t="n">
        <v>800</v>
      </c>
      <c r="F221" s="16">
        <f>D221*E221</f>
        <v/>
      </c>
    </row>
    <row r="222">
      <c r="A222" s="13" t="inlineStr">
        <is>
          <t>0012</t>
        </is>
      </c>
      <c r="B222" s="14" t="inlineStr">
        <is>
          <t>Vibrator(Needle type 40mm)</t>
        </is>
      </c>
      <c r="C222" s="13" t="inlineStr">
        <is>
          <t>day</t>
        </is>
      </c>
      <c r="D222" s="15" t="n">
        <v>0.07000000000000001</v>
      </c>
      <c r="E222" s="16" t="n">
        <v>370</v>
      </c>
      <c r="F222" s="16">
        <f>D222*E222</f>
        <v/>
      </c>
    </row>
    <row r="223">
      <c r="A223" s="13" t="inlineStr">
        <is>
          <t>9999</t>
        </is>
      </c>
      <c r="B223" s="14" t="inlineStr">
        <is>
          <t>Scaffolding</t>
        </is>
      </c>
      <c r="C223" s="13" t="inlineStr">
        <is>
          <t>L.S.</t>
        </is>
      </c>
      <c r="D223" s="15" t="n">
        <v>114.4</v>
      </c>
      <c r="E223" s="16" t="n">
        <v>2</v>
      </c>
      <c r="F223" s="16">
        <f>D223*E223</f>
        <v/>
      </c>
    </row>
    <row r="224">
      <c r="A224" s="13" t="inlineStr">
        <is>
          <t>9999</t>
        </is>
      </c>
      <c r="B224" s="14" t="inlineStr">
        <is>
          <t>Sundries</t>
        </is>
      </c>
      <c r="C224" s="13" t="inlineStr">
        <is>
          <t>L.S.</t>
        </is>
      </c>
      <c r="D224" s="15" t="n">
        <v>14.3</v>
      </c>
      <c r="E224" s="16" t="n">
        <v>2</v>
      </c>
      <c r="F224" s="16">
        <f>D224*E224</f>
        <v/>
      </c>
    </row>
    <row r="225">
      <c r="A225" s="13" t="inlineStr">
        <is>
          <t>0115</t>
        </is>
      </c>
      <c r="B225" s="14" t="inlineStr">
        <is>
          <t>Coolie</t>
        </is>
      </c>
      <c r="C225" s="13" t="inlineStr">
        <is>
          <t>day</t>
        </is>
      </c>
      <c r="D225" s="15" t="n">
        <v>1.88</v>
      </c>
      <c r="E225" s="16" t="n">
        <v>558</v>
      </c>
      <c r="F225" s="16">
        <f>D225*E225</f>
        <v/>
      </c>
    </row>
    <row r="226">
      <c r="A226" s="17" t="inlineStr">
        <is>
          <t>Resource Total (Material + Labour + Machinery, as printed)</t>
        </is>
      </c>
      <c r="B226" s="18" t="n"/>
      <c r="C226" s="18" t="n"/>
      <c r="D226" s="18" t="n"/>
      <c r="E226" s="18" t="n"/>
      <c r="F226" s="19">
        <f>SUM(F209:F225)</f>
        <v/>
      </c>
    </row>
    <row r="227">
      <c r="A227" s="20" t="inlineStr">
        <is>
          <t>SAY (Rs.) — final DAR rate</t>
        </is>
      </c>
      <c r="B227" s="21" t="n"/>
      <c r="C227" s="21" t="n"/>
      <c r="D227" s="21" t="n"/>
      <c r="E227" s="21" t="n"/>
      <c r="F227" s="22" t="n">
        <v>8976.450000000001</v>
      </c>
    </row>
    <row r="229" ht="18" customHeight="1">
      <c r="A229" s="9" t="inlineStr">
        <is>
          <t>4.2.3</t>
        </is>
      </c>
      <c r="B229" s="10" t="inlineStr">
        <is>
          <t>1:2:4 (1 Cement : 2 coarse sand (zone-III) : 4 graded stone aggregate 20 mm nominal size)</t>
        </is>
      </c>
      <c r="C229" s="11" t="n"/>
      <c r="D229" s="11" t="n"/>
      <c r="E229" s="11" t="n"/>
      <c r="F229" s="11" t="n"/>
    </row>
    <row r="230">
      <c r="A230" s="12" t="inlineStr">
        <is>
          <t>Rate basis: per cum  (source: cost for 1 cum)</t>
        </is>
      </c>
    </row>
    <row r="231">
      <c r="A231" s="5" t="inlineStr">
        <is>
          <t>Code</t>
        </is>
      </c>
      <c r="B231" s="5" t="inlineStr">
        <is>
          <t>Description</t>
        </is>
      </c>
      <c r="C231" s="5" t="inlineStr">
        <is>
          <t>Unit</t>
        </is>
      </c>
      <c r="D231" s="5" t="inlineStr">
        <is>
          <t>Quantity</t>
        </is>
      </c>
      <c r="E231" s="5" t="inlineStr">
        <is>
          <t>Rate (Rs.)</t>
        </is>
      </c>
      <c r="F231" s="5" t="inlineStr">
        <is>
          <t>Amount (Rs.)</t>
        </is>
      </c>
    </row>
    <row r="232">
      <c r="A232" s="13" t="inlineStr">
        <is>
          <t>0295</t>
        </is>
      </c>
      <c r="B232" s="14" t="inlineStr">
        <is>
          <t>Stone Aggregate (Single size) : 20 mm nominal size</t>
        </is>
      </c>
      <c r="C232" s="13" t="inlineStr">
        <is>
          <t>cum</t>
        </is>
      </c>
      <c r="D232" s="15" t="n">
        <v>0.67</v>
      </c>
      <c r="E232" s="16" t="n">
        <v>1350</v>
      </c>
      <c r="F232" s="16">
        <f>D232*E232</f>
        <v/>
      </c>
    </row>
    <row r="233">
      <c r="A233" s="13" t="inlineStr">
        <is>
          <t>0297</t>
        </is>
      </c>
      <c r="B233" s="14" t="inlineStr">
        <is>
          <t>Stone Aggregate (Single size) : 10 mm nominal size</t>
        </is>
      </c>
      <c r="C233" s="13" t="inlineStr">
        <is>
          <t>cum</t>
        </is>
      </c>
      <c r="D233" s="15" t="n">
        <v>0.22</v>
      </c>
      <c r="E233" s="16" t="n">
        <v>1350</v>
      </c>
      <c r="F233" s="16">
        <f>D233*E233</f>
        <v/>
      </c>
    </row>
    <row r="234">
      <c r="A234" s="13" t="inlineStr">
        <is>
          <t>2202</t>
        </is>
      </c>
      <c r="B234" s="14" t="inlineStr">
        <is>
          <t>Carriage of Stone aggregate below 40 mm nominal size</t>
        </is>
      </c>
      <c r="C234" s="13" t="inlineStr">
        <is>
          <t>cum</t>
        </is>
      </c>
      <c r="D234" s="15" t="n">
        <v>0.89</v>
      </c>
      <c r="E234" s="16" t="n">
        <v>103.77</v>
      </c>
      <c r="F234" s="16">
        <f>D234*E234</f>
        <v/>
      </c>
    </row>
    <row r="235">
      <c r="A235" s="13" t="inlineStr">
        <is>
          <t>0982</t>
        </is>
      </c>
      <c r="B235" s="14" t="inlineStr">
        <is>
          <t>Coarse sand (zone III)</t>
        </is>
      </c>
      <c r="C235" s="13" t="inlineStr">
        <is>
          <t>cum</t>
        </is>
      </c>
      <c r="D235" s="15" t="n">
        <v>0.445</v>
      </c>
      <c r="E235" s="16" t="n">
        <v>1350</v>
      </c>
      <c r="F235" s="16">
        <f>D235*E235</f>
        <v/>
      </c>
    </row>
    <row r="236">
      <c r="A236" s="13" t="inlineStr">
        <is>
          <t>2203</t>
        </is>
      </c>
      <c r="B236" s="14" t="inlineStr">
        <is>
          <t>Carriage of Coarse sand</t>
        </is>
      </c>
      <c r="C236" s="13" t="inlineStr">
        <is>
          <t>cum</t>
        </is>
      </c>
      <c r="D236" s="15" t="n">
        <v>0.445</v>
      </c>
      <c r="E236" s="16" t="n">
        <v>103.77</v>
      </c>
      <c r="F236" s="16">
        <f>D236*E236</f>
        <v/>
      </c>
    </row>
    <row r="237">
      <c r="A237" s="13" t="inlineStr">
        <is>
          <t>0367</t>
        </is>
      </c>
      <c r="B237" s="14" t="inlineStr">
        <is>
          <t>Portland Cement (0.2833 cum)</t>
        </is>
      </c>
      <c r="C237" s="13" t="inlineStr">
        <is>
          <t>tonne</t>
        </is>
      </c>
      <c r="D237" s="15" t="n">
        <v>0.32</v>
      </c>
      <c r="E237" s="16" t="n">
        <v>4940</v>
      </c>
      <c r="F237" s="16">
        <f>D237*E237</f>
        <v/>
      </c>
    </row>
    <row r="238">
      <c r="A238" s="13" t="inlineStr">
        <is>
          <t>2209</t>
        </is>
      </c>
      <c r="B238" s="14" t="inlineStr">
        <is>
          <t>Carriage of Cement</t>
        </is>
      </c>
      <c r="C238" s="13" t="inlineStr">
        <is>
          <t>tonne</t>
        </is>
      </c>
      <c r="D238" s="15" t="n">
        <v>0.32</v>
      </c>
      <c r="E238" s="16" t="n">
        <v>92.23999999999999</v>
      </c>
      <c r="F238" s="16">
        <f>D238*E238</f>
        <v/>
      </c>
    </row>
    <row r="239">
      <c r="A239" s="13" t="inlineStr">
        <is>
          <t>0114</t>
        </is>
      </c>
      <c r="B239" s="14" t="inlineStr">
        <is>
          <t>Beldar</t>
        </is>
      </c>
      <c r="C239" s="13" t="inlineStr">
        <is>
          <t>day</t>
        </is>
      </c>
      <c r="D239" s="15" t="n">
        <v>0.9</v>
      </c>
      <c r="E239" s="16" t="n">
        <v>558</v>
      </c>
      <c r="F239" s="16">
        <f>D239*E239</f>
        <v/>
      </c>
    </row>
    <row r="240">
      <c r="A240" s="13" t="inlineStr">
        <is>
          <t>0115</t>
        </is>
      </c>
      <c r="B240" s="14" t="inlineStr">
        <is>
          <t>Coolie</t>
        </is>
      </c>
      <c r="C240" s="13" t="inlineStr">
        <is>
          <t>day</t>
        </is>
      </c>
      <c r="D240" s="15" t="n">
        <v>0.78</v>
      </c>
      <c r="E240" s="16" t="n">
        <v>558</v>
      </c>
      <c r="F240" s="16">
        <f>D240*E240</f>
        <v/>
      </c>
    </row>
    <row r="241">
      <c r="A241" s="13" t="inlineStr">
        <is>
          <t>0101</t>
        </is>
      </c>
      <c r="B241" s="14" t="inlineStr">
        <is>
          <t>Bhisti</t>
        </is>
      </c>
      <c r="C241" s="13" t="inlineStr">
        <is>
          <t>day</t>
        </is>
      </c>
      <c r="D241" s="15" t="n">
        <v>0.7</v>
      </c>
      <c r="E241" s="16" t="n">
        <v>617</v>
      </c>
      <c r="F241" s="16">
        <f>D241*E241</f>
        <v/>
      </c>
    </row>
    <row r="242">
      <c r="A242" s="13" t="inlineStr">
        <is>
          <t>0123</t>
        </is>
      </c>
      <c r="B242" s="14" t="inlineStr">
        <is>
          <t>Mason (brick layer) 1st class</t>
        </is>
      </c>
      <c r="C242" s="13" t="inlineStr">
        <is>
          <t>day</t>
        </is>
      </c>
      <c r="D242" s="15" t="n">
        <v>0.06</v>
      </c>
      <c r="E242" s="16" t="n">
        <v>738</v>
      </c>
      <c r="F242" s="16">
        <f>D242*E242</f>
        <v/>
      </c>
    </row>
    <row r="243">
      <c r="A243" s="13" t="inlineStr">
        <is>
          <t>0124</t>
        </is>
      </c>
      <c r="B243" s="14" t="inlineStr">
        <is>
          <t>Mason (brick layer) 2nd class</t>
        </is>
      </c>
      <c r="C243" s="13" t="inlineStr">
        <is>
          <t>day</t>
        </is>
      </c>
      <c r="D243" s="15" t="n">
        <v>0.06</v>
      </c>
      <c r="E243" s="16" t="n">
        <v>679</v>
      </c>
      <c r="F243" s="16">
        <f>D243*E243</f>
        <v/>
      </c>
    </row>
    <row r="244">
      <c r="A244" s="13" t="inlineStr">
        <is>
          <t>0002</t>
        </is>
      </c>
      <c r="B244" s="14" t="inlineStr">
        <is>
          <t>Hire charges of Concrete Mixer 0.25 to 0.40 cum with hooper</t>
        </is>
      </c>
      <c r="C244" s="13" t="inlineStr">
        <is>
          <t>day</t>
        </is>
      </c>
      <c r="D244" s="15" t="n">
        <v>0.07000000000000001</v>
      </c>
      <c r="E244" s="16" t="n">
        <v>800</v>
      </c>
      <c r="F244" s="16">
        <f>D244*E244</f>
        <v/>
      </c>
    </row>
    <row r="245">
      <c r="A245" s="13" t="inlineStr">
        <is>
          <t>0012</t>
        </is>
      </c>
      <c r="B245" s="14" t="inlineStr">
        <is>
          <t>Vibrator(Needle type 40mm)</t>
        </is>
      </c>
      <c r="C245" s="13" t="inlineStr">
        <is>
          <t>day</t>
        </is>
      </c>
      <c r="D245" s="15" t="n">
        <v>0.07000000000000001</v>
      </c>
      <c r="E245" s="16" t="n">
        <v>370</v>
      </c>
      <c r="F245" s="16">
        <f>D245*E245</f>
        <v/>
      </c>
    </row>
    <row r="246">
      <c r="A246" s="13" t="inlineStr">
        <is>
          <t>9999</t>
        </is>
      </c>
      <c r="B246" s="14" t="inlineStr">
        <is>
          <t>Scaffolding</t>
        </is>
      </c>
      <c r="C246" s="13" t="inlineStr">
        <is>
          <t>L.S.</t>
        </is>
      </c>
      <c r="D246" s="15" t="n">
        <v>114.4</v>
      </c>
      <c r="E246" s="16" t="n">
        <v>2</v>
      </c>
      <c r="F246" s="16">
        <f>D246*E246</f>
        <v/>
      </c>
    </row>
    <row r="247">
      <c r="A247" s="13" t="inlineStr">
        <is>
          <t>9999</t>
        </is>
      </c>
      <c r="B247" s="14" t="inlineStr">
        <is>
          <t>Sundries</t>
        </is>
      </c>
      <c r="C247" s="13" t="inlineStr">
        <is>
          <t>L.S.</t>
        </is>
      </c>
      <c r="D247" s="15" t="n">
        <v>14.3</v>
      </c>
      <c r="E247" s="16" t="n">
        <v>2</v>
      </c>
      <c r="F247" s="16">
        <f>D247*E247</f>
        <v/>
      </c>
    </row>
    <row r="248">
      <c r="A248" s="13" t="inlineStr">
        <is>
          <t>0115</t>
        </is>
      </c>
      <c r="B248" s="14" t="inlineStr">
        <is>
          <t>Coolie</t>
        </is>
      </c>
      <c r="C248" s="13" t="inlineStr">
        <is>
          <t>day</t>
        </is>
      </c>
      <c r="D248" s="15" t="n">
        <v>1.88</v>
      </c>
      <c r="E248" s="16" t="n">
        <v>558</v>
      </c>
      <c r="F248" s="16">
        <f>D248*E248</f>
        <v/>
      </c>
    </row>
    <row r="249">
      <c r="A249" s="17" t="inlineStr">
        <is>
          <t>Resource Total (Material + Labour + Machinery, as printed)</t>
        </is>
      </c>
      <c r="B249" s="18" t="n"/>
      <c r="C249" s="18" t="n"/>
      <c r="D249" s="18" t="n"/>
      <c r="E249" s="18" t="n"/>
      <c r="F249" s="19">
        <f>SUM(F232:F248)</f>
        <v/>
      </c>
    </row>
    <row r="250">
      <c r="A250" s="20" t="inlineStr">
        <is>
          <t>SAY (Rs.) — final DAR rate</t>
        </is>
      </c>
      <c r="B250" s="21" t="n"/>
      <c r="C250" s="21" t="n"/>
      <c r="D250" s="21" t="n"/>
      <c r="E250" s="21" t="n"/>
      <c r="F250" s="22" t="n">
        <v>8554.5</v>
      </c>
    </row>
    <row r="252" ht="18" customHeight="1">
      <c r="A252" s="9" t="inlineStr">
        <is>
          <t>4.2.5</t>
        </is>
      </c>
      <c r="B252" s="10" t="inlineStr">
        <is>
          <t>1:3:6 (1 cement : 3 coarse sand (zone-III) : 6 graded stone aggregate 20 mm nominal size)</t>
        </is>
      </c>
      <c r="C252" s="11" t="n"/>
      <c r="D252" s="11" t="n"/>
      <c r="E252" s="11" t="n"/>
      <c r="F252" s="11" t="n"/>
    </row>
    <row r="253">
      <c r="A253" s="12" t="inlineStr">
        <is>
          <t>Rate basis: per cum  (source: cost for 1 cum)</t>
        </is>
      </c>
    </row>
    <row r="254">
      <c r="A254" s="5" t="inlineStr">
        <is>
          <t>Code</t>
        </is>
      </c>
      <c r="B254" s="5" t="inlineStr">
        <is>
          <t>Description</t>
        </is>
      </c>
      <c r="C254" s="5" t="inlineStr">
        <is>
          <t>Unit</t>
        </is>
      </c>
      <c r="D254" s="5" t="inlineStr">
        <is>
          <t>Quantity</t>
        </is>
      </c>
      <c r="E254" s="5" t="inlineStr">
        <is>
          <t>Rate (Rs.)</t>
        </is>
      </c>
      <c r="F254" s="5" t="inlineStr">
        <is>
          <t>Amount (Rs.)</t>
        </is>
      </c>
    </row>
    <row r="255">
      <c r="A255" s="13" t="inlineStr">
        <is>
          <t>0295</t>
        </is>
      </c>
      <c r="B255" s="14" t="inlineStr">
        <is>
          <t>Stone Aggregate (Single size) : 20 mm nominal size</t>
        </is>
      </c>
      <c r="C255" s="13" t="inlineStr">
        <is>
          <t>cum</t>
        </is>
      </c>
      <c r="D255" s="15" t="n">
        <v>0.7</v>
      </c>
      <c r="E255" s="16" t="n">
        <v>1350</v>
      </c>
      <c r="F255" s="16">
        <f>D255*E255</f>
        <v/>
      </c>
    </row>
    <row r="256">
      <c r="A256" s="13" t="inlineStr">
        <is>
          <t>0297</t>
        </is>
      </c>
      <c r="B256" s="14" t="inlineStr">
        <is>
          <t>Stone Aggregate (Single size) : 10 mm nominal size</t>
        </is>
      </c>
      <c r="C256" s="13" t="inlineStr">
        <is>
          <t>cum</t>
        </is>
      </c>
      <c r="D256" s="15" t="n">
        <v>0.24</v>
      </c>
      <c r="E256" s="16" t="n">
        <v>1350</v>
      </c>
      <c r="F256" s="16">
        <f>D256*E256</f>
        <v/>
      </c>
    </row>
    <row r="257">
      <c r="A257" s="13" t="inlineStr">
        <is>
          <t>2202</t>
        </is>
      </c>
      <c r="B257" s="14" t="inlineStr">
        <is>
          <t>Carriage of Stone aggregate below 40 mm nominal size</t>
        </is>
      </c>
      <c r="C257" s="13" t="inlineStr">
        <is>
          <t>cum</t>
        </is>
      </c>
      <c r="D257" s="15" t="n">
        <v>0.9399999999999999</v>
      </c>
      <c r="E257" s="16" t="n">
        <v>103.77</v>
      </c>
      <c r="F257" s="16">
        <f>D257*E257</f>
        <v/>
      </c>
    </row>
    <row r="258">
      <c r="A258" s="13" t="inlineStr">
        <is>
          <t>0982</t>
        </is>
      </c>
      <c r="B258" s="14" t="inlineStr">
        <is>
          <t>Coarse sand (zone III)</t>
        </is>
      </c>
      <c r="C258" s="13" t="inlineStr">
        <is>
          <t>cum</t>
        </is>
      </c>
      <c r="D258" s="15" t="n">
        <v>0.47</v>
      </c>
      <c r="E258" s="16" t="n">
        <v>1350</v>
      </c>
      <c r="F258" s="16">
        <f>D258*E258</f>
        <v/>
      </c>
    </row>
    <row r="259">
      <c r="A259" s="13" t="inlineStr">
        <is>
          <t>2203</t>
        </is>
      </c>
      <c r="B259" s="14" t="inlineStr">
        <is>
          <t>Carriage of Coarse sand</t>
        </is>
      </c>
      <c r="C259" s="13" t="inlineStr">
        <is>
          <t>cum</t>
        </is>
      </c>
      <c r="D259" s="15" t="n">
        <v>0.47</v>
      </c>
      <c r="E259" s="16" t="n">
        <v>103.77</v>
      </c>
      <c r="F259" s="16">
        <f>D259*E259</f>
        <v/>
      </c>
    </row>
    <row r="260">
      <c r="A260" s="13" t="inlineStr">
        <is>
          <t>0367</t>
        </is>
      </c>
      <c r="B260" s="14" t="inlineStr">
        <is>
          <t>Portland Cement (0.15674 cum)</t>
        </is>
      </c>
      <c r="C260" s="13" t="inlineStr">
        <is>
          <t>tonne</t>
        </is>
      </c>
      <c r="D260" s="15" t="n">
        <v>0.22</v>
      </c>
      <c r="E260" s="16" t="n">
        <v>4940</v>
      </c>
      <c r="F260" s="16">
        <f>D260*E260</f>
        <v/>
      </c>
    </row>
    <row r="261">
      <c r="A261" s="13" t="inlineStr">
        <is>
          <t>2209</t>
        </is>
      </c>
      <c r="B261" s="14" t="inlineStr">
        <is>
          <t>Carriage of Cement</t>
        </is>
      </c>
      <c r="C261" s="13" t="inlineStr">
        <is>
          <t>tonne</t>
        </is>
      </c>
      <c r="D261" s="15" t="n">
        <v>0.22</v>
      </c>
      <c r="E261" s="16" t="n">
        <v>92.23999999999999</v>
      </c>
      <c r="F261" s="16">
        <f>D261*E261</f>
        <v/>
      </c>
    </row>
    <row r="262">
      <c r="A262" s="13" t="inlineStr">
        <is>
          <t>0114</t>
        </is>
      </c>
      <c r="B262" s="14" t="inlineStr">
        <is>
          <t>Beldar</t>
        </is>
      </c>
      <c r="C262" s="13" t="inlineStr">
        <is>
          <t>day</t>
        </is>
      </c>
      <c r="D262" s="15" t="n">
        <v>0.9</v>
      </c>
      <c r="E262" s="16" t="n">
        <v>558</v>
      </c>
      <c r="F262" s="16">
        <f>D262*E262</f>
        <v/>
      </c>
    </row>
    <row r="263">
      <c r="A263" s="13" t="inlineStr">
        <is>
          <t>0115</t>
        </is>
      </c>
      <c r="B263" s="14" t="inlineStr">
        <is>
          <t>Coolie</t>
        </is>
      </c>
      <c r="C263" s="13" t="inlineStr">
        <is>
          <t>day</t>
        </is>
      </c>
      <c r="D263" s="15" t="n">
        <v>0.78</v>
      </c>
      <c r="E263" s="16" t="n">
        <v>558</v>
      </c>
      <c r="F263" s="16">
        <f>D263*E263</f>
        <v/>
      </c>
    </row>
    <row r="264">
      <c r="A264" s="13" t="inlineStr">
        <is>
          <t>0101</t>
        </is>
      </c>
      <c r="B264" s="14" t="inlineStr">
        <is>
          <t>Bhisti</t>
        </is>
      </c>
      <c r="C264" s="13" t="inlineStr">
        <is>
          <t>day</t>
        </is>
      </c>
      <c r="D264" s="15" t="n">
        <v>0.7</v>
      </c>
      <c r="E264" s="16" t="n">
        <v>617</v>
      </c>
      <c r="F264" s="16">
        <f>D264*E264</f>
        <v/>
      </c>
    </row>
    <row r="265">
      <c r="A265" s="13" t="inlineStr">
        <is>
          <t>0123</t>
        </is>
      </c>
      <c r="B265" s="14" t="inlineStr">
        <is>
          <t>Mason (brick layer) 1st class</t>
        </is>
      </c>
      <c r="C265" s="13" t="inlineStr">
        <is>
          <t>day</t>
        </is>
      </c>
      <c r="D265" s="15" t="n">
        <v>0.06</v>
      </c>
      <c r="E265" s="16" t="n">
        <v>738</v>
      </c>
      <c r="F265" s="16">
        <f>D265*E265</f>
        <v/>
      </c>
    </row>
    <row r="266">
      <c r="A266" s="13" t="inlineStr">
        <is>
          <t>0124</t>
        </is>
      </c>
      <c r="B266" s="14" t="inlineStr">
        <is>
          <t>Mason (brick layer) 2nd class</t>
        </is>
      </c>
      <c r="C266" s="13" t="inlineStr">
        <is>
          <t>day</t>
        </is>
      </c>
      <c r="D266" s="15" t="n">
        <v>0.06</v>
      </c>
      <c r="E266" s="16" t="n">
        <v>679</v>
      </c>
      <c r="F266" s="16">
        <f>D266*E266</f>
        <v/>
      </c>
    </row>
    <row r="267">
      <c r="A267" s="13" t="inlineStr">
        <is>
          <t>0002</t>
        </is>
      </c>
      <c r="B267" s="14" t="inlineStr">
        <is>
          <t>Hire charges of Concrete Mixer 0.25 to 0.40 cum with hooper</t>
        </is>
      </c>
      <c r="C267" s="13" t="inlineStr">
        <is>
          <t>day</t>
        </is>
      </c>
      <c r="D267" s="15" t="n">
        <v>0.07000000000000001</v>
      </c>
      <c r="E267" s="16" t="n">
        <v>800</v>
      </c>
      <c r="F267" s="16">
        <f>D267*E267</f>
        <v/>
      </c>
    </row>
    <row r="268">
      <c r="A268" s="13" t="inlineStr">
        <is>
          <t>0012</t>
        </is>
      </c>
      <c r="B268" s="14" t="inlineStr">
        <is>
          <t>Vibrator(Needle type 40mm)</t>
        </is>
      </c>
      <c r="C268" s="13" t="inlineStr">
        <is>
          <t>day</t>
        </is>
      </c>
      <c r="D268" s="15" t="n">
        <v>0.07000000000000001</v>
      </c>
      <c r="E268" s="16" t="n">
        <v>370</v>
      </c>
      <c r="F268" s="16">
        <f>D268*E268</f>
        <v/>
      </c>
    </row>
    <row r="269">
      <c r="A269" s="13" t="inlineStr">
        <is>
          <t>9999</t>
        </is>
      </c>
      <c r="B269" s="14" t="inlineStr">
        <is>
          <t>Scaffolding (17.60x2.5 avg.)</t>
        </is>
      </c>
      <c r="C269" s="13" t="inlineStr">
        <is>
          <t>L.S.</t>
        </is>
      </c>
      <c r="D269" s="15" t="n">
        <v>114.4</v>
      </c>
      <c r="E269" s="16" t="n">
        <v>2</v>
      </c>
      <c r="F269" s="16">
        <f>D269*E269</f>
        <v/>
      </c>
    </row>
    <row r="270">
      <c r="A270" s="13" t="inlineStr">
        <is>
          <t>9999</t>
        </is>
      </c>
      <c r="B270" s="14" t="inlineStr">
        <is>
          <t>Sundries</t>
        </is>
      </c>
      <c r="C270" s="13" t="inlineStr">
        <is>
          <t>L.S.</t>
        </is>
      </c>
      <c r="D270" s="15" t="n">
        <v>13.52</v>
      </c>
      <c r="E270" s="16" t="n">
        <v>2</v>
      </c>
      <c r="F270" s="16">
        <f>D270*E270</f>
        <v/>
      </c>
    </row>
    <row r="271">
      <c r="A271" s="13" t="inlineStr">
        <is>
          <t>0115</t>
        </is>
      </c>
      <c r="B271" s="14" t="inlineStr">
        <is>
          <t>Coolie</t>
        </is>
      </c>
      <c r="C271" s="13" t="inlineStr">
        <is>
          <t>day</t>
        </is>
      </c>
      <c r="D271" s="15" t="n">
        <v>1.88</v>
      </c>
      <c r="E271" s="16" t="n">
        <v>558</v>
      </c>
      <c r="F271" s="16">
        <f>D271*E271</f>
        <v/>
      </c>
    </row>
    <row r="272">
      <c r="A272" s="17" t="inlineStr">
        <is>
          <t>Resource Total (Material + Labour + Machinery, as printed)</t>
        </is>
      </c>
      <c r="B272" s="18" t="n"/>
      <c r="C272" s="18" t="n"/>
      <c r="D272" s="18" t="n"/>
      <c r="E272" s="18" t="n"/>
      <c r="F272" s="19">
        <f>SUM(F255:F271)</f>
        <v/>
      </c>
    </row>
    <row r="273">
      <c r="A273" s="20" t="inlineStr">
        <is>
          <t>SAY (Rs.) — final DAR rate</t>
        </is>
      </c>
      <c r="B273" s="21" t="n"/>
      <c r="C273" s="21" t="n"/>
      <c r="D273" s="21" t="n"/>
      <c r="E273" s="21" t="n"/>
      <c r="F273" s="22" t="n">
        <v>8025</v>
      </c>
    </row>
    <row r="275" ht="28" customHeight="1">
      <c r="A275" s="9" t="inlineStr">
        <is>
          <t>4.2.8</t>
        </is>
      </c>
      <c r="B275" s="10" t="inlineStr">
        <is>
          <t>1:5:10 (1 cement : 5 coarse sand (zone-III) : 10 graded stone aggregate 40 mm nominal size).</t>
        </is>
      </c>
      <c r="C275" s="11" t="n"/>
      <c r="D275" s="11" t="n"/>
      <c r="E275" s="11" t="n"/>
      <c r="F275" s="11" t="n"/>
    </row>
    <row r="276">
      <c r="A276" s="12" t="inlineStr">
        <is>
          <t>Rate basis: per cum  (source: cost for 1 cum)</t>
        </is>
      </c>
    </row>
    <row r="277">
      <c r="A277" s="5" t="inlineStr">
        <is>
          <t>Code</t>
        </is>
      </c>
      <c r="B277" s="5" t="inlineStr">
        <is>
          <t>Description</t>
        </is>
      </c>
      <c r="C277" s="5" t="inlineStr">
        <is>
          <t>Unit</t>
        </is>
      </c>
      <c r="D277" s="5" t="inlineStr">
        <is>
          <t>Quantity</t>
        </is>
      </c>
      <c r="E277" s="5" t="inlineStr">
        <is>
          <t>Rate (Rs.)</t>
        </is>
      </c>
      <c r="F277" s="5" t="inlineStr">
        <is>
          <t>Amount (Rs.)</t>
        </is>
      </c>
    </row>
    <row r="278">
      <c r="A278" s="13" t="inlineStr">
        <is>
          <t>0293</t>
        </is>
      </c>
      <c r="B278" s="14" t="inlineStr">
        <is>
          <t>Stone Aggregate (Single size) : 40 mm nominal size</t>
        </is>
      </c>
      <c r="C278" s="13" t="inlineStr">
        <is>
          <t>cum</t>
        </is>
      </c>
      <c r="D278" s="15" t="n">
        <v>0.65</v>
      </c>
      <c r="E278" s="16" t="n">
        <v>1300</v>
      </c>
      <c r="F278" s="16">
        <f>D278*E278</f>
        <v/>
      </c>
    </row>
    <row r="279">
      <c r="A279" s="13" t="inlineStr">
        <is>
          <t>0295</t>
        </is>
      </c>
      <c r="B279" s="14" t="inlineStr">
        <is>
          <t>Stone Aggregate (Single size) : 20 mm nominal size</t>
        </is>
      </c>
      <c r="C279" s="13" t="inlineStr">
        <is>
          <t>cum</t>
        </is>
      </c>
      <c r="D279" s="15" t="n">
        <v>0.24</v>
      </c>
      <c r="E279" s="16" t="n">
        <v>1350</v>
      </c>
      <c r="F279" s="16">
        <f>D279*E279</f>
        <v/>
      </c>
    </row>
    <row r="280">
      <c r="A280" s="13" t="inlineStr">
        <is>
          <t>2206</t>
        </is>
      </c>
      <c r="B280" s="14" t="inlineStr">
        <is>
          <t>Carriage of Stone aggregate 40 mm nominal size and above</t>
        </is>
      </c>
      <c r="C280" s="13" t="inlineStr">
        <is>
          <t>cum</t>
        </is>
      </c>
      <c r="D280" s="15" t="n">
        <v>0.65</v>
      </c>
      <c r="E280" s="16" t="n">
        <v>112.79</v>
      </c>
      <c r="F280" s="16">
        <f>D280*E280</f>
        <v/>
      </c>
    </row>
    <row r="281">
      <c r="A281" s="13" t="inlineStr">
        <is>
          <t>2202</t>
        </is>
      </c>
      <c r="B281" s="14" t="inlineStr">
        <is>
          <t>Carriage of Stone aggregate below 40 mm nominal size</t>
        </is>
      </c>
      <c r="C281" s="13" t="inlineStr">
        <is>
          <t>cum</t>
        </is>
      </c>
      <c r="D281" s="15" t="n">
        <v>0.24</v>
      </c>
      <c r="E281" s="16" t="n">
        <v>103.77</v>
      </c>
      <c r="F281" s="16">
        <f>D281*E281</f>
        <v/>
      </c>
    </row>
    <row r="282">
      <c r="A282" s="13" t="inlineStr">
        <is>
          <t>0982</t>
        </is>
      </c>
      <c r="B282" s="14" t="inlineStr">
        <is>
          <t>Coarse sand (zone III)</t>
        </is>
      </c>
      <c r="C282" s="13" t="inlineStr">
        <is>
          <t>cum</t>
        </is>
      </c>
      <c r="D282" s="15" t="n">
        <v>0.47</v>
      </c>
      <c r="E282" s="16" t="n">
        <v>1350</v>
      </c>
      <c r="F282" s="16">
        <f>D282*E282</f>
        <v/>
      </c>
    </row>
    <row r="283">
      <c r="A283" s="13" t="inlineStr">
        <is>
          <t>2203</t>
        </is>
      </c>
      <c r="B283" s="14" t="inlineStr">
        <is>
          <t>Carriage of Coarse sand</t>
        </is>
      </c>
      <c r="C283" s="13" t="inlineStr">
        <is>
          <t>cum</t>
        </is>
      </c>
      <c r="D283" s="15" t="n">
        <v>0.47</v>
      </c>
      <c r="E283" s="16" t="n">
        <v>103.77</v>
      </c>
      <c r="F283" s="16">
        <f>D283*E283</f>
        <v/>
      </c>
    </row>
    <row r="284">
      <c r="A284" s="13" t="inlineStr">
        <is>
          <t>0367</t>
        </is>
      </c>
      <c r="B284" s="14" t="inlineStr">
        <is>
          <t>Portland Cement</t>
        </is>
      </c>
      <c r="C284" s="13" t="inlineStr">
        <is>
          <t>tonne</t>
        </is>
      </c>
      <c r="D284" s="15" t="n">
        <v>0.13</v>
      </c>
      <c r="E284" s="16" t="n">
        <v>4940</v>
      </c>
      <c r="F284" s="16">
        <f>D284*E284</f>
        <v/>
      </c>
    </row>
    <row r="285">
      <c r="A285" s="13" t="inlineStr">
        <is>
          <t>2209</t>
        </is>
      </c>
      <c r="B285" s="14" t="inlineStr">
        <is>
          <t>Carriage of Cement</t>
        </is>
      </c>
      <c r="C285" s="13" t="inlineStr">
        <is>
          <t>tonne</t>
        </is>
      </c>
      <c r="D285" s="15" t="n">
        <v>0.13</v>
      </c>
      <c r="E285" s="16" t="n">
        <v>92.23999999999999</v>
      </c>
      <c r="F285" s="16">
        <f>D285*E285</f>
        <v/>
      </c>
    </row>
    <row r="286">
      <c r="A286" s="13" t="inlineStr">
        <is>
          <t>0114</t>
        </is>
      </c>
      <c r="B286" s="14" t="inlineStr">
        <is>
          <t>Beldar</t>
        </is>
      </c>
      <c r="C286" s="13" t="inlineStr">
        <is>
          <t>day</t>
        </is>
      </c>
      <c r="D286" s="15" t="n">
        <v>0.9</v>
      </c>
      <c r="E286" s="16" t="n">
        <v>558</v>
      </c>
      <c r="F286" s="16">
        <f>D286*E286</f>
        <v/>
      </c>
    </row>
    <row r="287">
      <c r="A287" s="13" t="inlineStr">
        <is>
          <t>0115</t>
        </is>
      </c>
      <c r="B287" s="14" t="inlineStr">
        <is>
          <t>Coolie</t>
        </is>
      </c>
      <c r="C287" s="13" t="inlineStr">
        <is>
          <t>day</t>
        </is>
      </c>
      <c r="D287" s="15" t="n">
        <v>0.78</v>
      </c>
      <c r="E287" s="16" t="n">
        <v>558</v>
      </c>
      <c r="F287" s="16">
        <f>D287*E287</f>
        <v/>
      </c>
    </row>
    <row r="288">
      <c r="A288" s="13" t="inlineStr">
        <is>
          <t>0101</t>
        </is>
      </c>
      <c r="B288" s="14" t="inlineStr">
        <is>
          <t>Bhisti</t>
        </is>
      </c>
      <c r="C288" s="13" t="inlineStr">
        <is>
          <t>day</t>
        </is>
      </c>
      <c r="D288" s="15" t="n">
        <v>0.7</v>
      </c>
      <c r="E288" s="16" t="n">
        <v>617</v>
      </c>
      <c r="F288" s="16">
        <f>D288*E288</f>
        <v/>
      </c>
    </row>
    <row r="289">
      <c r="A289" s="13" t="inlineStr">
        <is>
          <t>0123</t>
        </is>
      </c>
      <c r="B289" s="14" t="inlineStr">
        <is>
          <t>Mason (brick layer) 1st class</t>
        </is>
      </c>
      <c r="C289" s="13" t="inlineStr">
        <is>
          <t>day</t>
        </is>
      </c>
      <c r="D289" s="15" t="n">
        <v>0.1</v>
      </c>
      <c r="E289" s="16" t="n">
        <v>738</v>
      </c>
      <c r="F289" s="16">
        <f>D289*E289</f>
        <v/>
      </c>
    </row>
    <row r="290">
      <c r="A290" s="13" t="inlineStr">
        <is>
          <t>0002</t>
        </is>
      </c>
      <c r="B290" s="14" t="inlineStr">
        <is>
          <t>Hire charges of Concrete Mixer 0.25 to 0.40 cum with hooper</t>
        </is>
      </c>
      <c r="C290" s="13" t="inlineStr">
        <is>
          <t>day</t>
        </is>
      </c>
      <c r="D290" s="15" t="n">
        <v>0.07000000000000001</v>
      </c>
      <c r="E290" s="16" t="n">
        <v>800</v>
      </c>
      <c r="F290" s="16">
        <f>D290*E290</f>
        <v/>
      </c>
    </row>
    <row r="291">
      <c r="A291" s="13" t="inlineStr">
        <is>
          <t>0012</t>
        </is>
      </c>
      <c r="B291" s="14" t="inlineStr">
        <is>
          <t>Vibrator(Needle type 40mm)</t>
        </is>
      </c>
      <c r="C291" s="13" t="inlineStr">
        <is>
          <t>day</t>
        </is>
      </c>
      <c r="D291" s="15" t="n">
        <v>0.07000000000000001</v>
      </c>
      <c r="E291" s="16" t="n">
        <v>370</v>
      </c>
      <c r="F291" s="16">
        <f>D291*E291</f>
        <v/>
      </c>
    </row>
    <row r="292">
      <c r="A292" s="13" t="inlineStr">
        <is>
          <t>9999</t>
        </is>
      </c>
      <c r="B292" s="14" t="inlineStr">
        <is>
          <t>Scaffolding</t>
        </is>
      </c>
      <c r="C292" s="13" t="inlineStr">
        <is>
          <t>L.S.</t>
        </is>
      </c>
      <c r="D292" s="15" t="n">
        <v>114.4</v>
      </c>
      <c r="E292" s="16" t="n">
        <v>2</v>
      </c>
      <c r="F292" s="16">
        <f>D292*E292</f>
        <v/>
      </c>
    </row>
    <row r="293">
      <c r="A293" s="13" t="inlineStr">
        <is>
          <t>9999</t>
        </is>
      </c>
      <c r="B293" s="14" t="inlineStr">
        <is>
          <t>Sundries</t>
        </is>
      </c>
      <c r="C293" s="13" t="inlineStr">
        <is>
          <t>L.S.</t>
        </is>
      </c>
      <c r="D293" s="15" t="n">
        <v>14.3</v>
      </c>
      <c r="E293" s="16" t="n">
        <v>2</v>
      </c>
      <c r="F293" s="16">
        <f>D293*E293</f>
        <v/>
      </c>
    </row>
    <row r="294">
      <c r="A294" s="13" t="inlineStr">
        <is>
          <t>0115</t>
        </is>
      </c>
      <c r="B294" s="14" t="inlineStr">
        <is>
          <t>Coolie</t>
        </is>
      </c>
      <c r="C294" s="13" t="inlineStr">
        <is>
          <t>day</t>
        </is>
      </c>
      <c r="D294" s="15" t="n">
        <v>1.88</v>
      </c>
      <c r="E294" s="16" t="n">
        <v>558</v>
      </c>
      <c r="F294" s="16">
        <f>D294*E294</f>
        <v/>
      </c>
    </row>
    <row r="295">
      <c r="A295" s="17" t="inlineStr">
        <is>
          <t>Resource Total (Material + Labour + Machinery, as printed)</t>
        </is>
      </c>
      <c r="B295" s="18" t="n"/>
      <c r="C295" s="18" t="n"/>
      <c r="D295" s="18" t="n"/>
      <c r="E295" s="18" t="n"/>
      <c r="F295" s="19">
        <f>SUM(F278:F294)</f>
        <v/>
      </c>
    </row>
    <row r="296">
      <c r="A296" s="20" t="inlineStr">
        <is>
          <t>SAY (Rs.) — final DAR rate</t>
        </is>
      </c>
      <c r="B296" s="21" t="n"/>
      <c r="C296" s="21" t="n"/>
      <c r="D296" s="21" t="n"/>
      <c r="E296" s="21" t="n"/>
      <c r="F296" s="22" t="n">
        <v>7273.25</v>
      </c>
    </row>
    <row r="298" ht="18" customHeight="1">
      <c r="A298" s="9" t="inlineStr">
        <is>
          <t>4.3.1</t>
        </is>
      </c>
      <c r="B298" s="10" t="inlineStr">
        <is>
          <t>Foundations, footings, bases for columns</t>
        </is>
      </c>
      <c r="C298" s="11" t="n"/>
      <c r="D298" s="11" t="n"/>
      <c r="E298" s="11" t="n"/>
      <c r="F298" s="11" t="n"/>
    </row>
    <row r="299">
      <c r="A299" s="12" t="inlineStr">
        <is>
          <t>Rate basis: per sqm  (source: cost for 10.8 sqm)</t>
        </is>
      </c>
    </row>
    <row r="300">
      <c r="A300" s="5" t="inlineStr">
        <is>
          <t>Code</t>
        </is>
      </c>
      <c r="B300" s="5" t="inlineStr">
        <is>
          <t>Description</t>
        </is>
      </c>
      <c r="C300" s="5" t="inlineStr">
        <is>
          <t>Unit</t>
        </is>
      </c>
      <c r="D300" s="5" t="inlineStr">
        <is>
          <t>Quantity</t>
        </is>
      </c>
      <c r="E300" s="5" t="inlineStr">
        <is>
          <t>Rate (Rs.)</t>
        </is>
      </c>
      <c r="F300" s="5" t="inlineStr">
        <is>
          <t>Amount (Rs.)</t>
        </is>
      </c>
    </row>
    <row r="301">
      <c r="A301" s="13" t="inlineStr">
        <is>
          <t>7319</t>
        </is>
      </c>
      <c r="B301" s="14" t="inlineStr">
        <is>
          <t>Wall form panel 1250x500 mm</t>
        </is>
      </c>
      <c r="C301" s="13" t="inlineStr">
        <is>
          <t>each</t>
        </is>
      </c>
      <c r="D301" s="15" t="n">
        <v>0.34</v>
      </c>
      <c r="E301" s="16" t="n">
        <v>860</v>
      </c>
      <c r="F301" s="16">
        <f>D301*E301</f>
        <v/>
      </c>
    </row>
    <row r="302">
      <c r="A302" s="13" t="inlineStr">
        <is>
          <t>7326</t>
        </is>
      </c>
      <c r="B302" s="14" t="inlineStr">
        <is>
          <t>Corner angle 45x45x5 mm 1.50 m long</t>
        </is>
      </c>
      <c r="C302" s="13" t="inlineStr">
        <is>
          <t>each</t>
        </is>
      </c>
      <c r="D302" s="15" t="n">
        <v>0.08500000000000001</v>
      </c>
      <c r="E302" s="16" t="n">
        <v>240</v>
      </c>
      <c r="F302" s="16">
        <f>D302*E302</f>
        <v/>
      </c>
    </row>
    <row r="303">
      <c r="A303" s="13" t="inlineStr">
        <is>
          <t>7327</t>
        </is>
      </c>
      <c r="B303" s="14" t="inlineStr">
        <is>
          <t>100 mm channel shoulder 2.5 m long</t>
        </is>
      </c>
      <c r="C303" s="13" t="inlineStr">
        <is>
          <t>each</t>
        </is>
      </c>
      <c r="D303" s="15" t="n">
        <v>0.17</v>
      </c>
      <c r="E303" s="16" t="n">
        <v>910</v>
      </c>
      <c r="F303" s="16">
        <f>D303*E303</f>
        <v/>
      </c>
    </row>
    <row r="304">
      <c r="A304" s="13" t="inlineStr">
        <is>
          <t>7328</t>
        </is>
      </c>
      <c r="B304" s="14" t="inlineStr">
        <is>
          <t>Double clip ( bridge clip)</t>
        </is>
      </c>
      <c r="C304" s="13" t="inlineStr">
        <is>
          <t>each</t>
        </is>
      </c>
      <c r="D304" s="15" t="n">
        <v>0.34</v>
      </c>
      <c r="E304" s="16" t="n">
        <v>76</v>
      </c>
      <c r="F304" s="16">
        <f>D304*E304</f>
        <v/>
      </c>
    </row>
    <row r="305">
      <c r="A305" s="13" t="inlineStr">
        <is>
          <t>7329</t>
        </is>
      </c>
      <c r="B305" s="14" t="inlineStr">
        <is>
          <t>Single clip</t>
        </is>
      </c>
      <c r="C305" s="13" t="inlineStr">
        <is>
          <t>each</t>
        </is>
      </c>
      <c r="D305" s="15" t="n">
        <v>0.17</v>
      </c>
      <c r="E305" s="16" t="n">
        <v>59</v>
      </c>
      <c r="F305" s="16">
        <f>D305*E305</f>
        <v/>
      </c>
    </row>
    <row r="306">
      <c r="A306" s="13" t="inlineStr">
        <is>
          <t>7330</t>
        </is>
      </c>
      <c r="B306" s="14" t="inlineStr">
        <is>
          <t>M.S. tube 40 mm dia</t>
        </is>
      </c>
      <c r="C306" s="13" t="inlineStr">
        <is>
          <t>metre</t>
        </is>
      </c>
      <c r="D306" s="15" t="n">
        <v>0.2295</v>
      </c>
      <c r="E306" s="16" t="n">
        <v>215</v>
      </c>
      <c r="F306" s="16">
        <f>D306*E306</f>
        <v/>
      </c>
    </row>
    <row r="307">
      <c r="A307" s="13" t="inlineStr">
        <is>
          <t>9999</t>
        </is>
      </c>
      <c r="B307" s="14" t="inlineStr">
        <is>
          <t>Assembly nuts &amp; bolts</t>
        </is>
      </c>
      <c r="C307" s="13" t="inlineStr">
        <is>
          <t>L.S.</t>
        </is>
      </c>
      <c r="D307" s="15" t="n">
        <v>22.1</v>
      </c>
      <c r="E307" s="16" t="n">
        <v>2</v>
      </c>
      <c r="F307" s="16">
        <f>D307*E307</f>
        <v/>
      </c>
    </row>
    <row r="308">
      <c r="A308" s="13" t="inlineStr">
        <is>
          <t>9977</t>
        </is>
      </c>
      <c r="B308" s="14" t="inlineStr">
        <is>
          <t>Carriage</t>
        </is>
      </c>
      <c r="C308" s="13" t="inlineStr">
        <is>
          <t>L.S.</t>
        </is>
      </c>
      <c r="D308" s="15" t="n">
        <v>78</v>
      </c>
      <c r="E308" s="16" t="n">
        <v>2</v>
      </c>
      <c r="F308" s="16">
        <f>D308*E308</f>
        <v/>
      </c>
    </row>
    <row r="309">
      <c r="A309" s="13" t="inlineStr">
        <is>
          <t>0116</t>
        </is>
      </c>
      <c r="B309" s="14" t="inlineStr">
        <is>
          <t>Fitter (grade 1)</t>
        </is>
      </c>
      <c r="C309" s="13" t="inlineStr">
        <is>
          <t>day</t>
        </is>
      </c>
      <c r="D309" s="15" t="n">
        <v>0.75</v>
      </c>
      <c r="E309" s="16" t="n">
        <v>738</v>
      </c>
      <c r="F309" s="16">
        <f>D309*E309</f>
        <v/>
      </c>
    </row>
    <row r="310">
      <c r="A310" s="13" t="inlineStr">
        <is>
          <t>0114</t>
        </is>
      </c>
      <c r="B310" s="14" t="inlineStr">
        <is>
          <t>Beldar</t>
        </is>
      </c>
      <c r="C310" s="13" t="inlineStr">
        <is>
          <t>day</t>
        </is>
      </c>
      <c r="D310" s="15" t="n">
        <v>1.5</v>
      </c>
      <c r="E310" s="16" t="n">
        <v>558</v>
      </c>
      <c r="F310" s="16">
        <f>D310*E310</f>
        <v/>
      </c>
    </row>
    <row r="311">
      <c r="A311" s="13" t="inlineStr">
        <is>
          <t>9999</t>
        </is>
      </c>
      <c r="B311" s="14" t="inlineStr">
        <is>
          <t>Shuttering oil</t>
        </is>
      </c>
      <c r="C311" s="13" t="inlineStr">
        <is>
          <t>L.S.</t>
        </is>
      </c>
      <c r="D311" s="15" t="n">
        <v>52</v>
      </c>
      <c r="E311" s="16" t="n">
        <v>2</v>
      </c>
      <c r="F311" s="16">
        <f>D311*E311</f>
        <v/>
      </c>
    </row>
    <row r="312">
      <c r="A312" s="13" t="inlineStr">
        <is>
          <t>9999</t>
        </is>
      </c>
      <c r="B312" s="14" t="inlineStr">
        <is>
          <t>Sundries</t>
        </is>
      </c>
      <c r="C312" s="13" t="inlineStr">
        <is>
          <t>L.S.</t>
        </is>
      </c>
      <c r="D312" s="15" t="n">
        <v>26</v>
      </c>
      <c r="E312" s="16" t="n">
        <v>2</v>
      </c>
      <c r="F312" s="16">
        <f>D312*E312</f>
        <v/>
      </c>
    </row>
    <row r="313">
      <c r="A313" s="17" t="inlineStr">
        <is>
          <t>Resource Total (Material + Labour + Machinery, as printed)</t>
        </is>
      </c>
      <c r="B313" s="18" t="n"/>
      <c r="C313" s="18" t="n"/>
      <c r="D313" s="18" t="n"/>
      <c r="E313" s="18" t="n"/>
      <c r="F313" s="19">
        <f>SUM(F301:F312)</f>
        <v/>
      </c>
    </row>
    <row r="314">
      <c r="A314" s="20" t="inlineStr">
        <is>
          <t>SAY (Rs.) — final DAR rate</t>
        </is>
      </c>
      <c r="B314" s="21" t="n"/>
      <c r="C314" s="21" t="n"/>
      <c r="D314" s="21" t="n"/>
      <c r="E314" s="21" t="n"/>
      <c r="F314" s="22" t="n">
        <v>284.85</v>
      </c>
    </row>
    <row r="316" ht="28" customHeight="1">
      <c r="A316" s="9" t="inlineStr">
        <is>
          <t>4.3.2</t>
        </is>
      </c>
      <c r="B316" s="10" t="inlineStr">
        <is>
          <t xml:space="preserve">Retaining walls, return walls, walls (any thickness) including attached pilasters, buttresses, plinth and string courses fillets, kerbs and </t>
        </is>
      </c>
      <c r="C316" s="11" t="n"/>
      <c r="D316" s="11" t="n"/>
      <c r="E316" s="11" t="n"/>
      <c r="F316" s="11" t="n"/>
    </row>
    <row r="317">
      <c r="A317" s="12" t="inlineStr">
        <is>
          <t>Rate basis: per nos  (source: cost for 1 nos)</t>
        </is>
      </c>
    </row>
    <row r="318">
      <c r="A318" s="5" t="inlineStr">
        <is>
          <t>Code</t>
        </is>
      </c>
      <c r="B318" s="5" t="inlineStr">
        <is>
          <t>Description</t>
        </is>
      </c>
      <c r="C318" s="5" t="inlineStr">
        <is>
          <t>Unit</t>
        </is>
      </c>
      <c r="D318" s="5" t="inlineStr">
        <is>
          <t>Quantity</t>
        </is>
      </c>
      <c r="E318" s="5" t="inlineStr">
        <is>
          <t>Rate (Rs.)</t>
        </is>
      </c>
      <c r="F318" s="5" t="inlineStr">
        <is>
          <t>Amount (Rs.)</t>
        </is>
      </c>
    </row>
    <row r="319">
      <c r="A319" s="13" t="inlineStr">
        <is>
          <t>7319</t>
        </is>
      </c>
      <c r="B319" s="14" t="inlineStr">
        <is>
          <t>Wall form panel 1250x500 mm</t>
        </is>
      </c>
      <c r="C319" s="13" t="inlineStr">
        <is>
          <t>each</t>
        </is>
      </c>
      <c r="D319" s="15" t="n">
        <v>0.51</v>
      </c>
      <c r="E319" s="16" t="n">
        <v>860</v>
      </c>
      <c r="F319" s="16">
        <f>D319*E319</f>
        <v/>
      </c>
    </row>
    <row r="320">
      <c r="A320" s="13" t="inlineStr">
        <is>
          <t>7327</t>
        </is>
      </c>
      <c r="B320" s="14" t="inlineStr">
        <is>
          <t>100 mm channel shoulder 2.5 m long</t>
        </is>
      </c>
      <c r="C320" s="13" t="inlineStr">
        <is>
          <t>each</t>
        </is>
      </c>
      <c r="D320" s="15" t="n">
        <v>0.17</v>
      </c>
      <c r="E320" s="16" t="n">
        <v>910</v>
      </c>
      <c r="F320" s="16">
        <f>D320*E320</f>
        <v/>
      </c>
    </row>
    <row r="321">
      <c r="A321" s="13" t="inlineStr">
        <is>
          <t>7328</t>
        </is>
      </c>
      <c r="B321" s="14" t="inlineStr">
        <is>
          <t>Double clip ( bridge clip)</t>
        </is>
      </c>
      <c r="C321" s="13" t="inlineStr">
        <is>
          <t>each</t>
        </is>
      </c>
      <c r="D321" s="15" t="n">
        <v>0.51</v>
      </c>
      <c r="E321" s="16" t="n">
        <v>76</v>
      </c>
      <c r="F321" s="16">
        <f>D321*E321</f>
        <v/>
      </c>
    </row>
    <row r="322">
      <c r="A322" s="13" t="inlineStr">
        <is>
          <t>7329</t>
        </is>
      </c>
      <c r="B322" s="14" t="inlineStr">
        <is>
          <t>Single clip</t>
        </is>
      </c>
      <c r="C322" s="13" t="inlineStr">
        <is>
          <t>each</t>
        </is>
      </c>
      <c r="D322" s="15" t="n">
        <v>0.255</v>
      </c>
      <c r="E322" s="16" t="n">
        <v>59</v>
      </c>
      <c r="F322" s="16">
        <f>D322*E322</f>
        <v/>
      </c>
    </row>
    <row r="323">
      <c r="A323" s="13" t="inlineStr">
        <is>
          <t>7330</t>
        </is>
      </c>
      <c r="B323" s="14" t="inlineStr">
        <is>
          <t>M.S. tube 40 mm dia</t>
        </is>
      </c>
      <c r="C323" s="13" t="inlineStr">
        <is>
          <t>metre</t>
        </is>
      </c>
      <c r="D323" s="15" t="n">
        <v>0.68</v>
      </c>
      <c r="E323" s="16" t="n">
        <v>215</v>
      </c>
      <c r="F323" s="16">
        <f>D323*E323</f>
        <v/>
      </c>
    </row>
    <row r="324">
      <c r="A324" s="13" t="inlineStr">
        <is>
          <t>9999</t>
        </is>
      </c>
      <c r="B324" s="14" t="inlineStr">
        <is>
          <t>Nut &amp; Bolts</t>
        </is>
      </c>
      <c r="C324" s="13" t="inlineStr">
        <is>
          <t>L.S.</t>
        </is>
      </c>
      <c r="D324" s="15" t="n">
        <v>27.62</v>
      </c>
      <c r="E324" s="16" t="n">
        <v>2</v>
      </c>
      <c r="F324" s="16">
        <f>D324*E324</f>
        <v/>
      </c>
    </row>
    <row r="325">
      <c r="A325" s="13" t="inlineStr">
        <is>
          <t>9977</t>
        </is>
      </c>
      <c r="B325" s="14" t="inlineStr">
        <is>
          <t>Carriage</t>
        </is>
      </c>
      <c r="C325" s="13" t="inlineStr">
        <is>
          <t>L.S.</t>
        </is>
      </c>
      <c r="D325" s="15" t="n">
        <v>78</v>
      </c>
      <c r="E325" s="16" t="n">
        <v>2</v>
      </c>
      <c r="F325" s="16">
        <f>D325*E325</f>
        <v/>
      </c>
    </row>
    <row r="326">
      <c r="A326" s="13" t="inlineStr">
        <is>
          <t>0116</t>
        </is>
      </c>
      <c r="B326" s="14" t="inlineStr">
        <is>
          <t>Fitter (grade 1)</t>
        </is>
      </c>
      <c r="C326" s="13" t="inlineStr">
        <is>
          <t>day</t>
        </is>
      </c>
      <c r="D326" s="15" t="n">
        <v>3.5</v>
      </c>
      <c r="E326" s="16" t="n">
        <v>738</v>
      </c>
      <c r="F326" s="16">
        <f>D326*E326</f>
        <v/>
      </c>
    </row>
    <row r="327">
      <c r="A327" s="13" t="inlineStr">
        <is>
          <t>0114</t>
        </is>
      </c>
      <c r="B327" s="14" t="inlineStr">
        <is>
          <t>Beldar</t>
        </is>
      </c>
      <c r="C327" s="13" t="inlineStr">
        <is>
          <t>day</t>
        </is>
      </c>
      <c r="D327" s="15" t="n">
        <v>6</v>
      </c>
      <c r="E327" s="16" t="n">
        <v>558</v>
      </c>
      <c r="F327" s="16">
        <f>D327*E327</f>
        <v/>
      </c>
    </row>
    <row r="328">
      <c r="A328" s="13" t="inlineStr">
        <is>
          <t>9999</t>
        </is>
      </c>
      <c r="B328" s="14" t="inlineStr">
        <is>
          <t>Shuttering oil</t>
        </is>
      </c>
      <c r="C328" s="13" t="inlineStr">
        <is>
          <t>L.S.</t>
        </is>
      </c>
      <c r="D328" s="15" t="n">
        <v>78</v>
      </c>
      <c r="E328" s="16" t="n">
        <v>2</v>
      </c>
      <c r="F328" s="16">
        <f>D328*E328</f>
        <v/>
      </c>
    </row>
    <row r="329">
      <c r="A329" s="13" t="inlineStr">
        <is>
          <t>9999</t>
        </is>
      </c>
      <c r="B329" s="14" t="inlineStr">
        <is>
          <t>Sundries</t>
        </is>
      </c>
      <c r="C329" s="13" t="inlineStr">
        <is>
          <t>L.S.</t>
        </is>
      </c>
      <c r="D329" s="15" t="n">
        <v>52</v>
      </c>
      <c r="E329" s="16" t="n">
        <v>2</v>
      </c>
      <c r="F329" s="16">
        <f>D329*E329</f>
        <v/>
      </c>
    </row>
    <row r="330">
      <c r="A330" s="17" t="inlineStr">
        <is>
          <t>Resource Total (Material + Labour + Machinery, as printed)</t>
        </is>
      </c>
      <c r="B330" s="18" t="n"/>
      <c r="C330" s="18" t="n"/>
      <c r="D330" s="18" t="n"/>
      <c r="E330" s="18" t="n"/>
      <c r="F330" s="19">
        <f>SUM(F319:F329)</f>
        <v/>
      </c>
    </row>
    <row r="331">
      <c r="A331" s="20" t="inlineStr">
        <is>
          <t>SAY (Rs.) — final DAR rate</t>
        </is>
      </c>
      <c r="B331" s="21" t="n"/>
      <c r="C331" s="21" t="n"/>
      <c r="D331" s="21" t="n"/>
      <c r="E331" s="21" t="n"/>
      <c r="F331" s="22" t="n">
        <v>609.3</v>
      </c>
    </row>
    <row r="333" ht="18" customHeight="1">
      <c r="A333" s="9" t="inlineStr">
        <is>
          <t>4.3.3</t>
        </is>
      </c>
      <c r="B333" s="10" t="inlineStr">
        <is>
          <t>Columns, piers, abutments, pillars, posts and struts</t>
        </is>
      </c>
      <c r="C333" s="11" t="n"/>
      <c r="D333" s="11" t="n"/>
      <c r="E333" s="11" t="n"/>
      <c r="F333" s="11" t="n"/>
    </row>
    <row r="334">
      <c r="A334" s="12" t="inlineStr">
        <is>
          <t>Rate basis: per sqm  (source: cost for 4.5 sqm)</t>
        </is>
      </c>
    </row>
    <row r="335">
      <c r="A335" s="5" t="inlineStr">
        <is>
          <t>Code</t>
        </is>
      </c>
      <c r="B335" s="5" t="inlineStr">
        <is>
          <t>Description</t>
        </is>
      </c>
      <c r="C335" s="5" t="inlineStr">
        <is>
          <t>Unit</t>
        </is>
      </c>
      <c r="D335" s="5" t="inlineStr">
        <is>
          <t>Quantity</t>
        </is>
      </c>
      <c r="E335" s="5" t="inlineStr">
        <is>
          <t>Rate (Rs.)</t>
        </is>
      </c>
      <c r="F335" s="5" t="inlineStr">
        <is>
          <t>Amount (Rs.)</t>
        </is>
      </c>
    </row>
    <row r="336">
      <c r="A336" s="13" t="inlineStr">
        <is>
          <t>7331</t>
        </is>
      </c>
      <c r="B336" s="14" t="inlineStr">
        <is>
          <t>Wall form panel 1250x450 mm</t>
        </is>
      </c>
      <c r="C336" s="13" t="inlineStr">
        <is>
          <t>each</t>
        </is>
      </c>
      <c r="D336" s="15" t="n">
        <v>0.17</v>
      </c>
      <c r="E336" s="16" t="n">
        <v>860</v>
      </c>
      <c r="F336" s="16">
        <f>D336*E336</f>
        <v/>
      </c>
    </row>
    <row r="337">
      <c r="A337" s="13" t="inlineStr">
        <is>
          <t>7332</t>
        </is>
      </c>
      <c r="B337" s="14" t="inlineStr">
        <is>
          <t>Corner angle 45x45x5 mm 2.50 m long</t>
        </is>
      </c>
      <c r="C337" s="13" t="inlineStr">
        <is>
          <t>each</t>
        </is>
      </c>
      <c r="D337" s="15" t="n">
        <v>0.08500000000000001</v>
      </c>
      <c r="E337" s="16" t="n">
        <v>255</v>
      </c>
      <c r="F337" s="16">
        <f>D337*E337</f>
        <v/>
      </c>
    </row>
    <row r="338">
      <c r="A338" s="13" t="inlineStr">
        <is>
          <t>7333</t>
        </is>
      </c>
      <c r="B338" s="14" t="inlineStr">
        <is>
          <t>Column clamp 450x1070 mm</t>
        </is>
      </c>
      <c r="C338" s="13" t="inlineStr">
        <is>
          <t>each</t>
        </is>
      </c>
      <c r="D338" s="15" t="n">
        <v>0.1063</v>
      </c>
      <c r="E338" s="16" t="n">
        <v>965</v>
      </c>
      <c r="F338" s="16">
        <f>D338*E338</f>
        <v/>
      </c>
    </row>
    <row r="339">
      <c r="A339" s="13" t="inlineStr">
        <is>
          <t>7334</t>
        </is>
      </c>
      <c r="B339" s="14" t="inlineStr">
        <is>
          <t>Prop 2 m ( 2-3.5m)</t>
        </is>
      </c>
      <c r="C339" s="13" t="inlineStr">
        <is>
          <t>each</t>
        </is>
      </c>
      <c r="D339" s="15" t="n">
        <v>0.08500000000000001</v>
      </c>
      <c r="E339" s="16" t="n">
        <v>635</v>
      </c>
      <c r="F339" s="16">
        <f>D339*E339</f>
        <v/>
      </c>
    </row>
    <row r="340">
      <c r="A340" s="13" t="inlineStr">
        <is>
          <t>9999</t>
        </is>
      </c>
      <c r="B340" s="14" t="inlineStr">
        <is>
          <t>Assembly nut &amp; bolt</t>
        </is>
      </c>
      <c r="C340" s="13" t="inlineStr">
        <is>
          <t>L.S.</t>
        </is>
      </c>
      <c r="D340" s="15" t="n">
        <v>27.62</v>
      </c>
      <c r="E340" s="16" t="n">
        <v>2</v>
      </c>
      <c r="F340" s="16">
        <f>D340*E340</f>
        <v/>
      </c>
    </row>
    <row r="341">
      <c r="A341" s="13" t="inlineStr">
        <is>
          <t>9977</t>
        </is>
      </c>
      <c r="B341" s="14" t="inlineStr">
        <is>
          <t>CARRIAGE</t>
        </is>
      </c>
      <c r="C341" s="13" t="inlineStr">
        <is>
          <t>L.S.</t>
        </is>
      </c>
      <c r="D341" s="15" t="n">
        <v>52</v>
      </c>
      <c r="E341" s="16" t="n">
        <v>2</v>
      </c>
      <c r="F341" s="16">
        <f>D341*E341</f>
        <v/>
      </c>
    </row>
    <row r="342">
      <c r="A342" s="13" t="inlineStr">
        <is>
          <t>0116</t>
        </is>
      </c>
      <c r="B342" s="14" t="inlineStr">
        <is>
          <t>Fitter (grade 1)</t>
        </is>
      </c>
      <c r="C342" s="13" t="inlineStr">
        <is>
          <t>day</t>
        </is>
      </c>
      <c r="D342" s="15" t="n">
        <v>1</v>
      </c>
      <c r="E342" s="16" t="n">
        <v>738</v>
      </c>
      <c r="F342" s="16">
        <f>D342*E342</f>
        <v/>
      </c>
    </row>
    <row r="343">
      <c r="A343" s="13" t="inlineStr">
        <is>
          <t>0114</t>
        </is>
      </c>
      <c r="B343" s="14" t="inlineStr">
        <is>
          <t>Beldar</t>
        </is>
      </c>
      <c r="C343" s="13" t="inlineStr">
        <is>
          <t>day</t>
        </is>
      </c>
      <c r="D343" s="15" t="n">
        <v>2</v>
      </c>
      <c r="E343" s="16" t="n">
        <v>558</v>
      </c>
      <c r="F343" s="16">
        <f>D343*E343</f>
        <v/>
      </c>
    </row>
    <row r="344">
      <c r="A344" s="13" t="inlineStr">
        <is>
          <t>9999</t>
        </is>
      </c>
      <c r="B344" s="14" t="inlineStr">
        <is>
          <t>Shuttering oil</t>
        </is>
      </c>
      <c r="C344" s="13" t="inlineStr">
        <is>
          <t>L.S.</t>
        </is>
      </c>
      <c r="D344" s="15" t="n">
        <v>39</v>
      </c>
      <c r="E344" s="16" t="n">
        <v>2</v>
      </c>
      <c r="F344" s="16">
        <f>D344*E344</f>
        <v/>
      </c>
    </row>
    <row r="345">
      <c r="A345" s="13" t="inlineStr">
        <is>
          <t>9977</t>
        </is>
      </c>
      <c r="B345" s="14" t="inlineStr">
        <is>
          <t>Carriage</t>
        </is>
      </c>
      <c r="C345" s="13" t="inlineStr">
        <is>
          <t>L.S.</t>
        </is>
      </c>
      <c r="D345" s="15" t="n">
        <v>26</v>
      </c>
      <c r="E345" s="16" t="n">
        <v>2</v>
      </c>
      <c r="F345" s="16">
        <f>D345*E345</f>
        <v/>
      </c>
    </row>
    <row r="346">
      <c r="A346" s="17" t="inlineStr">
        <is>
          <t>Resource Total (Material + Labour + Machinery, as printed)</t>
        </is>
      </c>
      <c r="B346" s="18" t="n"/>
      <c r="C346" s="18" t="n"/>
      <c r="D346" s="18" t="n"/>
      <c r="E346" s="18" t="n"/>
      <c r="F346" s="19">
        <f>SUM(F336:F345)</f>
        <v/>
      </c>
    </row>
    <row r="347">
      <c r="A347" s="20" t="inlineStr">
        <is>
          <t>SAY (Rs.) — final DAR rate</t>
        </is>
      </c>
      <c r="B347" s="21" t="n"/>
      <c r="C347" s="21" t="n"/>
      <c r="D347" s="21" t="n"/>
      <c r="E347" s="21" t="n"/>
      <c r="F347" s="22" t="n">
        <v>733.7</v>
      </c>
    </row>
    <row r="349" ht="18" customHeight="1">
      <c r="A349" s="9" t="inlineStr">
        <is>
          <t>4.4.1</t>
        </is>
      </c>
      <c r="B349" s="10" t="inlineStr">
        <is>
          <t>1:1½:3 (1 Cement: 1½ coarse sand(zone-III) : 3 graded stone aggregate 20 mm nominal size)</t>
        </is>
      </c>
      <c r="C349" s="11" t="n"/>
      <c r="D349" s="11" t="n"/>
      <c r="E349" s="11" t="n"/>
      <c r="F349" s="11" t="n"/>
    </row>
    <row r="350">
      <c r="A350" s="12" t="inlineStr">
        <is>
          <t>Rate basis: per cum  (source: cost for 6 cum)</t>
        </is>
      </c>
    </row>
    <row r="351">
      <c r="A351" s="5" t="inlineStr">
        <is>
          <t>Code</t>
        </is>
      </c>
      <c r="B351" s="5" t="inlineStr">
        <is>
          <t>Description</t>
        </is>
      </c>
      <c r="C351" s="5" t="inlineStr">
        <is>
          <t>Unit</t>
        </is>
      </c>
      <c r="D351" s="5" t="inlineStr">
        <is>
          <t>Quantity</t>
        </is>
      </c>
      <c r="E351" s="5" t="inlineStr">
        <is>
          <t>Rate (Rs.)</t>
        </is>
      </c>
      <c r="F351" s="5" t="inlineStr">
        <is>
          <t>Amount (Rs.)</t>
        </is>
      </c>
    </row>
    <row r="352">
      <c r="A352" s="13" t="inlineStr">
        <is>
          <t>4.1.2</t>
        </is>
      </c>
      <c r="B352" s="14" t="inlineStr">
        <is>
          <t>Rate as per SH: 4.1.2</t>
        </is>
      </c>
      <c r="C352" s="13" t="inlineStr">
        <is>
          <t>cum</t>
        </is>
      </c>
      <c r="D352" s="15" t="n">
        <v>6</v>
      </c>
      <c r="E352" s="16" t="n">
        <v>7210.55</v>
      </c>
      <c r="F352" s="16">
        <f>D352*E352</f>
        <v/>
      </c>
    </row>
    <row r="353">
      <c r="A353" s="17" t="inlineStr">
        <is>
          <t>Resource Total (Material + Labour + Machinery, as printed)</t>
        </is>
      </c>
      <c r="B353" s="18" t="n"/>
      <c r="C353" s="18" t="n"/>
      <c r="D353" s="18" t="n"/>
      <c r="E353" s="18" t="n"/>
      <c r="F353" s="19">
        <f>SUM(F352:F352)</f>
        <v/>
      </c>
    </row>
    <row r="354">
      <c r="A354" s="20" t="inlineStr">
        <is>
          <t>SAY (Rs.) — final DAR rate</t>
        </is>
      </c>
      <c r="B354" s="21" t="n"/>
      <c r="C354" s="21" t="n"/>
      <c r="D354" s="21" t="n"/>
      <c r="E354" s="21" t="n"/>
      <c r="F354" s="22" t="n">
        <v>7210.55</v>
      </c>
    </row>
    <row r="356" ht="28" customHeight="1">
      <c r="A356" s="9" t="inlineStr">
        <is>
          <t>4.5.1</t>
        </is>
      </c>
      <c r="B356" s="10" t="inlineStr">
        <is>
          <t>1:1.5:3 (1 cement : 1.5 coarse sand(zone-III) : 3 graded stone aggregate 20mm nominal size)</t>
        </is>
      </c>
      <c r="C356" s="11" t="n"/>
      <c r="D356" s="11" t="n"/>
      <c r="E356" s="11" t="n"/>
      <c r="F356" s="11" t="n"/>
    </row>
    <row r="357">
      <c r="A357" s="12" t="inlineStr">
        <is>
          <t>Rate basis: per cum  (source: cost for 0.45 cum)</t>
        </is>
      </c>
    </row>
    <row r="358">
      <c r="A358" s="5" t="inlineStr">
        <is>
          <t>Code</t>
        </is>
      </c>
      <c r="B358" s="5" t="inlineStr">
        <is>
          <t>Description</t>
        </is>
      </c>
      <c r="C358" s="5" t="inlineStr">
        <is>
          <t>Unit</t>
        </is>
      </c>
      <c r="D358" s="5" t="inlineStr">
        <is>
          <t>Quantity</t>
        </is>
      </c>
      <c r="E358" s="5" t="inlineStr">
        <is>
          <t>Rate (Rs.)</t>
        </is>
      </c>
      <c r="F358" s="5" t="inlineStr">
        <is>
          <t>Amount (Rs.)</t>
        </is>
      </c>
    </row>
    <row r="359">
      <c r="A359" s="13" t="inlineStr">
        <is>
          <t>4.1.2</t>
        </is>
      </c>
      <c r="B359" s="14" t="inlineStr">
        <is>
          <t>Rate as per SH: 4.1.2</t>
        </is>
      </c>
      <c r="C359" s="13" t="inlineStr">
        <is>
          <t>cum</t>
        </is>
      </c>
      <c r="D359" s="15" t="n">
        <v>0.45</v>
      </c>
      <c r="E359" s="16" t="n">
        <v>7210.55</v>
      </c>
      <c r="F359" s="16">
        <f>D359*E359</f>
        <v/>
      </c>
    </row>
    <row r="360">
      <c r="A360" s="13" t="inlineStr">
        <is>
          <t>10.1</t>
        </is>
      </c>
      <c r="B360" s="14" t="inlineStr">
        <is>
          <t>Rate as per SH: 10.1</t>
        </is>
      </c>
      <c r="C360" s="13" t="inlineStr">
        <is>
          <t>kg</t>
        </is>
      </c>
      <c r="D360" s="15" t="n">
        <v>0.21</v>
      </c>
      <c r="E360" s="16" t="n">
        <v>86.05</v>
      </c>
      <c r="F360" s="16">
        <f>D360*E360</f>
        <v/>
      </c>
    </row>
    <row r="361">
      <c r="A361" s="13" t="inlineStr">
        <is>
          <t>11.1.2</t>
        </is>
      </c>
      <c r="B361" s="14" t="inlineStr">
        <is>
          <t>Rate as per SH: 11.1.2</t>
        </is>
      </c>
      <c r="C361" s="13" t="inlineStr">
        <is>
          <t>sqm</t>
        </is>
      </c>
      <c r="D361" s="15" t="n">
        <v>0.1</v>
      </c>
      <c r="E361" s="16" t="n">
        <v>829.45</v>
      </c>
      <c r="F361" s="16">
        <f>D361*E361</f>
        <v/>
      </c>
    </row>
    <row r="362">
      <c r="A362" s="13" t="inlineStr">
        <is>
          <t>11.7</t>
        </is>
      </c>
      <c r="B362" s="14" t="inlineStr">
        <is>
          <t>Rate as per SH: 11.7</t>
        </is>
      </c>
      <c r="C362" s="13" t="inlineStr">
        <is>
          <t>cum</t>
        </is>
      </c>
      <c r="D362" s="15" t="n">
        <v>0.0025</v>
      </c>
      <c r="E362" s="16" t="n">
        <v>7335.1</v>
      </c>
      <c r="F362" s="16">
        <f>D362*E362</f>
        <v/>
      </c>
    </row>
    <row r="363">
      <c r="A363" s="13" t="inlineStr">
        <is>
          <t>0115</t>
        </is>
      </c>
      <c r="B363" s="14" t="inlineStr">
        <is>
          <t>Coolie</t>
        </is>
      </c>
      <c r="C363" s="13" t="inlineStr">
        <is>
          <t>day</t>
        </is>
      </c>
      <c r="D363" s="15" t="n">
        <v>0.51</v>
      </c>
      <c r="E363" s="16" t="n">
        <v>558</v>
      </c>
      <c r="F363" s="16">
        <f>D363*E363</f>
        <v/>
      </c>
    </row>
    <row r="364">
      <c r="A364" s="13" t="inlineStr">
        <is>
          <t>9999</t>
        </is>
      </c>
      <c r="B364" s="14" t="inlineStr">
        <is>
          <t>Mortar and labour for hoisting and finishing</t>
        </is>
      </c>
      <c r="C364" s="13" t="inlineStr">
        <is>
          <t>L.S.</t>
        </is>
      </c>
      <c r="D364" s="15" t="n">
        <v>36.3</v>
      </c>
      <c r="E364" s="16" t="n">
        <v>2</v>
      </c>
      <c r="F364" s="16">
        <f>D364*E364</f>
        <v/>
      </c>
    </row>
    <row r="365">
      <c r="A365" s="17" t="inlineStr">
        <is>
          <t>Resource Total (Material + Labour + Machinery, as printed)</t>
        </is>
      </c>
      <c r="B365" s="18" t="n"/>
      <c r="C365" s="18" t="n"/>
      <c r="D365" s="18" t="n"/>
      <c r="E365" s="18" t="n"/>
      <c r="F365" s="19">
        <f>SUM(F359:F364)</f>
        <v/>
      </c>
    </row>
    <row r="366">
      <c r="A366" s="20" t="inlineStr">
        <is>
          <t>SAY (Rs.) — final DAR rate</t>
        </is>
      </c>
      <c r="B366" s="21" t="n"/>
      <c r="C366" s="21" t="n"/>
      <c r="D366" s="21" t="n"/>
      <c r="E366" s="21" t="n"/>
      <c r="F366" s="22" t="n">
        <v>8537.75</v>
      </c>
    </row>
    <row r="368" ht="28" customHeight="1">
      <c r="A368" s="9" t="inlineStr">
        <is>
          <t>4.6.1</t>
        </is>
      </c>
      <c r="B368" s="10" t="inlineStr">
        <is>
          <t>1:1½:3 (1 Cement: 1½ coarse sand(zone-III) : 3 graded stone aggregate 20 mm nominal size).</t>
        </is>
      </c>
      <c r="C368" s="11" t="n"/>
      <c r="D368" s="11" t="n"/>
      <c r="E368" s="11" t="n"/>
      <c r="F368" s="11" t="n"/>
    </row>
    <row r="369">
      <c r="A369" s="12" t="inlineStr">
        <is>
          <t>Rate basis: per no  (source: cost for 25 no)</t>
        </is>
      </c>
    </row>
    <row r="370">
      <c r="A370" s="5" t="inlineStr">
        <is>
          <t>Code</t>
        </is>
      </c>
      <c r="B370" s="5" t="inlineStr">
        <is>
          <t>Description</t>
        </is>
      </c>
      <c r="C370" s="5" t="inlineStr">
        <is>
          <t>Unit</t>
        </is>
      </c>
      <c r="D370" s="5" t="inlineStr">
        <is>
          <t>Quantity</t>
        </is>
      </c>
      <c r="E370" s="5" t="inlineStr">
        <is>
          <t>Rate (Rs.)</t>
        </is>
      </c>
      <c r="F370" s="5" t="inlineStr">
        <is>
          <t>Amount (Rs.)</t>
        </is>
      </c>
    </row>
    <row r="371">
      <c r="A371" s="13" t="inlineStr">
        <is>
          <t>4.1.2</t>
        </is>
      </c>
      <c r="B371" s="14" t="inlineStr">
        <is>
          <t>Rate as per SH: 4.1.2</t>
        </is>
      </c>
      <c r="C371" s="13" t="inlineStr">
        <is>
          <t>cum</t>
        </is>
      </c>
      <c r="D371" s="15" t="n">
        <v>0.6</v>
      </c>
      <c r="E371" s="16" t="n">
        <v>7210.55</v>
      </c>
      <c r="F371" s="16">
        <f>D371*E371</f>
        <v/>
      </c>
    </row>
    <row r="372">
      <c r="A372" s="13" t="inlineStr">
        <is>
          <t>10.1</t>
        </is>
      </c>
      <c r="B372" s="14" t="inlineStr">
        <is>
          <t>Rate as per SH: 10.1</t>
        </is>
      </c>
      <c r="C372" s="13" t="inlineStr">
        <is>
          <t>kg</t>
        </is>
      </c>
      <c r="D372" s="15" t="n">
        <v>0.1275</v>
      </c>
      <c r="E372" s="16" t="n">
        <v>86.05</v>
      </c>
      <c r="F372" s="16">
        <f>D372*E372</f>
        <v/>
      </c>
    </row>
    <row r="373">
      <c r="A373" s="13" t="inlineStr">
        <is>
          <t>11.1.2</t>
        </is>
      </c>
      <c r="B373" s="14" t="inlineStr">
        <is>
          <t>Rate as per SH: 11.1.2</t>
        </is>
      </c>
      <c r="C373" s="13" t="inlineStr">
        <is>
          <t>sqm</t>
        </is>
      </c>
      <c r="D373" s="15" t="n">
        <v>0.1</v>
      </c>
      <c r="E373" s="16" t="n">
        <v>829.45</v>
      </c>
      <c r="F373" s="16">
        <f>D373*E373</f>
        <v/>
      </c>
    </row>
    <row r="374">
      <c r="A374" s="13" t="inlineStr">
        <is>
          <t>11.7</t>
        </is>
      </c>
      <c r="B374" s="14" t="inlineStr">
        <is>
          <t>Rate as per SH: 11.7</t>
        </is>
      </c>
      <c r="C374" s="13" t="inlineStr">
        <is>
          <t>cum</t>
        </is>
      </c>
      <c r="D374" s="15" t="n">
        <v>0.0025</v>
      </c>
      <c r="E374" s="16" t="n">
        <v>7335.1</v>
      </c>
      <c r="F374" s="16">
        <f>D374*E374</f>
        <v/>
      </c>
    </row>
    <row r="375">
      <c r="A375" s="13" t="inlineStr">
        <is>
          <t>9999</t>
        </is>
      </c>
      <c r="B375" s="14" t="inlineStr">
        <is>
          <t>Mortar and labour for finishing</t>
        </is>
      </c>
      <c r="C375" s="13" t="inlineStr">
        <is>
          <t>L.S.</t>
        </is>
      </c>
      <c r="D375" s="15" t="n">
        <v>30.54</v>
      </c>
      <c r="E375" s="16" t="n">
        <v>2</v>
      </c>
      <c r="F375" s="16">
        <f>D375*E375</f>
        <v/>
      </c>
    </row>
    <row r="376">
      <c r="A376" s="17" t="inlineStr">
        <is>
          <t>Resource Total (Material + Labour + Machinery, as printed)</t>
        </is>
      </c>
      <c r="B376" s="18" t="n"/>
      <c r="C376" s="18" t="n"/>
      <c r="D376" s="18" t="n"/>
      <c r="E376" s="18" t="n"/>
      <c r="F376" s="19">
        <f>SUM(F371:F375)</f>
        <v/>
      </c>
    </row>
    <row r="377">
      <c r="A377" s="20" t="inlineStr">
        <is>
          <t>SAY (Rs.) — final DAR rate</t>
        </is>
      </c>
      <c r="B377" s="21" t="n"/>
      <c r="C377" s="21" t="n"/>
      <c r="D377" s="21" t="n"/>
      <c r="E377" s="21" t="n"/>
      <c r="F377" s="22" t="n">
        <v>7533.85</v>
      </c>
    </row>
    <row r="379" ht="28" customHeight="1">
      <c r="A379" s="9" t="inlineStr">
        <is>
          <t>4.7.1</t>
        </is>
      </c>
      <c r="B379" s="10" t="inlineStr">
        <is>
          <t>1:1½:3 (1 Cement: 1½ coarse sand(zone-III) : 3 graded stone aggregate 20 mm nominal size).</t>
        </is>
      </c>
      <c r="C379" s="11" t="n"/>
      <c r="D379" s="11" t="n"/>
      <c r="E379" s="11" t="n"/>
      <c r="F379" s="11" t="n"/>
    </row>
    <row r="380">
      <c r="A380" s="12" t="inlineStr">
        <is>
          <t>Rate basis: per no  (source: cost for 25 no)</t>
        </is>
      </c>
    </row>
    <row r="381">
      <c r="A381" s="5" t="inlineStr">
        <is>
          <t>Code</t>
        </is>
      </c>
      <c r="B381" s="5" t="inlineStr">
        <is>
          <t>Description</t>
        </is>
      </c>
      <c r="C381" s="5" t="inlineStr">
        <is>
          <t>Unit</t>
        </is>
      </c>
      <c r="D381" s="5" t="inlineStr">
        <is>
          <t>Quantity</t>
        </is>
      </c>
      <c r="E381" s="5" t="inlineStr">
        <is>
          <t>Rate (Rs.)</t>
        </is>
      </c>
      <c r="F381" s="5" t="inlineStr">
        <is>
          <t>Amount (Rs.)</t>
        </is>
      </c>
    </row>
    <row r="382">
      <c r="A382" s="13" t="inlineStr">
        <is>
          <t>4.1.2</t>
        </is>
      </c>
      <c r="B382" s="14" t="inlineStr">
        <is>
          <t>Rate as per SH: 4.1.2</t>
        </is>
      </c>
      <c r="C382" s="13" t="inlineStr">
        <is>
          <t>cum</t>
        </is>
      </c>
      <c r="D382" s="15" t="n">
        <v>0.6</v>
      </c>
      <c r="E382" s="16" t="n">
        <v>7210.55</v>
      </c>
      <c r="F382" s="16">
        <f>D382*E382</f>
        <v/>
      </c>
    </row>
    <row r="383">
      <c r="A383" s="13" t="inlineStr">
        <is>
          <t>10.1</t>
        </is>
      </c>
      <c r="B383" s="14" t="inlineStr">
        <is>
          <t>Rate as per SH: 10.1</t>
        </is>
      </c>
      <c r="C383" s="13" t="inlineStr">
        <is>
          <t>kg</t>
        </is>
      </c>
      <c r="D383" s="15" t="n">
        <v>0.1275</v>
      </c>
      <c r="E383" s="16" t="n">
        <v>86.05</v>
      </c>
      <c r="F383" s="16">
        <f>D383*E383</f>
        <v/>
      </c>
    </row>
    <row r="384">
      <c r="A384" s="13" t="inlineStr">
        <is>
          <t>11.1.2</t>
        </is>
      </c>
      <c r="B384" s="14" t="inlineStr">
        <is>
          <t>Rate as per SH: 11.1.2</t>
        </is>
      </c>
      <c r="C384" s="13" t="inlineStr">
        <is>
          <t>sqm</t>
        </is>
      </c>
      <c r="D384" s="15" t="n">
        <v>0.1</v>
      </c>
      <c r="E384" s="16" t="n">
        <v>829.45</v>
      </c>
      <c r="F384" s="16">
        <f>D384*E384</f>
        <v/>
      </c>
    </row>
    <row r="385">
      <c r="A385" s="13" t="inlineStr">
        <is>
          <t>11.7</t>
        </is>
      </c>
      <c r="B385" s="14" t="inlineStr">
        <is>
          <t>Rate as per SH: 11.7</t>
        </is>
      </c>
      <c r="C385" s="13" t="inlineStr">
        <is>
          <t>cum</t>
        </is>
      </c>
      <c r="D385" s="15" t="n">
        <v>0.0025</v>
      </c>
      <c r="E385" s="16" t="n">
        <v>7335.1</v>
      </c>
      <c r="F385" s="16">
        <f>D385*E385</f>
        <v/>
      </c>
    </row>
    <row r="386">
      <c r="A386" s="13" t="inlineStr">
        <is>
          <t>3.8</t>
        </is>
      </c>
      <c r="B386" s="14" t="inlineStr">
        <is>
          <t>Rate as per SH: 3.8</t>
        </is>
      </c>
      <c r="C386" s="13" t="inlineStr">
        <is>
          <t>cum</t>
        </is>
      </c>
      <c r="D386" s="15" t="n">
        <v>0.051</v>
      </c>
      <c r="E386" s="16" t="n">
        <v>4664.55</v>
      </c>
      <c r="F386" s="16">
        <f>D386*E386</f>
        <v/>
      </c>
    </row>
    <row r="387">
      <c r="A387" s="13" t="inlineStr">
        <is>
          <t>0115</t>
        </is>
      </c>
      <c r="B387" s="14" t="inlineStr">
        <is>
          <t>Coolie</t>
        </is>
      </c>
      <c r="C387" s="13" t="inlineStr">
        <is>
          <t>day</t>
        </is>
      </c>
      <c r="D387" s="15" t="n">
        <v>0.68</v>
      </c>
      <c r="E387" s="16" t="n">
        <v>558</v>
      </c>
      <c r="F387" s="16">
        <f>D387*E387</f>
        <v/>
      </c>
    </row>
    <row r="388">
      <c r="A388" s="13" t="inlineStr">
        <is>
          <t>0123</t>
        </is>
      </c>
      <c r="B388" s="14" t="inlineStr">
        <is>
          <t>Mason (brick layer) 1st class</t>
        </is>
      </c>
      <c r="C388" s="13" t="inlineStr">
        <is>
          <t>day</t>
        </is>
      </c>
      <c r="D388" s="15" t="n">
        <v>0.6</v>
      </c>
      <c r="E388" s="16" t="n">
        <v>738</v>
      </c>
      <c r="F388" s="16">
        <f>D388*E388</f>
        <v/>
      </c>
    </row>
    <row r="389">
      <c r="A389" s="13" t="inlineStr">
        <is>
          <t>0114</t>
        </is>
      </c>
      <c r="B389" s="14" t="inlineStr">
        <is>
          <t>Beldar</t>
        </is>
      </c>
      <c r="C389" s="13" t="inlineStr">
        <is>
          <t>day</t>
        </is>
      </c>
      <c r="D389" s="15" t="n">
        <v>3.6</v>
      </c>
      <c r="E389" s="16" t="n">
        <v>558</v>
      </c>
      <c r="F389" s="16">
        <f>D389*E389</f>
        <v/>
      </c>
    </row>
    <row r="390">
      <c r="A390" s="17" t="inlineStr">
        <is>
          <t>Resource Total (Material + Labour + Machinery, as printed)</t>
        </is>
      </c>
      <c r="B390" s="18" t="n"/>
      <c r="C390" s="18" t="n"/>
      <c r="D390" s="18" t="n"/>
      <c r="E390" s="18" t="n"/>
      <c r="F390" s="19">
        <f>SUM(F382:F389)</f>
        <v/>
      </c>
    </row>
    <row r="391">
      <c r="A391" s="20" t="inlineStr">
        <is>
          <t>SAY (Rs.) — final DAR rate</t>
        </is>
      </c>
      <c r="B391" s="21" t="n"/>
      <c r="C391" s="21" t="n"/>
      <c r="D391" s="21" t="n"/>
      <c r="E391" s="21" t="n"/>
      <c r="F391" s="22" t="n">
        <v>14241.05</v>
      </c>
    </row>
    <row r="393" ht="28" customHeight="1">
      <c r="A393" s="9" t="inlineStr">
        <is>
          <t>4.8.1</t>
        </is>
      </c>
      <c r="B393" s="10" t="inlineStr">
        <is>
          <t>1:1½:3 (1 Cement: 1½ coarse sand (zone-III): 3 graded stone aggregate 20 mm nominal size) .</t>
        </is>
      </c>
      <c r="C393" s="11" t="n"/>
      <c r="D393" s="11" t="n"/>
      <c r="E393" s="11" t="n"/>
      <c r="F393" s="11" t="n"/>
    </row>
    <row r="394">
      <c r="A394" s="12" t="inlineStr">
        <is>
          <t>Rate basis: per mx0  (source: cost for 1 mx0)</t>
        </is>
      </c>
    </row>
    <row r="395">
      <c r="A395" s="5" t="inlineStr">
        <is>
          <t>Code</t>
        </is>
      </c>
      <c r="B395" s="5" t="inlineStr">
        <is>
          <t>Description</t>
        </is>
      </c>
      <c r="C395" s="5" t="inlineStr">
        <is>
          <t>Unit</t>
        </is>
      </c>
      <c r="D395" s="5" t="inlineStr">
        <is>
          <t>Quantity</t>
        </is>
      </c>
      <c r="E395" s="5" t="inlineStr">
        <is>
          <t>Rate (Rs.)</t>
        </is>
      </c>
      <c r="F395" s="5" t="inlineStr">
        <is>
          <t>Amount (Rs.)</t>
        </is>
      </c>
    </row>
    <row r="396">
      <c r="A396" s="13" t="inlineStr">
        <is>
          <t>4.1.2</t>
        </is>
      </c>
      <c r="B396" s="14" t="inlineStr">
        <is>
          <t>Rate as per SH: 4.1.2</t>
        </is>
      </c>
      <c r="C396" s="13" t="inlineStr">
        <is>
          <t>cum</t>
        </is>
      </c>
      <c r="D396" s="15" t="n">
        <v>0.023</v>
      </c>
      <c r="E396" s="16" t="n">
        <v>7210.55</v>
      </c>
      <c r="F396" s="16">
        <f>D396*E396</f>
        <v/>
      </c>
    </row>
    <row r="397">
      <c r="A397" s="13" t="inlineStr">
        <is>
          <t>3.7</t>
        </is>
      </c>
      <c r="B397" s="14" t="inlineStr">
        <is>
          <t>Rate as per SH: 3.7</t>
        </is>
      </c>
      <c r="C397" s="13" t="inlineStr">
        <is>
          <t>cum</t>
        </is>
      </c>
      <c r="D397" s="15" t="n">
        <v>0.002</v>
      </c>
      <c r="E397" s="16" t="n">
        <v>5345.55</v>
      </c>
      <c r="F397" s="16">
        <f>D397*E397</f>
        <v/>
      </c>
    </row>
    <row r="398">
      <c r="A398" s="13" t="inlineStr">
        <is>
          <t>9999</t>
        </is>
      </c>
      <c r="B398" s="14" t="inlineStr">
        <is>
          <t>Centering and shuttering including T&amp;P charges, hire charges of steel mould, table vibrator, rammer, bolts nuts &amp; washers etc.</t>
        </is>
      </c>
      <c r="C398" s="13" t="inlineStr">
        <is>
          <t>L.S.</t>
        </is>
      </c>
      <c r="D398" s="15" t="n">
        <v>26.91</v>
      </c>
      <c r="E398" s="16" t="n">
        <v>2</v>
      </c>
      <c r="F398" s="16">
        <f>D398*E398</f>
        <v/>
      </c>
    </row>
    <row r="399">
      <c r="A399" s="13" t="inlineStr">
        <is>
          <t>0115</t>
        </is>
      </c>
      <c r="B399" s="14" t="inlineStr">
        <is>
          <t>Coolie</t>
        </is>
      </c>
      <c r="C399" s="13" t="inlineStr">
        <is>
          <t>day</t>
        </is>
      </c>
      <c r="D399" s="15" t="n">
        <v>0.056</v>
      </c>
      <c r="E399" s="16" t="n">
        <v>558</v>
      </c>
      <c r="F399" s="16">
        <f>D399*E399</f>
        <v/>
      </c>
    </row>
    <row r="400">
      <c r="A400" s="13" t="inlineStr">
        <is>
          <t>0123</t>
        </is>
      </c>
      <c r="B400" s="14" t="inlineStr">
        <is>
          <t>Mason (brick layer) 1st class</t>
        </is>
      </c>
      <c r="C400" s="13" t="inlineStr">
        <is>
          <t>day</t>
        </is>
      </c>
      <c r="D400" s="15" t="n">
        <v>0.05</v>
      </c>
      <c r="E400" s="16" t="n">
        <v>738</v>
      </c>
      <c r="F400" s="16">
        <f>D400*E400</f>
        <v/>
      </c>
    </row>
    <row r="401">
      <c r="A401" s="13" t="inlineStr">
        <is>
          <t>0114</t>
        </is>
      </c>
      <c r="B401" s="14" t="inlineStr">
        <is>
          <t>Beldar</t>
        </is>
      </c>
      <c r="C401" s="13" t="inlineStr">
        <is>
          <t>day</t>
        </is>
      </c>
      <c r="D401" s="15" t="n">
        <v>0.3</v>
      </c>
      <c r="E401" s="16" t="n">
        <v>558</v>
      </c>
      <c r="F401" s="16">
        <f>D401*E401</f>
        <v/>
      </c>
    </row>
    <row r="402">
      <c r="A402" s="17" t="inlineStr">
        <is>
          <t>Resource Total (Material + Labour + Machinery, as printed)</t>
        </is>
      </c>
      <c r="B402" s="18" t="n"/>
      <c r="C402" s="18" t="n"/>
      <c r="D402" s="18" t="n"/>
      <c r="E402" s="18" t="n"/>
      <c r="F402" s="19">
        <f>SUM(F396:F401)</f>
        <v/>
      </c>
    </row>
    <row r="403">
      <c r="A403" s="20" t="inlineStr">
        <is>
          <t>SAY (Rs.) — final DAR rate</t>
        </is>
      </c>
      <c r="B403" s="21" t="n"/>
      <c r="C403" s="21" t="n"/>
      <c r="D403" s="21" t="n"/>
      <c r="E403" s="21" t="n"/>
      <c r="F403" s="22" t="n">
        <v>11346.05</v>
      </c>
    </row>
    <row r="405" ht="28" customHeight="1">
      <c r="A405" s="9" t="inlineStr">
        <is>
          <t>4.9</t>
        </is>
      </c>
      <c r="B405" s="10" t="inlineStr">
        <is>
          <t>Precasting and placing in position 125 mm dia Bollards 600 mm high of required shape including providing M.S. Pipe Sleeve 50 mm dia 300 mm l</t>
        </is>
      </c>
      <c r="C405" s="11" t="n"/>
      <c r="D405" s="11" t="n"/>
      <c r="E405" s="11" t="n"/>
      <c r="F405" s="11" t="n"/>
    </row>
    <row r="406">
      <c r="A406" s="12" t="inlineStr">
        <is>
          <t>Rate basis: per cum  (source: cost for 0.007 cum)</t>
        </is>
      </c>
    </row>
    <row r="407">
      <c r="A407" s="5" t="inlineStr">
        <is>
          <t>Code</t>
        </is>
      </c>
      <c r="B407" s="5" t="inlineStr">
        <is>
          <t>Description</t>
        </is>
      </c>
      <c r="C407" s="5" t="inlineStr">
        <is>
          <t>Unit</t>
        </is>
      </c>
      <c r="D407" s="5" t="inlineStr">
        <is>
          <t>Quantity</t>
        </is>
      </c>
      <c r="E407" s="5" t="inlineStr">
        <is>
          <t>Rate (Rs.)</t>
        </is>
      </c>
      <c r="F407" s="5" t="inlineStr">
        <is>
          <t>Amount (Rs.)</t>
        </is>
      </c>
    </row>
    <row r="408">
      <c r="A408" s="13" t="inlineStr">
        <is>
          <t>5.1.3</t>
        </is>
      </c>
      <c r="B408" s="14" t="inlineStr">
        <is>
          <t>Rate as per SH: 5.1.3</t>
        </is>
      </c>
      <c r="C408" s="13" t="inlineStr">
        <is>
          <t>cum</t>
        </is>
      </c>
      <c r="D408" s="15" t="n">
        <v>0.007</v>
      </c>
      <c r="E408" s="16" t="n">
        <v>7296.35</v>
      </c>
      <c r="F408" s="16">
        <f>D408*E408</f>
        <v/>
      </c>
    </row>
    <row r="409">
      <c r="A409" s="13" t="inlineStr">
        <is>
          <t>5.9.1</t>
        </is>
      </c>
      <c r="B409" s="14" t="inlineStr">
        <is>
          <t>Rate as per SH: 5.9.1</t>
        </is>
      </c>
      <c r="C409" s="13" t="inlineStr">
        <is>
          <t>sqm</t>
        </is>
      </c>
      <c r="D409" s="15" t="n">
        <v>0.24</v>
      </c>
      <c r="E409" s="16" t="n">
        <v>284.85</v>
      </c>
      <c r="F409" s="16">
        <f>D409*E409</f>
        <v/>
      </c>
    </row>
    <row r="410">
      <c r="A410" s="13" t="inlineStr">
        <is>
          <t>10.1</t>
        </is>
      </c>
      <c r="B410" s="14" t="inlineStr">
        <is>
          <t>Rate as per SH: 10.1</t>
        </is>
      </c>
      <c r="C410" s="13" t="inlineStr">
        <is>
          <t>kg</t>
        </is>
      </c>
      <c r="D410" s="15" t="n">
        <v>3.68</v>
      </c>
      <c r="E410" s="16" t="n">
        <v>86.05</v>
      </c>
      <c r="F410" s="16">
        <f>D410*E410</f>
        <v/>
      </c>
    </row>
    <row r="411">
      <c r="A411" s="13" t="inlineStr">
        <is>
          <t>2.8.1</t>
        </is>
      </c>
      <c r="B411" s="14" t="inlineStr">
        <is>
          <t>Rate as per SH: 2.8.1</t>
        </is>
      </c>
      <c r="C411" s="13" t="inlineStr">
        <is>
          <t>cum</t>
        </is>
      </c>
      <c r="D411" s="15" t="n">
        <v>0.03</v>
      </c>
      <c r="E411" s="16" t="n">
        <v>252.3</v>
      </c>
      <c r="F411" s="16">
        <f>D411*E411</f>
        <v/>
      </c>
    </row>
    <row r="412">
      <c r="A412" s="13" t="inlineStr">
        <is>
          <t>4.1.5</t>
        </is>
      </c>
      <c r="B412" s="14" t="inlineStr">
        <is>
          <t>Rate as per SH: 4.1.5</t>
        </is>
      </c>
      <c r="C412" s="13" t="inlineStr">
        <is>
          <t>cum</t>
        </is>
      </c>
      <c r="D412" s="15" t="n">
        <v>0.03</v>
      </c>
      <c r="E412" s="16" t="n">
        <v>6259.1</v>
      </c>
      <c r="F412" s="16">
        <f>D412*E412</f>
        <v/>
      </c>
    </row>
    <row r="413">
      <c r="A413" s="13" t="inlineStr">
        <is>
          <t>5.23</t>
        </is>
      </c>
      <c r="B413" s="14" t="inlineStr">
        <is>
          <t>Rate as per SH: 5.23</t>
        </is>
      </c>
      <c r="C413" s="13" t="inlineStr">
        <is>
          <t>sqm</t>
        </is>
      </c>
      <c r="D413" s="15" t="n">
        <v>0.25</v>
      </c>
      <c r="E413" s="16" t="n">
        <v>227.35</v>
      </c>
      <c r="F413" s="16">
        <f>D413*E413</f>
        <v/>
      </c>
    </row>
    <row r="414">
      <c r="A414" s="13" t="inlineStr">
        <is>
          <t>9988</t>
        </is>
      </c>
      <c r="B414" s="14" t="inlineStr">
        <is>
          <t>Carriage and fixing charges</t>
        </is>
      </c>
      <c r="C414" s="13" t="inlineStr">
        <is>
          <t>L.S.</t>
        </is>
      </c>
      <c r="D414" s="15" t="n">
        <v>13</v>
      </c>
      <c r="E414" s="16" t="n">
        <v>2</v>
      </c>
      <c r="F414" s="16">
        <f>D414*E414</f>
        <v/>
      </c>
    </row>
    <row r="415">
      <c r="A415" s="17" t="inlineStr">
        <is>
          <t>Resource Total (Material + Labour + Machinery, as printed)</t>
        </is>
      </c>
      <c r="B415" s="18" t="n"/>
      <c r="C415" s="18" t="n"/>
      <c r="D415" s="18" t="n"/>
      <c r="E415" s="18" t="n"/>
      <c r="F415" s="19">
        <f>SUM(F408:F414)</f>
        <v/>
      </c>
    </row>
    <row r="416">
      <c r="A416" s="20" t="inlineStr">
        <is>
          <t>SAY (Rs.) — final DAR rate</t>
        </is>
      </c>
      <c r="B416" s="21" t="n"/>
      <c r="C416" s="21" t="n"/>
      <c r="D416" s="21" t="n"/>
      <c r="E416" s="21" t="n"/>
      <c r="F416" s="22" t="n">
        <v>723.05</v>
      </c>
    </row>
    <row r="418" ht="28" customHeight="1">
      <c r="A418" s="9" t="inlineStr">
        <is>
          <t>4.10</t>
        </is>
      </c>
      <c r="B418" s="10" t="inlineStr">
        <is>
          <t xml:space="preserve">Providing and laying damp-proof course 40mm thick with cement concrete 1:2:4 (1 cement : 2 coarse sand (zone-III): 4 graded stone aggregate </t>
        </is>
      </c>
      <c r="C418" s="11" t="n"/>
      <c r="D418" s="11" t="n"/>
      <c r="E418" s="11" t="n"/>
      <c r="F418" s="11" t="n"/>
    </row>
    <row r="419">
      <c r="A419" s="12" t="inlineStr">
        <is>
          <t>Rate basis: per sqm  (source: cost for 10 sqm)</t>
        </is>
      </c>
    </row>
    <row r="420">
      <c r="A420" s="5" t="inlineStr">
        <is>
          <t>Code</t>
        </is>
      </c>
      <c r="B420" s="5" t="inlineStr">
        <is>
          <t>Description</t>
        </is>
      </c>
      <c r="C420" s="5" t="inlineStr">
        <is>
          <t>Unit</t>
        </is>
      </c>
      <c r="D420" s="5" t="inlineStr">
        <is>
          <t>Quantity</t>
        </is>
      </c>
      <c r="E420" s="5" t="inlineStr">
        <is>
          <t>Rate (Rs.)</t>
        </is>
      </c>
      <c r="F420" s="5" t="inlineStr">
        <is>
          <t>Amount (Rs.)</t>
        </is>
      </c>
    </row>
    <row r="421">
      <c r="A421" s="13" t="inlineStr">
        <is>
          <t>4.1.3</t>
        </is>
      </c>
      <c r="B421" s="14" t="inlineStr">
        <is>
          <t>Rate as per SH: 4.1.3</t>
        </is>
      </c>
      <c r="C421" s="13" t="inlineStr">
        <is>
          <t>cum</t>
        </is>
      </c>
      <c r="D421" s="15" t="n">
        <v>0.4</v>
      </c>
      <c r="E421" s="16" t="n">
        <v>6788.6</v>
      </c>
      <c r="F421" s="16">
        <f>D421*E421</f>
        <v/>
      </c>
    </row>
    <row r="422">
      <c r="A422" s="13" t="inlineStr">
        <is>
          <t>0296</t>
        </is>
      </c>
      <c r="B422" s="14" t="inlineStr">
        <is>
          <t>Stone Aggregate (Single size) : 12.5 mm nominal size</t>
        </is>
      </c>
      <c r="C422" s="13" t="inlineStr">
        <is>
          <t>cum</t>
        </is>
      </c>
      <c r="D422" s="15" t="n">
        <v>0.67</v>
      </c>
      <c r="E422" s="16" t="n">
        <v>1350</v>
      </c>
      <c r="F422" s="16">
        <f>D422*E422</f>
        <v/>
      </c>
    </row>
    <row r="423">
      <c r="A423" s="13" t="inlineStr">
        <is>
          <t>0123</t>
        </is>
      </c>
      <c r="B423" s="14" t="inlineStr">
        <is>
          <t>Mason (brick layer) 1st class</t>
        </is>
      </c>
      <c r="C423" s="13" t="inlineStr">
        <is>
          <t>day</t>
        </is>
      </c>
      <c r="D423" s="15" t="n">
        <v>0.4</v>
      </c>
      <c r="E423" s="16" t="n">
        <v>738</v>
      </c>
      <c r="F423" s="16">
        <f>D423*E423</f>
        <v/>
      </c>
    </row>
    <row r="424">
      <c r="A424" s="13" t="inlineStr">
        <is>
          <t>0124</t>
        </is>
      </c>
      <c r="B424" s="14" t="inlineStr">
        <is>
          <t>Mason (brick layer) 2nd class</t>
        </is>
      </c>
      <c r="C424" s="13" t="inlineStr">
        <is>
          <t>day</t>
        </is>
      </c>
      <c r="D424" s="15" t="n">
        <v>0.4</v>
      </c>
      <c r="E424" s="16" t="n">
        <v>679</v>
      </c>
      <c r="F424" s="16">
        <f>D424*E424</f>
        <v/>
      </c>
    </row>
    <row r="425">
      <c r="A425" s="13" t="inlineStr">
        <is>
          <t>9999</t>
        </is>
      </c>
      <c r="B425" s="14" t="inlineStr">
        <is>
          <t>Sundries (Form work etc.)</t>
        </is>
      </c>
      <c r="C425" s="13" t="inlineStr">
        <is>
          <t>L.S.</t>
        </is>
      </c>
      <c r="D425" s="15" t="n">
        <v>1.95</v>
      </c>
      <c r="E425" s="16" t="n">
        <v>2</v>
      </c>
      <c r="F425" s="16">
        <f>D425*E425</f>
        <v/>
      </c>
    </row>
    <row r="426">
      <c r="A426" s="17" t="inlineStr">
        <is>
          <t>Resource Total (Material + Labour + Machinery, as printed)</t>
        </is>
      </c>
      <c r="B426" s="18" t="n"/>
      <c r="C426" s="18" t="n"/>
      <c r="D426" s="18" t="n"/>
      <c r="E426" s="18" t="n"/>
      <c r="F426" s="19">
        <f>SUM(F421:F425)</f>
        <v/>
      </c>
    </row>
    <row r="427">
      <c r="A427" s="20" t="inlineStr">
        <is>
          <t>SAY (Rs.) — final DAR rate</t>
        </is>
      </c>
      <c r="B427" s="21" t="n"/>
      <c r="C427" s="21" t="n"/>
      <c r="D427" s="21" t="n"/>
      <c r="E427" s="21" t="n"/>
      <c r="F427" s="22" t="n">
        <v>347.9</v>
      </c>
    </row>
    <row r="429" ht="28" customHeight="1">
      <c r="A429" s="9" t="inlineStr">
        <is>
          <t>4.11</t>
        </is>
      </c>
      <c r="B429" s="10" t="inlineStr">
        <is>
          <t xml:space="preserve">Providing and laying damp-proof course 50mm thick with cement concrete 1:2:4 (1 cement : 2 coarse sand(zone-III) : 4 graded stone aggregate </t>
        </is>
      </c>
      <c r="C429" s="11" t="n"/>
      <c r="D429" s="11" t="n"/>
      <c r="E429" s="11" t="n"/>
      <c r="F429" s="11" t="n"/>
    </row>
    <row r="430">
      <c r="A430" s="12" t="inlineStr">
        <is>
          <t>Rate basis: per sqm  (source: cost for 10 sqm)</t>
        </is>
      </c>
    </row>
    <row r="431">
      <c r="A431" s="5" t="inlineStr">
        <is>
          <t>Code</t>
        </is>
      </c>
      <c r="B431" s="5" t="inlineStr">
        <is>
          <t>Description</t>
        </is>
      </c>
      <c r="C431" s="5" t="inlineStr">
        <is>
          <t>Unit</t>
        </is>
      </c>
      <c r="D431" s="5" t="inlineStr">
        <is>
          <t>Quantity</t>
        </is>
      </c>
      <c r="E431" s="5" t="inlineStr">
        <is>
          <t>Rate (Rs.)</t>
        </is>
      </c>
      <c r="F431" s="5" t="inlineStr">
        <is>
          <t>Amount (Rs.)</t>
        </is>
      </c>
    </row>
    <row r="432">
      <c r="A432" s="13" t="inlineStr">
        <is>
          <t>4.1.3</t>
        </is>
      </c>
      <c r="B432" s="14" t="inlineStr">
        <is>
          <t>Rate as per SH: 4.1.3</t>
        </is>
      </c>
      <c r="C432" s="13" t="inlineStr">
        <is>
          <t>cum</t>
        </is>
      </c>
      <c r="D432" s="15" t="n">
        <v>0.5</v>
      </c>
      <c r="E432" s="16" t="n">
        <v>6788.6</v>
      </c>
      <c r="F432" s="16">
        <f>D432*E432</f>
        <v/>
      </c>
    </row>
    <row r="433">
      <c r="A433" s="13" t="inlineStr">
        <is>
          <t>0123</t>
        </is>
      </c>
      <c r="B433" s="14" t="inlineStr">
        <is>
          <t>Mason (brick layer) 1st class</t>
        </is>
      </c>
      <c r="C433" s="13" t="inlineStr">
        <is>
          <t>day</t>
        </is>
      </c>
      <c r="D433" s="15" t="n">
        <v>0.4</v>
      </c>
      <c r="E433" s="16" t="n">
        <v>738</v>
      </c>
      <c r="F433" s="16">
        <f>D433*E433</f>
        <v/>
      </c>
    </row>
    <row r="434">
      <c r="A434" s="13" t="inlineStr">
        <is>
          <t>0124</t>
        </is>
      </c>
      <c r="B434" s="14" t="inlineStr">
        <is>
          <t>Mason (brick layer) 2nd class</t>
        </is>
      </c>
      <c r="C434" s="13" t="inlineStr">
        <is>
          <t>day</t>
        </is>
      </c>
      <c r="D434" s="15" t="n">
        <v>0.4</v>
      </c>
      <c r="E434" s="16" t="n">
        <v>679</v>
      </c>
      <c r="F434" s="16">
        <f>D434*E434</f>
        <v/>
      </c>
    </row>
    <row r="435">
      <c r="A435" s="13" t="inlineStr">
        <is>
          <t>9999</t>
        </is>
      </c>
      <c r="B435" s="14" t="inlineStr">
        <is>
          <t>Sundries (Form work etc.)</t>
        </is>
      </c>
      <c r="C435" s="13" t="inlineStr">
        <is>
          <t>L.S.</t>
        </is>
      </c>
      <c r="D435" s="15" t="n">
        <v>13.52</v>
      </c>
      <c r="E435" s="16" t="n">
        <v>2</v>
      </c>
      <c r="F435" s="16">
        <f>D435*E435</f>
        <v/>
      </c>
    </row>
    <row r="436">
      <c r="A436" s="17" t="inlineStr">
        <is>
          <t>Resource Total (Material + Labour + Machinery, as printed)</t>
        </is>
      </c>
      <c r="B436" s="18" t="n"/>
      <c r="C436" s="18" t="n"/>
      <c r="D436" s="18" t="n"/>
      <c r="E436" s="18" t="n"/>
      <c r="F436" s="19">
        <f>SUM(F432:F435)</f>
        <v/>
      </c>
    </row>
    <row r="437">
      <c r="A437" s="20" t="inlineStr">
        <is>
          <t>SAY (Rs.) — final DAR rate</t>
        </is>
      </c>
      <c r="B437" s="21" t="n"/>
      <c r="C437" s="21" t="n"/>
      <c r="D437" s="21" t="n"/>
      <c r="E437" s="21" t="n"/>
      <c r="F437" s="22" t="n">
        <v>418.9</v>
      </c>
    </row>
    <row r="439" ht="28" customHeight="1">
      <c r="A439" s="9" t="inlineStr">
        <is>
          <t>4.12</t>
        </is>
      </c>
      <c r="B439" s="10" t="inlineStr">
        <is>
          <t>Extra for providing and mixing water proofing material in cement concrete work in doses by weight of cement as per manufacturer's specificat</t>
        </is>
      </c>
      <c r="C439" s="11" t="n"/>
      <c r="D439" s="11" t="n"/>
      <c r="E439" s="11" t="n"/>
      <c r="F439" s="11" t="n"/>
    </row>
    <row r="440">
      <c r="A440" s="12" t="inlineStr">
        <is>
          <t>Rate basis: per nos  (source: cost for 1 nos)</t>
        </is>
      </c>
    </row>
    <row r="441">
      <c r="A441" s="5" t="inlineStr">
        <is>
          <t>Code</t>
        </is>
      </c>
      <c r="B441" s="5" t="inlineStr">
        <is>
          <t>Description</t>
        </is>
      </c>
      <c r="C441" s="5" t="inlineStr">
        <is>
          <t>Unit</t>
        </is>
      </c>
      <c r="D441" s="5" t="inlineStr">
        <is>
          <t>Quantity</t>
        </is>
      </c>
      <c r="E441" s="5" t="inlineStr">
        <is>
          <t>Rate (Rs.)</t>
        </is>
      </c>
      <c r="F441" s="5" t="inlineStr">
        <is>
          <t>Amount (Rs.)</t>
        </is>
      </c>
    </row>
    <row r="442">
      <c r="A442" s="13" t="inlineStr">
        <is>
          <t>1213</t>
        </is>
      </c>
      <c r="B442" s="14" t="inlineStr">
        <is>
          <t>Water proofing materials</t>
        </is>
      </c>
      <c r="C442" s="13" t="inlineStr">
        <is>
          <t>kilogram</t>
        </is>
      </c>
      <c r="D442" s="15" t="n">
        <v>1</v>
      </c>
      <c r="E442" s="16" t="n">
        <v>35</v>
      </c>
      <c r="F442" s="16">
        <f>D442*E442</f>
        <v/>
      </c>
    </row>
    <row r="443">
      <c r="A443" s="17" t="inlineStr">
        <is>
          <t>Resource Total (Material + Labour + Machinery, as printed)</t>
        </is>
      </c>
      <c r="B443" s="18" t="n"/>
      <c r="C443" s="18" t="n"/>
      <c r="D443" s="18" t="n"/>
      <c r="E443" s="18" t="n"/>
      <c r="F443" s="19">
        <f>SUM(F442:F442)</f>
        <v/>
      </c>
    </row>
    <row r="444">
      <c r="A444" s="20" t="inlineStr">
        <is>
          <t>SAY (Rs.) — final DAR rate</t>
        </is>
      </c>
      <c r="B444" s="21" t="n"/>
      <c r="C444" s="21" t="n"/>
      <c r="D444" s="21" t="n"/>
      <c r="E444" s="21" t="n"/>
      <c r="F444" s="22" t="n">
        <v>56.55</v>
      </c>
    </row>
    <row r="446" ht="28" customHeight="1">
      <c r="A446" s="9" t="inlineStr">
        <is>
          <t>4.13</t>
        </is>
      </c>
      <c r="B446" s="10" t="inlineStr">
        <is>
          <t>Providing &amp; applying a coat of residual petroleum bitumen of grade of VG-10 of approved quality using 1.7kg per square metre on damp proof c</t>
        </is>
      </c>
      <c r="C446" s="11" t="n"/>
      <c r="D446" s="11" t="n"/>
      <c r="E446" s="11" t="n"/>
      <c r="F446" s="11" t="n"/>
    </row>
    <row r="447">
      <c r="A447" s="12" t="inlineStr">
        <is>
          <t>Rate basis: per sqm  (source: cost for 10 sqm)</t>
        </is>
      </c>
    </row>
    <row r="448">
      <c r="A448" s="5" t="inlineStr">
        <is>
          <t>Code</t>
        </is>
      </c>
      <c r="B448" s="5" t="inlineStr">
        <is>
          <t>Description</t>
        </is>
      </c>
      <c r="C448" s="5" t="inlineStr">
        <is>
          <t>Unit</t>
        </is>
      </c>
      <c r="D448" s="5" t="inlineStr">
        <is>
          <t>Quantity</t>
        </is>
      </c>
      <c r="E448" s="5" t="inlineStr">
        <is>
          <t>Rate (Rs.)</t>
        </is>
      </c>
      <c r="F448" s="5" t="inlineStr">
        <is>
          <t>Amount (Rs.)</t>
        </is>
      </c>
    </row>
    <row r="449">
      <c r="A449" s="13" t="inlineStr">
        <is>
          <t>0309</t>
        </is>
      </c>
      <c r="B449" s="14" t="inlineStr">
        <is>
          <t>Paving bitumen VG-10 of approved quality</t>
        </is>
      </c>
      <c r="C449" s="13" t="inlineStr">
        <is>
          <t>tonne</t>
        </is>
      </c>
      <c r="D449" s="15" t="n">
        <v>0.017</v>
      </c>
      <c r="E449" s="16" t="n">
        <v>25614</v>
      </c>
      <c r="F449" s="16">
        <f>D449*E449</f>
        <v/>
      </c>
    </row>
    <row r="450">
      <c r="A450" s="13" t="inlineStr">
        <is>
          <t>0771</t>
        </is>
      </c>
      <c r="B450" s="14" t="inlineStr">
        <is>
          <t>Kerosene oil</t>
        </is>
      </c>
      <c r="C450" s="13" t="inlineStr">
        <is>
          <t>litre</t>
        </is>
      </c>
      <c r="D450" s="15" t="n">
        <v>1.23</v>
      </c>
      <c r="E450" s="16" t="n">
        <v>50</v>
      </c>
      <c r="F450" s="16">
        <f>D450*E450</f>
        <v/>
      </c>
    </row>
    <row r="451">
      <c r="A451" s="13" t="inlineStr">
        <is>
          <t>0370</t>
        </is>
      </c>
      <c r="B451" s="14" t="inlineStr">
        <is>
          <t>Coal (steam)</t>
        </is>
      </c>
      <c r="C451" s="13" t="inlineStr">
        <is>
          <t>quintal</t>
        </is>
      </c>
      <c r="D451" s="15" t="n">
        <v>0.035</v>
      </c>
      <c r="E451" s="16" t="n">
        <v>440</v>
      </c>
      <c r="F451" s="16">
        <f>D451*E451</f>
        <v/>
      </c>
    </row>
    <row r="452">
      <c r="A452" s="13" t="inlineStr">
        <is>
          <t>2211</t>
        </is>
      </c>
      <c r="B452" s="14" t="inlineStr">
        <is>
          <t>Carriage of Tar bitumen</t>
        </is>
      </c>
      <c r="C452" s="13" t="inlineStr">
        <is>
          <t>tonne</t>
        </is>
      </c>
      <c r="D452" s="15" t="n">
        <v>0.017</v>
      </c>
      <c r="E452" s="16" t="n">
        <v>103.77</v>
      </c>
      <c r="F452" s="16">
        <f>D452*E452</f>
        <v/>
      </c>
    </row>
    <row r="453">
      <c r="A453" s="13" t="inlineStr">
        <is>
          <t>0114</t>
        </is>
      </c>
      <c r="B453" s="14" t="inlineStr">
        <is>
          <t>Beldar</t>
        </is>
      </c>
      <c r="C453" s="13" t="inlineStr">
        <is>
          <t>day</t>
        </is>
      </c>
      <c r="D453" s="15" t="n">
        <v>0.12</v>
      </c>
      <c r="E453" s="16" t="n">
        <v>558</v>
      </c>
      <c r="F453" s="16">
        <f>D453*E453</f>
        <v/>
      </c>
    </row>
    <row r="454">
      <c r="A454" s="13" t="inlineStr">
        <is>
          <t>0115</t>
        </is>
      </c>
      <c r="B454" s="14" t="inlineStr">
        <is>
          <t>Coolie</t>
        </is>
      </c>
      <c r="C454" s="13" t="inlineStr">
        <is>
          <t>day</t>
        </is>
      </c>
      <c r="D454" s="15" t="n">
        <v>0.07000000000000001</v>
      </c>
      <c r="E454" s="16" t="n">
        <v>558</v>
      </c>
      <c r="F454" s="16">
        <f>D454*E454</f>
        <v/>
      </c>
    </row>
    <row r="455">
      <c r="A455" s="13" t="inlineStr">
        <is>
          <t>0131</t>
        </is>
      </c>
      <c r="B455" s="14" t="inlineStr">
        <is>
          <t>Painter</t>
        </is>
      </c>
      <c r="C455" s="13" t="inlineStr">
        <is>
          <t>day</t>
        </is>
      </c>
      <c r="D455" s="15" t="n">
        <v>0.2</v>
      </c>
      <c r="E455" s="16" t="n">
        <v>679</v>
      </c>
      <c r="F455" s="16">
        <f>D455*E455</f>
        <v/>
      </c>
    </row>
    <row r="456">
      <c r="A456" s="13" t="inlineStr">
        <is>
          <t>9988</t>
        </is>
      </c>
      <c r="B456" s="14" t="inlineStr">
        <is>
          <t>Sundries (Carriage of kerosene, steam coal, brushes, T&amp;P etc.)</t>
        </is>
      </c>
      <c r="C456" s="13" t="inlineStr">
        <is>
          <t>L.S.</t>
        </is>
      </c>
      <c r="D456" s="15" t="n">
        <v>33.15</v>
      </c>
      <c r="E456" s="16" t="n">
        <v>2</v>
      </c>
      <c r="F456" s="16">
        <f>D456*E456</f>
        <v/>
      </c>
    </row>
    <row r="457">
      <c r="A457" s="17" t="inlineStr">
        <is>
          <t>Resource Total (Material + Labour + Machinery, as printed)</t>
        </is>
      </c>
      <c r="B457" s="18" t="n"/>
      <c r="C457" s="18" t="n"/>
      <c r="D457" s="18" t="n"/>
      <c r="E457" s="18" t="n"/>
      <c r="F457" s="19">
        <f>SUM(F449:F456)</f>
        <v/>
      </c>
    </row>
    <row r="458">
      <c r="A458" s="20" t="inlineStr">
        <is>
          <t>SAY (Rs.) — final DAR rate</t>
        </is>
      </c>
      <c r="B458" s="21" t="n"/>
      <c r="C458" s="21" t="n"/>
      <c r="D458" s="21" t="n"/>
      <c r="E458" s="21" t="n"/>
      <c r="F458" s="22" t="n">
        <v>110</v>
      </c>
    </row>
    <row r="460" ht="28" customHeight="1">
      <c r="A460" s="9" t="inlineStr">
        <is>
          <t>4.14</t>
        </is>
      </c>
      <c r="B460" s="10" t="inlineStr">
        <is>
          <t>Extra for concrete work in superstructure above floor V level for each four floors or part thereof.</t>
        </is>
      </c>
      <c r="C460" s="11" t="n"/>
      <c r="D460" s="11" t="n"/>
      <c r="E460" s="11" t="n"/>
      <c r="F460" s="11" t="n"/>
    </row>
    <row r="461">
      <c r="A461" s="12" t="inlineStr">
        <is>
          <t>Rate basis: per nos  (source: cost for 1 nos)</t>
        </is>
      </c>
    </row>
    <row r="462">
      <c r="A462" s="5" t="inlineStr">
        <is>
          <t>Code</t>
        </is>
      </c>
      <c r="B462" s="5" t="inlineStr">
        <is>
          <t>Description</t>
        </is>
      </c>
      <c r="C462" s="5" t="inlineStr">
        <is>
          <t>Unit</t>
        </is>
      </c>
      <c r="D462" s="5" t="inlineStr">
        <is>
          <t>Quantity</t>
        </is>
      </c>
      <c r="E462" s="5" t="inlineStr">
        <is>
          <t>Rate (Rs.)</t>
        </is>
      </c>
      <c r="F462" s="5" t="inlineStr">
        <is>
          <t>Amount (Rs.)</t>
        </is>
      </c>
    </row>
    <row r="463">
      <c r="A463" s="13" t="inlineStr">
        <is>
          <t>0115</t>
        </is>
      </c>
      <c r="B463" s="14" t="inlineStr">
        <is>
          <t>Coolie</t>
        </is>
      </c>
      <c r="C463" s="13" t="inlineStr">
        <is>
          <t>day</t>
        </is>
      </c>
      <c r="D463" s="15" t="n">
        <v>1.5</v>
      </c>
      <c r="E463" s="16" t="n">
        <v>558</v>
      </c>
      <c r="F463" s="16">
        <f>D463*E463</f>
        <v/>
      </c>
    </row>
    <row r="464">
      <c r="A464" s="17" t="inlineStr">
        <is>
          <t>Resource Total (Material + Labour + Machinery, as printed)</t>
        </is>
      </c>
      <c r="B464" s="18" t="n"/>
      <c r="C464" s="18" t="n"/>
      <c r="D464" s="18" t="n"/>
      <c r="E464" s="18" t="n"/>
      <c r="F464" s="19">
        <f>SUM(F463:F463)</f>
        <v/>
      </c>
    </row>
    <row r="465">
      <c r="A465" s="20" t="inlineStr">
        <is>
          <t>SAY (Rs.) — final DAR rate</t>
        </is>
      </c>
      <c r="B465" s="21" t="n"/>
      <c r="C465" s="21" t="n"/>
      <c r="D465" s="21" t="n"/>
      <c r="E465" s="21" t="n"/>
      <c r="F465" s="22" t="n">
        <v>1119.85</v>
      </c>
    </row>
    <row r="467" ht="28" customHeight="1">
      <c r="A467" s="9" t="inlineStr">
        <is>
          <t>4.15</t>
        </is>
      </c>
      <c r="B467" s="10" t="inlineStr">
        <is>
          <t>Extra for laying concrete in or under water and/or liquid mud including cost of pumping or bailing out water and removing slush etc. complet</t>
        </is>
      </c>
      <c r="C467" s="11" t="n"/>
      <c r="D467" s="11" t="n"/>
      <c r="E467" s="11" t="n"/>
      <c r="F467" s="11" t="n"/>
    </row>
    <row r="468">
      <c r="A468" s="12" t="inlineStr">
        <is>
          <t>Rate basis: per cum  (source: cost for 14 cum)</t>
        </is>
      </c>
    </row>
    <row r="469">
      <c r="A469" s="5" t="inlineStr">
        <is>
          <t>Code</t>
        </is>
      </c>
      <c r="B469" s="5" t="inlineStr">
        <is>
          <t>Description</t>
        </is>
      </c>
      <c r="C469" s="5" t="inlineStr">
        <is>
          <t>Unit</t>
        </is>
      </c>
      <c r="D469" s="5" t="inlineStr">
        <is>
          <t>Quantity</t>
        </is>
      </c>
      <c r="E469" s="5" t="inlineStr">
        <is>
          <t>Rate (Rs.)</t>
        </is>
      </c>
      <c r="F469" s="5" t="inlineStr">
        <is>
          <t>Amount (Rs.)</t>
        </is>
      </c>
    </row>
    <row r="470">
      <c r="A470" s="13" t="inlineStr">
        <is>
          <t>4000</t>
        </is>
      </c>
      <c r="B470" s="14" t="inlineStr">
        <is>
          <t>litres/hour.</t>
        </is>
      </c>
      <c r="C470" s="13" t="inlineStr">
        <is>
          <t>day</t>
        </is>
      </c>
      <c r="D470" s="15" t="n">
        <v>0.375</v>
      </c>
      <c r="E470" s="16" t="n">
        <v>700</v>
      </c>
      <c r="F470" s="16">
        <f>D470*E470</f>
        <v/>
      </c>
    </row>
    <row r="471">
      <c r="A471" s="13" t="inlineStr">
        <is>
          <t>0114</t>
        </is>
      </c>
      <c r="B471" s="14" t="inlineStr">
        <is>
          <t>Beldar</t>
        </is>
      </c>
      <c r="C471" s="13" t="inlineStr">
        <is>
          <t>day</t>
        </is>
      </c>
      <c r="D471" s="15" t="n">
        <v>4</v>
      </c>
      <c r="E471" s="16" t="n">
        <v>558</v>
      </c>
      <c r="F471" s="16">
        <f>D471*E471</f>
        <v/>
      </c>
    </row>
    <row r="472">
      <c r="A472" s="17" t="inlineStr">
        <is>
          <t>Resource Total (Material + Labour + Machinery, as printed)</t>
        </is>
      </c>
      <c r="B472" s="18" t="n"/>
      <c r="C472" s="18" t="n"/>
      <c r="D472" s="18" t="n"/>
      <c r="E472" s="18" t="n"/>
      <c r="F472" s="19">
        <f>SUM(F470:F471)</f>
        <v/>
      </c>
    </row>
    <row r="473">
      <c r="A473" s="20" t="inlineStr">
        <is>
          <t>SAY (Rs.) — final DAR rate</t>
        </is>
      </c>
      <c r="B473" s="21" t="n"/>
      <c r="C473" s="21" t="n"/>
      <c r="D473" s="21" t="n"/>
      <c r="E473" s="21" t="n"/>
      <c r="F473" s="22" t="n">
        <v>794.65</v>
      </c>
    </row>
    <row r="475" ht="18" customHeight="1">
      <c r="A475" s="9" t="inlineStr">
        <is>
          <t>4.16</t>
        </is>
      </c>
      <c r="B475" s="10" t="inlineStr">
        <is>
          <t>Extra for laying concrete in or under foul positions.</t>
        </is>
      </c>
      <c r="C475" s="11" t="n"/>
      <c r="D475" s="11" t="n"/>
      <c r="E475" s="11" t="n"/>
      <c r="F475" s="11" t="n"/>
    </row>
    <row r="476">
      <c r="A476" s="12" t="inlineStr">
        <is>
          <t>Rate basis: per cum  (source: cost for 1 cum)</t>
        </is>
      </c>
    </row>
    <row r="477">
      <c r="A477" s="5" t="inlineStr">
        <is>
          <t>Code</t>
        </is>
      </c>
      <c r="B477" s="5" t="inlineStr">
        <is>
          <t>Description</t>
        </is>
      </c>
      <c r="C477" s="5" t="inlineStr">
        <is>
          <t>Unit</t>
        </is>
      </c>
      <c r="D477" s="5" t="inlineStr">
        <is>
          <t>Quantity</t>
        </is>
      </c>
      <c r="E477" s="5" t="inlineStr">
        <is>
          <t>Rate (Rs.)</t>
        </is>
      </c>
      <c r="F477" s="5" t="inlineStr">
        <is>
          <t>Amount (Rs.)</t>
        </is>
      </c>
    </row>
    <row r="478">
      <c r="A478" s="13" t="inlineStr">
        <is>
          <t>0123</t>
        </is>
      </c>
      <c r="B478" s="14" t="inlineStr">
        <is>
          <t>Mason (brick layer) 1st class</t>
        </is>
      </c>
      <c r="C478" s="13" t="inlineStr">
        <is>
          <t>day</t>
        </is>
      </c>
      <c r="D478" s="15" t="n">
        <v>0.02</v>
      </c>
      <c r="E478" s="16" t="n">
        <v>738</v>
      </c>
      <c r="F478" s="16">
        <f>D478*E478</f>
        <v/>
      </c>
    </row>
    <row r="479">
      <c r="A479" s="13" t="inlineStr">
        <is>
          <t>0124</t>
        </is>
      </c>
      <c r="B479" s="14" t="inlineStr">
        <is>
          <t>Mason (brick layer) 2nd class</t>
        </is>
      </c>
      <c r="C479" s="13" t="inlineStr">
        <is>
          <t>day</t>
        </is>
      </c>
      <c r="D479" s="15" t="n">
        <v>0.02</v>
      </c>
      <c r="E479" s="16" t="n">
        <v>679</v>
      </c>
      <c r="F479" s="16">
        <f>D479*E479</f>
        <v/>
      </c>
    </row>
    <row r="480">
      <c r="A480" s="13" t="inlineStr">
        <is>
          <t>0114</t>
        </is>
      </c>
      <c r="B480" s="14" t="inlineStr">
        <is>
          <t>Beldar</t>
        </is>
      </c>
      <c r="C480" s="13" t="inlineStr">
        <is>
          <t>day</t>
        </is>
      </c>
      <c r="D480" s="15" t="n">
        <v>0.25</v>
      </c>
      <c r="E480" s="16" t="n">
        <v>558</v>
      </c>
      <c r="F480" s="16">
        <f>D480*E480</f>
        <v/>
      </c>
    </row>
    <row r="481">
      <c r="A481" s="13" t="inlineStr">
        <is>
          <t>0115</t>
        </is>
      </c>
      <c r="B481" s="14" t="inlineStr">
        <is>
          <t>Coolie</t>
        </is>
      </c>
      <c r="C481" s="13" t="inlineStr">
        <is>
          <t>day</t>
        </is>
      </c>
      <c r="D481" s="15" t="n">
        <v>0.15</v>
      </c>
      <c r="E481" s="16" t="n">
        <v>558</v>
      </c>
      <c r="F481" s="16">
        <f>D481*E481</f>
        <v/>
      </c>
    </row>
    <row r="482">
      <c r="A482" s="17" t="inlineStr">
        <is>
          <t>Resource Total (Material + Labour + Machinery, as printed)</t>
        </is>
      </c>
      <c r="B482" s="18" t="n"/>
      <c r="C482" s="18" t="n"/>
      <c r="D482" s="18" t="n"/>
      <c r="E482" s="18" t="n"/>
      <c r="F482" s="19">
        <f>SUM(F478:F481)</f>
        <v/>
      </c>
    </row>
    <row r="483">
      <c r="A483" s="20" t="inlineStr">
        <is>
          <t>SAY (Rs.) — final DAR rate</t>
        </is>
      </c>
      <c r="B483" s="21" t="n"/>
      <c r="C483" s="21" t="n"/>
      <c r="D483" s="21" t="n"/>
      <c r="E483" s="21" t="n"/>
      <c r="F483" s="22" t="n">
        <v>336.55</v>
      </c>
    </row>
    <row r="485" ht="28" customHeight="1">
      <c r="A485" s="9" t="inlineStr">
        <is>
          <t>4.17</t>
        </is>
      </c>
      <c r="B485" s="10" t="inlineStr">
        <is>
          <t>Making plinth protection 50mm thick of cement concrete 1:3:6 (1 cement : 3 coarse sand : 6 graded stone aggregate 20 mm nominal size) over 7</t>
        </is>
      </c>
      <c r="C485" s="11" t="n"/>
      <c r="D485" s="11" t="n"/>
      <c r="E485" s="11" t="n"/>
      <c r="F485" s="11" t="n"/>
    </row>
    <row r="486">
      <c r="A486" s="12" t="inlineStr">
        <is>
          <t>Rate basis: per sqm  (source: cost for 10 sqm)</t>
        </is>
      </c>
    </row>
    <row r="487">
      <c r="A487" s="5" t="inlineStr">
        <is>
          <t>Code</t>
        </is>
      </c>
      <c r="B487" s="5" t="inlineStr">
        <is>
          <t>Description</t>
        </is>
      </c>
      <c r="C487" s="5" t="inlineStr">
        <is>
          <t>Unit</t>
        </is>
      </c>
      <c r="D487" s="5" t="inlineStr">
        <is>
          <t>Quantity</t>
        </is>
      </c>
      <c r="E487" s="5" t="inlineStr">
        <is>
          <t>Rate (Rs.)</t>
        </is>
      </c>
      <c r="F487" s="5" t="inlineStr">
        <is>
          <t>Amount (Rs.)</t>
        </is>
      </c>
    </row>
    <row r="488">
      <c r="A488" s="13" t="inlineStr">
        <is>
          <t>0287</t>
        </is>
      </c>
      <c r="B488" s="14" t="inlineStr">
        <is>
          <t>Brick Aggregate (Single size) : 40 mm nominal size</t>
        </is>
      </c>
      <c r="C488" s="13" t="inlineStr">
        <is>
          <t>cum</t>
        </is>
      </c>
      <c r="D488" s="15" t="n">
        <v>0.75</v>
      </c>
      <c r="E488" s="16" t="n">
        <v>650</v>
      </c>
      <c r="F488" s="16">
        <f>D488*E488</f>
        <v/>
      </c>
    </row>
    <row r="489">
      <c r="A489" s="13" t="inlineStr">
        <is>
          <t>2260</t>
        </is>
      </c>
      <c r="B489" s="14" t="inlineStr">
        <is>
          <t>Carriage of Brick aggregate</t>
        </is>
      </c>
      <c r="C489" s="13" t="inlineStr">
        <is>
          <t>cum</t>
        </is>
      </c>
      <c r="D489" s="15" t="n">
        <v>0.75</v>
      </c>
      <c r="E489" s="16" t="n">
        <v>112.79</v>
      </c>
      <c r="F489" s="16">
        <f>D489*E489</f>
        <v/>
      </c>
    </row>
    <row r="490">
      <c r="A490" s="13" t="inlineStr">
        <is>
          <t>0983</t>
        </is>
      </c>
      <c r="B490" s="14" t="inlineStr">
        <is>
          <t>Fine sand (zone IV)</t>
        </is>
      </c>
      <c r="C490" s="13" t="inlineStr">
        <is>
          <t>cum</t>
        </is>
      </c>
      <c r="D490" s="15" t="n">
        <v>0.06</v>
      </c>
      <c r="E490" s="16" t="n">
        <v>900</v>
      </c>
      <c r="F490" s="16">
        <f>D490*E490</f>
        <v/>
      </c>
    </row>
    <row r="491">
      <c r="A491" s="13" t="inlineStr">
        <is>
          <t>2261</t>
        </is>
      </c>
      <c r="B491" s="14" t="inlineStr">
        <is>
          <t>Carriage of Fine sand (1 part badarpur sand : 2 parts jamuna sand)</t>
        </is>
      </c>
      <c r="C491" s="13" t="inlineStr">
        <is>
          <t>cum</t>
        </is>
      </c>
      <c r="D491" s="15" t="n">
        <v>0.06</v>
      </c>
      <c r="E491" s="16" t="n">
        <v>103.77</v>
      </c>
      <c r="F491" s="16">
        <f>D491*E491</f>
        <v/>
      </c>
    </row>
    <row r="492">
      <c r="A492" s="13" t="inlineStr">
        <is>
          <t>0114</t>
        </is>
      </c>
      <c r="B492" s="14" t="inlineStr">
        <is>
          <t>Beldar</t>
        </is>
      </c>
      <c r="C492" s="13" t="inlineStr">
        <is>
          <t>day</t>
        </is>
      </c>
      <c r="D492" s="15" t="n">
        <v>0.16</v>
      </c>
      <c r="E492" s="16" t="n">
        <v>558</v>
      </c>
      <c r="F492" s="16">
        <f>D492*E492</f>
        <v/>
      </c>
    </row>
    <row r="493">
      <c r="A493" s="13" t="inlineStr">
        <is>
          <t>0115</t>
        </is>
      </c>
      <c r="B493" s="14" t="inlineStr">
        <is>
          <t>Coolie</t>
        </is>
      </c>
      <c r="C493" s="13" t="inlineStr">
        <is>
          <t>day</t>
        </is>
      </c>
      <c r="D493" s="15" t="n">
        <v>0.11</v>
      </c>
      <c r="E493" s="16" t="n">
        <v>558</v>
      </c>
      <c r="F493" s="16">
        <f>D493*E493</f>
        <v/>
      </c>
    </row>
    <row r="494">
      <c r="A494" s="13" t="inlineStr">
        <is>
          <t>0295</t>
        </is>
      </c>
      <c r="B494" s="14" t="inlineStr">
        <is>
          <t>Stone Aggregate (Single size) : 20 mm nominal size</t>
        </is>
      </c>
      <c r="C494" s="13" t="inlineStr">
        <is>
          <t>cum</t>
        </is>
      </c>
      <c r="D494" s="15" t="n">
        <v>0.35</v>
      </c>
      <c r="E494" s="16" t="n">
        <v>1350</v>
      </c>
      <c r="F494" s="16">
        <f>D494*E494</f>
        <v/>
      </c>
    </row>
    <row r="495">
      <c r="A495" s="13" t="inlineStr">
        <is>
          <t>0297</t>
        </is>
      </c>
      <c r="B495" s="14" t="inlineStr">
        <is>
          <t>Stone Aggregate (Single size) : 10 mm nominal size</t>
        </is>
      </c>
      <c r="C495" s="13" t="inlineStr">
        <is>
          <t>cum</t>
        </is>
      </c>
      <c r="D495" s="15" t="n">
        <v>0.12</v>
      </c>
      <c r="E495" s="16" t="n">
        <v>1350</v>
      </c>
      <c r="F495" s="16">
        <f>D495*E495</f>
        <v/>
      </c>
    </row>
    <row r="496">
      <c r="A496" s="13" t="inlineStr">
        <is>
          <t>2202</t>
        </is>
      </c>
      <c r="B496" s="14" t="inlineStr">
        <is>
          <t>Carriage of Stone aggregate below 40 mm nominal size</t>
        </is>
      </c>
      <c r="C496" s="13" t="inlineStr">
        <is>
          <t>cum</t>
        </is>
      </c>
      <c r="D496" s="15" t="n">
        <v>0.47</v>
      </c>
      <c r="E496" s="16" t="n">
        <v>103.77</v>
      </c>
      <c r="F496" s="16">
        <f>D496*E496</f>
        <v/>
      </c>
    </row>
    <row r="497">
      <c r="A497" s="13" t="inlineStr">
        <is>
          <t>0982</t>
        </is>
      </c>
      <c r="B497" s="14" t="inlineStr">
        <is>
          <t>Coarse sand (zone III)</t>
        </is>
      </c>
      <c r="C497" s="13" t="inlineStr">
        <is>
          <t>cum</t>
        </is>
      </c>
      <c r="D497" s="15" t="n">
        <v>0.23</v>
      </c>
      <c r="E497" s="16" t="n">
        <v>1350</v>
      </c>
      <c r="F497" s="16">
        <f>D497*E497</f>
        <v/>
      </c>
    </row>
    <row r="498">
      <c r="A498" s="13" t="inlineStr">
        <is>
          <t>2203</t>
        </is>
      </c>
      <c r="B498" s="14" t="inlineStr">
        <is>
          <t>Carriage of Coarse sand</t>
        </is>
      </c>
      <c r="C498" s="13" t="inlineStr">
        <is>
          <t>cum</t>
        </is>
      </c>
      <c r="D498" s="15" t="n">
        <v>0.23</v>
      </c>
      <c r="E498" s="16" t="n">
        <v>103.77</v>
      </c>
      <c r="F498" s="16">
        <f>D498*E498</f>
        <v/>
      </c>
    </row>
    <row r="499">
      <c r="A499" s="13" t="inlineStr">
        <is>
          <t>0367</t>
        </is>
      </c>
      <c r="B499" s="14" t="inlineStr">
        <is>
          <t>Portland Cement</t>
        </is>
      </c>
      <c r="C499" s="13" t="inlineStr">
        <is>
          <t>tonne</t>
        </is>
      </c>
      <c r="D499" s="15" t="n">
        <v>0.11</v>
      </c>
      <c r="E499" s="16" t="n">
        <v>4940</v>
      </c>
      <c r="F499" s="16">
        <f>D499*E499</f>
        <v/>
      </c>
    </row>
    <row r="500">
      <c r="A500" s="13" t="inlineStr">
        <is>
          <t>2209</t>
        </is>
      </c>
      <c r="B500" s="14" t="inlineStr">
        <is>
          <t>Carriage of Cement</t>
        </is>
      </c>
      <c r="C500" s="13" t="inlineStr">
        <is>
          <t>tonne</t>
        </is>
      </c>
      <c r="D500" s="15" t="n">
        <v>0.11</v>
      </c>
      <c r="E500" s="16" t="n">
        <v>92.23999999999999</v>
      </c>
      <c r="F500" s="16">
        <f>D500*E500</f>
        <v/>
      </c>
    </row>
    <row r="501">
      <c r="A501" s="13" t="inlineStr">
        <is>
          <t>0114</t>
        </is>
      </c>
      <c r="B501" s="14" t="inlineStr">
        <is>
          <t>Beldar</t>
        </is>
      </c>
      <c r="C501" s="13" t="inlineStr">
        <is>
          <t>day</t>
        </is>
      </c>
      <c r="D501" s="15" t="n">
        <v>1</v>
      </c>
      <c r="E501" s="16" t="n">
        <v>558</v>
      </c>
      <c r="F501" s="16">
        <f>D501*E501</f>
        <v/>
      </c>
    </row>
    <row r="502">
      <c r="A502" s="13" t="inlineStr">
        <is>
          <t>0123</t>
        </is>
      </c>
      <c r="B502" s="14" t="inlineStr">
        <is>
          <t>Mason (brick layer) 1st class</t>
        </is>
      </c>
      <c r="C502" s="13" t="inlineStr">
        <is>
          <t>day</t>
        </is>
      </c>
      <c r="D502" s="15" t="n">
        <v>0.05</v>
      </c>
      <c r="E502" s="16" t="n">
        <v>738</v>
      </c>
      <c r="F502" s="16">
        <f>D502*E502</f>
        <v/>
      </c>
    </row>
    <row r="503">
      <c r="A503" s="13" t="inlineStr">
        <is>
          <t>0101</t>
        </is>
      </c>
      <c r="B503" s="14" t="inlineStr">
        <is>
          <t>Bhisti</t>
        </is>
      </c>
      <c r="C503" s="13" t="inlineStr">
        <is>
          <t>day</t>
        </is>
      </c>
      <c r="D503" s="15" t="n">
        <v>0.33</v>
      </c>
      <c r="E503" s="16" t="n">
        <v>617</v>
      </c>
      <c r="F503" s="16">
        <f>D503*E503</f>
        <v/>
      </c>
    </row>
    <row r="504">
      <c r="A504" s="13" t="inlineStr">
        <is>
          <t>9999</t>
        </is>
      </c>
      <c r="B504" s="14" t="inlineStr">
        <is>
          <t>Hire and runing charges of mechanical mixer</t>
        </is>
      </c>
      <c r="C504" s="13" t="inlineStr">
        <is>
          <t>L.S.</t>
        </is>
      </c>
      <c r="D504" s="15" t="n">
        <v>13.39</v>
      </c>
      <c r="E504" s="16" t="n">
        <v>2</v>
      </c>
      <c r="F504" s="16">
        <f>D504*E504</f>
        <v/>
      </c>
    </row>
    <row r="505">
      <c r="A505" s="13" t="inlineStr">
        <is>
          <t>9999</t>
        </is>
      </c>
      <c r="B505" s="14" t="inlineStr">
        <is>
          <t>Sundries</t>
        </is>
      </c>
      <c r="C505" s="13" t="inlineStr">
        <is>
          <t>L.S.</t>
        </is>
      </c>
      <c r="D505" s="15" t="n">
        <v>6.76</v>
      </c>
      <c r="E505" s="16" t="n">
        <v>2</v>
      </c>
      <c r="F505" s="16">
        <f>D505*E505</f>
        <v/>
      </c>
    </row>
    <row r="506">
      <c r="A506" s="13" t="inlineStr">
        <is>
          <t>0155</t>
        </is>
      </c>
      <c r="B506" s="14" t="inlineStr">
        <is>
          <t>Mason (average)</t>
        </is>
      </c>
      <c r="C506" s="13" t="inlineStr">
        <is>
          <t>day</t>
        </is>
      </c>
      <c r="D506" s="15" t="n">
        <v>0.27</v>
      </c>
      <c r="E506" s="16" t="n">
        <v>709</v>
      </c>
      <c r="F506" s="16">
        <f>D506*E506</f>
        <v/>
      </c>
    </row>
    <row r="507">
      <c r="A507" s="13" t="inlineStr">
        <is>
          <t>0114</t>
        </is>
      </c>
      <c r="B507" s="14" t="inlineStr">
        <is>
          <t>Beldar</t>
        </is>
      </c>
      <c r="C507" s="13" t="inlineStr">
        <is>
          <t>day</t>
        </is>
      </c>
      <c r="D507" s="15" t="n">
        <v>1.08</v>
      </c>
      <c r="E507" s="16" t="n">
        <v>558</v>
      </c>
      <c r="F507" s="16">
        <f>D507*E507</f>
        <v/>
      </c>
    </row>
    <row r="508">
      <c r="A508" s="13" t="inlineStr">
        <is>
          <t>0115</t>
        </is>
      </c>
      <c r="B508" s="14" t="inlineStr">
        <is>
          <t>Coolie</t>
        </is>
      </c>
      <c r="C508" s="13" t="inlineStr">
        <is>
          <t>day</t>
        </is>
      </c>
      <c r="D508" s="15" t="n">
        <v>1.08</v>
      </c>
      <c r="E508" s="16" t="n">
        <v>558</v>
      </c>
      <c r="F508" s="16">
        <f>D508*E508</f>
        <v/>
      </c>
    </row>
    <row r="509">
      <c r="A509" s="17" t="inlineStr">
        <is>
          <t>Resource Total (Material + Labour + Machinery, as printed)</t>
        </is>
      </c>
      <c r="B509" s="18" t="n"/>
      <c r="C509" s="18" t="n"/>
      <c r="D509" s="18" t="n"/>
      <c r="E509" s="18" t="n"/>
      <c r="F509" s="19">
        <f>SUM(F488:F508)</f>
        <v/>
      </c>
    </row>
    <row r="510">
      <c r="A510" s="20" t="inlineStr">
        <is>
          <t>SAY (Rs.) — final DAR rate</t>
        </is>
      </c>
      <c r="B510" s="21" t="n"/>
      <c r="C510" s="21" t="n"/>
      <c r="D510" s="21" t="n"/>
      <c r="E510" s="21" t="n"/>
      <c r="F510" s="22" t="n">
        <v>614.05</v>
      </c>
    </row>
    <row r="512" ht="28" customHeight="1">
      <c r="A512" s="9" t="inlineStr">
        <is>
          <t>4.18</t>
        </is>
      </c>
      <c r="B512" s="10" t="inlineStr">
        <is>
          <t xml:space="preserve">Extra for addition of synthetic Polyester triangular fibre of length 12mm, effective diameter 10-40 microns and specific gravity of 1.34 to </t>
        </is>
      </c>
      <c r="C512" s="11" t="n"/>
      <c r="D512" s="11" t="n"/>
      <c r="E512" s="11" t="n"/>
      <c r="F512" s="11" t="n"/>
    </row>
    <row r="513">
      <c r="A513" s="12" t="inlineStr">
        <is>
          <t>Rate basis: per nos  (source: cost for 1 nos)</t>
        </is>
      </c>
    </row>
    <row r="514">
      <c r="A514" s="5" t="inlineStr">
        <is>
          <t>Code</t>
        </is>
      </c>
      <c r="B514" s="5" t="inlineStr">
        <is>
          <t>Description</t>
        </is>
      </c>
      <c r="C514" s="5" t="inlineStr">
        <is>
          <t>Unit</t>
        </is>
      </c>
      <c r="D514" s="5" t="inlineStr">
        <is>
          <t>Quantity</t>
        </is>
      </c>
      <c r="E514" s="5" t="inlineStr">
        <is>
          <t>Rate (Rs.)</t>
        </is>
      </c>
      <c r="F514" s="5" t="inlineStr">
        <is>
          <t>Amount (Rs.)</t>
        </is>
      </c>
    </row>
    <row r="515">
      <c r="A515" s="13" t="inlineStr">
        <is>
          <t>8732</t>
        </is>
      </c>
      <c r="B515" s="14" t="inlineStr">
        <is>
          <t>Synthetic polyester triangular fibre of length 12mm, effective dia 10-40 microns and specific gravity of 1.34 to 1.40</t>
        </is>
      </c>
      <c r="C515" s="13" t="inlineStr">
        <is>
          <t>kg</t>
        </is>
      </c>
      <c r="D515" s="15" t="n">
        <v>0.125</v>
      </c>
      <c r="E515" s="16" t="n">
        <v>365</v>
      </c>
      <c r="F515" s="16">
        <f>D515*E515</f>
        <v/>
      </c>
    </row>
    <row r="516">
      <c r="A516" s="17" t="inlineStr">
        <is>
          <t>Resource Total (Material + Labour + Machinery, as printed)</t>
        </is>
      </c>
      <c r="B516" s="18" t="n"/>
      <c r="C516" s="18" t="n"/>
      <c r="D516" s="18" t="n"/>
      <c r="E516" s="18" t="n"/>
      <c r="F516" s="19">
        <f>SUM(F515:F515)</f>
        <v/>
      </c>
    </row>
    <row r="517">
      <c r="A517" s="20" t="inlineStr">
        <is>
          <t>SAY (Rs.) — final DAR rate</t>
        </is>
      </c>
      <c r="B517" s="21" t="n"/>
      <c r="C517" s="21" t="n"/>
      <c r="D517" s="21" t="n"/>
      <c r="E517" s="21" t="n"/>
      <c r="F517" s="22" t="n">
        <v>61.05</v>
      </c>
    </row>
    <row r="519" ht="18" customHeight="1">
      <c r="A519" s="9" t="inlineStr">
        <is>
          <t>4.19.1.1</t>
        </is>
      </c>
      <c r="B519" s="10" t="inlineStr">
        <is>
          <t>M-15 grade plain cement concrete (cement content considered @ 240 kg/cum)</t>
        </is>
      </c>
      <c r="C519" s="11" t="n"/>
      <c r="D519" s="11" t="n"/>
      <c r="E519" s="11" t="n"/>
      <c r="F519" s="11" t="n"/>
    </row>
    <row r="520">
      <c r="A520" s="12" t="inlineStr">
        <is>
          <t>Rate basis: per cum  (source: cost for 1 cum)</t>
        </is>
      </c>
    </row>
    <row r="521">
      <c r="A521" s="5" t="inlineStr">
        <is>
          <t>Code</t>
        </is>
      </c>
      <c r="B521" s="5" t="inlineStr">
        <is>
          <t>Description</t>
        </is>
      </c>
      <c r="C521" s="5" t="inlineStr">
        <is>
          <t>Unit</t>
        </is>
      </c>
      <c r="D521" s="5" t="inlineStr">
        <is>
          <t>Quantity</t>
        </is>
      </c>
      <c r="E521" s="5" t="inlineStr">
        <is>
          <t>Rate (Rs.)</t>
        </is>
      </c>
      <c r="F521" s="5" t="inlineStr">
        <is>
          <t>Amount (Rs.)</t>
        </is>
      </c>
    </row>
    <row r="522">
      <c r="A522" s="13" t="inlineStr">
        <is>
          <t>0293</t>
        </is>
      </c>
      <c r="B522" s="14" t="inlineStr">
        <is>
          <t>Stone Aggregate (Single size) : 40 mm nominal size</t>
        </is>
      </c>
      <c r="C522" s="13" t="inlineStr">
        <is>
          <t>cum</t>
        </is>
      </c>
      <c r="D522" s="15" t="n">
        <v>0.65</v>
      </c>
      <c r="E522" s="16" t="n">
        <v>1300</v>
      </c>
      <c r="F522" s="16">
        <f>D522*E522</f>
        <v/>
      </c>
    </row>
    <row r="523">
      <c r="A523" s="13" t="inlineStr">
        <is>
          <t>0295</t>
        </is>
      </c>
      <c r="B523" s="14" t="inlineStr">
        <is>
          <t>Stone Aggregate (Single size) : 20 mm nominal size</t>
        </is>
      </c>
      <c r="C523" s="13" t="inlineStr">
        <is>
          <t>cum</t>
        </is>
      </c>
      <c r="D523" s="15" t="n">
        <v>0.24</v>
      </c>
      <c r="E523" s="16" t="n">
        <v>1350</v>
      </c>
      <c r="F523" s="16">
        <f>D523*E523</f>
        <v/>
      </c>
    </row>
    <row r="524">
      <c r="A524" s="13" t="inlineStr">
        <is>
          <t>2206</t>
        </is>
      </c>
      <c r="B524" s="14" t="inlineStr">
        <is>
          <t>Carriage of Stone aggregate 40 mm nominal size and above</t>
        </is>
      </c>
      <c r="C524" s="13" t="inlineStr">
        <is>
          <t>cum</t>
        </is>
      </c>
      <c r="D524" s="15" t="n">
        <v>0.65</v>
      </c>
      <c r="E524" s="16" t="n">
        <v>112.79</v>
      </c>
      <c r="F524" s="16">
        <f>D524*E524</f>
        <v/>
      </c>
    </row>
    <row r="525">
      <c r="A525" s="13" t="inlineStr">
        <is>
          <t>2202</t>
        </is>
      </c>
      <c r="B525" s="14" t="inlineStr">
        <is>
          <t>Carriage of Stone aggregate below 40 mm nominal size</t>
        </is>
      </c>
      <c r="C525" s="13" t="inlineStr">
        <is>
          <t>cum</t>
        </is>
      </c>
      <c r="D525" s="15" t="n">
        <v>0.24</v>
      </c>
      <c r="E525" s="16" t="n">
        <v>103.77</v>
      </c>
      <c r="F525" s="16">
        <f>D525*E525</f>
        <v/>
      </c>
    </row>
    <row r="526">
      <c r="A526" s="13" t="inlineStr">
        <is>
          <t>0982</t>
        </is>
      </c>
      <c r="B526" s="14" t="inlineStr">
        <is>
          <t>Coarse sand (zone III)</t>
        </is>
      </c>
      <c r="C526" s="13" t="inlineStr">
        <is>
          <t>cum</t>
        </is>
      </c>
      <c r="D526" s="15" t="n">
        <v>0.37</v>
      </c>
      <c r="E526" s="16" t="n">
        <v>1350</v>
      </c>
      <c r="F526" s="16">
        <f>D526*E526</f>
        <v/>
      </c>
    </row>
    <row r="527">
      <c r="A527" s="13" t="inlineStr">
        <is>
          <t>2203</t>
        </is>
      </c>
      <c r="B527" s="14" t="inlineStr">
        <is>
          <t>Carriage of Coarse sand</t>
        </is>
      </c>
      <c r="C527" s="13" t="inlineStr">
        <is>
          <t>cum</t>
        </is>
      </c>
      <c r="D527" s="15" t="n">
        <v>0.37</v>
      </c>
      <c r="E527" s="16" t="n">
        <v>103.77</v>
      </c>
      <c r="F527" s="16">
        <f>D527*E527</f>
        <v/>
      </c>
    </row>
    <row r="528">
      <c r="A528" s="13" t="inlineStr">
        <is>
          <t>1980</t>
        </is>
      </c>
      <c r="B528" s="14" t="inlineStr">
        <is>
          <t>Flyash</t>
        </is>
      </c>
      <c r="C528" s="13" t="inlineStr">
        <is>
          <t>cum</t>
        </is>
      </c>
      <c r="D528" s="15" t="n">
        <v>0.21</v>
      </c>
      <c r="E528" s="16" t="n">
        <v>10</v>
      </c>
      <c r="F528" s="16">
        <f>D528*E528</f>
        <v/>
      </c>
    </row>
    <row r="529">
      <c r="A529" s="13" t="inlineStr">
        <is>
          <t>2262</t>
        </is>
      </c>
      <c r="B529" s="14" t="inlineStr">
        <is>
          <t>Carriage of Flyash</t>
        </is>
      </c>
      <c r="C529" s="13" t="inlineStr">
        <is>
          <t>cum</t>
        </is>
      </c>
      <c r="D529" s="15" t="n">
        <v>0.21</v>
      </c>
      <c r="E529" s="16" t="n">
        <v>103.77</v>
      </c>
      <c r="F529" s="16">
        <f>D529*E529</f>
        <v/>
      </c>
    </row>
    <row r="530">
      <c r="A530" s="13" t="inlineStr">
        <is>
          <t>0367</t>
        </is>
      </c>
      <c r="B530" s="14" t="inlineStr">
        <is>
          <t>Portland Cement</t>
        </is>
      </c>
      <c r="C530" s="13" t="inlineStr">
        <is>
          <t>tonne</t>
        </is>
      </c>
      <c r="D530" s="15" t="n">
        <v>0.24</v>
      </c>
      <c r="E530" s="16" t="n">
        <v>4940</v>
      </c>
      <c r="F530" s="16">
        <f>D530*E530</f>
        <v/>
      </c>
    </row>
    <row r="531">
      <c r="A531" s="13" t="inlineStr">
        <is>
          <t>2209</t>
        </is>
      </c>
      <c r="B531" s="14" t="inlineStr">
        <is>
          <t>Carriage of Cement</t>
        </is>
      </c>
      <c r="C531" s="13" t="inlineStr">
        <is>
          <t>tonne</t>
        </is>
      </c>
      <c r="D531" s="15" t="n">
        <v>0.24</v>
      </c>
      <c r="E531" s="16" t="n">
        <v>92.23999999999999</v>
      </c>
      <c r="F531" s="16">
        <f>D531*E531</f>
        <v/>
      </c>
    </row>
    <row r="532">
      <c r="A532" s="13" t="inlineStr">
        <is>
          <t>7318</t>
        </is>
      </c>
      <c r="B532" s="14" t="inlineStr">
        <is>
          <t>Plasticizer / super plasticizer</t>
        </is>
      </c>
      <c r="C532" s="13" t="inlineStr">
        <is>
          <t>kilogram</t>
        </is>
      </c>
      <c r="D532" s="15" t="n">
        <v>1.2</v>
      </c>
      <c r="E532" s="16" t="n">
        <v>36</v>
      </c>
      <c r="F532" s="16">
        <f>D532*E532</f>
        <v/>
      </c>
    </row>
    <row r="533">
      <c r="A533" s="13" t="inlineStr">
        <is>
          <t>0004</t>
        </is>
      </c>
      <c r="B533" s="14" t="inlineStr">
        <is>
          <t>Production cost of concrete by batch mix plant.</t>
        </is>
      </c>
      <c r="C533" s="13" t="inlineStr">
        <is>
          <t>cum</t>
        </is>
      </c>
      <c r="D533" s="15" t="n">
        <v>1</v>
      </c>
      <c r="E533" s="16" t="n">
        <v>350</v>
      </c>
      <c r="F533" s="16">
        <f>D533*E533</f>
        <v/>
      </c>
    </row>
    <row r="534">
      <c r="A534" s="13" t="inlineStr">
        <is>
          <t>0029</t>
        </is>
      </c>
      <c r="B534" s="14" t="inlineStr">
        <is>
          <t>Carriage of concrete by transit mixer. km/</t>
        </is>
      </c>
      <c r="C534" s="13" t="inlineStr">
        <is>
          <t>cum</t>
        </is>
      </c>
      <c r="D534" s="15" t="n">
        <v>10</v>
      </c>
      <c r="E534" s="16" t="n">
        <v>30</v>
      </c>
      <c r="F534" s="16">
        <f>D534*E534</f>
        <v/>
      </c>
    </row>
    <row r="535">
      <c r="A535" s="13" t="inlineStr">
        <is>
          <t>0009</t>
        </is>
      </c>
      <c r="B535" s="14" t="inlineStr">
        <is>
          <t>Pumping charges of concrete including Hire charges of pump, piping work &amp; accessories etc.</t>
        </is>
      </c>
      <c r="C535" s="13" t="inlineStr">
        <is>
          <t>cum</t>
        </is>
      </c>
      <c r="D535" s="15" t="n">
        <v>1</v>
      </c>
      <c r="E535" s="16" t="n">
        <v>210</v>
      </c>
      <c r="F535" s="16">
        <f>D535*E535</f>
        <v/>
      </c>
    </row>
    <row r="536">
      <c r="A536" s="13" t="inlineStr">
        <is>
          <t>0155</t>
        </is>
      </c>
      <c r="B536" s="14" t="inlineStr">
        <is>
          <t>Mason (average)</t>
        </is>
      </c>
      <c r="C536" s="13" t="inlineStr">
        <is>
          <t>day</t>
        </is>
      </c>
      <c r="D536" s="15" t="n">
        <v>0.17</v>
      </c>
      <c r="E536" s="16" t="n">
        <v>709</v>
      </c>
      <c r="F536" s="16">
        <f>D536*E536</f>
        <v/>
      </c>
    </row>
    <row r="537">
      <c r="A537" s="13" t="inlineStr">
        <is>
          <t>0114</t>
        </is>
      </c>
      <c r="B537" s="14" t="inlineStr">
        <is>
          <t>Beldar</t>
        </is>
      </c>
      <c r="C537" s="13" t="inlineStr">
        <is>
          <t>day</t>
        </is>
      </c>
      <c r="D537" s="15" t="n">
        <v>2</v>
      </c>
      <c r="E537" s="16" t="n">
        <v>558</v>
      </c>
      <c r="F537" s="16">
        <f>D537*E537</f>
        <v/>
      </c>
    </row>
    <row r="538">
      <c r="A538" s="13" t="inlineStr">
        <is>
          <t>0101</t>
        </is>
      </c>
      <c r="B538" s="14" t="inlineStr">
        <is>
          <t>Bhisti</t>
        </is>
      </c>
      <c r="C538" s="13" t="inlineStr">
        <is>
          <t>day</t>
        </is>
      </c>
      <c r="D538" s="15" t="n">
        <v>0.9</v>
      </c>
      <c r="E538" s="16" t="n">
        <v>617</v>
      </c>
      <c r="F538" s="16">
        <f>D538*E538</f>
        <v/>
      </c>
    </row>
    <row r="539">
      <c r="A539" s="13" t="inlineStr">
        <is>
          <t>0012</t>
        </is>
      </c>
      <c r="B539" s="14" t="inlineStr">
        <is>
          <t>Vibrator(Needle type 40mm)</t>
        </is>
      </c>
      <c r="C539" s="13" t="inlineStr">
        <is>
          <t>day</t>
        </is>
      </c>
      <c r="D539" s="15" t="n">
        <v>0.07000000000000001</v>
      </c>
      <c r="E539" s="16" t="n">
        <v>370</v>
      </c>
      <c r="F539" s="16">
        <f>D539*E539</f>
        <v/>
      </c>
    </row>
    <row r="540">
      <c r="A540" s="13" t="inlineStr">
        <is>
          <t>9999</t>
        </is>
      </c>
      <c r="B540" s="14" t="inlineStr">
        <is>
          <t>Sundries</t>
        </is>
      </c>
      <c r="C540" s="13" t="inlineStr">
        <is>
          <t>L.S.</t>
        </is>
      </c>
      <c r="D540" s="15" t="n">
        <v>13</v>
      </c>
      <c r="E540" s="16" t="n">
        <v>2</v>
      </c>
      <c r="F540" s="16">
        <f>D540*E540</f>
        <v/>
      </c>
    </row>
    <row r="541">
      <c r="A541" s="17" t="inlineStr">
        <is>
          <t>Resource Total (Material + Labour + Machinery, as printed)</t>
        </is>
      </c>
      <c r="B541" s="18" t="n"/>
      <c r="C541" s="18" t="n"/>
      <c r="D541" s="18" t="n"/>
      <c r="E541" s="18" t="n"/>
      <c r="F541" s="19">
        <f>SUM(F522:F540)</f>
        <v/>
      </c>
    </row>
    <row r="542">
      <c r="A542" s="20" t="inlineStr">
        <is>
          <t>SAY (Rs.) — final DAR rate</t>
        </is>
      </c>
      <c r="B542" s="21" t="n"/>
      <c r="C542" s="21" t="n"/>
      <c r="D542" s="21" t="n"/>
      <c r="E542" s="21" t="n"/>
      <c r="F542" s="22" t="n">
        <v>7738.2</v>
      </c>
    </row>
    <row r="544" ht="18" customHeight="1">
      <c r="A544" s="9" t="inlineStr">
        <is>
          <t>4.19.1.2</t>
        </is>
      </c>
      <c r="B544" s="10" t="inlineStr">
        <is>
          <t>M-10 grade plain cement concrete (cement content considered @ 220 kg/cum)</t>
        </is>
      </c>
      <c r="C544" s="11" t="n"/>
      <c r="D544" s="11" t="n"/>
      <c r="E544" s="11" t="n"/>
      <c r="F544" s="11" t="n"/>
    </row>
    <row r="545">
      <c r="A545" s="12" t="inlineStr">
        <is>
          <t>Rate basis: per cum  (source: cost for 1 cum)</t>
        </is>
      </c>
    </row>
    <row r="546">
      <c r="A546" s="5" t="inlineStr">
        <is>
          <t>Code</t>
        </is>
      </c>
      <c r="B546" s="5" t="inlineStr">
        <is>
          <t>Description</t>
        </is>
      </c>
      <c r="C546" s="5" t="inlineStr">
        <is>
          <t>Unit</t>
        </is>
      </c>
      <c r="D546" s="5" t="inlineStr">
        <is>
          <t>Quantity</t>
        </is>
      </c>
      <c r="E546" s="5" t="inlineStr">
        <is>
          <t>Rate (Rs.)</t>
        </is>
      </c>
      <c r="F546" s="5" t="inlineStr">
        <is>
          <t>Amount (Rs.)</t>
        </is>
      </c>
    </row>
    <row r="547">
      <c r="A547" s="13" t="inlineStr">
        <is>
          <t>0293</t>
        </is>
      </c>
      <c r="B547" s="14" t="inlineStr">
        <is>
          <t>Stone Aggregate (Single size) : 40 mm nominal size</t>
        </is>
      </c>
      <c r="C547" s="13" t="inlineStr">
        <is>
          <t>cum</t>
        </is>
      </c>
      <c r="D547" s="15" t="n">
        <v>0.65</v>
      </c>
      <c r="E547" s="16" t="n">
        <v>1300</v>
      </c>
      <c r="F547" s="16">
        <f>D547*E547</f>
        <v/>
      </c>
    </row>
    <row r="548">
      <c r="A548" s="13" t="inlineStr">
        <is>
          <t>0295</t>
        </is>
      </c>
      <c r="B548" s="14" t="inlineStr">
        <is>
          <t>Stone Aggregate (Single size) : 20 mm nominal size</t>
        </is>
      </c>
      <c r="C548" s="13" t="inlineStr">
        <is>
          <t>cum</t>
        </is>
      </c>
      <c r="D548" s="15" t="n">
        <v>0.24</v>
      </c>
      <c r="E548" s="16" t="n">
        <v>1350</v>
      </c>
      <c r="F548" s="16">
        <f>D548*E548</f>
        <v/>
      </c>
    </row>
    <row r="549">
      <c r="A549" s="13" t="inlineStr">
        <is>
          <t>2206</t>
        </is>
      </c>
      <c r="B549" s="14" t="inlineStr">
        <is>
          <t>Carriage of Stone aggregate 40 mm nominal size and above</t>
        </is>
      </c>
      <c r="C549" s="13" t="inlineStr">
        <is>
          <t>cum</t>
        </is>
      </c>
      <c r="D549" s="15" t="n">
        <v>0.65</v>
      </c>
      <c r="E549" s="16" t="n">
        <v>112.79</v>
      </c>
      <c r="F549" s="16">
        <f>D549*E549</f>
        <v/>
      </c>
    </row>
    <row r="550">
      <c r="A550" s="13" t="inlineStr">
        <is>
          <t>2202</t>
        </is>
      </c>
      <c r="B550" s="14" t="inlineStr">
        <is>
          <t>Carriage of Stone aggregate below 40 mm nominal size</t>
        </is>
      </c>
      <c r="C550" s="13" t="inlineStr">
        <is>
          <t>cum</t>
        </is>
      </c>
      <c r="D550" s="15" t="n">
        <v>0.24</v>
      </c>
      <c r="E550" s="16" t="n">
        <v>103.77</v>
      </c>
      <c r="F550" s="16">
        <f>D550*E550</f>
        <v/>
      </c>
    </row>
    <row r="551">
      <c r="A551" s="13" t="inlineStr">
        <is>
          <t>0982</t>
        </is>
      </c>
      <c r="B551" s="14" t="inlineStr">
        <is>
          <t>Coarse sand (zone III)</t>
        </is>
      </c>
      <c r="C551" s="13" t="inlineStr">
        <is>
          <t>cum</t>
        </is>
      </c>
      <c r="D551" s="15" t="n">
        <v>0.37</v>
      </c>
      <c r="E551" s="16" t="n">
        <v>1350</v>
      </c>
      <c r="F551" s="16">
        <f>D551*E551</f>
        <v/>
      </c>
    </row>
    <row r="552">
      <c r="A552" s="13" t="inlineStr">
        <is>
          <t>2203</t>
        </is>
      </c>
      <c r="B552" s="14" t="inlineStr">
        <is>
          <t>Carriage of Coarse sand</t>
        </is>
      </c>
      <c r="C552" s="13" t="inlineStr">
        <is>
          <t>cum</t>
        </is>
      </c>
      <c r="D552" s="15" t="n">
        <v>0.37</v>
      </c>
      <c r="E552" s="16" t="n">
        <v>103.77</v>
      </c>
      <c r="F552" s="16">
        <f>D552*E552</f>
        <v/>
      </c>
    </row>
    <row r="553">
      <c r="A553" s="13" t="inlineStr">
        <is>
          <t>1980</t>
        </is>
      </c>
      <c r="B553" s="14" t="inlineStr">
        <is>
          <t>Flyash</t>
        </is>
      </c>
      <c r="C553" s="13" t="inlineStr">
        <is>
          <t>cum</t>
        </is>
      </c>
      <c r="D553" s="15" t="n">
        <v>0.21</v>
      </c>
      <c r="E553" s="16" t="n">
        <v>10</v>
      </c>
      <c r="F553" s="16">
        <f>D553*E553</f>
        <v/>
      </c>
    </row>
    <row r="554">
      <c r="A554" s="13" t="inlineStr">
        <is>
          <t>2262</t>
        </is>
      </c>
      <c r="B554" s="14" t="inlineStr">
        <is>
          <t>Carriage of Flyash</t>
        </is>
      </c>
      <c r="C554" s="13" t="inlineStr">
        <is>
          <t>cum</t>
        </is>
      </c>
      <c r="D554" s="15" t="n">
        <v>0.21</v>
      </c>
      <c r="E554" s="16" t="n">
        <v>103.77</v>
      </c>
      <c r="F554" s="16">
        <f>D554*E554</f>
        <v/>
      </c>
    </row>
    <row r="555">
      <c r="A555" s="13" t="inlineStr">
        <is>
          <t>0367</t>
        </is>
      </c>
      <c r="B555" s="14" t="inlineStr">
        <is>
          <t>Portland Cement</t>
        </is>
      </c>
      <c r="C555" s="13" t="inlineStr">
        <is>
          <t>tonne</t>
        </is>
      </c>
      <c r="D555" s="15" t="n">
        <v>0.22</v>
      </c>
      <c r="E555" s="16" t="n">
        <v>4940</v>
      </c>
      <c r="F555" s="16">
        <f>D555*E555</f>
        <v/>
      </c>
    </row>
    <row r="556">
      <c r="A556" s="13" t="inlineStr">
        <is>
          <t>2209</t>
        </is>
      </c>
      <c r="B556" s="14" t="inlineStr">
        <is>
          <t>Carriage of Cement</t>
        </is>
      </c>
      <c r="C556" s="13" t="inlineStr">
        <is>
          <t>tonne</t>
        </is>
      </c>
      <c r="D556" s="15" t="n">
        <v>0.22</v>
      </c>
      <c r="E556" s="16" t="n">
        <v>92.23999999999999</v>
      </c>
      <c r="F556" s="16">
        <f>D556*E556</f>
        <v/>
      </c>
    </row>
    <row r="557">
      <c r="A557" s="13" t="inlineStr">
        <is>
          <t>7318</t>
        </is>
      </c>
      <c r="B557" s="14" t="inlineStr">
        <is>
          <t>Plasticizer / super plasticizer</t>
        </is>
      </c>
      <c r="C557" s="13" t="inlineStr">
        <is>
          <t>kilogram</t>
        </is>
      </c>
      <c r="D557" s="15" t="n">
        <v>1.1</v>
      </c>
      <c r="E557" s="16" t="n">
        <v>36</v>
      </c>
      <c r="F557" s="16">
        <f>D557*E557</f>
        <v/>
      </c>
    </row>
    <row r="558">
      <c r="A558" s="13" t="inlineStr">
        <is>
          <t>0004</t>
        </is>
      </c>
      <c r="B558" s="14" t="inlineStr">
        <is>
          <t>Production cost of concrete by batch mix plant.</t>
        </is>
      </c>
      <c r="C558" s="13" t="inlineStr">
        <is>
          <t>cum</t>
        </is>
      </c>
      <c r="D558" s="15" t="n">
        <v>1</v>
      </c>
      <c r="E558" s="16" t="n">
        <v>350</v>
      </c>
      <c r="F558" s="16">
        <f>D558*E558</f>
        <v/>
      </c>
    </row>
    <row r="559">
      <c r="A559" s="13" t="inlineStr">
        <is>
          <t>0029</t>
        </is>
      </c>
      <c r="B559" s="14" t="inlineStr">
        <is>
          <t>Carriage of concrete by transit mixer. km/</t>
        </is>
      </c>
      <c r="C559" s="13" t="inlineStr">
        <is>
          <t>cum</t>
        </is>
      </c>
      <c r="D559" s="15" t="n">
        <v>10</v>
      </c>
      <c r="E559" s="16" t="n">
        <v>30</v>
      </c>
      <c r="F559" s="16">
        <f>D559*E559</f>
        <v/>
      </c>
    </row>
    <row r="560">
      <c r="A560" s="13" t="inlineStr">
        <is>
          <t>0009</t>
        </is>
      </c>
      <c r="B560" s="14" t="inlineStr">
        <is>
          <t>Pumping charges of concrete including Hire charges of pump, piping work &amp; accessories etc.</t>
        </is>
      </c>
      <c r="C560" s="13" t="inlineStr">
        <is>
          <t>cum</t>
        </is>
      </c>
      <c r="D560" s="15" t="n">
        <v>1</v>
      </c>
      <c r="E560" s="16" t="n">
        <v>210</v>
      </c>
      <c r="F560" s="16">
        <f>D560*E560</f>
        <v/>
      </c>
    </row>
    <row r="561">
      <c r="A561" s="13" t="inlineStr">
        <is>
          <t>0155</t>
        </is>
      </c>
      <c r="B561" s="14" t="inlineStr">
        <is>
          <t>Mason (average)</t>
        </is>
      </c>
      <c r="C561" s="13" t="inlineStr">
        <is>
          <t>day</t>
        </is>
      </c>
      <c r="D561" s="15" t="n">
        <v>0.17</v>
      </c>
      <c r="E561" s="16" t="n">
        <v>709</v>
      </c>
      <c r="F561" s="16">
        <f>D561*E561</f>
        <v/>
      </c>
    </row>
    <row r="562">
      <c r="A562" s="13" t="inlineStr">
        <is>
          <t>0114</t>
        </is>
      </c>
      <c r="B562" s="14" t="inlineStr">
        <is>
          <t>Beldar</t>
        </is>
      </c>
      <c r="C562" s="13" t="inlineStr">
        <is>
          <t>day</t>
        </is>
      </c>
      <c r="D562" s="15" t="n">
        <v>2</v>
      </c>
      <c r="E562" s="16" t="n">
        <v>558</v>
      </c>
      <c r="F562" s="16">
        <f>D562*E562</f>
        <v/>
      </c>
    </row>
    <row r="563">
      <c r="A563" s="13" t="inlineStr">
        <is>
          <t>0101</t>
        </is>
      </c>
      <c r="B563" s="14" t="inlineStr">
        <is>
          <t>Bhisti</t>
        </is>
      </c>
      <c r="C563" s="13" t="inlineStr">
        <is>
          <t>day</t>
        </is>
      </c>
      <c r="D563" s="15" t="n">
        <v>0.9</v>
      </c>
      <c r="E563" s="16" t="n">
        <v>617</v>
      </c>
      <c r="F563" s="16">
        <f>D563*E563</f>
        <v/>
      </c>
    </row>
    <row r="564">
      <c r="A564" s="13" t="inlineStr">
        <is>
          <t>0012</t>
        </is>
      </c>
      <c r="B564" s="14" t="inlineStr">
        <is>
          <t>Vibrator(Needle type 40mm)</t>
        </is>
      </c>
      <c r="C564" s="13" t="inlineStr">
        <is>
          <t>day</t>
        </is>
      </c>
      <c r="D564" s="15" t="n">
        <v>0.07000000000000001</v>
      </c>
      <c r="E564" s="16" t="n">
        <v>370</v>
      </c>
      <c r="F564" s="16">
        <f>D564*E564</f>
        <v/>
      </c>
    </row>
    <row r="565">
      <c r="A565" s="13" t="inlineStr">
        <is>
          <t>9999</t>
        </is>
      </c>
      <c r="B565" s="14" t="inlineStr">
        <is>
          <t>Sundries</t>
        </is>
      </c>
      <c r="C565" s="13" t="inlineStr">
        <is>
          <t>L.S.</t>
        </is>
      </c>
      <c r="D565" s="15" t="n">
        <v>13</v>
      </c>
      <c r="E565" s="16" t="n">
        <v>2</v>
      </c>
      <c r="F565" s="16">
        <f>D565*E565</f>
        <v/>
      </c>
    </row>
    <row r="566">
      <c r="A566" s="17" t="inlineStr">
        <is>
          <t>Resource Total (Material + Labour + Machinery, as printed)</t>
        </is>
      </c>
      <c r="B566" s="18" t="n"/>
      <c r="C566" s="18" t="n"/>
      <c r="D566" s="18" t="n"/>
      <c r="E566" s="18" t="n"/>
      <c r="F566" s="19">
        <f>SUM(F547:F565)</f>
        <v/>
      </c>
    </row>
    <row r="567">
      <c r="A567" s="20" t="inlineStr">
        <is>
          <t>SAY (Rs.) — final DAR rate</t>
        </is>
      </c>
      <c r="B567" s="21" t="n"/>
      <c r="C567" s="21" t="n"/>
      <c r="D567" s="21" t="n"/>
      <c r="E567" s="21" t="n"/>
      <c r="F567" s="22" t="n">
        <v>7598.7</v>
      </c>
    </row>
    <row r="569" ht="18" customHeight="1">
      <c r="A569" s="9" t="inlineStr">
        <is>
          <t>4.19.2.1</t>
        </is>
      </c>
      <c r="B569" s="10" t="inlineStr">
        <is>
          <t>M-15 grade plain cement concrete (cement content considered @ 240 kg / cum)</t>
        </is>
      </c>
      <c r="C569" s="11" t="n"/>
      <c r="D569" s="11" t="n"/>
      <c r="E569" s="11" t="n"/>
      <c r="F569" s="11" t="n"/>
    </row>
    <row r="570">
      <c r="A570" s="12" t="inlineStr">
        <is>
          <t>Rate basis: per cum  (source: cost for 1 cum)</t>
        </is>
      </c>
    </row>
    <row r="571">
      <c r="A571" s="5" t="inlineStr">
        <is>
          <t>Code</t>
        </is>
      </c>
      <c r="B571" s="5" t="inlineStr">
        <is>
          <t>Description</t>
        </is>
      </c>
      <c r="C571" s="5" t="inlineStr">
        <is>
          <t>Unit</t>
        </is>
      </c>
      <c r="D571" s="5" t="inlineStr">
        <is>
          <t>Quantity</t>
        </is>
      </c>
      <c r="E571" s="5" t="inlineStr">
        <is>
          <t>Rate (Rs.)</t>
        </is>
      </c>
      <c r="F571" s="5" t="inlineStr">
        <is>
          <t>Amount (Rs.)</t>
        </is>
      </c>
    </row>
    <row r="572">
      <c r="A572" s="13" t="inlineStr">
        <is>
          <t>0293</t>
        </is>
      </c>
      <c r="B572" s="14" t="inlineStr">
        <is>
          <t>Stone Aggregate (Single size) : 40 mm nominal size</t>
        </is>
      </c>
      <c r="C572" s="13" t="inlineStr">
        <is>
          <t>cum</t>
        </is>
      </c>
      <c r="D572" s="15" t="n">
        <v>0.65</v>
      </c>
      <c r="E572" s="16" t="n">
        <v>1300</v>
      </c>
      <c r="F572" s="16">
        <f>D572*E572</f>
        <v/>
      </c>
    </row>
    <row r="573">
      <c r="A573" s="13" t="inlineStr">
        <is>
          <t>0295</t>
        </is>
      </c>
      <c r="B573" s="14" t="inlineStr">
        <is>
          <t>Stone Aggregate (Single size) : 20 mm nominal size</t>
        </is>
      </c>
      <c r="C573" s="13" t="inlineStr">
        <is>
          <t>cum</t>
        </is>
      </c>
      <c r="D573" s="15" t="n">
        <v>0.24</v>
      </c>
      <c r="E573" s="16" t="n">
        <v>1350</v>
      </c>
      <c r="F573" s="16">
        <f>D573*E573</f>
        <v/>
      </c>
    </row>
    <row r="574">
      <c r="A574" s="13" t="inlineStr">
        <is>
          <t>2206</t>
        </is>
      </c>
      <c r="B574" s="14" t="inlineStr">
        <is>
          <t>Carriage of Stone aggregate 40 mm nominal size and above</t>
        </is>
      </c>
      <c r="C574" s="13" t="inlineStr">
        <is>
          <t>cum</t>
        </is>
      </c>
      <c r="D574" s="15" t="n">
        <v>0.65</v>
      </c>
      <c r="E574" s="16" t="n">
        <v>112.79</v>
      </c>
      <c r="F574" s="16">
        <f>D574*E574</f>
        <v/>
      </c>
    </row>
    <row r="575">
      <c r="A575" s="13" t="inlineStr">
        <is>
          <t>2202</t>
        </is>
      </c>
      <c r="B575" s="14" t="inlineStr">
        <is>
          <t>Carriage of Stone aggregate below 40 mm nominal size</t>
        </is>
      </c>
      <c r="C575" s="13" t="inlineStr">
        <is>
          <t>cum</t>
        </is>
      </c>
      <c r="D575" s="15" t="n">
        <v>0.24</v>
      </c>
      <c r="E575" s="16" t="n">
        <v>103.77</v>
      </c>
      <c r="F575" s="16">
        <f>D575*E575</f>
        <v/>
      </c>
    </row>
    <row r="576">
      <c r="A576" s="13" t="inlineStr">
        <is>
          <t>0982</t>
        </is>
      </c>
      <c r="B576" s="14" t="inlineStr">
        <is>
          <t>Coarse sand (zone III)</t>
        </is>
      </c>
      <c r="C576" s="13" t="inlineStr">
        <is>
          <t>cum</t>
        </is>
      </c>
      <c r="D576" s="15" t="n">
        <v>0.37</v>
      </c>
      <c r="E576" s="16" t="n">
        <v>1350</v>
      </c>
      <c r="F576" s="16">
        <f>D576*E576</f>
        <v/>
      </c>
    </row>
    <row r="577">
      <c r="A577" s="13" t="inlineStr">
        <is>
          <t>2203</t>
        </is>
      </c>
      <c r="B577" s="14" t="inlineStr">
        <is>
          <t>Carriage of Coarse sand</t>
        </is>
      </c>
      <c r="C577" s="13" t="inlineStr">
        <is>
          <t>cum</t>
        </is>
      </c>
      <c r="D577" s="15" t="n">
        <v>0.37</v>
      </c>
      <c r="E577" s="16" t="n">
        <v>103.77</v>
      </c>
      <c r="F577" s="16">
        <f>D577*E577</f>
        <v/>
      </c>
    </row>
    <row r="578">
      <c r="A578" s="13" t="inlineStr">
        <is>
          <t>1980</t>
        </is>
      </c>
      <c r="B578" s="14" t="inlineStr">
        <is>
          <t>Flyash</t>
        </is>
      </c>
      <c r="C578" s="13" t="inlineStr">
        <is>
          <t>cum</t>
        </is>
      </c>
      <c r="D578" s="15" t="n">
        <v>0.21</v>
      </c>
      <c r="E578" s="16" t="n">
        <v>10</v>
      </c>
      <c r="F578" s="16">
        <f>D578*E578</f>
        <v/>
      </c>
    </row>
    <row r="579">
      <c r="A579" s="13" t="inlineStr">
        <is>
          <t>2262</t>
        </is>
      </c>
      <c r="B579" s="14" t="inlineStr">
        <is>
          <t>Carriage of Flyash</t>
        </is>
      </c>
      <c r="C579" s="13" t="inlineStr">
        <is>
          <t>cum</t>
        </is>
      </c>
      <c r="D579" s="15" t="n">
        <v>0.21</v>
      </c>
      <c r="E579" s="16" t="n">
        <v>103.77</v>
      </c>
      <c r="F579" s="16">
        <f>D579*E579</f>
        <v/>
      </c>
    </row>
    <row r="580">
      <c r="A580" s="13" t="inlineStr">
        <is>
          <t>0367</t>
        </is>
      </c>
      <c r="B580" s="14" t="inlineStr">
        <is>
          <t>Portland Cement</t>
        </is>
      </c>
      <c r="C580" s="13" t="inlineStr">
        <is>
          <t>tonne</t>
        </is>
      </c>
      <c r="D580" s="15" t="n">
        <v>0.24</v>
      </c>
      <c r="E580" s="16" t="n">
        <v>4940</v>
      </c>
      <c r="F580" s="16">
        <f>D580*E580</f>
        <v/>
      </c>
    </row>
    <row r="581">
      <c r="A581" s="13" t="inlineStr">
        <is>
          <t>2209</t>
        </is>
      </c>
      <c r="B581" s="14" t="inlineStr">
        <is>
          <t>Carriage of Cement</t>
        </is>
      </c>
      <c r="C581" s="13" t="inlineStr">
        <is>
          <t>tonne</t>
        </is>
      </c>
      <c r="D581" s="15" t="n">
        <v>0.24</v>
      </c>
      <c r="E581" s="16" t="n">
        <v>92.23999999999999</v>
      </c>
      <c r="F581" s="16">
        <f>D581*E581</f>
        <v/>
      </c>
    </row>
    <row r="582">
      <c r="A582" s="13" t="inlineStr">
        <is>
          <t>7318</t>
        </is>
      </c>
      <c r="B582" s="14" t="inlineStr">
        <is>
          <t>Plasticizer / super plasticizer</t>
        </is>
      </c>
      <c r="C582" s="13" t="inlineStr">
        <is>
          <t>kilogram</t>
        </is>
      </c>
      <c r="D582" s="15" t="n">
        <v>1.2</v>
      </c>
      <c r="E582" s="16" t="n">
        <v>36</v>
      </c>
      <c r="F582" s="16">
        <f>D582*E582</f>
        <v/>
      </c>
    </row>
    <row r="583">
      <c r="A583" s="13" t="inlineStr">
        <is>
          <t>0004</t>
        </is>
      </c>
      <c r="B583" s="14" t="inlineStr">
        <is>
          <t>Production cost of concrete by batch mix plant</t>
        </is>
      </c>
      <c r="C583" s="13" t="inlineStr">
        <is>
          <t>cum</t>
        </is>
      </c>
      <c r="D583" s="15" t="n">
        <v>1</v>
      </c>
      <c r="E583" s="16" t="n">
        <v>350</v>
      </c>
      <c r="F583" s="16">
        <f>D583*E583</f>
        <v/>
      </c>
    </row>
    <row r="584">
      <c r="A584" s="13" t="inlineStr">
        <is>
          <t>0029</t>
        </is>
      </c>
      <c r="B584" s="14" t="inlineStr">
        <is>
          <t>Carriage of concrete by transit mixer. km/</t>
        </is>
      </c>
      <c r="C584" s="13" t="inlineStr">
        <is>
          <t>cum</t>
        </is>
      </c>
      <c r="D584" s="15" t="n">
        <v>10</v>
      </c>
      <c r="E584" s="16" t="n">
        <v>30</v>
      </c>
      <c r="F584" s="16">
        <f>D584*E584</f>
        <v/>
      </c>
    </row>
    <row r="585">
      <c r="A585" s="13" t="inlineStr">
        <is>
          <t>0155</t>
        </is>
      </c>
      <c r="B585" s="14" t="inlineStr">
        <is>
          <t>Mason (average)</t>
        </is>
      </c>
      <c r="C585" s="13" t="inlineStr">
        <is>
          <t>day</t>
        </is>
      </c>
      <c r="D585" s="15" t="n">
        <v>0.17</v>
      </c>
      <c r="E585" s="16" t="n">
        <v>709</v>
      </c>
      <c r="F585" s="16">
        <f>D585*E585</f>
        <v/>
      </c>
    </row>
    <row r="586">
      <c r="A586" s="13" t="inlineStr">
        <is>
          <t>0114</t>
        </is>
      </c>
      <c r="B586" s="14" t="inlineStr">
        <is>
          <t>Beldar</t>
        </is>
      </c>
      <c r="C586" s="13" t="inlineStr">
        <is>
          <t>day</t>
        </is>
      </c>
      <c r="D586" s="15" t="n">
        <v>2</v>
      </c>
      <c r="E586" s="16" t="n">
        <v>558</v>
      </c>
      <c r="F586" s="16">
        <f>D586*E586</f>
        <v/>
      </c>
    </row>
    <row r="587">
      <c r="A587" s="13" t="inlineStr">
        <is>
          <t>0101</t>
        </is>
      </c>
      <c r="B587" s="14" t="inlineStr">
        <is>
          <t>Bhisti</t>
        </is>
      </c>
      <c r="C587" s="13" t="inlineStr">
        <is>
          <t>day</t>
        </is>
      </c>
      <c r="D587" s="15" t="n">
        <v>0.9</v>
      </c>
      <c r="E587" s="16" t="n">
        <v>617</v>
      </c>
      <c r="F587" s="16">
        <f>D587*E587</f>
        <v/>
      </c>
    </row>
    <row r="588">
      <c r="A588" s="13" t="inlineStr">
        <is>
          <t>0012</t>
        </is>
      </c>
      <c r="B588" s="14" t="inlineStr">
        <is>
          <t>Vibrator(Needle type 40mm)</t>
        </is>
      </c>
      <c r="C588" s="13" t="inlineStr">
        <is>
          <t>day</t>
        </is>
      </c>
      <c r="D588" s="15" t="n">
        <v>0.07000000000000001</v>
      </c>
      <c r="E588" s="16" t="n">
        <v>370</v>
      </c>
      <c r="F588" s="16">
        <f>D588*E588</f>
        <v/>
      </c>
    </row>
    <row r="589">
      <c r="A589" s="13" t="inlineStr">
        <is>
          <t>9999</t>
        </is>
      </c>
      <c r="B589" s="14" t="inlineStr">
        <is>
          <t>Sundries</t>
        </is>
      </c>
      <c r="C589" s="13" t="inlineStr">
        <is>
          <t>L.S.</t>
        </is>
      </c>
      <c r="D589" s="15" t="n">
        <v>13</v>
      </c>
      <c r="E589" s="16" t="n">
        <v>2</v>
      </c>
      <c r="F589" s="16">
        <f>D589*E589</f>
        <v/>
      </c>
    </row>
    <row r="590">
      <c r="A590" s="13" t="inlineStr">
        <is>
          <t>0115</t>
        </is>
      </c>
      <c r="B590" s="14" t="inlineStr">
        <is>
          <t>Coolie</t>
        </is>
      </c>
      <c r="C590" s="13" t="inlineStr">
        <is>
          <t>day</t>
        </is>
      </c>
      <c r="D590" s="15" t="n">
        <v>1.88</v>
      </c>
      <c r="E590" s="16" t="n">
        <v>558</v>
      </c>
      <c r="F590" s="16">
        <f>D590*E590</f>
        <v/>
      </c>
    </row>
    <row r="591">
      <c r="A591" s="17" t="inlineStr">
        <is>
          <t>Resource Total (Material + Labour + Machinery, as printed)</t>
        </is>
      </c>
      <c r="B591" s="18" t="n"/>
      <c r="C591" s="18" t="n"/>
      <c r="D591" s="18" t="n"/>
      <c r="E591" s="18" t="n"/>
      <c r="F591" s="19">
        <f>SUM(F572:F590)</f>
        <v/>
      </c>
    </row>
    <row r="592">
      <c r="A592" s="20" t="inlineStr">
        <is>
          <t>SAY (Rs.) — final DAR rate</t>
        </is>
      </c>
      <c r="B592" s="21" t="n"/>
      <c r="C592" s="21" t="n"/>
      <c r="D592" s="21" t="n"/>
      <c r="E592" s="21" t="n"/>
      <c r="F592" s="22" t="n">
        <v>8860.799999999999</v>
      </c>
    </row>
    <row r="594" ht="18" customHeight="1">
      <c r="A594" s="9" t="inlineStr">
        <is>
          <t>4.19.2.2</t>
        </is>
      </c>
      <c r="B594" s="10" t="inlineStr">
        <is>
          <t>M-10 grade plain cement concrete (cement content considered @ 220 kg/cum)</t>
        </is>
      </c>
      <c r="C594" s="11" t="n"/>
      <c r="D594" s="11" t="n"/>
      <c r="E594" s="11" t="n"/>
      <c r="F594" s="11" t="n"/>
    </row>
    <row r="595">
      <c r="A595" s="12" t="inlineStr">
        <is>
          <t>Rate basis: per cum  (source: cost for 1 cum)</t>
        </is>
      </c>
    </row>
    <row r="596">
      <c r="A596" s="5" t="inlineStr">
        <is>
          <t>Code</t>
        </is>
      </c>
      <c r="B596" s="5" t="inlineStr">
        <is>
          <t>Description</t>
        </is>
      </c>
      <c r="C596" s="5" t="inlineStr">
        <is>
          <t>Unit</t>
        </is>
      </c>
      <c r="D596" s="5" t="inlineStr">
        <is>
          <t>Quantity</t>
        </is>
      </c>
      <c r="E596" s="5" t="inlineStr">
        <is>
          <t>Rate (Rs.)</t>
        </is>
      </c>
      <c r="F596" s="5" t="inlineStr">
        <is>
          <t>Amount (Rs.)</t>
        </is>
      </c>
    </row>
    <row r="597">
      <c r="A597" s="13" t="inlineStr">
        <is>
          <t>0293</t>
        </is>
      </c>
      <c r="B597" s="14" t="inlineStr">
        <is>
          <t>Stone Aggregate (Single size) : 40 mm nominal size</t>
        </is>
      </c>
      <c r="C597" s="13" t="inlineStr">
        <is>
          <t>cum</t>
        </is>
      </c>
      <c r="D597" s="15" t="n">
        <v>0.65</v>
      </c>
      <c r="E597" s="16" t="n">
        <v>1300</v>
      </c>
      <c r="F597" s="16">
        <f>D597*E597</f>
        <v/>
      </c>
    </row>
    <row r="598">
      <c r="A598" s="13" t="inlineStr">
        <is>
          <t>0295</t>
        </is>
      </c>
      <c r="B598" s="14" t="inlineStr">
        <is>
          <t>Stone Aggregate (Single size) : 20 mm nominal size</t>
        </is>
      </c>
      <c r="C598" s="13" t="inlineStr">
        <is>
          <t>cum</t>
        </is>
      </c>
      <c r="D598" s="15" t="n">
        <v>0.24</v>
      </c>
      <c r="E598" s="16" t="n">
        <v>1350</v>
      </c>
      <c r="F598" s="16">
        <f>D598*E598</f>
        <v/>
      </c>
    </row>
    <row r="599">
      <c r="A599" s="13" t="inlineStr">
        <is>
          <t>2206</t>
        </is>
      </c>
      <c r="B599" s="14" t="inlineStr">
        <is>
          <t>Carriage of Stone aggregate 40 mm nominal size and above</t>
        </is>
      </c>
      <c r="C599" s="13" t="inlineStr">
        <is>
          <t>cum</t>
        </is>
      </c>
      <c r="D599" s="15" t="n">
        <v>0.65</v>
      </c>
      <c r="E599" s="16" t="n">
        <v>112.79</v>
      </c>
      <c r="F599" s="16">
        <f>D599*E599</f>
        <v/>
      </c>
    </row>
    <row r="600">
      <c r="A600" s="13" t="inlineStr">
        <is>
          <t>2202</t>
        </is>
      </c>
      <c r="B600" s="14" t="inlineStr">
        <is>
          <t>Carriage of Stone aggregate below 40 mm nominal size</t>
        </is>
      </c>
      <c r="C600" s="13" t="inlineStr">
        <is>
          <t>cum</t>
        </is>
      </c>
      <c r="D600" s="15" t="n">
        <v>0.24</v>
      </c>
      <c r="E600" s="16" t="n">
        <v>103.77</v>
      </c>
      <c r="F600" s="16">
        <f>D600*E600</f>
        <v/>
      </c>
    </row>
    <row r="601">
      <c r="A601" s="13" t="inlineStr">
        <is>
          <t>0982</t>
        </is>
      </c>
      <c r="B601" s="14" t="inlineStr">
        <is>
          <t>Coarse sand (zone III)</t>
        </is>
      </c>
      <c r="C601" s="13" t="inlineStr">
        <is>
          <t>cum</t>
        </is>
      </c>
      <c r="D601" s="15" t="n">
        <v>0.37</v>
      </c>
      <c r="E601" s="16" t="n">
        <v>1350</v>
      </c>
      <c r="F601" s="16">
        <f>D601*E601</f>
        <v/>
      </c>
    </row>
    <row r="602">
      <c r="A602" s="13" t="inlineStr">
        <is>
          <t>2203</t>
        </is>
      </c>
      <c r="B602" s="14" t="inlineStr">
        <is>
          <t>Carriage of Coarse sand</t>
        </is>
      </c>
      <c r="C602" s="13" t="inlineStr">
        <is>
          <t>cum</t>
        </is>
      </c>
      <c r="D602" s="15" t="n">
        <v>0.37</v>
      </c>
      <c r="E602" s="16" t="n">
        <v>103.77</v>
      </c>
      <c r="F602" s="16">
        <f>D602*E602</f>
        <v/>
      </c>
    </row>
    <row r="603">
      <c r="A603" s="13" t="inlineStr">
        <is>
          <t>1980</t>
        </is>
      </c>
      <c r="B603" s="14" t="inlineStr">
        <is>
          <t>Flyash</t>
        </is>
      </c>
      <c r="C603" s="13" t="inlineStr">
        <is>
          <t>cum</t>
        </is>
      </c>
      <c r="D603" s="15" t="n">
        <v>0.21</v>
      </c>
      <c r="E603" s="16" t="n">
        <v>10</v>
      </c>
      <c r="F603" s="16">
        <f>D603*E603</f>
        <v/>
      </c>
    </row>
    <row r="604">
      <c r="A604" s="13" t="inlineStr">
        <is>
          <t>2262</t>
        </is>
      </c>
      <c r="B604" s="14" t="inlineStr">
        <is>
          <t>Carriage of Flyash</t>
        </is>
      </c>
      <c r="C604" s="13" t="inlineStr">
        <is>
          <t>cum</t>
        </is>
      </c>
      <c r="D604" s="15" t="n">
        <v>0.21</v>
      </c>
      <c r="E604" s="16" t="n">
        <v>103.77</v>
      </c>
      <c r="F604" s="16">
        <f>D604*E604</f>
        <v/>
      </c>
    </row>
    <row r="605">
      <c r="A605" s="13" t="inlineStr">
        <is>
          <t>0367</t>
        </is>
      </c>
      <c r="B605" s="14" t="inlineStr">
        <is>
          <t>Portland Cement</t>
        </is>
      </c>
      <c r="C605" s="13" t="inlineStr">
        <is>
          <t>tonne</t>
        </is>
      </c>
      <c r="D605" s="15" t="n">
        <v>0.22</v>
      </c>
      <c r="E605" s="16" t="n">
        <v>4940</v>
      </c>
      <c r="F605" s="16">
        <f>D605*E605</f>
        <v/>
      </c>
    </row>
    <row r="606">
      <c r="A606" s="13" t="inlineStr">
        <is>
          <t>2209</t>
        </is>
      </c>
      <c r="B606" s="14" t="inlineStr">
        <is>
          <t>Carriage of Cement</t>
        </is>
      </c>
      <c r="C606" s="13" t="inlineStr">
        <is>
          <t>tonne</t>
        </is>
      </c>
      <c r="D606" s="15" t="n">
        <v>0.22</v>
      </c>
      <c r="E606" s="16" t="n">
        <v>92.23999999999999</v>
      </c>
      <c r="F606" s="16">
        <f>D606*E606</f>
        <v/>
      </c>
    </row>
    <row r="607">
      <c r="A607" s="13" t="inlineStr">
        <is>
          <t>7318</t>
        </is>
      </c>
      <c r="B607" s="14" t="inlineStr">
        <is>
          <t>Plasticizer / super plasticizer</t>
        </is>
      </c>
      <c r="C607" s="13" t="inlineStr">
        <is>
          <t>kilogram</t>
        </is>
      </c>
      <c r="D607" s="15" t="n">
        <v>1.1</v>
      </c>
      <c r="E607" s="16" t="n">
        <v>36</v>
      </c>
      <c r="F607" s="16">
        <f>D607*E607</f>
        <v/>
      </c>
    </row>
    <row r="608">
      <c r="A608" s="13" t="inlineStr">
        <is>
          <t>0004</t>
        </is>
      </c>
      <c r="B608" s="14" t="inlineStr">
        <is>
          <t>Production cost of concrete by batch mix plant.</t>
        </is>
      </c>
      <c r="C608" s="13" t="inlineStr">
        <is>
          <t>cum</t>
        </is>
      </c>
      <c r="D608" s="15" t="n">
        <v>1</v>
      </c>
      <c r="E608" s="16" t="n">
        <v>350</v>
      </c>
      <c r="F608" s="16">
        <f>D608*E608</f>
        <v/>
      </c>
    </row>
    <row r="609">
      <c r="A609" s="13" t="inlineStr">
        <is>
          <t>0029</t>
        </is>
      </c>
      <c r="B609" s="14" t="inlineStr">
        <is>
          <t>Carriage of concrete by transit mixer. km/</t>
        </is>
      </c>
      <c r="C609" s="13" t="inlineStr">
        <is>
          <t>cum</t>
        </is>
      </c>
      <c r="D609" s="15" t="n">
        <v>10</v>
      </c>
      <c r="E609" s="16" t="n">
        <v>30</v>
      </c>
      <c r="F609" s="16">
        <f>D609*E609</f>
        <v/>
      </c>
    </row>
    <row r="610">
      <c r="A610" s="13" t="inlineStr">
        <is>
          <t>0155</t>
        </is>
      </c>
      <c r="B610" s="14" t="inlineStr">
        <is>
          <t>Mason (average)</t>
        </is>
      </c>
      <c r="C610" s="13" t="inlineStr">
        <is>
          <t>day</t>
        </is>
      </c>
      <c r="D610" s="15" t="n">
        <v>0.17</v>
      </c>
      <c r="E610" s="16" t="n">
        <v>709</v>
      </c>
      <c r="F610" s="16">
        <f>D610*E610</f>
        <v/>
      </c>
    </row>
    <row r="611">
      <c r="A611" s="13" t="inlineStr">
        <is>
          <t>0114</t>
        </is>
      </c>
      <c r="B611" s="14" t="inlineStr">
        <is>
          <t>Beldar</t>
        </is>
      </c>
      <c r="C611" s="13" t="inlineStr">
        <is>
          <t>day</t>
        </is>
      </c>
      <c r="D611" s="15" t="n">
        <v>2</v>
      </c>
      <c r="E611" s="16" t="n">
        <v>558</v>
      </c>
      <c r="F611" s="16">
        <f>D611*E611</f>
        <v/>
      </c>
    </row>
    <row r="612">
      <c r="A612" s="13" t="inlineStr">
        <is>
          <t>0101</t>
        </is>
      </c>
      <c r="B612" s="14" t="inlineStr">
        <is>
          <t>Bhisti</t>
        </is>
      </c>
      <c r="C612" s="13" t="inlineStr">
        <is>
          <t>day</t>
        </is>
      </c>
      <c r="D612" s="15" t="n">
        <v>0.9</v>
      </c>
      <c r="E612" s="16" t="n">
        <v>617</v>
      </c>
      <c r="F612" s="16">
        <f>D612*E612</f>
        <v/>
      </c>
    </row>
    <row r="613">
      <c r="A613" s="13" t="inlineStr">
        <is>
          <t>0012</t>
        </is>
      </c>
      <c r="B613" s="14" t="inlineStr">
        <is>
          <t>Vibrator(Needle type 40mm)</t>
        </is>
      </c>
      <c r="C613" s="13" t="inlineStr">
        <is>
          <t>day</t>
        </is>
      </c>
      <c r="D613" s="15" t="n">
        <v>0.07000000000000001</v>
      </c>
      <c r="E613" s="16" t="n">
        <v>370</v>
      </c>
      <c r="F613" s="16">
        <f>D613*E613</f>
        <v/>
      </c>
    </row>
    <row r="614">
      <c r="A614" s="13" t="inlineStr">
        <is>
          <t>9999</t>
        </is>
      </c>
      <c r="B614" s="14" t="inlineStr">
        <is>
          <t>Sundries</t>
        </is>
      </c>
      <c r="C614" s="13" t="inlineStr">
        <is>
          <t>L.S.</t>
        </is>
      </c>
      <c r="D614" s="15" t="n">
        <v>13</v>
      </c>
      <c r="E614" s="16" t="n">
        <v>2</v>
      </c>
      <c r="F614" s="16">
        <f>D614*E614</f>
        <v/>
      </c>
    </row>
    <row r="615">
      <c r="A615" s="13" t="inlineStr">
        <is>
          <t>0115</t>
        </is>
      </c>
      <c r="B615" s="14" t="inlineStr">
        <is>
          <t>Coolie</t>
        </is>
      </c>
      <c r="C615" s="13" t="inlineStr">
        <is>
          <t>day</t>
        </is>
      </c>
      <c r="D615" s="15" t="n">
        <v>1.88</v>
      </c>
      <c r="E615" s="16" t="n">
        <v>558</v>
      </c>
      <c r="F615" s="16">
        <f>D615*E615</f>
        <v/>
      </c>
    </row>
    <row r="616">
      <c r="A616" s="17" t="inlineStr">
        <is>
          <t>Resource Total (Material + Labour + Machinery, as printed)</t>
        </is>
      </c>
      <c r="B616" s="18" t="n"/>
      <c r="C616" s="18" t="n"/>
      <c r="D616" s="18" t="n"/>
      <c r="E616" s="18" t="n"/>
      <c r="F616" s="19">
        <f>SUM(F597:F615)</f>
        <v/>
      </c>
    </row>
    <row r="617">
      <c r="A617" s="20" t="inlineStr">
        <is>
          <t>SAY (Rs.) — final DAR rate</t>
        </is>
      </c>
      <c r="B617" s="21" t="n"/>
      <c r="C617" s="21" t="n"/>
      <c r="D617" s="21" t="n"/>
      <c r="E617" s="21" t="n"/>
      <c r="F617" s="22" t="n">
        <v>8721.299999999999</v>
      </c>
    </row>
    <row r="619" ht="18" customHeight="1">
      <c r="A619" s="9" t="inlineStr">
        <is>
          <t>4.20.1.1</t>
        </is>
      </c>
      <c r="B619" s="10" t="inlineStr">
        <is>
          <t>M-15 grade plain cement concrete (cement content considered @ 240 kg/cum)</t>
        </is>
      </c>
      <c r="C619" s="11" t="n"/>
      <c r="D619" s="11" t="n"/>
      <c r="E619" s="11" t="n"/>
      <c r="F619" s="11" t="n"/>
    </row>
    <row r="620">
      <c r="A620" s="12" t="inlineStr">
        <is>
          <t>Rate basis: per cum  (source: cost for 1 cum)</t>
        </is>
      </c>
    </row>
    <row r="621">
      <c r="A621" s="5" t="inlineStr">
        <is>
          <t>Code</t>
        </is>
      </c>
      <c r="B621" s="5" t="inlineStr">
        <is>
          <t>Description</t>
        </is>
      </c>
      <c r="C621" s="5" t="inlineStr">
        <is>
          <t>Unit</t>
        </is>
      </c>
      <c r="D621" s="5" t="inlineStr">
        <is>
          <t>Quantity</t>
        </is>
      </c>
      <c r="E621" s="5" t="inlineStr">
        <is>
          <t>Rate (Rs.)</t>
        </is>
      </c>
      <c r="F621" s="5" t="inlineStr">
        <is>
          <t>Amount (Rs.)</t>
        </is>
      </c>
    </row>
    <row r="622">
      <c r="A622" s="13" t="inlineStr">
        <is>
          <t>0293</t>
        </is>
      </c>
      <c r="B622" s="14" t="inlineStr">
        <is>
          <t>Stone Aggregate (Single size) : 40 mm nominal size</t>
        </is>
      </c>
      <c r="C622" s="13" t="inlineStr">
        <is>
          <t>cum</t>
        </is>
      </c>
      <c r="D622" s="15" t="n">
        <v>0.65</v>
      </c>
      <c r="E622" s="16" t="n">
        <v>1300</v>
      </c>
      <c r="F622" s="16">
        <f>D622*E622</f>
        <v/>
      </c>
    </row>
    <row r="623">
      <c r="A623" s="13" t="inlineStr">
        <is>
          <t>0295</t>
        </is>
      </c>
      <c r="B623" s="14" t="inlineStr">
        <is>
          <t>Stone Aggregate (Single size) : 20 mm nominal size</t>
        </is>
      </c>
      <c r="C623" s="13" t="inlineStr">
        <is>
          <t>cum</t>
        </is>
      </c>
      <c r="D623" s="15" t="n">
        <v>0.24</v>
      </c>
      <c r="E623" s="16" t="n">
        <v>1350</v>
      </c>
      <c r="F623" s="16">
        <f>D623*E623</f>
        <v/>
      </c>
    </row>
    <row r="624">
      <c r="A624" s="13" t="inlineStr">
        <is>
          <t>2206</t>
        </is>
      </c>
      <c r="B624" s="14" t="inlineStr">
        <is>
          <t>Carriage of Stone aggregate 40 mm nominal size and above</t>
        </is>
      </c>
      <c r="C624" s="13" t="inlineStr">
        <is>
          <t>cum</t>
        </is>
      </c>
      <c r="D624" s="15" t="n">
        <v>0.65</v>
      </c>
      <c r="E624" s="16" t="n">
        <v>112.79</v>
      </c>
      <c r="F624" s="16">
        <f>D624*E624</f>
        <v/>
      </c>
    </row>
    <row r="625">
      <c r="A625" s="13" t="inlineStr">
        <is>
          <t>2202</t>
        </is>
      </c>
      <c r="B625" s="14" t="inlineStr">
        <is>
          <t>Carriage of Stone aggregate below 40 mm nominal size</t>
        </is>
      </c>
      <c r="C625" s="13" t="inlineStr">
        <is>
          <t>cum</t>
        </is>
      </c>
      <c r="D625" s="15" t="n">
        <v>0.24</v>
      </c>
      <c r="E625" s="16" t="n">
        <v>103.77</v>
      </c>
      <c r="F625" s="16">
        <f>D625*E625</f>
        <v/>
      </c>
    </row>
    <row r="626">
      <c r="A626" s="13" t="inlineStr">
        <is>
          <t>0982</t>
        </is>
      </c>
      <c r="B626" s="14" t="inlineStr">
        <is>
          <t>Coarse sand (zone III)</t>
        </is>
      </c>
      <c r="C626" s="13" t="inlineStr">
        <is>
          <t>cum</t>
        </is>
      </c>
      <c r="D626" s="15" t="n">
        <v>0.47</v>
      </c>
      <c r="E626" s="16" t="n">
        <v>1350</v>
      </c>
      <c r="F626" s="16">
        <f>D626*E626</f>
        <v/>
      </c>
    </row>
    <row r="627">
      <c r="A627" s="13" t="inlineStr">
        <is>
          <t>2203</t>
        </is>
      </c>
      <c r="B627" s="14" t="inlineStr">
        <is>
          <t>Carriage of Coarse sand</t>
        </is>
      </c>
      <c r="C627" s="13" t="inlineStr">
        <is>
          <t>cum</t>
        </is>
      </c>
      <c r="D627" s="15" t="n">
        <v>0.47</v>
      </c>
      <c r="E627" s="16" t="n">
        <v>103.77</v>
      </c>
      <c r="F627" s="16">
        <f>D627*E627</f>
        <v/>
      </c>
    </row>
    <row r="628">
      <c r="A628" s="13" t="inlineStr">
        <is>
          <t>0367</t>
        </is>
      </c>
      <c r="B628" s="14" t="inlineStr">
        <is>
          <t>Portland Cement</t>
        </is>
      </c>
      <c r="C628" s="13" t="inlineStr">
        <is>
          <t>tonne</t>
        </is>
      </c>
      <c r="D628" s="15" t="n">
        <v>0.24</v>
      </c>
      <c r="E628" s="16" t="n">
        <v>4940</v>
      </c>
      <c r="F628" s="16">
        <f>D628*E628</f>
        <v/>
      </c>
    </row>
    <row r="629">
      <c r="A629" s="13" t="inlineStr">
        <is>
          <t>2209</t>
        </is>
      </c>
      <c r="B629" s="14" t="inlineStr">
        <is>
          <t>Carriage of Cement</t>
        </is>
      </c>
      <c r="C629" s="13" t="inlineStr">
        <is>
          <t>tonne</t>
        </is>
      </c>
      <c r="D629" s="15" t="n">
        <v>0.24</v>
      </c>
      <c r="E629" s="16" t="n">
        <v>92.23999999999999</v>
      </c>
      <c r="F629" s="16">
        <f>D629*E629</f>
        <v/>
      </c>
    </row>
    <row r="630">
      <c r="A630" s="13" t="inlineStr">
        <is>
          <t>7318</t>
        </is>
      </c>
      <c r="B630" s="14" t="inlineStr">
        <is>
          <t>Plasticizer / super plasticizer</t>
        </is>
      </c>
      <c r="C630" s="13" t="inlineStr">
        <is>
          <t>kilogram</t>
        </is>
      </c>
      <c r="D630" s="15" t="n">
        <v>1.2</v>
      </c>
      <c r="E630" s="16" t="n">
        <v>36</v>
      </c>
      <c r="F630" s="16">
        <f>D630*E630</f>
        <v/>
      </c>
    </row>
    <row r="631">
      <c r="A631" s="13" t="inlineStr">
        <is>
          <t>0004</t>
        </is>
      </c>
      <c r="B631" s="14" t="inlineStr">
        <is>
          <t>Production cost of concrete by batch mix plant.</t>
        </is>
      </c>
      <c r="C631" s="13" t="inlineStr">
        <is>
          <t>cum</t>
        </is>
      </c>
      <c r="D631" s="15" t="n">
        <v>1</v>
      </c>
      <c r="E631" s="16" t="n">
        <v>350</v>
      </c>
      <c r="F631" s="16">
        <f>D631*E631</f>
        <v/>
      </c>
    </row>
    <row r="632">
      <c r="A632" s="13" t="inlineStr">
        <is>
          <t>0029</t>
        </is>
      </c>
      <c r="B632" s="14" t="inlineStr">
        <is>
          <t>Carriage of concrete by transit mixer. km/</t>
        </is>
      </c>
      <c r="C632" s="13" t="inlineStr">
        <is>
          <t>cum</t>
        </is>
      </c>
      <c r="D632" s="15" t="n">
        <v>10</v>
      </c>
      <c r="E632" s="16" t="n">
        <v>30</v>
      </c>
      <c r="F632" s="16">
        <f>D632*E632</f>
        <v/>
      </c>
    </row>
    <row r="633">
      <c r="A633" s="13" t="inlineStr">
        <is>
          <t>0009</t>
        </is>
      </c>
      <c r="B633" s="14" t="inlineStr">
        <is>
          <t>Pumping charges of concrete including Hire charges of pump, piping work &amp; accessories etc.</t>
        </is>
      </c>
      <c r="C633" s="13" t="inlineStr">
        <is>
          <t>cum</t>
        </is>
      </c>
      <c r="D633" s="15" t="n">
        <v>1</v>
      </c>
      <c r="E633" s="16" t="n">
        <v>210</v>
      </c>
      <c r="F633" s="16">
        <f>D633*E633</f>
        <v/>
      </c>
    </row>
    <row r="634">
      <c r="A634" s="13" t="inlineStr">
        <is>
          <t>0155</t>
        </is>
      </c>
      <c r="B634" s="14" t="inlineStr">
        <is>
          <t>Mason (average)</t>
        </is>
      </c>
      <c r="C634" s="13" t="inlineStr">
        <is>
          <t>day</t>
        </is>
      </c>
      <c r="D634" s="15" t="n">
        <v>0.17</v>
      </c>
      <c r="E634" s="16" t="n">
        <v>709</v>
      </c>
      <c r="F634" s="16">
        <f>D634*E634</f>
        <v/>
      </c>
    </row>
    <row r="635">
      <c r="A635" s="13" t="inlineStr">
        <is>
          <t>0114</t>
        </is>
      </c>
      <c r="B635" s="14" t="inlineStr">
        <is>
          <t>Beldar</t>
        </is>
      </c>
      <c r="C635" s="13" t="inlineStr">
        <is>
          <t>day</t>
        </is>
      </c>
      <c r="D635" s="15" t="n">
        <v>2</v>
      </c>
      <c r="E635" s="16" t="n">
        <v>558</v>
      </c>
      <c r="F635" s="16">
        <f>D635*E635</f>
        <v/>
      </c>
    </row>
    <row r="636">
      <c r="A636" s="13" t="inlineStr">
        <is>
          <t>0101</t>
        </is>
      </c>
      <c r="B636" s="14" t="inlineStr">
        <is>
          <t>Bhisti</t>
        </is>
      </c>
      <c r="C636" s="13" t="inlineStr">
        <is>
          <t>day</t>
        </is>
      </c>
      <c r="D636" s="15" t="n">
        <v>0.9</v>
      </c>
      <c r="E636" s="16" t="n">
        <v>617</v>
      </c>
      <c r="F636" s="16">
        <f>D636*E636</f>
        <v/>
      </c>
    </row>
    <row r="637">
      <c r="A637" s="13" t="inlineStr">
        <is>
          <t>0012</t>
        </is>
      </c>
      <c r="B637" s="14" t="inlineStr">
        <is>
          <t>Vibrator(Needle type 40mm)</t>
        </is>
      </c>
      <c r="C637" s="13" t="inlineStr">
        <is>
          <t>day</t>
        </is>
      </c>
      <c r="D637" s="15" t="n">
        <v>0.07000000000000001</v>
      </c>
      <c r="E637" s="16" t="n">
        <v>370</v>
      </c>
      <c r="F637" s="16">
        <f>D637*E637</f>
        <v/>
      </c>
    </row>
    <row r="638">
      <c r="A638" s="13" t="inlineStr">
        <is>
          <t>9999</t>
        </is>
      </c>
      <c r="B638" s="14" t="inlineStr">
        <is>
          <t>Sundries</t>
        </is>
      </c>
      <c r="C638" s="13" t="inlineStr">
        <is>
          <t>L.S.</t>
        </is>
      </c>
      <c r="D638" s="15" t="n">
        <v>13</v>
      </c>
      <c r="E638" s="16" t="n">
        <v>2</v>
      </c>
      <c r="F638" s="16">
        <f>D638*E638</f>
        <v/>
      </c>
    </row>
    <row r="639">
      <c r="A639" s="17" t="inlineStr">
        <is>
          <t>Resource Total (Material + Labour + Machinery, as printed)</t>
        </is>
      </c>
      <c r="B639" s="18" t="n"/>
      <c r="C639" s="18" t="n"/>
      <c r="D639" s="18" t="n"/>
      <c r="E639" s="18" t="n"/>
      <c r="F639" s="19">
        <f>SUM(F622:F638)</f>
        <v/>
      </c>
    </row>
    <row r="640">
      <c r="A640" s="20" t="inlineStr">
        <is>
          <t>SAY (Rs.) — final DAR rate</t>
        </is>
      </c>
      <c r="B640" s="21" t="n"/>
      <c r="C640" s="21" t="n"/>
      <c r="D640" s="21" t="n"/>
      <c r="E640" s="21" t="n"/>
      <c r="F640" s="22" t="n">
        <v>7900.75</v>
      </c>
    </row>
    <row r="642" ht="18" customHeight="1">
      <c r="A642" s="9" t="inlineStr">
        <is>
          <t>4.20.1.2</t>
        </is>
      </c>
      <c r="B642" s="10" t="inlineStr">
        <is>
          <t>M-10 grade plain cement concrete (cement content considered @ 220 kg/cum)</t>
        </is>
      </c>
      <c r="C642" s="11" t="n"/>
      <c r="D642" s="11" t="n"/>
      <c r="E642" s="11" t="n"/>
      <c r="F642" s="11" t="n"/>
    </row>
    <row r="643">
      <c r="A643" s="12" t="inlineStr">
        <is>
          <t>Rate basis: per cum  (source: cost for 1 cum)</t>
        </is>
      </c>
    </row>
    <row r="644">
      <c r="A644" s="5" t="inlineStr">
        <is>
          <t>Code</t>
        </is>
      </c>
      <c r="B644" s="5" t="inlineStr">
        <is>
          <t>Description</t>
        </is>
      </c>
      <c r="C644" s="5" t="inlineStr">
        <is>
          <t>Unit</t>
        </is>
      </c>
      <c r="D644" s="5" t="inlineStr">
        <is>
          <t>Quantity</t>
        </is>
      </c>
      <c r="E644" s="5" t="inlineStr">
        <is>
          <t>Rate (Rs.)</t>
        </is>
      </c>
      <c r="F644" s="5" t="inlineStr">
        <is>
          <t>Amount (Rs.)</t>
        </is>
      </c>
    </row>
    <row r="645">
      <c r="A645" s="13" t="inlineStr">
        <is>
          <t>0293</t>
        </is>
      </c>
      <c r="B645" s="14" t="inlineStr">
        <is>
          <t>Stone Aggregate (Single size) : 40 mm nominal size</t>
        </is>
      </c>
      <c r="C645" s="13" t="inlineStr">
        <is>
          <t>cum</t>
        </is>
      </c>
      <c r="D645" s="15" t="n">
        <v>0.65</v>
      </c>
      <c r="E645" s="16" t="n">
        <v>1300</v>
      </c>
      <c r="F645" s="16">
        <f>D645*E645</f>
        <v/>
      </c>
    </row>
    <row r="646">
      <c r="A646" s="13" t="inlineStr">
        <is>
          <t>0295</t>
        </is>
      </c>
      <c r="B646" s="14" t="inlineStr">
        <is>
          <t>Stone Aggregate (Single size) : 20 mm nominal size</t>
        </is>
      </c>
      <c r="C646" s="13" t="inlineStr">
        <is>
          <t>cum</t>
        </is>
      </c>
      <c r="D646" s="15" t="n">
        <v>0.24</v>
      </c>
      <c r="E646" s="16" t="n">
        <v>1350</v>
      </c>
      <c r="F646" s="16">
        <f>D646*E646</f>
        <v/>
      </c>
    </row>
    <row r="647">
      <c r="A647" s="13" t="inlineStr">
        <is>
          <t>2206</t>
        </is>
      </c>
      <c r="B647" s="14" t="inlineStr">
        <is>
          <t>Carriage of Stone aggregate 40 mm nominal size and above</t>
        </is>
      </c>
      <c r="C647" s="13" t="inlineStr">
        <is>
          <t>cum</t>
        </is>
      </c>
      <c r="D647" s="15" t="n">
        <v>0.65</v>
      </c>
      <c r="E647" s="16" t="n">
        <v>112.79</v>
      </c>
      <c r="F647" s="16">
        <f>D647*E647</f>
        <v/>
      </c>
    </row>
    <row r="648">
      <c r="A648" s="13" t="inlineStr">
        <is>
          <t>2202</t>
        </is>
      </c>
      <c r="B648" s="14" t="inlineStr">
        <is>
          <t>Carriage of Stone aggregate below 40 mm nominal size</t>
        </is>
      </c>
      <c r="C648" s="13" t="inlineStr">
        <is>
          <t>cum</t>
        </is>
      </c>
      <c r="D648" s="15" t="n">
        <v>0.24</v>
      </c>
      <c r="E648" s="16" t="n">
        <v>103.77</v>
      </c>
      <c r="F648" s="16">
        <f>D648*E648</f>
        <v/>
      </c>
    </row>
    <row r="649">
      <c r="A649" s="13" t="inlineStr">
        <is>
          <t>0982</t>
        </is>
      </c>
      <c r="B649" s="14" t="inlineStr">
        <is>
          <t>Coarse sand (zone III)</t>
        </is>
      </c>
      <c r="C649" s="13" t="inlineStr">
        <is>
          <t>cum</t>
        </is>
      </c>
      <c r="D649" s="15" t="n">
        <v>0.47</v>
      </c>
      <c r="E649" s="16" t="n">
        <v>1350</v>
      </c>
      <c r="F649" s="16">
        <f>D649*E649</f>
        <v/>
      </c>
    </row>
    <row r="650">
      <c r="A650" s="13" t="inlineStr">
        <is>
          <t>2203</t>
        </is>
      </c>
      <c r="B650" s="14" t="inlineStr">
        <is>
          <t>Carriage of Coarse sand</t>
        </is>
      </c>
      <c r="C650" s="13" t="inlineStr">
        <is>
          <t>cum</t>
        </is>
      </c>
      <c r="D650" s="15" t="n">
        <v>0.47</v>
      </c>
      <c r="E650" s="16" t="n">
        <v>103.77</v>
      </c>
      <c r="F650" s="16">
        <f>D650*E650</f>
        <v/>
      </c>
    </row>
    <row r="651">
      <c r="A651" s="13" t="inlineStr">
        <is>
          <t>0367</t>
        </is>
      </c>
      <c r="B651" s="14" t="inlineStr">
        <is>
          <t>Portland Cement</t>
        </is>
      </c>
      <c r="C651" s="13" t="inlineStr">
        <is>
          <t>tonne</t>
        </is>
      </c>
      <c r="D651" s="15" t="n">
        <v>0.22</v>
      </c>
      <c r="E651" s="16" t="n">
        <v>4940</v>
      </c>
      <c r="F651" s="16">
        <f>D651*E651</f>
        <v/>
      </c>
    </row>
    <row r="652">
      <c r="A652" s="13" t="inlineStr">
        <is>
          <t>2209</t>
        </is>
      </c>
      <c r="B652" s="14" t="inlineStr">
        <is>
          <t>Carriage of Cement</t>
        </is>
      </c>
      <c r="C652" s="13" t="inlineStr">
        <is>
          <t>tonne</t>
        </is>
      </c>
      <c r="D652" s="15" t="n">
        <v>0.22</v>
      </c>
      <c r="E652" s="16" t="n">
        <v>92.23999999999999</v>
      </c>
      <c r="F652" s="16">
        <f>D652*E652</f>
        <v/>
      </c>
    </row>
    <row r="653">
      <c r="A653" s="13" t="inlineStr">
        <is>
          <t>7318</t>
        </is>
      </c>
      <c r="B653" s="14" t="inlineStr">
        <is>
          <t>Plasticizer / super plasticizer</t>
        </is>
      </c>
      <c r="C653" s="13" t="inlineStr">
        <is>
          <t>kilogram</t>
        </is>
      </c>
      <c r="D653" s="15" t="n">
        <v>1.1</v>
      </c>
      <c r="E653" s="16" t="n">
        <v>36</v>
      </c>
      <c r="F653" s="16">
        <f>D653*E653</f>
        <v/>
      </c>
    </row>
    <row r="654">
      <c r="A654" s="13" t="inlineStr">
        <is>
          <t>0004</t>
        </is>
      </c>
      <c r="B654" s="14" t="inlineStr">
        <is>
          <t>Production cost of concrete by batch mix plant.</t>
        </is>
      </c>
      <c r="C654" s="13" t="inlineStr">
        <is>
          <t>cum</t>
        </is>
      </c>
      <c r="D654" s="15" t="n">
        <v>1</v>
      </c>
      <c r="E654" s="16" t="n">
        <v>350</v>
      </c>
      <c r="F654" s="16">
        <f>D654*E654</f>
        <v/>
      </c>
    </row>
    <row r="655">
      <c r="A655" s="13" t="inlineStr">
        <is>
          <t>0029</t>
        </is>
      </c>
      <c r="B655" s="14" t="inlineStr">
        <is>
          <t>Carriage of concrete by transit mixer. km/</t>
        </is>
      </c>
      <c r="C655" s="13" t="inlineStr">
        <is>
          <t>cum</t>
        </is>
      </c>
      <c r="D655" s="15" t="n">
        <v>10</v>
      </c>
      <c r="E655" s="16" t="n">
        <v>30</v>
      </c>
      <c r="F655" s="16">
        <f>D655*E655</f>
        <v/>
      </c>
    </row>
    <row r="656">
      <c r="A656" s="13" t="inlineStr">
        <is>
          <t>0009</t>
        </is>
      </c>
      <c r="B656" s="14" t="inlineStr">
        <is>
          <t>Pumping charges of concrete including Hire charges of pump, piping work &amp; accessories etc.</t>
        </is>
      </c>
      <c r="C656" s="13" t="inlineStr">
        <is>
          <t>cum</t>
        </is>
      </c>
      <c r="D656" s="15" t="n">
        <v>1</v>
      </c>
      <c r="E656" s="16" t="n">
        <v>210</v>
      </c>
      <c r="F656" s="16">
        <f>D656*E656</f>
        <v/>
      </c>
    </row>
    <row r="657">
      <c r="A657" s="13" t="inlineStr">
        <is>
          <t>0155</t>
        </is>
      </c>
      <c r="B657" s="14" t="inlineStr">
        <is>
          <t>Mason (average)</t>
        </is>
      </c>
      <c r="C657" s="13" t="inlineStr">
        <is>
          <t>day</t>
        </is>
      </c>
      <c r="D657" s="15" t="n">
        <v>0.17</v>
      </c>
      <c r="E657" s="16" t="n">
        <v>709</v>
      </c>
      <c r="F657" s="16">
        <f>D657*E657</f>
        <v/>
      </c>
    </row>
    <row r="658">
      <c r="A658" s="13" t="inlineStr">
        <is>
          <t>0114</t>
        </is>
      </c>
      <c r="B658" s="14" t="inlineStr">
        <is>
          <t>Beldar</t>
        </is>
      </c>
      <c r="C658" s="13" t="inlineStr">
        <is>
          <t>day</t>
        </is>
      </c>
      <c r="D658" s="15" t="n">
        <v>2</v>
      </c>
      <c r="E658" s="16" t="n">
        <v>558</v>
      </c>
      <c r="F658" s="16">
        <f>D658*E658</f>
        <v/>
      </c>
    </row>
    <row r="659">
      <c r="A659" s="13" t="inlineStr">
        <is>
          <t>0101</t>
        </is>
      </c>
      <c r="B659" s="14" t="inlineStr">
        <is>
          <t>Bhisti</t>
        </is>
      </c>
      <c r="C659" s="13" t="inlineStr">
        <is>
          <t>day</t>
        </is>
      </c>
      <c r="D659" s="15" t="n">
        <v>0.9</v>
      </c>
      <c r="E659" s="16" t="n">
        <v>617</v>
      </c>
      <c r="F659" s="16">
        <f>D659*E659</f>
        <v/>
      </c>
    </row>
    <row r="660">
      <c r="A660" s="13" t="inlineStr">
        <is>
          <t>0012</t>
        </is>
      </c>
      <c r="B660" s="14" t="inlineStr">
        <is>
          <t>Vibrator(Needle type 40mm)</t>
        </is>
      </c>
      <c r="C660" s="13" t="inlineStr">
        <is>
          <t>day</t>
        </is>
      </c>
      <c r="D660" s="15" t="n">
        <v>0.07000000000000001</v>
      </c>
      <c r="E660" s="16" t="n">
        <v>370</v>
      </c>
      <c r="F660" s="16">
        <f>D660*E660</f>
        <v/>
      </c>
    </row>
    <row r="661">
      <c r="A661" s="13" t="inlineStr">
        <is>
          <t>9999</t>
        </is>
      </c>
      <c r="B661" s="14" t="inlineStr">
        <is>
          <t>Sundries</t>
        </is>
      </c>
      <c r="C661" s="13" t="inlineStr">
        <is>
          <t>L.S.</t>
        </is>
      </c>
      <c r="D661" s="15" t="n">
        <v>13</v>
      </c>
      <c r="E661" s="16" t="n">
        <v>2</v>
      </c>
      <c r="F661" s="16">
        <f>D661*E661</f>
        <v/>
      </c>
    </row>
    <row r="662">
      <c r="A662" s="17" t="inlineStr">
        <is>
          <t>Resource Total (Material + Labour + Machinery, as printed)</t>
        </is>
      </c>
      <c r="B662" s="18" t="n"/>
      <c r="C662" s="18" t="n"/>
      <c r="D662" s="18" t="n"/>
      <c r="E662" s="18" t="n"/>
      <c r="F662" s="19">
        <f>SUM(F645:F661)</f>
        <v/>
      </c>
    </row>
    <row r="663">
      <c r="A663" s="20" t="inlineStr">
        <is>
          <t>SAY (Rs.) — final DAR rate</t>
        </is>
      </c>
      <c r="B663" s="21" t="n"/>
      <c r="C663" s="21" t="n"/>
      <c r="D663" s="21" t="n"/>
      <c r="E663" s="21" t="n"/>
      <c r="F663" s="22" t="n">
        <v>7761.25</v>
      </c>
    </row>
    <row r="665" ht="18" customHeight="1">
      <c r="A665" s="9" t="inlineStr">
        <is>
          <t>4.20.2.1</t>
        </is>
      </c>
      <c r="B665" s="10" t="inlineStr">
        <is>
          <t>M-15 grade plain cement concrete. (cement content considered @ 240 kg / cum)</t>
        </is>
      </c>
      <c r="C665" s="11" t="n"/>
      <c r="D665" s="11" t="n"/>
      <c r="E665" s="11" t="n"/>
      <c r="F665" s="11" t="n"/>
    </row>
    <row r="666">
      <c r="A666" s="12" t="inlineStr">
        <is>
          <t>Rate basis: per cum  (source: cost for 1 cum)</t>
        </is>
      </c>
    </row>
    <row r="667">
      <c r="A667" s="5" t="inlineStr">
        <is>
          <t>Code</t>
        </is>
      </c>
      <c r="B667" s="5" t="inlineStr">
        <is>
          <t>Description</t>
        </is>
      </c>
      <c r="C667" s="5" t="inlineStr">
        <is>
          <t>Unit</t>
        </is>
      </c>
      <c r="D667" s="5" t="inlineStr">
        <is>
          <t>Quantity</t>
        </is>
      </c>
      <c r="E667" s="5" t="inlineStr">
        <is>
          <t>Rate (Rs.)</t>
        </is>
      </c>
      <c r="F667" s="5" t="inlineStr">
        <is>
          <t>Amount (Rs.)</t>
        </is>
      </c>
    </row>
    <row r="668">
      <c r="A668" s="13" t="inlineStr">
        <is>
          <t>0293</t>
        </is>
      </c>
      <c r="B668" s="14" t="inlineStr">
        <is>
          <t>Stone Aggregate (Single size) : 40 mm nominal size</t>
        </is>
      </c>
      <c r="C668" s="13" t="inlineStr">
        <is>
          <t>cum</t>
        </is>
      </c>
      <c r="D668" s="15" t="n">
        <v>0.65</v>
      </c>
      <c r="E668" s="16" t="n">
        <v>1300</v>
      </c>
      <c r="F668" s="16">
        <f>D668*E668</f>
        <v/>
      </c>
    </row>
    <row r="669">
      <c r="A669" s="13" t="inlineStr">
        <is>
          <t>0295</t>
        </is>
      </c>
      <c r="B669" s="14" t="inlineStr">
        <is>
          <t>Stone Aggregate (Single size) : 20 mm nominal size</t>
        </is>
      </c>
      <c r="C669" s="13" t="inlineStr">
        <is>
          <t>cum</t>
        </is>
      </c>
      <c r="D669" s="15" t="n">
        <v>0.24</v>
      </c>
      <c r="E669" s="16" t="n">
        <v>1350</v>
      </c>
      <c r="F669" s="16">
        <f>D669*E669</f>
        <v/>
      </c>
    </row>
    <row r="670">
      <c r="A670" s="13" t="inlineStr">
        <is>
          <t>2206</t>
        </is>
      </c>
      <c r="B670" s="14" t="inlineStr">
        <is>
          <t>Carriage of Stone aggregate 40 mm nominal size and above</t>
        </is>
      </c>
      <c r="C670" s="13" t="inlineStr">
        <is>
          <t>cum</t>
        </is>
      </c>
      <c r="D670" s="15" t="n">
        <v>0.65</v>
      </c>
      <c r="E670" s="16" t="n">
        <v>112.79</v>
      </c>
      <c r="F670" s="16">
        <f>D670*E670</f>
        <v/>
      </c>
    </row>
    <row r="671">
      <c r="A671" s="13" t="inlineStr">
        <is>
          <t>2202</t>
        </is>
      </c>
      <c r="B671" s="14" t="inlineStr">
        <is>
          <t>Carriage of Stone aggregate below 40 mm nominal size</t>
        </is>
      </c>
      <c r="C671" s="13" t="inlineStr">
        <is>
          <t>cum</t>
        </is>
      </c>
      <c r="D671" s="15" t="n">
        <v>0.24</v>
      </c>
      <c r="E671" s="16" t="n">
        <v>103.77</v>
      </c>
      <c r="F671" s="16">
        <f>D671*E671</f>
        <v/>
      </c>
    </row>
    <row r="672">
      <c r="A672" s="13" t="inlineStr">
        <is>
          <t>0982</t>
        </is>
      </c>
      <c r="B672" s="14" t="inlineStr">
        <is>
          <t>Coarse sand (zone III)</t>
        </is>
      </c>
      <c r="C672" s="13" t="inlineStr">
        <is>
          <t>cum</t>
        </is>
      </c>
      <c r="D672" s="15" t="n">
        <v>0.47</v>
      </c>
      <c r="E672" s="16" t="n">
        <v>1350</v>
      </c>
      <c r="F672" s="16">
        <f>D672*E672</f>
        <v/>
      </c>
    </row>
    <row r="673">
      <c r="A673" s="13" t="inlineStr">
        <is>
          <t>2203</t>
        </is>
      </c>
      <c r="B673" s="14" t="inlineStr">
        <is>
          <t>Carriage of Coarse sand</t>
        </is>
      </c>
      <c r="C673" s="13" t="inlineStr">
        <is>
          <t>cum</t>
        </is>
      </c>
      <c r="D673" s="15" t="n">
        <v>0.47</v>
      </c>
      <c r="E673" s="16" t="n">
        <v>103.77</v>
      </c>
      <c r="F673" s="16">
        <f>D673*E673</f>
        <v/>
      </c>
    </row>
    <row r="674">
      <c r="A674" s="13" t="inlineStr">
        <is>
          <t>0367</t>
        </is>
      </c>
      <c r="B674" s="14" t="inlineStr">
        <is>
          <t>Portland Cement</t>
        </is>
      </c>
      <c r="C674" s="13" t="inlineStr">
        <is>
          <t>tonne</t>
        </is>
      </c>
      <c r="D674" s="15" t="n">
        <v>0.24</v>
      </c>
      <c r="E674" s="16" t="n">
        <v>4940</v>
      </c>
      <c r="F674" s="16">
        <f>D674*E674</f>
        <v/>
      </c>
    </row>
    <row r="675">
      <c r="A675" s="13" t="inlineStr">
        <is>
          <t>2209</t>
        </is>
      </c>
      <c r="B675" s="14" t="inlineStr">
        <is>
          <t>Carriage of Cement</t>
        </is>
      </c>
      <c r="C675" s="13" t="inlineStr">
        <is>
          <t>tonne</t>
        </is>
      </c>
      <c r="D675" s="15" t="n">
        <v>0.24</v>
      </c>
      <c r="E675" s="16" t="n">
        <v>92.23999999999999</v>
      </c>
      <c r="F675" s="16">
        <f>D675*E675</f>
        <v/>
      </c>
    </row>
    <row r="676">
      <c r="A676" s="13" t="inlineStr">
        <is>
          <t>7318</t>
        </is>
      </c>
      <c r="B676" s="14" t="inlineStr">
        <is>
          <t>Plasticizer / super plasticizer</t>
        </is>
      </c>
      <c r="C676" s="13" t="inlineStr">
        <is>
          <t>kilogram</t>
        </is>
      </c>
      <c r="D676" s="15" t="n">
        <v>1.2</v>
      </c>
      <c r="E676" s="16" t="n">
        <v>36</v>
      </c>
      <c r="F676" s="16">
        <f>D676*E676</f>
        <v/>
      </c>
    </row>
    <row r="677">
      <c r="A677" s="13" t="inlineStr">
        <is>
          <t>0004</t>
        </is>
      </c>
      <c r="B677" s="14" t="inlineStr">
        <is>
          <t>Production cost of concrete by batch mix plant.</t>
        </is>
      </c>
      <c r="C677" s="13" t="inlineStr">
        <is>
          <t>cum</t>
        </is>
      </c>
      <c r="D677" s="15" t="n">
        <v>1</v>
      </c>
      <c r="E677" s="16" t="n">
        <v>350</v>
      </c>
      <c r="F677" s="16">
        <f>D677*E677</f>
        <v/>
      </c>
    </row>
    <row r="678">
      <c r="A678" s="13" t="inlineStr">
        <is>
          <t>0029</t>
        </is>
      </c>
      <c r="B678" s="14" t="inlineStr">
        <is>
          <t>Carriage of concrete by transit mixer. km/</t>
        </is>
      </c>
      <c r="C678" s="13" t="inlineStr">
        <is>
          <t>cum</t>
        </is>
      </c>
      <c r="D678" s="15" t="n">
        <v>10</v>
      </c>
      <c r="E678" s="16" t="n">
        <v>30</v>
      </c>
      <c r="F678" s="16">
        <f>D678*E678</f>
        <v/>
      </c>
    </row>
    <row r="679">
      <c r="A679" s="13" t="inlineStr">
        <is>
          <t>0155</t>
        </is>
      </c>
      <c r="B679" s="14" t="inlineStr">
        <is>
          <t>Mason (average)</t>
        </is>
      </c>
      <c r="C679" s="13" t="inlineStr">
        <is>
          <t>day</t>
        </is>
      </c>
      <c r="D679" s="15" t="n">
        <v>0.17</v>
      </c>
      <c r="E679" s="16" t="n">
        <v>709</v>
      </c>
      <c r="F679" s="16">
        <f>D679*E679</f>
        <v/>
      </c>
    </row>
    <row r="680">
      <c r="A680" s="13" t="inlineStr">
        <is>
          <t>0114</t>
        </is>
      </c>
      <c r="B680" s="14" t="inlineStr">
        <is>
          <t>Beldar</t>
        </is>
      </c>
      <c r="C680" s="13" t="inlineStr">
        <is>
          <t>day</t>
        </is>
      </c>
      <c r="D680" s="15" t="n">
        <v>2</v>
      </c>
      <c r="E680" s="16" t="n">
        <v>558</v>
      </c>
      <c r="F680" s="16">
        <f>D680*E680</f>
        <v/>
      </c>
    </row>
    <row r="681">
      <c r="A681" s="13" t="inlineStr">
        <is>
          <t>0101</t>
        </is>
      </c>
      <c r="B681" s="14" t="inlineStr">
        <is>
          <t>Bhisti</t>
        </is>
      </c>
      <c r="C681" s="13" t="inlineStr">
        <is>
          <t>day</t>
        </is>
      </c>
      <c r="D681" s="15" t="n">
        <v>0.9</v>
      </c>
      <c r="E681" s="16" t="n">
        <v>617</v>
      </c>
      <c r="F681" s="16">
        <f>D681*E681</f>
        <v/>
      </c>
    </row>
    <row r="682">
      <c r="A682" s="13" t="inlineStr">
        <is>
          <t>0012</t>
        </is>
      </c>
      <c r="B682" s="14" t="inlineStr">
        <is>
          <t>Vibrator(Needle type 40mm)</t>
        </is>
      </c>
      <c r="C682" s="13" t="inlineStr">
        <is>
          <t>day</t>
        </is>
      </c>
      <c r="D682" s="15" t="n">
        <v>0.07000000000000001</v>
      </c>
      <c r="E682" s="16" t="n">
        <v>370</v>
      </c>
      <c r="F682" s="16">
        <f>D682*E682</f>
        <v/>
      </c>
    </row>
    <row r="683">
      <c r="A683" s="13" t="inlineStr">
        <is>
          <t>9999</t>
        </is>
      </c>
      <c r="B683" s="14" t="inlineStr">
        <is>
          <t>Sundries</t>
        </is>
      </c>
      <c r="C683" s="13" t="inlineStr">
        <is>
          <t>L.S.</t>
        </is>
      </c>
      <c r="D683" s="15" t="n">
        <v>13</v>
      </c>
      <c r="E683" s="16" t="n">
        <v>2</v>
      </c>
      <c r="F683" s="16">
        <f>D683*E683</f>
        <v/>
      </c>
    </row>
    <row r="684">
      <c r="A684" s="13" t="inlineStr">
        <is>
          <t>0115</t>
        </is>
      </c>
      <c r="B684" s="14" t="inlineStr">
        <is>
          <t>Coolie</t>
        </is>
      </c>
      <c r="C684" s="13" t="inlineStr">
        <is>
          <t>day</t>
        </is>
      </c>
      <c r="D684" s="15" t="n">
        <v>1.88</v>
      </c>
      <c r="E684" s="16" t="n">
        <v>558</v>
      </c>
      <c r="F684" s="16">
        <f>D684*E684</f>
        <v/>
      </c>
    </row>
    <row r="685">
      <c r="A685" s="17" t="inlineStr">
        <is>
          <t>Resource Total (Material + Labour + Machinery, as printed)</t>
        </is>
      </c>
      <c r="B685" s="18" t="n"/>
      <c r="C685" s="18" t="n"/>
      <c r="D685" s="18" t="n"/>
      <c r="E685" s="18" t="n"/>
      <c r="F685" s="19">
        <f>SUM(F668:F684)</f>
        <v/>
      </c>
    </row>
    <row r="686">
      <c r="A686" s="20" t="inlineStr">
        <is>
          <t>SAY (Rs.) — final DAR rate</t>
        </is>
      </c>
      <c r="B686" s="21" t="n"/>
      <c r="C686" s="21" t="n"/>
      <c r="D686" s="21" t="n"/>
      <c r="E686" s="21" t="n"/>
      <c r="F686" s="22" t="n">
        <v>9023.299999999999</v>
      </c>
    </row>
    <row r="688" ht="18" customHeight="1">
      <c r="A688" s="9" t="inlineStr">
        <is>
          <t>4.20.2.2</t>
        </is>
      </c>
      <c r="B688" s="10" t="inlineStr">
        <is>
          <t>M-10 grade plain cement concrete (cement content considered @ 220 kg/cum)</t>
        </is>
      </c>
      <c r="C688" s="11" t="n"/>
      <c r="D688" s="11" t="n"/>
      <c r="E688" s="11" t="n"/>
      <c r="F688" s="11" t="n"/>
    </row>
    <row r="689">
      <c r="A689" s="12" t="inlineStr">
        <is>
          <t>Rate basis: per cum  (source: cost for 1 cum)</t>
        </is>
      </c>
    </row>
    <row r="690">
      <c r="A690" s="5" t="inlineStr">
        <is>
          <t>Code</t>
        </is>
      </c>
      <c r="B690" s="5" t="inlineStr">
        <is>
          <t>Description</t>
        </is>
      </c>
      <c r="C690" s="5" t="inlineStr">
        <is>
          <t>Unit</t>
        </is>
      </c>
      <c r="D690" s="5" t="inlineStr">
        <is>
          <t>Quantity</t>
        </is>
      </c>
      <c r="E690" s="5" t="inlineStr">
        <is>
          <t>Rate (Rs.)</t>
        </is>
      </c>
      <c r="F690" s="5" t="inlineStr">
        <is>
          <t>Amount (Rs.)</t>
        </is>
      </c>
    </row>
    <row r="691">
      <c r="A691" s="13" t="inlineStr">
        <is>
          <t>0293</t>
        </is>
      </c>
      <c r="B691" s="14" t="inlineStr">
        <is>
          <t>Stone Aggregate (Single size) : 40 mm nominal size</t>
        </is>
      </c>
      <c r="C691" s="13" t="inlineStr">
        <is>
          <t>cum</t>
        </is>
      </c>
      <c r="D691" s="15" t="n">
        <v>0.65</v>
      </c>
      <c r="E691" s="16" t="n">
        <v>1300</v>
      </c>
      <c r="F691" s="16">
        <f>D691*E691</f>
        <v/>
      </c>
    </row>
    <row r="692">
      <c r="A692" s="13" t="inlineStr">
        <is>
          <t>0295</t>
        </is>
      </c>
      <c r="B692" s="14" t="inlineStr">
        <is>
          <t>Stone Aggregate (Single size) : 20 mm nominal size</t>
        </is>
      </c>
      <c r="C692" s="13" t="inlineStr">
        <is>
          <t>cum</t>
        </is>
      </c>
      <c r="D692" s="15" t="n">
        <v>0.24</v>
      </c>
      <c r="E692" s="16" t="n">
        <v>1350</v>
      </c>
      <c r="F692" s="16">
        <f>D692*E692</f>
        <v/>
      </c>
    </row>
    <row r="693">
      <c r="A693" s="13" t="inlineStr">
        <is>
          <t>2206</t>
        </is>
      </c>
      <c r="B693" s="14" t="inlineStr">
        <is>
          <t>Carriage of Stone aggregate 40 mm nominal size and above</t>
        </is>
      </c>
      <c r="C693" s="13" t="inlineStr">
        <is>
          <t>cum</t>
        </is>
      </c>
      <c r="D693" s="15" t="n">
        <v>0.65</v>
      </c>
      <c r="E693" s="16" t="n">
        <v>112.79</v>
      </c>
      <c r="F693" s="16">
        <f>D693*E693</f>
        <v/>
      </c>
    </row>
    <row r="694">
      <c r="A694" s="13" t="inlineStr">
        <is>
          <t>2202</t>
        </is>
      </c>
      <c r="B694" s="14" t="inlineStr">
        <is>
          <t>Carriage of Stone aggregate below 40 mm nominal size</t>
        </is>
      </c>
      <c r="C694" s="13" t="inlineStr">
        <is>
          <t>cum</t>
        </is>
      </c>
      <c r="D694" s="15" t="n">
        <v>0.24</v>
      </c>
      <c r="E694" s="16" t="n">
        <v>103.77</v>
      </c>
      <c r="F694" s="16">
        <f>D694*E694</f>
        <v/>
      </c>
    </row>
    <row r="695">
      <c r="A695" s="13" t="inlineStr">
        <is>
          <t>0982</t>
        </is>
      </c>
      <c r="B695" s="14" t="inlineStr">
        <is>
          <t>Coarse sand (zone III)</t>
        </is>
      </c>
      <c r="C695" s="13" t="inlineStr">
        <is>
          <t>cum</t>
        </is>
      </c>
      <c r="D695" s="15" t="n">
        <v>0.47</v>
      </c>
      <c r="E695" s="16" t="n">
        <v>1350</v>
      </c>
      <c r="F695" s="16">
        <f>D695*E695</f>
        <v/>
      </c>
    </row>
    <row r="696">
      <c r="A696" s="13" t="inlineStr">
        <is>
          <t>2203</t>
        </is>
      </c>
      <c r="B696" s="14" t="inlineStr">
        <is>
          <t>Carriage of Coarse sand</t>
        </is>
      </c>
      <c r="C696" s="13" t="inlineStr">
        <is>
          <t>cum</t>
        </is>
      </c>
      <c r="D696" s="15" t="n">
        <v>0.47</v>
      </c>
      <c r="E696" s="16" t="n">
        <v>103.77</v>
      </c>
      <c r="F696" s="16">
        <f>D696*E696</f>
        <v/>
      </c>
    </row>
    <row r="697">
      <c r="A697" s="13" t="inlineStr">
        <is>
          <t>0367</t>
        </is>
      </c>
      <c r="B697" s="14" t="inlineStr">
        <is>
          <t>Portland Cement</t>
        </is>
      </c>
      <c r="C697" s="13" t="inlineStr">
        <is>
          <t>tonne</t>
        </is>
      </c>
      <c r="D697" s="15" t="n">
        <v>0.22</v>
      </c>
      <c r="E697" s="16" t="n">
        <v>4940</v>
      </c>
      <c r="F697" s="16">
        <f>D697*E697</f>
        <v/>
      </c>
    </row>
    <row r="698">
      <c r="A698" s="13" t="inlineStr">
        <is>
          <t>2209</t>
        </is>
      </c>
      <c r="B698" s="14" t="inlineStr">
        <is>
          <t>Carriage of Cement</t>
        </is>
      </c>
      <c r="C698" s="13" t="inlineStr">
        <is>
          <t>tonne</t>
        </is>
      </c>
      <c r="D698" s="15" t="n">
        <v>0.22</v>
      </c>
      <c r="E698" s="16" t="n">
        <v>92.23999999999999</v>
      </c>
      <c r="F698" s="16">
        <f>D698*E698</f>
        <v/>
      </c>
    </row>
    <row r="699">
      <c r="A699" s="13" t="inlineStr">
        <is>
          <t>7318</t>
        </is>
      </c>
      <c r="B699" s="14" t="inlineStr">
        <is>
          <t>Plasticizer / super plasticizer</t>
        </is>
      </c>
      <c r="C699" s="13" t="inlineStr">
        <is>
          <t>kilogram</t>
        </is>
      </c>
      <c r="D699" s="15" t="n">
        <v>1.1</v>
      </c>
      <c r="E699" s="16" t="n">
        <v>36</v>
      </c>
      <c r="F699" s="16">
        <f>D699*E699</f>
        <v/>
      </c>
    </row>
    <row r="700">
      <c r="A700" s="13" t="inlineStr">
        <is>
          <t>0004</t>
        </is>
      </c>
      <c r="B700" s="14" t="inlineStr">
        <is>
          <t>Production cost of concrete by batch mix plant.</t>
        </is>
      </c>
      <c r="C700" s="13" t="inlineStr">
        <is>
          <t>cum</t>
        </is>
      </c>
      <c r="D700" s="15" t="n">
        <v>1</v>
      </c>
      <c r="E700" s="16" t="n">
        <v>350</v>
      </c>
      <c r="F700" s="16">
        <f>D700*E700</f>
        <v/>
      </c>
    </row>
    <row r="701">
      <c r="A701" s="13" t="inlineStr">
        <is>
          <t>0029</t>
        </is>
      </c>
      <c r="B701" s="14" t="inlineStr">
        <is>
          <t>Carriage of concrete by transit mixer. km/</t>
        </is>
      </c>
      <c r="C701" s="13" t="inlineStr">
        <is>
          <t>cum</t>
        </is>
      </c>
      <c r="D701" s="15" t="n">
        <v>10</v>
      </c>
      <c r="E701" s="16" t="n">
        <v>30</v>
      </c>
      <c r="F701" s="16">
        <f>D701*E701</f>
        <v/>
      </c>
    </row>
    <row r="702">
      <c r="A702" s="13" t="inlineStr">
        <is>
          <t>0155</t>
        </is>
      </c>
      <c r="B702" s="14" t="inlineStr">
        <is>
          <t>Mason (average)</t>
        </is>
      </c>
      <c r="C702" s="13" t="inlineStr">
        <is>
          <t>day</t>
        </is>
      </c>
      <c r="D702" s="15" t="n">
        <v>0.17</v>
      </c>
      <c r="E702" s="16" t="n">
        <v>709</v>
      </c>
      <c r="F702" s="16">
        <f>D702*E702</f>
        <v/>
      </c>
    </row>
    <row r="703">
      <c r="A703" s="13" t="inlineStr">
        <is>
          <t>0114</t>
        </is>
      </c>
      <c r="B703" s="14" t="inlineStr">
        <is>
          <t>Beldar</t>
        </is>
      </c>
      <c r="C703" s="13" t="inlineStr">
        <is>
          <t>day</t>
        </is>
      </c>
      <c r="D703" s="15" t="n">
        <v>2</v>
      </c>
      <c r="E703" s="16" t="n">
        <v>558</v>
      </c>
      <c r="F703" s="16">
        <f>D703*E703</f>
        <v/>
      </c>
    </row>
    <row r="704">
      <c r="A704" s="13" t="inlineStr">
        <is>
          <t>0101</t>
        </is>
      </c>
      <c r="B704" s="14" t="inlineStr">
        <is>
          <t>Bhisti</t>
        </is>
      </c>
      <c r="C704" s="13" t="inlineStr">
        <is>
          <t>day</t>
        </is>
      </c>
      <c r="D704" s="15" t="n">
        <v>0.9</v>
      </c>
      <c r="E704" s="16" t="n">
        <v>617</v>
      </c>
      <c r="F704" s="16">
        <f>D704*E704</f>
        <v/>
      </c>
    </row>
    <row r="705">
      <c r="A705" s="13" t="inlineStr">
        <is>
          <t>0012</t>
        </is>
      </c>
      <c r="B705" s="14" t="inlineStr">
        <is>
          <t>Vibrator(Needle type 40mm)</t>
        </is>
      </c>
      <c r="C705" s="13" t="inlineStr">
        <is>
          <t>day</t>
        </is>
      </c>
      <c r="D705" s="15" t="n">
        <v>0.07000000000000001</v>
      </c>
      <c r="E705" s="16" t="n">
        <v>370</v>
      </c>
      <c r="F705" s="16">
        <f>D705*E705</f>
        <v/>
      </c>
    </row>
    <row r="706">
      <c r="A706" s="13" t="inlineStr">
        <is>
          <t>9999</t>
        </is>
      </c>
      <c r="B706" s="14" t="inlineStr">
        <is>
          <t>Sundries</t>
        </is>
      </c>
      <c r="C706" s="13" t="inlineStr">
        <is>
          <t>L.S.</t>
        </is>
      </c>
      <c r="D706" s="15" t="n">
        <v>13</v>
      </c>
      <c r="E706" s="16" t="n">
        <v>2</v>
      </c>
      <c r="F706" s="16">
        <f>D706*E706</f>
        <v/>
      </c>
    </row>
    <row r="707">
      <c r="A707" s="13" t="inlineStr">
        <is>
          <t>0115</t>
        </is>
      </c>
      <c r="B707" s="14" t="inlineStr">
        <is>
          <t>Coolie</t>
        </is>
      </c>
      <c r="C707" s="13" t="inlineStr">
        <is>
          <t>day</t>
        </is>
      </c>
      <c r="D707" s="15" t="n">
        <v>1.88</v>
      </c>
      <c r="E707" s="16" t="n">
        <v>558</v>
      </c>
      <c r="F707" s="16">
        <f>D707*E707</f>
        <v/>
      </c>
    </row>
    <row r="708">
      <c r="A708" s="17" t="inlineStr">
        <is>
          <t>Resource Total (Material + Labour + Machinery, as printed)</t>
        </is>
      </c>
      <c r="B708" s="18" t="n"/>
      <c r="C708" s="18" t="n"/>
      <c r="D708" s="18" t="n"/>
      <c r="E708" s="18" t="n"/>
      <c r="F708" s="19">
        <f>SUM(F691:F707)</f>
        <v/>
      </c>
    </row>
    <row r="709">
      <c r="A709" s="20" t="inlineStr">
        <is>
          <t>SAY (Rs.) — final DAR rate</t>
        </is>
      </c>
      <c r="B709" s="21" t="n"/>
      <c r="C709" s="21" t="n"/>
      <c r="D709" s="21" t="n"/>
      <c r="E709" s="21" t="n"/>
      <c r="F709" s="22" t="n">
        <v>8883.85</v>
      </c>
    </row>
  </sheetData>
  <mergeCells count="162">
    <mergeCell ref="A39:E39"/>
    <mergeCell ref="A643:F643"/>
    <mergeCell ref="B252:F252"/>
    <mergeCell ref="A402:E402"/>
    <mergeCell ref="A419:F419"/>
    <mergeCell ref="A317:F317"/>
    <mergeCell ref="A182:E182"/>
    <mergeCell ref="A394:F394"/>
    <mergeCell ref="A369:F369"/>
    <mergeCell ref="B122:F122"/>
    <mergeCell ref="A458:E458"/>
    <mergeCell ref="B184:F184"/>
    <mergeCell ref="A296:E296"/>
    <mergeCell ref="B429:F429"/>
    <mergeCell ref="A79:E79"/>
    <mergeCell ref="B512:F512"/>
    <mergeCell ref="A427:E427"/>
    <mergeCell ref="B665:F665"/>
    <mergeCell ref="A516:E516"/>
    <mergeCell ref="A5:F5"/>
    <mergeCell ref="B42:F42"/>
    <mergeCell ref="A426:E426"/>
    <mergeCell ref="B642:F642"/>
    <mergeCell ref="A273:E273"/>
    <mergeCell ref="A444:E444"/>
    <mergeCell ref="B594:F594"/>
    <mergeCell ref="A640:E640"/>
    <mergeCell ref="A365:E365"/>
    <mergeCell ref="A21:E21"/>
    <mergeCell ref="A376:E376"/>
    <mergeCell ref="A139:E139"/>
    <mergeCell ref="A272:E272"/>
    <mergeCell ref="A357:F357"/>
    <mergeCell ref="A443:E443"/>
    <mergeCell ref="A415:E415"/>
    <mergeCell ref="B619:F619"/>
    <mergeCell ref="A313:E313"/>
    <mergeCell ref="A483:E483"/>
    <mergeCell ref="A203:E203"/>
    <mergeCell ref="A181:E181"/>
    <mergeCell ref="A64:F64"/>
    <mergeCell ref="A24:F24"/>
    <mergeCell ref="A100:E100"/>
    <mergeCell ref="A620:F620"/>
    <mergeCell ref="B142:F142"/>
    <mergeCell ref="B418:F418"/>
    <mergeCell ref="A486:F486"/>
    <mergeCell ref="B356:F356"/>
    <mergeCell ref="A510:E510"/>
    <mergeCell ref="A391:E391"/>
    <mergeCell ref="B368:F368"/>
    <mergeCell ref="A639:E639"/>
    <mergeCell ref="A163:F163"/>
    <mergeCell ref="A447:F447"/>
    <mergeCell ref="B475:F475"/>
    <mergeCell ref="A119:E119"/>
    <mergeCell ref="A689:F689"/>
    <mergeCell ref="A457:E457"/>
    <mergeCell ref="A2:F2"/>
    <mergeCell ref="B460:F460"/>
    <mergeCell ref="A440:F440"/>
    <mergeCell ref="A354:E354"/>
    <mergeCell ref="B405:F405"/>
    <mergeCell ref="A80:E80"/>
    <mergeCell ref="A513:F513"/>
    <mergeCell ref="A120:E120"/>
    <mergeCell ref="B82:F82"/>
    <mergeCell ref="B162:F162"/>
    <mergeCell ref="B446:F446"/>
    <mergeCell ref="A685:E685"/>
    <mergeCell ref="A230:F230"/>
    <mergeCell ref="B333:F333"/>
    <mergeCell ref="B569:F569"/>
    <mergeCell ref="B688:F688"/>
    <mergeCell ref="A331:E331"/>
    <mergeCell ref="A616:E616"/>
    <mergeCell ref="A159:E159"/>
    <mergeCell ref="B485:F485"/>
    <mergeCell ref="A436:E436"/>
    <mergeCell ref="A461:F461"/>
    <mergeCell ref="A476:F476"/>
    <mergeCell ref="A617:E617"/>
    <mergeCell ref="A40:E40"/>
    <mergeCell ref="A509:E509"/>
    <mergeCell ref="B4:F4"/>
    <mergeCell ref="A226:E226"/>
    <mergeCell ref="A437:E437"/>
    <mergeCell ref="A60:E60"/>
    <mergeCell ref="B439:F439"/>
    <mergeCell ref="A250:E250"/>
    <mergeCell ref="A666:F666"/>
    <mergeCell ref="A473:E473"/>
    <mergeCell ref="A567:E567"/>
    <mergeCell ref="B229:F229"/>
    <mergeCell ref="A472:E472"/>
    <mergeCell ref="A545:F545"/>
    <mergeCell ref="B23:F23"/>
    <mergeCell ref="A708:E708"/>
    <mergeCell ref="A253:F253"/>
    <mergeCell ref="A465:E465"/>
    <mergeCell ref="B544:F544"/>
    <mergeCell ref="A299:F299"/>
    <mergeCell ref="A592:E592"/>
    <mergeCell ref="A204:E204"/>
    <mergeCell ref="B349:F349"/>
    <mergeCell ref="A160:E160"/>
    <mergeCell ref="A464:E464"/>
    <mergeCell ref="A83:F83"/>
    <mergeCell ref="A143:F143"/>
    <mergeCell ref="A276:F276"/>
    <mergeCell ref="B379:F379"/>
    <mergeCell ref="A377:E377"/>
    <mergeCell ref="A350:F350"/>
    <mergeCell ref="A591:E591"/>
    <mergeCell ref="A595:F595"/>
    <mergeCell ref="A662:E662"/>
    <mergeCell ref="A20:E20"/>
    <mergeCell ref="A207:F207"/>
    <mergeCell ref="A295:E295"/>
    <mergeCell ref="A334:F334"/>
    <mergeCell ref="A1:F1"/>
    <mergeCell ref="A103:F103"/>
    <mergeCell ref="A570:F570"/>
    <mergeCell ref="B63:F63"/>
    <mergeCell ref="A541:E541"/>
    <mergeCell ref="A686:E686"/>
    <mergeCell ref="B206:F206"/>
    <mergeCell ref="A249:E249"/>
    <mergeCell ref="A347:E347"/>
    <mergeCell ref="A314:E314"/>
    <mergeCell ref="A403:E403"/>
    <mergeCell ref="A663:E663"/>
    <mergeCell ref="A61:E61"/>
    <mergeCell ref="B102:F102"/>
    <mergeCell ref="A406:F406"/>
    <mergeCell ref="A346:E346"/>
    <mergeCell ref="A468:F468"/>
    <mergeCell ref="A517:E517"/>
    <mergeCell ref="A227:E227"/>
    <mergeCell ref="A185:F185"/>
    <mergeCell ref="A330:E330"/>
    <mergeCell ref="A99:E99"/>
    <mergeCell ref="A366:E366"/>
    <mergeCell ref="A566:E566"/>
    <mergeCell ref="A380:F380"/>
    <mergeCell ref="A43:F43"/>
    <mergeCell ref="A390:E390"/>
    <mergeCell ref="B467:F467"/>
    <mergeCell ref="B519:F519"/>
    <mergeCell ref="B298:F298"/>
    <mergeCell ref="A542:E542"/>
    <mergeCell ref="A140:E140"/>
    <mergeCell ref="B316:F316"/>
    <mergeCell ref="A123:F123"/>
    <mergeCell ref="A416:E416"/>
    <mergeCell ref="A482:E482"/>
    <mergeCell ref="A520:F520"/>
    <mergeCell ref="B393:F393"/>
    <mergeCell ref="B275:F275"/>
    <mergeCell ref="A709:E709"/>
    <mergeCell ref="A430:F430"/>
    <mergeCell ref="A353:E35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47"/>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05: REINFORCED CEMENT CONCRETE</t>
        </is>
      </c>
    </row>
    <row r="2" ht="28" customHeight="1">
      <c r="A2" s="8" t="inlineStr">
        <is>
          <t>116 priced items. Amount and SAY are live Excel formulas computed from the Quantity x Rate figures below - edit any Quantity or Rate and the item's rate recalculates.</t>
        </is>
      </c>
    </row>
    <row r="4" ht="28" customHeight="1">
      <c r="A4" s="9" t="inlineStr">
        <is>
          <t>5.1.2</t>
        </is>
      </c>
      <c r="B4" s="10" t="inlineStr">
        <is>
          <t>1:1.5:3 (1 cement : 1.5 coarse sand (zone-III): 3 graded stone aggregate 20 mm nominal size)</t>
        </is>
      </c>
      <c r="C4" s="11" t="n"/>
      <c r="D4" s="11" t="n"/>
      <c r="E4" s="11" t="n"/>
      <c r="F4" s="11" t="n"/>
    </row>
    <row r="5">
      <c r="A5" s="12" t="inlineStr">
        <is>
          <t>Rate basis: per cum  (source: cost for 1 cum)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0295</t>
        </is>
      </c>
      <c r="B7" s="14" t="inlineStr">
        <is>
          <t>Stone Aggregate (Single size) : 20 mm nominal size</t>
        </is>
      </c>
      <c r="C7" s="13" t="inlineStr">
        <is>
          <t>cum</t>
        </is>
      </c>
      <c r="D7" s="15" t="n">
        <v>0.57</v>
      </c>
      <c r="E7" s="16" t="n">
        <v>1350</v>
      </c>
      <c r="F7" s="16">
        <f>D7*E7</f>
        <v/>
      </c>
    </row>
    <row r="8">
      <c r="A8" s="13" t="inlineStr">
        <is>
          <t>0297</t>
        </is>
      </c>
      <c r="B8" s="14" t="inlineStr">
        <is>
          <t>Stone Aggregate (Single size) : 10 mm nominal size</t>
        </is>
      </c>
      <c r="C8" s="13" t="inlineStr">
        <is>
          <t>cum</t>
        </is>
      </c>
      <c r="D8" s="15" t="n">
        <v>0.28</v>
      </c>
      <c r="E8" s="16" t="n">
        <v>1350</v>
      </c>
      <c r="F8" s="16">
        <f>D8*E8</f>
        <v/>
      </c>
    </row>
    <row r="9">
      <c r="A9" s="13" t="inlineStr">
        <is>
          <t>2202</t>
        </is>
      </c>
      <c r="B9" s="14" t="inlineStr">
        <is>
          <t>Carriage of Stone aggregate below 40 mm nominal size</t>
        </is>
      </c>
      <c r="C9" s="13" t="inlineStr">
        <is>
          <t>cum</t>
        </is>
      </c>
      <c r="D9" s="15" t="n">
        <v>0.85</v>
      </c>
      <c r="E9" s="16" t="n">
        <v>103.77</v>
      </c>
      <c r="F9" s="16">
        <f>D9*E9</f>
        <v/>
      </c>
    </row>
    <row r="10">
      <c r="A10" s="13" t="inlineStr">
        <is>
          <t>0982</t>
        </is>
      </c>
      <c r="B10" s="14" t="inlineStr">
        <is>
          <t>Coarse sand (zone III)</t>
        </is>
      </c>
      <c r="C10" s="13" t="inlineStr">
        <is>
          <t>cum</t>
        </is>
      </c>
      <c r="D10" s="15" t="n">
        <v>0.425</v>
      </c>
      <c r="E10" s="16" t="n">
        <v>1350</v>
      </c>
      <c r="F10" s="16">
        <f>D10*E10</f>
        <v/>
      </c>
    </row>
    <row r="11">
      <c r="A11" s="13" t="inlineStr">
        <is>
          <t>2203</t>
        </is>
      </c>
      <c r="B11" s="14" t="inlineStr">
        <is>
          <t>Carriage of Coarse sand</t>
        </is>
      </c>
      <c r="C11" s="13" t="inlineStr">
        <is>
          <t>cum</t>
        </is>
      </c>
      <c r="D11" s="15" t="n">
        <v>0.425</v>
      </c>
      <c r="E11" s="16" t="n">
        <v>103.77</v>
      </c>
      <c r="F11" s="16">
        <f>D11*E11</f>
        <v/>
      </c>
    </row>
    <row r="12">
      <c r="A12" s="13" t="inlineStr">
        <is>
          <t>0367</t>
        </is>
      </c>
      <c r="B12" s="14" t="inlineStr">
        <is>
          <t>Portland Cement (0.2833 cum)</t>
        </is>
      </c>
      <c r="C12" s="13" t="inlineStr">
        <is>
          <t>tonne</t>
        </is>
      </c>
      <c r="D12" s="15" t="n">
        <v>0.4</v>
      </c>
      <c r="E12" s="16" t="n">
        <v>4940</v>
      </c>
      <c r="F12" s="16">
        <f>D12*E12</f>
        <v/>
      </c>
    </row>
    <row r="13">
      <c r="A13" s="13" t="inlineStr">
        <is>
          <t>2209</t>
        </is>
      </c>
      <c r="B13" s="14" t="inlineStr">
        <is>
          <t>Carriage of Cement</t>
        </is>
      </c>
      <c r="C13" s="13" t="inlineStr">
        <is>
          <t>tonne</t>
        </is>
      </c>
      <c r="D13" s="15" t="n">
        <v>0.4</v>
      </c>
      <c r="E13" s="16" t="n">
        <v>92.23999999999999</v>
      </c>
      <c r="F13" s="16">
        <f>D13*E13</f>
        <v/>
      </c>
    </row>
    <row r="14">
      <c r="A14" s="13" t="inlineStr">
        <is>
          <t>0155</t>
        </is>
      </c>
      <c r="B14" s="14" t="inlineStr">
        <is>
          <t>Mason (average)</t>
        </is>
      </c>
      <c r="C14" s="13" t="inlineStr">
        <is>
          <t>day</t>
        </is>
      </c>
      <c r="D14" s="15" t="n">
        <v>0.17</v>
      </c>
      <c r="E14" s="16" t="n">
        <v>709</v>
      </c>
      <c r="F14" s="16">
        <f>D14*E14</f>
        <v/>
      </c>
    </row>
    <row r="15">
      <c r="A15" s="13" t="inlineStr">
        <is>
          <t>0114</t>
        </is>
      </c>
      <c r="B15" s="14" t="inlineStr">
        <is>
          <t>Beldar</t>
        </is>
      </c>
      <c r="C15" s="13" t="inlineStr">
        <is>
          <t>day</t>
        </is>
      </c>
      <c r="D15" s="15" t="n">
        <v>2</v>
      </c>
      <c r="E15" s="16" t="n">
        <v>558</v>
      </c>
      <c r="F15" s="16">
        <f>D15*E15</f>
        <v/>
      </c>
    </row>
    <row r="16">
      <c r="A16" s="13" t="inlineStr">
        <is>
          <t>0101</t>
        </is>
      </c>
      <c r="B16" s="14" t="inlineStr">
        <is>
          <t>Bhisti</t>
        </is>
      </c>
      <c r="C16" s="13" t="inlineStr">
        <is>
          <t>day</t>
        </is>
      </c>
      <c r="D16" s="15" t="n">
        <v>0.9</v>
      </c>
      <c r="E16" s="16" t="n">
        <v>617</v>
      </c>
      <c r="F16" s="16">
        <f>D16*E16</f>
        <v/>
      </c>
    </row>
    <row r="17">
      <c r="A17" s="13" t="inlineStr">
        <is>
          <t>0002</t>
        </is>
      </c>
      <c r="B17" s="14" t="inlineStr">
        <is>
          <t>Hire charges of Concrete Mixer 0.25 to 0.40 cum with hooper</t>
        </is>
      </c>
      <c r="C17" s="13" t="inlineStr">
        <is>
          <t>day</t>
        </is>
      </c>
      <c r="D17" s="15" t="n">
        <v>0.07000000000000001</v>
      </c>
      <c r="E17" s="16" t="n">
        <v>800</v>
      </c>
      <c r="F17" s="16">
        <f>D17*E17</f>
        <v/>
      </c>
    </row>
    <row r="18">
      <c r="A18" s="13" t="inlineStr">
        <is>
          <t>0012</t>
        </is>
      </c>
      <c r="B18" s="14" t="inlineStr">
        <is>
          <t>Vibrator(Needle type 40mm)</t>
        </is>
      </c>
      <c r="C18" s="13" t="inlineStr">
        <is>
          <t>day</t>
        </is>
      </c>
      <c r="D18" s="15" t="n">
        <v>0.07000000000000001</v>
      </c>
      <c r="E18" s="16" t="n">
        <v>370</v>
      </c>
      <c r="F18" s="16">
        <f>D18*E18</f>
        <v/>
      </c>
    </row>
    <row r="19">
      <c r="A19" s="13" t="inlineStr">
        <is>
          <t>9999</t>
        </is>
      </c>
      <c r="B19" s="14" t="inlineStr">
        <is>
          <t>Sundries</t>
        </is>
      </c>
      <c r="C19" s="13" t="inlineStr">
        <is>
          <t>L.S.</t>
        </is>
      </c>
      <c r="D19" s="15" t="n">
        <v>14.3</v>
      </c>
      <c r="E19" s="16" t="n">
        <v>2</v>
      </c>
      <c r="F19" s="16">
        <f>D19*E19</f>
        <v/>
      </c>
    </row>
    <row r="20">
      <c r="A20" s="17" t="inlineStr">
        <is>
          <t>Resource Total (Material + Labour + Machinery, as printed)</t>
        </is>
      </c>
      <c r="B20" s="18" t="n"/>
      <c r="C20" s="18" t="n"/>
      <c r="D20" s="18" t="n"/>
      <c r="E20" s="18" t="n"/>
      <c r="F20" s="19">
        <f>SUM(F7:F19)</f>
        <v/>
      </c>
    </row>
    <row r="21">
      <c r="A21" s="20" t="inlineStr">
        <is>
          <t>SAY (Rs.) — final DAR rate</t>
        </is>
      </c>
      <c r="B21" s="21" t="n"/>
      <c r="C21" s="21" t="n"/>
      <c r="D21" s="21" t="n"/>
      <c r="E21" s="21" t="n"/>
      <c r="F21" s="22" t="n">
        <v>7718.25</v>
      </c>
    </row>
    <row r="23" ht="18" customHeight="1">
      <c r="A23" s="9" t="inlineStr">
        <is>
          <t>5.1.3</t>
        </is>
      </c>
      <c r="B23" s="10" t="inlineStr">
        <is>
          <t>1:2:4 (1 cement : 2 coarse sand : 4 graded stone aggregate 20 mm nominal size)</t>
        </is>
      </c>
      <c r="C23" s="11" t="n"/>
      <c r="D23" s="11" t="n"/>
      <c r="E23" s="11" t="n"/>
      <c r="F23" s="11" t="n"/>
    </row>
    <row r="24">
      <c r="A24" s="12" t="inlineStr">
        <is>
          <t>Rate basis: per cum  (source: cost for 1 cum)</t>
        </is>
      </c>
    </row>
    <row r="25">
      <c r="A25" s="5" t="inlineStr">
        <is>
          <t>Code</t>
        </is>
      </c>
      <c r="B25" s="5" t="inlineStr">
        <is>
          <t>Description</t>
        </is>
      </c>
      <c r="C25" s="5" t="inlineStr">
        <is>
          <t>Unit</t>
        </is>
      </c>
      <c r="D25" s="5" t="inlineStr">
        <is>
          <t>Quantity</t>
        </is>
      </c>
      <c r="E25" s="5" t="inlineStr">
        <is>
          <t>Rate (Rs.)</t>
        </is>
      </c>
      <c r="F25" s="5" t="inlineStr">
        <is>
          <t>Amount (Rs.)</t>
        </is>
      </c>
    </row>
    <row r="26">
      <c r="A26" s="13" t="inlineStr">
        <is>
          <t>0295</t>
        </is>
      </c>
      <c r="B26" s="14" t="inlineStr">
        <is>
          <t>Stone Aggregate (Single size) : 20 mm nominal size</t>
        </is>
      </c>
      <c r="C26" s="13" t="inlineStr">
        <is>
          <t>cum</t>
        </is>
      </c>
      <c r="D26" s="15" t="n">
        <v>0.67</v>
      </c>
      <c r="E26" s="16" t="n">
        <v>1350</v>
      </c>
      <c r="F26" s="16">
        <f>D26*E26</f>
        <v/>
      </c>
    </row>
    <row r="27">
      <c r="A27" s="13" t="inlineStr">
        <is>
          <t>0297</t>
        </is>
      </c>
      <c r="B27" s="14" t="inlineStr">
        <is>
          <t>Stone Aggregate (Single size) : 10 mm nominal size</t>
        </is>
      </c>
      <c r="C27" s="13" t="inlineStr">
        <is>
          <t>cum</t>
        </is>
      </c>
      <c r="D27" s="15" t="n">
        <v>0.22</v>
      </c>
      <c r="E27" s="16" t="n">
        <v>1350</v>
      </c>
      <c r="F27" s="16">
        <f>D27*E27</f>
        <v/>
      </c>
    </row>
    <row r="28">
      <c r="A28" s="13" t="inlineStr">
        <is>
          <t>2202</t>
        </is>
      </c>
      <c r="B28" s="14" t="inlineStr">
        <is>
          <t>Carriage of Stone aggregate below 40 mm nominal size</t>
        </is>
      </c>
      <c r="C28" s="13" t="inlineStr">
        <is>
          <t>cum</t>
        </is>
      </c>
      <c r="D28" s="15" t="n">
        <v>0.89</v>
      </c>
      <c r="E28" s="16" t="n">
        <v>103.77</v>
      </c>
      <c r="F28" s="16">
        <f>D28*E28</f>
        <v/>
      </c>
    </row>
    <row r="29">
      <c r="A29" s="13" t="inlineStr">
        <is>
          <t>0982</t>
        </is>
      </c>
      <c r="B29" s="14" t="inlineStr">
        <is>
          <t>Coarse sand (zone III)</t>
        </is>
      </c>
      <c r="C29" s="13" t="inlineStr">
        <is>
          <t>cum</t>
        </is>
      </c>
      <c r="D29" s="15" t="n">
        <v>0.445</v>
      </c>
      <c r="E29" s="16" t="n">
        <v>1350</v>
      </c>
      <c r="F29" s="16">
        <f>D29*E29</f>
        <v/>
      </c>
    </row>
    <row r="30">
      <c r="A30" s="13" t="inlineStr">
        <is>
          <t>2203</t>
        </is>
      </c>
      <c r="B30" s="14" t="inlineStr">
        <is>
          <t>Carriage of Coarse sand</t>
        </is>
      </c>
      <c r="C30" s="13" t="inlineStr">
        <is>
          <t>cum</t>
        </is>
      </c>
      <c r="D30" s="15" t="n">
        <v>0.445</v>
      </c>
      <c r="E30" s="16" t="n">
        <v>103.77</v>
      </c>
      <c r="F30" s="16">
        <f>D30*E30</f>
        <v/>
      </c>
    </row>
    <row r="31">
      <c r="A31" s="13" t="inlineStr">
        <is>
          <t>0367</t>
        </is>
      </c>
      <c r="B31" s="14" t="inlineStr">
        <is>
          <t>Portland Cement (0.2225 cum)</t>
        </is>
      </c>
      <c r="C31" s="13" t="inlineStr">
        <is>
          <t>tonne</t>
        </is>
      </c>
      <c r="D31" s="15" t="n">
        <v>0.32</v>
      </c>
      <c r="E31" s="16" t="n">
        <v>4940</v>
      </c>
      <c r="F31" s="16">
        <f>D31*E31</f>
        <v/>
      </c>
    </row>
    <row r="32">
      <c r="A32" s="13" t="inlineStr">
        <is>
          <t>2209</t>
        </is>
      </c>
      <c r="B32" s="14" t="inlineStr">
        <is>
          <t>Carriage of Cement</t>
        </is>
      </c>
      <c r="C32" s="13" t="inlineStr">
        <is>
          <t>tonne</t>
        </is>
      </c>
      <c r="D32" s="15" t="n">
        <v>0.32</v>
      </c>
      <c r="E32" s="16" t="n">
        <v>92.23999999999999</v>
      </c>
      <c r="F32" s="16">
        <f>D32*E32</f>
        <v/>
      </c>
    </row>
    <row r="33">
      <c r="A33" s="13" t="inlineStr">
        <is>
          <t>0155</t>
        </is>
      </c>
      <c r="B33" s="14" t="inlineStr">
        <is>
          <t>Mason (average)</t>
        </is>
      </c>
      <c r="C33" s="13" t="inlineStr">
        <is>
          <t>day</t>
        </is>
      </c>
      <c r="D33" s="15" t="n">
        <v>0.17</v>
      </c>
      <c r="E33" s="16" t="n">
        <v>709</v>
      </c>
      <c r="F33" s="16">
        <f>D33*E33</f>
        <v/>
      </c>
    </row>
    <row r="34">
      <c r="A34" s="13" t="inlineStr">
        <is>
          <t>0114</t>
        </is>
      </c>
      <c r="B34" s="14" t="inlineStr">
        <is>
          <t>Beldar</t>
        </is>
      </c>
      <c r="C34" s="13" t="inlineStr">
        <is>
          <t>day</t>
        </is>
      </c>
      <c r="D34" s="15" t="n">
        <v>2</v>
      </c>
      <c r="E34" s="16" t="n">
        <v>558</v>
      </c>
      <c r="F34" s="16">
        <f>D34*E34</f>
        <v/>
      </c>
    </row>
    <row r="35">
      <c r="A35" s="13" t="inlineStr">
        <is>
          <t>0101</t>
        </is>
      </c>
      <c r="B35" s="14" t="inlineStr">
        <is>
          <t>Bhisti</t>
        </is>
      </c>
      <c r="C35" s="13" t="inlineStr">
        <is>
          <t>day</t>
        </is>
      </c>
      <c r="D35" s="15" t="n">
        <v>0.9</v>
      </c>
      <c r="E35" s="16" t="n">
        <v>617</v>
      </c>
      <c r="F35" s="16">
        <f>D35*E35</f>
        <v/>
      </c>
    </row>
    <row r="36">
      <c r="A36" s="13" t="inlineStr">
        <is>
          <t>0002</t>
        </is>
      </c>
      <c r="B36" s="14" t="inlineStr">
        <is>
          <t>Hire charges of Concrete Mixer 0.25 to 0.40 cum with hooper</t>
        </is>
      </c>
      <c r="C36" s="13" t="inlineStr">
        <is>
          <t>day</t>
        </is>
      </c>
      <c r="D36" s="15" t="n">
        <v>0.07000000000000001</v>
      </c>
      <c r="E36" s="16" t="n">
        <v>800</v>
      </c>
      <c r="F36" s="16">
        <f>D36*E36</f>
        <v/>
      </c>
    </row>
    <row r="37">
      <c r="A37" s="13" t="inlineStr">
        <is>
          <t>0012</t>
        </is>
      </c>
      <c r="B37" s="14" t="inlineStr">
        <is>
          <t>Vibrator(Needle type 40mm)</t>
        </is>
      </c>
      <c r="C37" s="13" t="inlineStr">
        <is>
          <t>day</t>
        </is>
      </c>
      <c r="D37" s="15" t="n">
        <v>0.07000000000000001</v>
      </c>
      <c r="E37" s="16" t="n">
        <v>370</v>
      </c>
      <c r="F37" s="16">
        <f>D37*E37</f>
        <v/>
      </c>
    </row>
    <row r="38">
      <c r="A38" s="13" t="inlineStr">
        <is>
          <t>9999</t>
        </is>
      </c>
      <c r="B38" s="14" t="inlineStr">
        <is>
          <t>Sundries</t>
        </is>
      </c>
      <c r="C38" s="13" t="inlineStr">
        <is>
          <t>L.S.</t>
        </is>
      </c>
      <c r="D38" s="15" t="n">
        <v>14.3</v>
      </c>
      <c r="E38" s="16" t="n">
        <v>2</v>
      </c>
      <c r="F38" s="16">
        <f>D38*E38</f>
        <v/>
      </c>
    </row>
    <row r="39">
      <c r="A39" s="17" t="inlineStr">
        <is>
          <t>Resource Total (Material + Labour + Machinery, as printed)</t>
        </is>
      </c>
      <c r="B39" s="18" t="n"/>
      <c r="C39" s="18" t="n"/>
      <c r="D39" s="18" t="n"/>
      <c r="E39" s="18" t="n"/>
      <c r="F39" s="19">
        <f>SUM(F26:F38)</f>
        <v/>
      </c>
    </row>
    <row r="40">
      <c r="A40" s="20" t="inlineStr">
        <is>
          <t>SAY (Rs.) — final DAR rate</t>
        </is>
      </c>
      <c r="B40" s="21" t="n"/>
      <c r="C40" s="21" t="n"/>
      <c r="D40" s="21" t="n"/>
      <c r="E40" s="21" t="n"/>
      <c r="F40" s="22" t="n">
        <v>7296.35</v>
      </c>
    </row>
    <row r="42" ht="28" customHeight="1">
      <c r="A42" s="9" t="inlineStr">
        <is>
          <t>5.2.2</t>
        </is>
      </c>
      <c r="B42" s="10" t="inlineStr">
        <is>
          <t>1:1.5:3 (1 cement : 1.5 coarse sand(zone-III) : 3 graded stone aggregate 20 mm nominal size)</t>
        </is>
      </c>
      <c r="C42" s="11" t="n"/>
      <c r="D42" s="11" t="n"/>
      <c r="E42" s="11" t="n"/>
      <c r="F42" s="11" t="n"/>
    </row>
    <row r="43">
      <c r="A43" s="12" t="inlineStr">
        <is>
          <t>Rate basis: per cum  (source: cost for 9.18 cum)</t>
        </is>
      </c>
    </row>
    <row r="44">
      <c r="A44" s="5" t="inlineStr">
        <is>
          <t>Code</t>
        </is>
      </c>
      <c r="B44" s="5" t="inlineStr">
        <is>
          <t>Description</t>
        </is>
      </c>
      <c r="C44" s="5" t="inlineStr">
        <is>
          <t>Unit</t>
        </is>
      </c>
      <c r="D44" s="5" t="inlineStr">
        <is>
          <t>Quantity</t>
        </is>
      </c>
      <c r="E44" s="5" t="inlineStr">
        <is>
          <t>Rate (Rs.)</t>
        </is>
      </c>
      <c r="F44" s="5" t="inlineStr">
        <is>
          <t>Amount (Rs.)</t>
        </is>
      </c>
    </row>
    <row r="45">
      <c r="A45" s="13" t="inlineStr">
        <is>
          <t>0295</t>
        </is>
      </c>
      <c r="B45" s="14" t="inlineStr">
        <is>
          <t>Stone Aggregate (Single size) : 20 mm nominal size</t>
        </is>
      </c>
      <c r="C45" s="13" t="inlineStr">
        <is>
          <t>cum</t>
        </is>
      </c>
      <c r="D45" s="15" t="n">
        <v>5.2326</v>
      </c>
      <c r="E45" s="16" t="n">
        <v>1350</v>
      </c>
      <c r="F45" s="16">
        <f>D45*E45</f>
        <v/>
      </c>
    </row>
    <row r="46">
      <c r="A46" s="13" t="inlineStr">
        <is>
          <t>0297</t>
        </is>
      </c>
      <c r="B46" s="14" t="inlineStr">
        <is>
          <t>Stone Aggregate (Single size) : 10 mm nominal size</t>
        </is>
      </c>
      <c r="C46" s="13" t="inlineStr">
        <is>
          <t>cum</t>
        </is>
      </c>
      <c r="D46" s="15" t="n">
        <v>2.5704</v>
      </c>
      <c r="E46" s="16" t="n">
        <v>1350</v>
      </c>
      <c r="F46" s="16">
        <f>D46*E46</f>
        <v/>
      </c>
    </row>
    <row r="47">
      <c r="A47" s="13" t="inlineStr">
        <is>
          <t>2202</t>
        </is>
      </c>
      <c r="B47" s="14" t="inlineStr">
        <is>
          <t>Carriage of Stone aggregate below 40 mm nominal size</t>
        </is>
      </c>
      <c r="C47" s="13" t="inlineStr">
        <is>
          <t>cum</t>
        </is>
      </c>
      <c r="D47" s="15" t="n">
        <v>7.803</v>
      </c>
      <c r="E47" s="16" t="n">
        <v>103.77</v>
      </c>
      <c r="F47" s="16">
        <f>D47*E47</f>
        <v/>
      </c>
    </row>
    <row r="48">
      <c r="A48" s="13" t="inlineStr">
        <is>
          <t>0982</t>
        </is>
      </c>
      <c r="B48" s="14" t="inlineStr">
        <is>
          <t>Coarse sand (zone III)</t>
        </is>
      </c>
      <c r="C48" s="13" t="inlineStr">
        <is>
          <t>cum</t>
        </is>
      </c>
      <c r="D48" s="15" t="n">
        <v>3.9015</v>
      </c>
      <c r="E48" s="16" t="n">
        <v>1350</v>
      </c>
      <c r="F48" s="16">
        <f>D48*E48</f>
        <v/>
      </c>
    </row>
    <row r="49">
      <c r="A49" s="13" t="inlineStr">
        <is>
          <t>2203</t>
        </is>
      </c>
      <c r="B49" s="14" t="inlineStr">
        <is>
          <t>Carriage of Coarse sand</t>
        </is>
      </c>
      <c r="C49" s="13" t="inlineStr">
        <is>
          <t>cum</t>
        </is>
      </c>
      <c r="D49" s="15" t="n">
        <v>3.9015</v>
      </c>
      <c r="E49" s="16" t="n">
        <v>103.77</v>
      </c>
      <c r="F49" s="16">
        <f>D49*E49</f>
        <v/>
      </c>
    </row>
    <row r="50">
      <c r="A50" s="13" t="inlineStr">
        <is>
          <t>0367</t>
        </is>
      </c>
      <c r="B50" s="14" t="inlineStr">
        <is>
          <t>Portland Cement (0.2833 cum)</t>
        </is>
      </c>
      <c r="C50" s="13" t="inlineStr">
        <is>
          <t>tonne</t>
        </is>
      </c>
      <c r="D50" s="15" t="n">
        <v>3.672</v>
      </c>
      <c r="E50" s="16" t="n">
        <v>4940</v>
      </c>
      <c r="F50" s="16">
        <f>D50*E50</f>
        <v/>
      </c>
    </row>
    <row r="51">
      <c r="A51" s="13" t="inlineStr">
        <is>
          <t>2209</t>
        </is>
      </c>
      <c r="B51" s="14" t="inlineStr">
        <is>
          <t>Carriage of Cement</t>
        </is>
      </c>
      <c r="C51" s="13" t="inlineStr">
        <is>
          <t>tonne</t>
        </is>
      </c>
      <c r="D51" s="15" t="n">
        <v>3.672</v>
      </c>
      <c r="E51" s="16" t="n">
        <v>92.23999999999999</v>
      </c>
      <c r="F51" s="16">
        <f>D51*E51</f>
        <v/>
      </c>
    </row>
    <row r="52">
      <c r="A52" s="13" t="inlineStr">
        <is>
          <t>0114</t>
        </is>
      </c>
      <c r="B52" s="14" t="inlineStr">
        <is>
          <t>Beldar</t>
        </is>
      </c>
      <c r="C52" s="13" t="inlineStr">
        <is>
          <t>day</t>
        </is>
      </c>
      <c r="D52" s="15" t="n">
        <v>11.29</v>
      </c>
      <c r="E52" s="16" t="n">
        <v>558</v>
      </c>
      <c r="F52" s="16">
        <f>D52*E52</f>
        <v/>
      </c>
    </row>
    <row r="53">
      <c r="A53" s="13" t="inlineStr">
        <is>
          <t>0115</t>
        </is>
      </c>
      <c r="B53" s="14" t="inlineStr">
        <is>
          <t>Coolie</t>
        </is>
      </c>
      <c r="C53" s="13" t="inlineStr">
        <is>
          <t>day</t>
        </is>
      </c>
      <c r="D53" s="15" t="n">
        <v>7.53</v>
      </c>
      <c r="E53" s="16" t="n">
        <v>558</v>
      </c>
      <c r="F53" s="16">
        <f>D53*E53</f>
        <v/>
      </c>
    </row>
    <row r="54">
      <c r="A54" s="13" t="inlineStr">
        <is>
          <t>0101</t>
        </is>
      </c>
      <c r="B54" s="14" t="inlineStr">
        <is>
          <t>Bhisti</t>
        </is>
      </c>
      <c r="C54" s="13" t="inlineStr">
        <is>
          <t>day</t>
        </is>
      </c>
      <c r="D54" s="15" t="n">
        <v>8.26</v>
      </c>
      <c r="E54" s="16" t="n">
        <v>617</v>
      </c>
      <c r="F54" s="16">
        <f>D54*E54</f>
        <v/>
      </c>
    </row>
    <row r="55">
      <c r="A55" s="13" t="inlineStr">
        <is>
          <t>0123</t>
        </is>
      </c>
      <c r="B55" s="14" t="inlineStr">
        <is>
          <t>Mason (brick layer) 1st class</t>
        </is>
      </c>
      <c r="C55" s="13" t="inlineStr">
        <is>
          <t>day</t>
        </is>
      </c>
      <c r="D55" s="15" t="n">
        <v>0.92</v>
      </c>
      <c r="E55" s="16" t="n">
        <v>738</v>
      </c>
      <c r="F55" s="16">
        <f>D55*E55</f>
        <v/>
      </c>
    </row>
    <row r="56">
      <c r="A56" s="13" t="inlineStr">
        <is>
          <t>0124</t>
        </is>
      </c>
      <c r="B56" s="14" t="inlineStr">
        <is>
          <t>Mason (brick layer) 2nd class</t>
        </is>
      </c>
      <c r="C56" s="13" t="inlineStr">
        <is>
          <t>day</t>
        </is>
      </c>
      <c r="D56" s="15" t="n">
        <v>0.92</v>
      </c>
      <c r="E56" s="16" t="n">
        <v>679</v>
      </c>
      <c r="F56" s="16">
        <f>D56*E56</f>
        <v/>
      </c>
    </row>
    <row r="57">
      <c r="A57" s="13" t="inlineStr">
        <is>
          <t>0002</t>
        </is>
      </c>
      <c r="B57" s="14" t="inlineStr">
        <is>
          <t>Hire charges of Concrete Mixer 0.25 to 0.40 cum with hooper</t>
        </is>
      </c>
      <c r="C57" s="13" t="inlineStr">
        <is>
          <t>day</t>
        </is>
      </c>
      <c r="D57" s="15" t="n">
        <v>0.64</v>
      </c>
      <c r="E57" s="16" t="n">
        <v>800</v>
      </c>
      <c r="F57" s="16">
        <f>D57*E57</f>
        <v/>
      </c>
    </row>
    <row r="58">
      <c r="A58" s="13" t="inlineStr">
        <is>
          <t>0012</t>
        </is>
      </c>
      <c r="B58" s="14" t="inlineStr">
        <is>
          <t>Vibrator(Needle type 40mm)</t>
        </is>
      </c>
      <c r="C58" s="13" t="inlineStr">
        <is>
          <t>day</t>
        </is>
      </c>
      <c r="D58" s="15" t="n">
        <v>0.64</v>
      </c>
      <c r="E58" s="16" t="n">
        <v>370</v>
      </c>
      <c r="F58" s="16">
        <f>D58*E58</f>
        <v/>
      </c>
    </row>
    <row r="59">
      <c r="A59" s="13" t="inlineStr">
        <is>
          <t>9999</t>
        </is>
      </c>
      <c r="B59" s="14" t="inlineStr">
        <is>
          <t>Sundries</t>
        </is>
      </c>
      <c r="C59" s="13" t="inlineStr">
        <is>
          <t>L.S.</t>
        </is>
      </c>
      <c r="D59" s="15" t="n">
        <v>131.82</v>
      </c>
      <c r="E59" s="16" t="n">
        <v>2</v>
      </c>
      <c r="F59" s="16">
        <f>D59*E59</f>
        <v/>
      </c>
    </row>
    <row r="60">
      <c r="A60" s="13" t="inlineStr">
        <is>
          <t>9999</t>
        </is>
      </c>
      <c r="B60" s="14" t="inlineStr">
        <is>
          <t>Scaffolding</t>
        </is>
      </c>
      <c r="C60" s="13" t="inlineStr">
        <is>
          <t>L.S.</t>
        </is>
      </c>
      <c r="D60" s="15" t="n">
        <v>420.03</v>
      </c>
      <c r="E60" s="16" t="n">
        <v>2</v>
      </c>
      <c r="F60" s="16">
        <f>D60*E60</f>
        <v/>
      </c>
    </row>
    <row r="61">
      <c r="A61" s="13" t="inlineStr">
        <is>
          <t>0115</t>
        </is>
      </c>
      <c r="B61" s="14" t="inlineStr">
        <is>
          <t>Coolie</t>
        </is>
      </c>
      <c r="C61" s="13" t="inlineStr">
        <is>
          <t>day</t>
        </is>
      </c>
      <c r="D61" s="15" t="n">
        <v>17.21</v>
      </c>
      <c r="E61" s="16" t="n">
        <v>558</v>
      </c>
      <c r="F61" s="16">
        <f>D61*E61</f>
        <v/>
      </c>
    </row>
    <row r="62">
      <c r="A62" s="17" t="inlineStr">
        <is>
          <t>Resource Total (Material + Labour + Machinery, as printed)</t>
        </is>
      </c>
      <c r="B62" s="18" t="n"/>
      <c r="C62" s="18" t="n"/>
      <c r="D62" s="18" t="n"/>
      <c r="E62" s="18" t="n"/>
      <c r="F62" s="19">
        <f>SUM(F45:F61)</f>
        <v/>
      </c>
    </row>
    <row r="63">
      <c r="A63" s="20" t="inlineStr">
        <is>
          <t>SAY (Rs.) — final DAR rate</t>
        </is>
      </c>
      <c r="B63" s="21" t="n"/>
      <c r="C63" s="21" t="n"/>
      <c r="D63" s="21" t="n"/>
      <c r="E63" s="21" t="n"/>
      <c r="F63" s="22" t="n">
        <v>9306</v>
      </c>
    </row>
    <row r="65" ht="28" customHeight="1">
      <c r="A65" s="9" t="inlineStr">
        <is>
          <t>5.3</t>
        </is>
      </c>
      <c r="B65" s="10" t="inlineStr">
        <is>
          <t>Reinforced cement concrete work in beams, suspended floors, roofs having slope up to 15° landings, balconies, shelves, chajjas, lintels, ban</t>
        </is>
      </c>
      <c r="C65" s="11" t="n"/>
      <c r="D65" s="11" t="n"/>
      <c r="E65" s="11" t="n"/>
      <c r="F65" s="11" t="n"/>
    </row>
    <row r="66">
      <c r="A66" s="12" t="inlineStr">
        <is>
          <t>Rate basis: per cum  (source: cost for 1 cum)</t>
        </is>
      </c>
    </row>
    <row r="67">
      <c r="A67" s="5" t="inlineStr">
        <is>
          <t>Code</t>
        </is>
      </c>
      <c r="B67" s="5" t="inlineStr">
        <is>
          <t>Description</t>
        </is>
      </c>
      <c r="C67" s="5" t="inlineStr">
        <is>
          <t>Unit</t>
        </is>
      </c>
      <c r="D67" s="5" t="inlineStr">
        <is>
          <t>Quantity</t>
        </is>
      </c>
      <c r="E67" s="5" t="inlineStr">
        <is>
          <t>Rate (Rs.)</t>
        </is>
      </c>
      <c r="F67" s="5" t="inlineStr">
        <is>
          <t>Amount (Rs.)</t>
        </is>
      </c>
    </row>
    <row r="68">
      <c r="A68" s="13" t="inlineStr">
        <is>
          <t>0295</t>
        </is>
      </c>
      <c r="B68" s="14" t="inlineStr">
        <is>
          <t>Stone Aggregate (Single size) : 20 mm nominal size</t>
        </is>
      </c>
      <c r="C68" s="13" t="inlineStr">
        <is>
          <t>cum</t>
        </is>
      </c>
      <c r="D68" s="15" t="n">
        <v>0.57</v>
      </c>
      <c r="E68" s="16" t="n">
        <v>1350</v>
      </c>
      <c r="F68" s="16">
        <f>D68*E68</f>
        <v/>
      </c>
    </row>
    <row r="69">
      <c r="A69" s="13" t="inlineStr">
        <is>
          <t>0297</t>
        </is>
      </c>
      <c r="B69" s="14" t="inlineStr">
        <is>
          <t>Stone Aggregate (Single size) : 10 mm nominal size</t>
        </is>
      </c>
      <c r="C69" s="13" t="inlineStr">
        <is>
          <t>cum</t>
        </is>
      </c>
      <c r="D69" s="15" t="n">
        <v>0.28</v>
      </c>
      <c r="E69" s="16" t="n">
        <v>1350</v>
      </c>
      <c r="F69" s="16">
        <f>D69*E69</f>
        <v/>
      </c>
    </row>
    <row r="70">
      <c r="A70" s="13" t="inlineStr">
        <is>
          <t>2202</t>
        </is>
      </c>
      <c r="B70" s="14" t="inlineStr">
        <is>
          <t>Carriage of Stone aggregate below 40 mm nominal size</t>
        </is>
      </c>
      <c r="C70" s="13" t="inlineStr">
        <is>
          <t>cum</t>
        </is>
      </c>
      <c r="D70" s="15" t="n">
        <v>0.85</v>
      </c>
      <c r="E70" s="16" t="n">
        <v>103.77</v>
      </c>
      <c r="F70" s="16">
        <f>D70*E70</f>
        <v/>
      </c>
    </row>
    <row r="71">
      <c r="A71" s="13" t="inlineStr">
        <is>
          <t>0982</t>
        </is>
      </c>
      <c r="B71" s="14" t="inlineStr">
        <is>
          <t>Coarse sand (zone III)</t>
        </is>
      </c>
      <c r="C71" s="13" t="inlineStr">
        <is>
          <t>cum</t>
        </is>
      </c>
      <c r="D71" s="15" t="n">
        <v>0.425</v>
      </c>
      <c r="E71" s="16" t="n">
        <v>1350</v>
      </c>
      <c r="F71" s="16">
        <f>D71*E71</f>
        <v/>
      </c>
    </row>
    <row r="72">
      <c r="A72" s="13" t="inlineStr">
        <is>
          <t>2203</t>
        </is>
      </c>
      <c r="B72" s="14" t="inlineStr">
        <is>
          <t>Carriage of Coarse sand</t>
        </is>
      </c>
      <c r="C72" s="13" t="inlineStr">
        <is>
          <t>cum</t>
        </is>
      </c>
      <c r="D72" s="15" t="n">
        <v>0.425</v>
      </c>
      <c r="E72" s="16" t="n">
        <v>103.77</v>
      </c>
      <c r="F72" s="16">
        <f>D72*E72</f>
        <v/>
      </c>
    </row>
    <row r="73">
      <c r="A73" s="13" t="inlineStr">
        <is>
          <t>0367</t>
        </is>
      </c>
      <c r="B73" s="14" t="inlineStr">
        <is>
          <t>Portland Cement (0.2833 cum)</t>
        </is>
      </c>
      <c r="C73" s="13" t="inlineStr">
        <is>
          <t>tonne</t>
        </is>
      </c>
      <c r="D73" s="15" t="n">
        <v>0.4</v>
      </c>
      <c r="E73" s="16" t="n">
        <v>4940</v>
      </c>
      <c r="F73" s="16">
        <f>D73*E73</f>
        <v/>
      </c>
    </row>
    <row r="74">
      <c r="A74" s="13" t="inlineStr">
        <is>
          <t>2209</t>
        </is>
      </c>
      <c r="B74" s="14" t="inlineStr">
        <is>
          <t>Carriage of Cement</t>
        </is>
      </c>
      <c r="C74" s="13" t="inlineStr">
        <is>
          <t>tonne</t>
        </is>
      </c>
      <c r="D74" s="15" t="n">
        <v>0.4</v>
      </c>
      <c r="E74" s="16" t="n">
        <v>92.23999999999999</v>
      </c>
      <c r="F74" s="16">
        <f>D74*E74</f>
        <v/>
      </c>
    </row>
    <row r="75">
      <c r="A75" s="13" t="inlineStr">
        <is>
          <t>0155</t>
        </is>
      </c>
      <c r="B75" s="14" t="inlineStr">
        <is>
          <t>Mason (average)</t>
        </is>
      </c>
      <c r="C75" s="13" t="inlineStr">
        <is>
          <t>day</t>
        </is>
      </c>
      <c r="D75" s="15" t="n">
        <v>0.24</v>
      </c>
      <c r="E75" s="16" t="n">
        <v>709</v>
      </c>
      <c r="F75" s="16">
        <f>D75*E75</f>
        <v/>
      </c>
    </row>
    <row r="76">
      <c r="A76" s="13" t="inlineStr">
        <is>
          <t>0114</t>
        </is>
      </c>
      <c r="B76" s="14" t="inlineStr">
        <is>
          <t>Beldar</t>
        </is>
      </c>
      <c r="C76" s="13" t="inlineStr">
        <is>
          <t>day</t>
        </is>
      </c>
      <c r="D76" s="15" t="n">
        <v>2.75</v>
      </c>
      <c r="E76" s="16" t="n">
        <v>558</v>
      </c>
      <c r="F76" s="16">
        <f>D76*E76</f>
        <v/>
      </c>
    </row>
    <row r="77">
      <c r="A77" s="13" t="inlineStr">
        <is>
          <t>0101</t>
        </is>
      </c>
      <c r="B77" s="14" t="inlineStr">
        <is>
          <t>Bhisti</t>
        </is>
      </c>
      <c r="C77" s="13" t="inlineStr">
        <is>
          <t>day</t>
        </is>
      </c>
      <c r="D77" s="15" t="n">
        <v>0.9</v>
      </c>
      <c r="E77" s="16" t="n">
        <v>617</v>
      </c>
      <c r="F77" s="16">
        <f>D77*E77</f>
        <v/>
      </c>
    </row>
    <row r="78">
      <c r="A78" s="13" t="inlineStr">
        <is>
          <t>0002</t>
        </is>
      </c>
      <c r="B78" s="14" t="inlineStr">
        <is>
          <t>Hire charges of Concrete Mixer 0.25 to 0.40 cum with hooper</t>
        </is>
      </c>
      <c r="C78" s="13" t="inlineStr">
        <is>
          <t>day</t>
        </is>
      </c>
      <c r="D78" s="15" t="n">
        <v>0.08</v>
      </c>
      <c r="E78" s="16" t="n">
        <v>800</v>
      </c>
      <c r="F78" s="16">
        <f>D78*E78</f>
        <v/>
      </c>
    </row>
    <row r="79">
      <c r="A79" s="13" t="inlineStr">
        <is>
          <t>0012</t>
        </is>
      </c>
      <c r="B79" s="14" t="inlineStr">
        <is>
          <t>Vibrator(Needle type 40mm)</t>
        </is>
      </c>
      <c r="C79" s="13" t="inlineStr">
        <is>
          <t>day</t>
        </is>
      </c>
      <c r="D79" s="15" t="n">
        <v>0.08</v>
      </c>
      <c r="E79" s="16" t="n">
        <v>370</v>
      </c>
      <c r="F79" s="16">
        <f>D79*E79</f>
        <v/>
      </c>
    </row>
    <row r="80">
      <c r="A80" s="13" t="inlineStr">
        <is>
          <t>9999</t>
        </is>
      </c>
      <c r="B80" s="14" t="inlineStr">
        <is>
          <t>Sundries</t>
        </is>
      </c>
      <c r="C80" s="13" t="inlineStr">
        <is>
          <t>L.S.</t>
        </is>
      </c>
      <c r="D80" s="15" t="n">
        <v>14.3</v>
      </c>
      <c r="E80" s="16" t="n">
        <v>2</v>
      </c>
      <c r="F80" s="16">
        <f>D80*E80</f>
        <v/>
      </c>
    </row>
    <row r="81">
      <c r="A81" s="13" t="inlineStr">
        <is>
          <t>0115</t>
        </is>
      </c>
      <c r="B81" s="14" t="inlineStr">
        <is>
          <t>Coolie</t>
        </is>
      </c>
      <c r="C81" s="13" t="inlineStr">
        <is>
          <t>day</t>
        </is>
      </c>
      <c r="D81" s="15" t="n">
        <v>1.88</v>
      </c>
      <c r="E81" s="16" t="n">
        <v>558</v>
      </c>
      <c r="F81" s="16">
        <f>D81*E81</f>
        <v/>
      </c>
    </row>
    <row r="82">
      <c r="A82" s="17" t="inlineStr">
        <is>
          <t>Resource Total (Material + Labour + Machinery, as printed)</t>
        </is>
      </c>
      <c r="B82" s="18" t="n"/>
      <c r="C82" s="18" t="n"/>
      <c r="D82" s="18" t="n"/>
      <c r="E82" s="18" t="n"/>
      <c r="F82" s="19">
        <f>SUM(F68:F81)</f>
        <v/>
      </c>
    </row>
    <row r="83">
      <c r="A83" s="20" t="inlineStr">
        <is>
          <t>SAY (Rs.) — final DAR rate</t>
        </is>
      </c>
      <c r="B83" s="21" t="n"/>
      <c r="C83" s="21" t="n"/>
      <c r="D83" s="21" t="n"/>
      <c r="E83" s="21" t="n"/>
      <c r="F83" s="22" t="n">
        <v>9763.799999999999</v>
      </c>
    </row>
    <row r="85" ht="28" customHeight="1">
      <c r="A85" s="9" t="inlineStr">
        <is>
          <t>5.4</t>
        </is>
      </c>
      <c r="B85" s="10" t="inlineStr">
        <is>
          <t>Providing and laying up to floor five level reinforced cement concrete in kerbs, steps and the like excluding the cost of centering, shutter</t>
        </is>
      </c>
      <c r="C85" s="11" t="n"/>
      <c r="D85" s="11" t="n"/>
      <c r="E85" s="11" t="n"/>
      <c r="F85" s="11" t="n"/>
    </row>
    <row r="86">
      <c r="A86" s="12" t="inlineStr">
        <is>
          <t>Rate basis: per cum  (source: cost for 1 cum)</t>
        </is>
      </c>
    </row>
    <row r="87">
      <c r="A87" s="5" t="inlineStr">
        <is>
          <t>Code</t>
        </is>
      </c>
      <c r="B87" s="5" t="inlineStr">
        <is>
          <t>Description</t>
        </is>
      </c>
      <c r="C87" s="5" t="inlineStr">
        <is>
          <t>Unit</t>
        </is>
      </c>
      <c r="D87" s="5" t="inlineStr">
        <is>
          <t>Quantity</t>
        </is>
      </c>
      <c r="E87" s="5" t="inlineStr">
        <is>
          <t>Rate (Rs.)</t>
        </is>
      </c>
      <c r="F87" s="5" t="inlineStr">
        <is>
          <t>Amount (Rs.)</t>
        </is>
      </c>
    </row>
    <row r="88">
      <c r="A88" s="13" t="inlineStr">
        <is>
          <t>3</t>
        </is>
      </c>
      <c r="B88" s="14" t="inlineStr">
        <is>
          <t>Rate as per SH: 3</t>
        </is>
      </c>
      <c r="C88" s="13" t="inlineStr">
        <is>
          <t>cum</t>
        </is>
      </c>
      <c r="D88" s="15" t="n">
        <v>1</v>
      </c>
      <c r="E88" s="16" t="n">
        <v>7210.55</v>
      </c>
      <c r="F88" s="16">
        <f>D88*E88</f>
        <v/>
      </c>
    </row>
    <row r="89">
      <c r="A89" s="13" t="inlineStr">
        <is>
          <t>0114</t>
        </is>
      </c>
      <c r="B89" s="14" t="inlineStr">
        <is>
          <t>Beldar</t>
        </is>
      </c>
      <c r="C89" s="13" t="inlineStr">
        <is>
          <t>day</t>
        </is>
      </c>
      <c r="D89" s="15" t="n">
        <v>0.1</v>
      </c>
      <c r="E89" s="16" t="n">
        <v>558</v>
      </c>
      <c r="F89" s="16">
        <f>D89*E89</f>
        <v/>
      </c>
    </row>
    <row r="90">
      <c r="A90" s="13" t="inlineStr">
        <is>
          <t>0101</t>
        </is>
      </c>
      <c r="B90" s="14" t="inlineStr">
        <is>
          <t>Bhisti</t>
        </is>
      </c>
      <c r="C90" s="13" t="inlineStr">
        <is>
          <t>day</t>
        </is>
      </c>
      <c r="D90" s="15" t="n">
        <v>0.2</v>
      </c>
      <c r="E90" s="16" t="n">
        <v>617</v>
      </c>
      <c r="F90" s="16">
        <f>D90*E90</f>
        <v/>
      </c>
    </row>
    <row r="91">
      <c r="A91" s="13" t="inlineStr">
        <is>
          <t>0123</t>
        </is>
      </c>
      <c r="B91" s="14" t="inlineStr">
        <is>
          <t>Mason (brick layer) 1st class</t>
        </is>
      </c>
      <c r="C91" s="13" t="inlineStr">
        <is>
          <t>day</t>
        </is>
      </c>
      <c r="D91" s="15" t="n">
        <v>0.04</v>
      </c>
      <c r="E91" s="16" t="n">
        <v>738</v>
      </c>
      <c r="F91" s="16">
        <f>D91*E91</f>
        <v/>
      </c>
    </row>
    <row r="92">
      <c r="A92" s="13" t="inlineStr">
        <is>
          <t>0124</t>
        </is>
      </c>
      <c r="B92" s="14" t="inlineStr">
        <is>
          <t>Mason (brick layer) 2nd class</t>
        </is>
      </c>
      <c r="C92" s="13" t="inlineStr">
        <is>
          <t>day</t>
        </is>
      </c>
      <c r="D92" s="15" t="n">
        <v>0.04</v>
      </c>
      <c r="E92" s="16" t="n">
        <v>679</v>
      </c>
      <c r="F92" s="16">
        <f>D92*E92</f>
        <v/>
      </c>
    </row>
    <row r="93">
      <c r="A93" s="13" t="inlineStr">
        <is>
          <t>0128</t>
        </is>
      </c>
      <c r="B93" s="14" t="inlineStr">
        <is>
          <t>Mate</t>
        </is>
      </c>
      <c r="C93" s="13" t="inlineStr">
        <is>
          <t>day</t>
        </is>
      </c>
      <c r="D93" s="15" t="n">
        <v>0.04</v>
      </c>
      <c r="E93" s="16" t="n">
        <v>617</v>
      </c>
      <c r="F93" s="16">
        <f>D93*E93</f>
        <v/>
      </c>
    </row>
    <row r="94">
      <c r="A94" s="13" t="inlineStr">
        <is>
          <t>0115</t>
        </is>
      </c>
      <c r="B94" s="14" t="inlineStr">
        <is>
          <t>Coolie</t>
        </is>
      </c>
      <c r="C94" s="13" t="inlineStr">
        <is>
          <t>day</t>
        </is>
      </c>
      <c r="D94" s="15" t="n">
        <v>1.88</v>
      </c>
      <c r="E94" s="16" t="n">
        <v>558</v>
      </c>
      <c r="F94" s="16">
        <f>D94*E94</f>
        <v/>
      </c>
    </row>
    <row r="95">
      <c r="A95" s="17" t="inlineStr">
        <is>
          <t>Resource Total (Material + Labour + Machinery, as printed)</t>
        </is>
      </c>
      <c r="B95" s="18" t="n"/>
      <c r="C95" s="18" t="n"/>
      <c r="D95" s="18" t="n"/>
      <c r="E95" s="18" t="n"/>
      <c r="F95" s="19">
        <f>SUM(F88:F94)</f>
        <v/>
      </c>
    </row>
    <row r="96">
      <c r="A96" s="20" t="inlineStr">
        <is>
          <t>SAY (Rs.) — final DAR rate</t>
        </is>
      </c>
      <c r="B96" s="21" t="n"/>
      <c r="C96" s="21" t="n"/>
      <c r="D96" s="21" t="n"/>
      <c r="E96" s="21" t="n"/>
      <c r="F96" s="22" t="n">
        <v>8962.700000000001</v>
      </c>
    </row>
    <row r="98" ht="28" customHeight="1">
      <c r="A98" s="9" t="inlineStr">
        <is>
          <t>5.5</t>
        </is>
      </c>
      <c r="B98" s="10" t="inlineStr">
        <is>
          <t>Reinforced cement concrete work in arches, archribs, domes, vaults, shells, folded plate and roofs having slope more than 15° up to floor fi</t>
        </is>
      </c>
      <c r="C98" s="11" t="n"/>
      <c r="D98" s="11" t="n"/>
      <c r="E98" s="11" t="n"/>
      <c r="F98" s="11" t="n"/>
    </row>
    <row r="99">
      <c r="A99" s="12" t="inlineStr">
        <is>
          <t>Rate basis: per cum  (source: cost for 26.73 cum)</t>
        </is>
      </c>
    </row>
    <row r="100">
      <c r="A100" s="5" t="inlineStr">
        <is>
          <t>Code</t>
        </is>
      </c>
      <c r="B100" s="5" t="inlineStr">
        <is>
          <t>Description</t>
        </is>
      </c>
      <c r="C100" s="5" t="inlineStr">
        <is>
          <t>Unit</t>
        </is>
      </c>
      <c r="D100" s="5" t="inlineStr">
        <is>
          <t>Quantity</t>
        </is>
      </c>
      <c r="E100" s="5" t="inlineStr">
        <is>
          <t>Rate (Rs.)</t>
        </is>
      </c>
      <c r="F100" s="5" t="inlineStr">
        <is>
          <t>Amount (Rs.)</t>
        </is>
      </c>
    </row>
    <row r="101">
      <c r="A101" s="13" t="inlineStr">
        <is>
          <t>0295</t>
        </is>
      </c>
      <c r="B101" s="14" t="inlineStr">
        <is>
          <t>Stone Aggregate (Single size) : 20 mm nominal size</t>
        </is>
      </c>
      <c r="C101" s="13" t="inlineStr">
        <is>
          <t>cum</t>
        </is>
      </c>
      <c r="D101" s="15" t="n">
        <v>15.236</v>
      </c>
      <c r="E101" s="16" t="n">
        <v>1350</v>
      </c>
      <c r="F101" s="16">
        <f>D101*E101</f>
        <v/>
      </c>
    </row>
    <row r="102">
      <c r="A102" s="13" t="inlineStr">
        <is>
          <t>0297</t>
        </is>
      </c>
      <c r="B102" s="14" t="inlineStr">
        <is>
          <t>Stone Aggregate (Single size) : 10 mm nominal size</t>
        </is>
      </c>
      <c r="C102" s="13" t="inlineStr">
        <is>
          <t>cum</t>
        </is>
      </c>
      <c r="D102" s="15" t="n">
        <v>7.484</v>
      </c>
      <c r="E102" s="16" t="n">
        <v>1350</v>
      </c>
      <c r="F102" s="16">
        <f>D102*E102</f>
        <v/>
      </c>
    </row>
    <row r="103">
      <c r="A103" s="13" t="inlineStr">
        <is>
          <t>2202</t>
        </is>
      </c>
      <c r="B103" s="14" t="inlineStr">
        <is>
          <t>Carriage of Stone aggregate below 40 mm nominal size</t>
        </is>
      </c>
      <c r="C103" s="13" t="inlineStr">
        <is>
          <t>cum</t>
        </is>
      </c>
      <c r="D103" s="15" t="n">
        <v>22.703</v>
      </c>
      <c r="E103" s="16" t="n">
        <v>103.77</v>
      </c>
      <c r="F103" s="16">
        <f>D103*E103</f>
        <v/>
      </c>
    </row>
    <row r="104">
      <c r="A104" s="13" t="inlineStr">
        <is>
          <t>0982</t>
        </is>
      </c>
      <c r="B104" s="14" t="inlineStr">
        <is>
          <t>Coarse sand (zone III)</t>
        </is>
      </c>
      <c r="C104" s="13" t="inlineStr">
        <is>
          <t>cum</t>
        </is>
      </c>
      <c r="D104" s="15" t="n">
        <v>11.36</v>
      </c>
      <c r="E104" s="16" t="n">
        <v>1350</v>
      </c>
      <c r="F104" s="16">
        <f>D104*E104</f>
        <v/>
      </c>
    </row>
    <row r="105">
      <c r="A105" s="13" t="inlineStr">
        <is>
          <t>2203</t>
        </is>
      </c>
      <c r="B105" s="14" t="inlineStr">
        <is>
          <t>Carriage of Coarse sand</t>
        </is>
      </c>
      <c r="C105" s="13" t="inlineStr">
        <is>
          <t>cum</t>
        </is>
      </c>
      <c r="D105" s="15" t="n">
        <v>11.36</v>
      </c>
      <c r="E105" s="16" t="n">
        <v>103.77</v>
      </c>
      <c r="F105" s="16">
        <f>D105*E105</f>
        <v/>
      </c>
    </row>
    <row r="106">
      <c r="A106" s="13" t="inlineStr">
        <is>
          <t>0367</t>
        </is>
      </c>
      <c r="B106" s="14" t="inlineStr">
        <is>
          <t>Portland Cement (0.2833 cum)</t>
        </is>
      </c>
      <c r="C106" s="13" t="inlineStr">
        <is>
          <t>tonne</t>
        </is>
      </c>
      <c r="D106" s="15" t="n">
        <v>10.692</v>
      </c>
      <c r="E106" s="16" t="n">
        <v>4940</v>
      </c>
      <c r="F106" s="16">
        <f>D106*E106</f>
        <v/>
      </c>
    </row>
    <row r="107">
      <c r="A107" s="13" t="inlineStr">
        <is>
          <t>2209</t>
        </is>
      </c>
      <c r="B107" s="14" t="inlineStr">
        <is>
          <t>Carriage of Cement</t>
        </is>
      </c>
      <c r="C107" s="13" t="inlineStr">
        <is>
          <t>tonne</t>
        </is>
      </c>
      <c r="D107" s="15" t="n">
        <v>10.692</v>
      </c>
      <c r="E107" s="16" t="n">
        <v>92.23999999999999</v>
      </c>
      <c r="F107" s="16">
        <f>D107*E107</f>
        <v/>
      </c>
    </row>
    <row r="108">
      <c r="A108" s="13" t="inlineStr">
        <is>
          <t>0155</t>
        </is>
      </c>
      <c r="B108" s="14" t="inlineStr">
        <is>
          <t>Mason (average)</t>
        </is>
      </c>
      <c r="C108" s="13" t="inlineStr">
        <is>
          <t>day</t>
        </is>
      </c>
      <c r="D108" s="15" t="n">
        <v>6.42</v>
      </c>
      <c r="E108" s="16" t="n">
        <v>709</v>
      </c>
      <c r="F108" s="16">
        <f>D108*E108</f>
        <v/>
      </c>
    </row>
    <row r="109">
      <c r="A109" s="13" t="inlineStr">
        <is>
          <t>0114</t>
        </is>
      </c>
      <c r="B109" s="14" t="inlineStr">
        <is>
          <t>Beldar</t>
        </is>
      </c>
      <c r="C109" s="13" t="inlineStr">
        <is>
          <t>day</t>
        </is>
      </c>
      <c r="D109" s="15" t="n">
        <v>73.51000000000001</v>
      </c>
      <c r="E109" s="16" t="n">
        <v>558</v>
      </c>
      <c r="F109" s="16">
        <f>D109*E109</f>
        <v/>
      </c>
    </row>
    <row r="110">
      <c r="A110" s="13" t="inlineStr">
        <is>
          <t>0101</t>
        </is>
      </c>
      <c r="B110" s="14" t="inlineStr">
        <is>
          <t>Bhisti</t>
        </is>
      </c>
      <c r="C110" s="13" t="inlineStr">
        <is>
          <t>day</t>
        </is>
      </c>
      <c r="D110" s="15" t="n">
        <v>24.06</v>
      </c>
      <c r="E110" s="16" t="n">
        <v>617</v>
      </c>
      <c r="F110" s="16">
        <f>D110*E110</f>
        <v/>
      </c>
    </row>
    <row r="111">
      <c r="A111" s="13" t="inlineStr">
        <is>
          <t>0002</t>
        </is>
      </c>
      <c r="B111" s="14" t="inlineStr">
        <is>
          <t>Hire charges of Concrete Mixer 0.25 to 0.40 cum with hooper</t>
        </is>
      </c>
      <c r="C111" s="13" t="inlineStr">
        <is>
          <t>day</t>
        </is>
      </c>
      <c r="D111" s="15" t="n">
        <v>2.14</v>
      </c>
      <c r="E111" s="16" t="n">
        <v>800</v>
      </c>
      <c r="F111" s="16">
        <f>D111*E111</f>
        <v/>
      </c>
    </row>
    <row r="112">
      <c r="A112" s="13" t="inlineStr">
        <is>
          <t>0012</t>
        </is>
      </c>
      <c r="B112" s="14" t="inlineStr">
        <is>
          <t>Vibrator(Needle type 40mm)</t>
        </is>
      </c>
      <c r="C112" s="13" t="inlineStr">
        <is>
          <t>day</t>
        </is>
      </c>
      <c r="D112" s="15" t="n">
        <v>2.14</v>
      </c>
      <c r="E112" s="16" t="n">
        <v>370</v>
      </c>
      <c r="F112" s="16">
        <f>D112*E112</f>
        <v/>
      </c>
    </row>
    <row r="113">
      <c r="A113" s="13" t="inlineStr">
        <is>
          <t>9999</t>
        </is>
      </c>
      <c r="B113" s="14" t="inlineStr">
        <is>
          <t>Sundries</t>
        </is>
      </c>
      <c r="C113" s="13" t="inlineStr">
        <is>
          <t>L.S.</t>
        </is>
      </c>
      <c r="D113" s="15" t="n">
        <v>401.89</v>
      </c>
      <c r="E113" s="16" t="n">
        <v>2</v>
      </c>
      <c r="F113" s="16">
        <f>D113*E113</f>
        <v/>
      </c>
    </row>
    <row r="114">
      <c r="A114" s="13" t="inlineStr">
        <is>
          <t>0123</t>
        </is>
      </c>
      <c r="B114" s="14" t="inlineStr">
        <is>
          <t>Mason (brick layer) 1st class</t>
        </is>
      </c>
      <c r="C114" s="13" t="inlineStr">
        <is>
          <t>day</t>
        </is>
      </c>
      <c r="D114" s="15" t="n">
        <v>5</v>
      </c>
      <c r="E114" s="16" t="n">
        <v>738</v>
      </c>
      <c r="F114" s="16">
        <f>D114*E114</f>
        <v/>
      </c>
    </row>
    <row r="115">
      <c r="A115" s="13" t="inlineStr">
        <is>
          <t>0124</t>
        </is>
      </c>
      <c r="B115" s="14" t="inlineStr">
        <is>
          <t>Mason (brick layer) 2nd class</t>
        </is>
      </c>
      <c r="C115" s="13" t="inlineStr">
        <is>
          <t>day</t>
        </is>
      </c>
      <c r="D115" s="15" t="n">
        <v>5</v>
      </c>
      <c r="E115" s="16" t="n">
        <v>679</v>
      </c>
      <c r="F115" s="16">
        <f>D115*E115</f>
        <v/>
      </c>
    </row>
    <row r="116">
      <c r="A116" s="13" t="inlineStr">
        <is>
          <t>0101</t>
        </is>
      </c>
      <c r="B116" s="14" t="inlineStr">
        <is>
          <t>Bhisti</t>
        </is>
      </c>
      <c r="C116" s="13" t="inlineStr">
        <is>
          <t>day</t>
        </is>
      </c>
      <c r="D116" s="15" t="n">
        <v>1.5</v>
      </c>
      <c r="E116" s="16" t="n">
        <v>617</v>
      </c>
      <c r="F116" s="16">
        <f>D116*E116</f>
        <v/>
      </c>
    </row>
    <row r="117">
      <c r="A117" s="13" t="inlineStr">
        <is>
          <t>0115</t>
        </is>
      </c>
      <c r="B117" s="14" t="inlineStr">
        <is>
          <t>Coolie</t>
        </is>
      </c>
      <c r="C117" s="13" t="inlineStr">
        <is>
          <t>day</t>
        </is>
      </c>
      <c r="D117" s="15" t="n">
        <v>4.5</v>
      </c>
      <c r="E117" s="16" t="n">
        <v>558</v>
      </c>
      <c r="F117" s="16">
        <f>D117*E117</f>
        <v/>
      </c>
    </row>
    <row r="118">
      <c r="A118" s="13" t="inlineStr">
        <is>
          <t>0115</t>
        </is>
      </c>
      <c r="B118" s="14" t="inlineStr">
        <is>
          <t>Coolie</t>
        </is>
      </c>
      <c r="C118" s="13" t="inlineStr">
        <is>
          <t>day</t>
        </is>
      </c>
      <c r="D118" s="15" t="n">
        <v>50.12</v>
      </c>
      <c r="E118" s="16" t="n">
        <v>558</v>
      </c>
      <c r="F118" s="16">
        <f>D118*E118</f>
        <v/>
      </c>
    </row>
    <row r="119">
      <c r="A119" s="17" t="inlineStr">
        <is>
          <t>Resource Total (Material + Labour + Machinery, as printed)</t>
        </is>
      </c>
      <c r="B119" s="18" t="n"/>
      <c r="C119" s="18" t="n"/>
      <c r="D119" s="18" t="n"/>
      <c r="E119" s="18" t="n"/>
      <c r="F119" s="19">
        <f>SUM(F101:F118)</f>
        <v/>
      </c>
    </row>
    <row r="120">
      <c r="A120" s="20" t="inlineStr">
        <is>
          <t>SAY (Rs.) — final DAR rate</t>
        </is>
      </c>
      <c r="B120" s="21" t="n"/>
      <c r="C120" s="21" t="n"/>
      <c r="D120" s="21" t="n"/>
      <c r="E120" s="21" t="n"/>
      <c r="F120" s="22" t="n">
        <v>10289</v>
      </c>
    </row>
    <row r="122" ht="28" customHeight="1">
      <c r="A122" s="9" t="inlineStr">
        <is>
          <t>5.6</t>
        </is>
      </c>
      <c r="B122" s="10" t="inlineStr">
        <is>
          <t>Reinforced cement concrete work in chimneys, shafts, up to floor five level, excluding the cost of centering, shuttering, finishing and rein</t>
        </is>
      </c>
      <c r="C122" s="11" t="n"/>
      <c r="D122" s="11" t="n"/>
      <c r="E122" s="11" t="n"/>
      <c r="F122" s="11" t="n"/>
    </row>
    <row r="123">
      <c r="A123" s="12" t="inlineStr">
        <is>
          <t>Rate basis: per cum  (source: cost for 1 cum)</t>
        </is>
      </c>
    </row>
    <row r="124">
      <c r="A124" s="5" t="inlineStr">
        <is>
          <t>Code</t>
        </is>
      </c>
      <c r="B124" s="5" t="inlineStr">
        <is>
          <t>Description</t>
        </is>
      </c>
      <c r="C124" s="5" t="inlineStr">
        <is>
          <t>Unit</t>
        </is>
      </c>
      <c r="D124" s="5" t="inlineStr">
        <is>
          <t>Quantity</t>
        </is>
      </c>
      <c r="E124" s="5" t="inlineStr">
        <is>
          <t>Rate (Rs.)</t>
        </is>
      </c>
      <c r="F124" s="5" t="inlineStr">
        <is>
          <t>Amount (Rs.)</t>
        </is>
      </c>
    </row>
    <row r="125">
      <c r="A125" s="13" t="inlineStr">
        <is>
          <t>5.2.2</t>
        </is>
      </c>
      <c r="B125" s="14" t="inlineStr">
        <is>
          <t>Rate as per SH: 5.2.2</t>
        </is>
      </c>
      <c r="C125" s="13" t="inlineStr">
        <is>
          <t>cum</t>
        </is>
      </c>
      <c r="D125" s="15" t="n">
        <v>1</v>
      </c>
      <c r="E125" s="16" t="n">
        <v>9306</v>
      </c>
      <c r="F125" s="16">
        <f>D125*E125</f>
        <v/>
      </c>
    </row>
    <row r="126">
      <c r="A126" s="13" t="inlineStr">
        <is>
          <t>0115</t>
        </is>
      </c>
      <c r="B126" s="14" t="inlineStr">
        <is>
          <t>Coolie</t>
        </is>
      </c>
      <c r="C126" s="13" t="inlineStr">
        <is>
          <t>day</t>
        </is>
      </c>
      <c r="D126" s="15" t="n">
        <v>0.26</v>
      </c>
      <c r="E126" s="16" t="n">
        <v>558</v>
      </c>
      <c r="F126" s="16">
        <f>D126*E126</f>
        <v/>
      </c>
    </row>
    <row r="127">
      <c r="A127" s="17" t="inlineStr">
        <is>
          <t>Resource Total (Material + Labour + Machinery, as printed)</t>
        </is>
      </c>
      <c r="B127" s="18" t="n"/>
      <c r="C127" s="18" t="n"/>
      <c r="D127" s="18" t="n"/>
      <c r="E127" s="18" t="n"/>
      <c r="F127" s="19">
        <f>SUM(F125:F126)</f>
        <v/>
      </c>
    </row>
    <row r="128">
      <c r="A128" s="20" t="inlineStr">
        <is>
          <t>SAY (Rs.) — final DAR rate</t>
        </is>
      </c>
      <c r="B128" s="21" t="n"/>
      <c r="C128" s="21" t="n"/>
      <c r="D128" s="21" t="n"/>
      <c r="E128" s="21" t="n"/>
      <c r="F128" s="22" t="n">
        <v>9500.1</v>
      </c>
    </row>
    <row r="130" ht="28" customHeight="1">
      <c r="A130" s="9" t="inlineStr">
        <is>
          <t>5.7</t>
        </is>
      </c>
      <c r="B130" s="10" t="inlineStr">
        <is>
          <t>Reinforced cement concrete work in well-steining, excluding the cost of centering, shuttering, finishing and reinforcement with 1:1.5:3 (1 c</t>
        </is>
      </c>
      <c r="C130" s="11" t="n"/>
      <c r="D130" s="11" t="n"/>
      <c r="E130" s="11" t="n"/>
      <c r="F130" s="11" t="n"/>
    </row>
    <row r="131">
      <c r="A131" s="12" t="inlineStr">
        <is>
          <t>Rate basis: per cum  (source: cost for 1 cum)</t>
        </is>
      </c>
    </row>
    <row r="132">
      <c r="A132" s="5" t="inlineStr">
        <is>
          <t>Code</t>
        </is>
      </c>
      <c r="B132" s="5" t="inlineStr">
        <is>
          <t>Description</t>
        </is>
      </c>
      <c r="C132" s="5" t="inlineStr">
        <is>
          <t>Unit</t>
        </is>
      </c>
      <c r="D132" s="5" t="inlineStr">
        <is>
          <t>Quantity</t>
        </is>
      </c>
      <c r="E132" s="5" t="inlineStr">
        <is>
          <t>Rate (Rs.)</t>
        </is>
      </c>
      <c r="F132" s="5" t="inlineStr">
        <is>
          <t>Amount (Rs.)</t>
        </is>
      </c>
    </row>
    <row r="133">
      <c r="A133" s="13" t="inlineStr">
        <is>
          <t>4.1.2</t>
        </is>
      </c>
      <c r="B133" s="14" t="inlineStr">
        <is>
          <t>Rate as per SH: 4.1.2</t>
        </is>
      </c>
      <c r="C133" s="13" t="inlineStr">
        <is>
          <t>cum</t>
        </is>
      </c>
      <c r="D133" s="15" t="n">
        <v>1</v>
      </c>
      <c r="E133" s="16" t="n">
        <v>7210.55</v>
      </c>
      <c r="F133" s="16">
        <f>D133*E133</f>
        <v/>
      </c>
    </row>
    <row r="134">
      <c r="A134" s="13" t="inlineStr">
        <is>
          <t>0115</t>
        </is>
      </c>
      <c r="B134" s="14" t="inlineStr">
        <is>
          <t>Coolie</t>
        </is>
      </c>
      <c r="C134" s="13" t="inlineStr">
        <is>
          <t>day</t>
        </is>
      </c>
      <c r="D134" s="15" t="n">
        <v>0.08</v>
      </c>
      <c r="E134" s="16" t="n">
        <v>558</v>
      </c>
      <c r="F134" s="16">
        <f>D134*E134</f>
        <v/>
      </c>
    </row>
    <row r="135">
      <c r="A135" s="17" t="inlineStr">
        <is>
          <t>Resource Total (Material + Labour + Machinery, as printed)</t>
        </is>
      </c>
      <c r="B135" s="18" t="n"/>
      <c r="C135" s="18" t="n"/>
      <c r="D135" s="18" t="n"/>
      <c r="E135" s="18" t="n"/>
      <c r="F135" s="19">
        <f>SUM(F133:F134)</f>
        <v/>
      </c>
    </row>
    <row r="136">
      <c r="A136" s="20" t="inlineStr">
        <is>
          <t>SAY (Rs.) — final DAR rate</t>
        </is>
      </c>
      <c r="B136" s="21" t="n"/>
      <c r="C136" s="21" t="n"/>
      <c r="D136" s="21" t="n"/>
      <c r="E136" s="21" t="n"/>
      <c r="F136" s="22" t="n">
        <v>7270.3</v>
      </c>
    </row>
    <row r="138" ht="28" customHeight="1">
      <c r="A138" s="9" t="inlineStr">
        <is>
          <t>5.8</t>
        </is>
      </c>
      <c r="B138" s="10" t="inlineStr">
        <is>
          <t>Reinforced cement concrete work in vertical and horizontal fins individually or forming box louvers, facias and eaves boards above plinth le</t>
        </is>
      </c>
      <c r="C138" s="11" t="n"/>
      <c r="D138" s="11" t="n"/>
      <c r="E138" s="11" t="n"/>
      <c r="F138" s="11" t="n"/>
    </row>
    <row r="139">
      <c r="A139" s="12" t="inlineStr">
        <is>
          <t>Rate basis: per RCC  (source: cost for 4 RCC)</t>
        </is>
      </c>
    </row>
    <row r="140">
      <c r="A140" s="5" t="inlineStr">
        <is>
          <t>Code</t>
        </is>
      </c>
      <c r="B140" s="5" t="inlineStr">
        <is>
          <t>Description</t>
        </is>
      </c>
      <c r="C140" s="5" t="inlineStr">
        <is>
          <t>Unit</t>
        </is>
      </c>
      <c r="D140" s="5" t="inlineStr">
        <is>
          <t>Quantity</t>
        </is>
      </c>
      <c r="E140" s="5" t="inlineStr">
        <is>
          <t>Rate (Rs.)</t>
        </is>
      </c>
      <c r="F140" s="5" t="inlineStr">
        <is>
          <t>Amount (Rs.)</t>
        </is>
      </c>
    </row>
    <row r="141">
      <c r="A141" s="13" t="inlineStr">
        <is>
          <t>0295</t>
        </is>
      </c>
      <c r="B141" s="14" t="inlineStr">
        <is>
          <t>Stone Aggregate (Single size) : 20 mm nominal size</t>
        </is>
      </c>
      <c r="C141" s="13" t="inlineStr">
        <is>
          <t>cum</t>
        </is>
      </c>
      <c r="D141" s="15" t="n">
        <v>0.3762</v>
      </c>
      <c r="E141" s="16" t="n">
        <v>1350</v>
      </c>
      <c r="F141" s="16">
        <f>D141*E141</f>
        <v/>
      </c>
    </row>
    <row r="142">
      <c r="A142" s="13" t="inlineStr">
        <is>
          <t>0297</t>
        </is>
      </c>
      <c r="B142" s="14" t="inlineStr">
        <is>
          <t>Stone Aggregate (Single size) : 10 mm nominal size</t>
        </is>
      </c>
      <c r="C142" s="13" t="inlineStr">
        <is>
          <t>cum</t>
        </is>
      </c>
      <c r="D142" s="15" t="n">
        <v>0.1848</v>
      </c>
      <c r="E142" s="16" t="n">
        <v>1350</v>
      </c>
      <c r="F142" s="16">
        <f>D142*E142</f>
        <v/>
      </c>
    </row>
    <row r="143">
      <c r="A143" s="13" t="inlineStr">
        <is>
          <t>2202</t>
        </is>
      </c>
      <c r="B143" s="14" t="inlineStr">
        <is>
          <t>Carriage of Stone aggregate below . 40 mm nominal size</t>
        </is>
      </c>
      <c r="C143" s="13" t="inlineStr">
        <is>
          <t>cum</t>
        </is>
      </c>
      <c r="D143" s="15" t="n">
        <v>0.5610000000000001</v>
      </c>
      <c r="E143" s="16" t="n">
        <v>103.77</v>
      </c>
      <c r="F143" s="16">
        <f>D143*E143</f>
        <v/>
      </c>
    </row>
    <row r="144">
      <c r="A144" s="13" t="inlineStr">
        <is>
          <t>0982</t>
        </is>
      </c>
      <c r="B144" s="14" t="inlineStr">
        <is>
          <t>Coarse sand (zone III)</t>
        </is>
      </c>
      <c r="C144" s="13" t="inlineStr">
        <is>
          <t>cum</t>
        </is>
      </c>
      <c r="D144" s="15" t="n">
        <v>0.2805</v>
      </c>
      <c r="E144" s="16" t="n">
        <v>1350</v>
      </c>
      <c r="F144" s="16">
        <f>D144*E144</f>
        <v/>
      </c>
    </row>
    <row r="145">
      <c r="A145" s="13" t="inlineStr">
        <is>
          <t>2203</t>
        </is>
      </c>
      <c r="B145" s="14" t="inlineStr">
        <is>
          <t>Carriage of Coarse sand</t>
        </is>
      </c>
      <c r="C145" s="13" t="inlineStr">
        <is>
          <t>cum</t>
        </is>
      </c>
      <c r="D145" s="15" t="n">
        <v>0.2805</v>
      </c>
      <c r="E145" s="16" t="n">
        <v>103.77</v>
      </c>
      <c r="F145" s="16">
        <f>D145*E145</f>
        <v/>
      </c>
    </row>
    <row r="146">
      <c r="A146" s="13" t="inlineStr">
        <is>
          <t>0367</t>
        </is>
      </c>
      <c r="B146" s="14" t="inlineStr">
        <is>
          <t>Portland Cement (0.2833 cum)</t>
        </is>
      </c>
      <c r="C146" s="13" t="inlineStr">
        <is>
          <t>tonne</t>
        </is>
      </c>
      <c r="D146" s="15" t="n">
        <v>0.264</v>
      </c>
      <c r="E146" s="16" t="n">
        <v>4940</v>
      </c>
      <c r="F146" s="16">
        <f>D146*E146</f>
        <v/>
      </c>
    </row>
    <row r="147">
      <c r="A147" s="13" t="inlineStr">
        <is>
          <t>2209</t>
        </is>
      </c>
      <c r="B147" s="14" t="inlineStr">
        <is>
          <t>Carriage of Cement</t>
        </is>
      </c>
      <c r="C147" s="13" t="inlineStr">
        <is>
          <t>tonne</t>
        </is>
      </c>
      <c r="D147" s="15" t="n">
        <v>0.264</v>
      </c>
      <c r="E147" s="16" t="n">
        <v>92.23999999999999</v>
      </c>
      <c r="F147" s="16">
        <f>D147*E147</f>
        <v/>
      </c>
    </row>
    <row r="148">
      <c r="A148" s="13" t="inlineStr">
        <is>
          <t>0114</t>
        </is>
      </c>
      <c r="B148" s="14" t="inlineStr">
        <is>
          <t>Beldar</t>
        </is>
      </c>
      <c r="C148" s="13" t="inlineStr">
        <is>
          <t>day</t>
        </is>
      </c>
      <c r="D148" s="15" t="n">
        <v>0.79</v>
      </c>
      <c r="E148" s="16" t="n">
        <v>558</v>
      </c>
      <c r="F148" s="16">
        <f>D148*E148</f>
        <v/>
      </c>
    </row>
    <row r="149">
      <c r="A149" s="13" t="inlineStr">
        <is>
          <t>0115</t>
        </is>
      </c>
      <c r="B149" s="14" t="inlineStr">
        <is>
          <t>Coolie</t>
        </is>
      </c>
      <c r="C149" s="13" t="inlineStr">
        <is>
          <t>day</t>
        </is>
      </c>
      <c r="D149" s="15" t="n">
        <v>0.5600000000000001</v>
      </c>
      <c r="E149" s="16" t="n">
        <v>558</v>
      </c>
      <c r="F149" s="16">
        <f>D149*E149</f>
        <v/>
      </c>
    </row>
    <row r="150">
      <c r="A150" s="13" t="inlineStr">
        <is>
          <t>0101</t>
        </is>
      </c>
      <c r="B150" s="14" t="inlineStr">
        <is>
          <t>Bhisti</t>
        </is>
      </c>
      <c r="C150" s="13" t="inlineStr">
        <is>
          <t>day</t>
        </is>
      </c>
      <c r="D150" s="15" t="n">
        <v>0.6</v>
      </c>
      <c r="E150" s="16" t="n">
        <v>617</v>
      </c>
      <c r="F150" s="16">
        <f>D150*E150</f>
        <v/>
      </c>
    </row>
    <row r="151">
      <c r="A151" s="13" t="inlineStr">
        <is>
          <t>0123</t>
        </is>
      </c>
      <c r="B151" s="14" t="inlineStr">
        <is>
          <t>Mason (brick layer) 1st class</t>
        </is>
      </c>
      <c r="C151" s="13" t="inlineStr">
        <is>
          <t>day</t>
        </is>
      </c>
      <c r="D151" s="15" t="n">
        <v>0.06</v>
      </c>
      <c r="E151" s="16" t="n">
        <v>738</v>
      </c>
      <c r="F151" s="16">
        <f>D151*E151</f>
        <v/>
      </c>
    </row>
    <row r="152">
      <c r="A152" s="13" t="inlineStr">
        <is>
          <t>0124</t>
        </is>
      </c>
      <c r="B152" s="14" t="inlineStr">
        <is>
          <t>Mason (brick layer) 2nd class</t>
        </is>
      </c>
      <c r="C152" s="13" t="inlineStr">
        <is>
          <t>day</t>
        </is>
      </c>
      <c r="D152" s="15" t="n">
        <v>0.06</v>
      </c>
      <c r="E152" s="16" t="n">
        <v>679</v>
      </c>
      <c r="F152" s="16">
        <f>D152*E152</f>
        <v/>
      </c>
    </row>
    <row r="153">
      <c r="A153" s="13" t="inlineStr">
        <is>
          <t>9999</t>
        </is>
      </c>
      <c r="B153" s="14" t="inlineStr">
        <is>
          <t>Scafolding</t>
        </is>
      </c>
      <c r="C153" s="13" t="inlineStr">
        <is>
          <t>L.S.</t>
        </is>
      </c>
      <c r="D153" s="15" t="n">
        <v>30.16</v>
      </c>
      <c r="E153" s="16" t="n">
        <v>2</v>
      </c>
      <c r="F153" s="16">
        <f>D153*E153</f>
        <v/>
      </c>
    </row>
    <row r="154">
      <c r="A154" s="13" t="inlineStr">
        <is>
          <t>9999</t>
        </is>
      </c>
      <c r="B154" s="14" t="inlineStr">
        <is>
          <t>Sundries</t>
        </is>
      </c>
      <c r="C154" s="13" t="inlineStr">
        <is>
          <t>L.S.</t>
        </is>
      </c>
      <c r="D154" s="15" t="n">
        <v>9.49</v>
      </c>
      <c r="E154" s="16" t="n">
        <v>2</v>
      </c>
      <c r="F154" s="16">
        <f>D154*E154</f>
        <v/>
      </c>
    </row>
    <row r="155">
      <c r="A155" s="13" t="inlineStr">
        <is>
          <t>0002</t>
        </is>
      </c>
      <c r="B155" s="14" t="inlineStr">
        <is>
          <t>Hire charges of Concrete Mixer 0.25 to 0.40 cum with hooper</t>
        </is>
      </c>
      <c r="C155" s="13" t="inlineStr">
        <is>
          <t>day</t>
        </is>
      </c>
      <c r="D155" s="15" t="n">
        <v>0.05</v>
      </c>
      <c r="E155" s="16" t="n">
        <v>800</v>
      </c>
      <c r="F155" s="16">
        <f>D155*E155</f>
        <v/>
      </c>
    </row>
    <row r="156">
      <c r="A156" s="13" t="inlineStr">
        <is>
          <t>0012</t>
        </is>
      </c>
      <c r="B156" s="14" t="inlineStr">
        <is>
          <t>Vibrator(Needle type 40mm)</t>
        </is>
      </c>
      <c r="C156" s="13" t="inlineStr">
        <is>
          <t>day</t>
        </is>
      </c>
      <c r="D156" s="15" t="n">
        <v>0.05</v>
      </c>
      <c r="E156" s="16" t="n">
        <v>370</v>
      </c>
      <c r="F156" s="16">
        <f>D156*E156</f>
        <v/>
      </c>
    </row>
    <row r="157">
      <c r="A157" s="13" t="inlineStr">
        <is>
          <t>0115</t>
        </is>
      </c>
      <c r="B157" s="14" t="inlineStr">
        <is>
          <t>Coolie</t>
        </is>
      </c>
      <c r="C157" s="13" t="inlineStr">
        <is>
          <t>day</t>
        </is>
      </c>
      <c r="D157" s="15" t="n">
        <v>0.18</v>
      </c>
      <c r="E157" s="16" t="n">
        <v>558</v>
      </c>
      <c r="F157" s="16">
        <f>D157*E157</f>
        <v/>
      </c>
    </row>
    <row r="158">
      <c r="A158" s="13" t="inlineStr">
        <is>
          <t>0123</t>
        </is>
      </c>
      <c r="B158" s="14" t="inlineStr">
        <is>
          <t>Mason (brick layer) 1st class</t>
        </is>
      </c>
      <c r="C158" s="13" t="inlineStr">
        <is>
          <t>day</t>
        </is>
      </c>
      <c r="D158" s="15" t="n">
        <v>0.05</v>
      </c>
      <c r="E158" s="16" t="n">
        <v>738</v>
      </c>
      <c r="F158" s="16">
        <f>D158*E158</f>
        <v/>
      </c>
    </row>
    <row r="159">
      <c r="A159" s="13" t="inlineStr">
        <is>
          <t>0124</t>
        </is>
      </c>
      <c r="B159" s="14" t="inlineStr">
        <is>
          <t>Mason (brick layer) 2nd class</t>
        </is>
      </c>
      <c r="C159" s="13" t="inlineStr">
        <is>
          <t>day</t>
        </is>
      </c>
      <c r="D159" s="15" t="n">
        <v>0.05</v>
      </c>
      <c r="E159" s="16" t="n">
        <v>679</v>
      </c>
      <c r="F159" s="16">
        <f>D159*E159</f>
        <v/>
      </c>
    </row>
    <row r="160">
      <c r="A160" s="13" t="inlineStr">
        <is>
          <t>0114</t>
        </is>
      </c>
      <c r="B160" s="14" t="inlineStr">
        <is>
          <t>Beldar</t>
        </is>
      </c>
      <c r="C160" s="13" t="inlineStr">
        <is>
          <t>day</t>
        </is>
      </c>
      <c r="D160" s="15" t="n">
        <v>0.1</v>
      </c>
      <c r="E160" s="16" t="n">
        <v>558</v>
      </c>
      <c r="F160" s="16">
        <f>D160*E160</f>
        <v/>
      </c>
    </row>
    <row r="161">
      <c r="A161" s="13" t="inlineStr">
        <is>
          <t>0101</t>
        </is>
      </c>
      <c r="B161" s="14" t="inlineStr">
        <is>
          <t>Bhisti</t>
        </is>
      </c>
      <c r="C161" s="13" t="inlineStr">
        <is>
          <t>day</t>
        </is>
      </c>
      <c r="D161" s="15" t="n">
        <v>0.15</v>
      </c>
      <c r="E161" s="16" t="n">
        <v>617</v>
      </c>
      <c r="F161" s="16">
        <f>D161*E161</f>
        <v/>
      </c>
    </row>
    <row r="162">
      <c r="A162" s="17" t="inlineStr">
        <is>
          <t>Resource Total (Material + Labour + Machinery, as printed)</t>
        </is>
      </c>
      <c r="B162" s="18" t="n"/>
      <c r="C162" s="18" t="n"/>
      <c r="D162" s="18" t="n"/>
      <c r="E162" s="18" t="n"/>
      <c r="F162" s="19">
        <f>SUM(F141:F161)</f>
        <v/>
      </c>
    </row>
    <row r="163">
      <c r="A163" s="20" t="inlineStr">
        <is>
          <t>SAY (Rs.) — final DAR rate</t>
        </is>
      </c>
      <c r="B163" s="21" t="n"/>
      <c r="C163" s="21" t="n"/>
      <c r="D163" s="21" t="n"/>
      <c r="E163" s="21" t="n"/>
      <c r="F163" s="22" t="n">
        <v>8550.25</v>
      </c>
    </row>
    <row r="165" ht="18" customHeight="1">
      <c r="A165" s="9" t="inlineStr">
        <is>
          <t>5.9.1</t>
        </is>
      </c>
      <c r="B165" s="10" t="inlineStr">
        <is>
          <t>Foundations, footings, bases of columns, etc. for mass concrete</t>
        </is>
      </c>
      <c r="C165" s="11" t="n"/>
      <c r="D165" s="11" t="n"/>
      <c r="E165" s="11" t="n"/>
      <c r="F165" s="11" t="n"/>
    </row>
    <row r="166">
      <c r="A166" s="12" t="inlineStr">
        <is>
          <t>Rate basis: per sqm  (source: cost for 10.8 sqm)</t>
        </is>
      </c>
    </row>
    <row r="167">
      <c r="A167" s="5" t="inlineStr">
        <is>
          <t>Code</t>
        </is>
      </c>
      <c r="B167" s="5" t="inlineStr">
        <is>
          <t>Description</t>
        </is>
      </c>
      <c r="C167" s="5" t="inlineStr">
        <is>
          <t>Unit</t>
        </is>
      </c>
      <c r="D167" s="5" t="inlineStr">
        <is>
          <t>Quantity</t>
        </is>
      </c>
      <c r="E167" s="5" t="inlineStr">
        <is>
          <t>Rate (Rs.)</t>
        </is>
      </c>
      <c r="F167" s="5" t="inlineStr">
        <is>
          <t>Amount (Rs.)</t>
        </is>
      </c>
    </row>
    <row r="168">
      <c r="A168" s="13" t="inlineStr">
        <is>
          <t>7319</t>
        </is>
      </c>
      <c r="B168" s="14" t="inlineStr">
        <is>
          <t>Wall form panel 1250x500 mm</t>
        </is>
      </c>
      <c r="C168" s="13" t="inlineStr">
        <is>
          <t>each</t>
        </is>
      </c>
      <c r="D168" s="15" t="n">
        <v>0.34</v>
      </c>
      <c r="E168" s="16" t="n">
        <v>860</v>
      </c>
      <c r="F168" s="16">
        <f>D168*E168</f>
        <v/>
      </c>
    </row>
    <row r="169">
      <c r="A169" s="13" t="inlineStr">
        <is>
          <t>7326</t>
        </is>
      </c>
      <c r="B169" s="14" t="inlineStr">
        <is>
          <t>Corner angle 45x45x5 mm 1.50 m long</t>
        </is>
      </c>
      <c r="C169" s="13" t="inlineStr">
        <is>
          <t>each</t>
        </is>
      </c>
      <c r="D169" s="15" t="n">
        <v>0.08500000000000001</v>
      </c>
      <c r="E169" s="16" t="n">
        <v>240</v>
      </c>
      <c r="F169" s="16">
        <f>D169*E169</f>
        <v/>
      </c>
    </row>
    <row r="170">
      <c r="A170" s="13" t="inlineStr">
        <is>
          <t>7327</t>
        </is>
      </c>
      <c r="B170" s="14" t="inlineStr">
        <is>
          <t>100 mm channel shoulder 2.5 m long</t>
        </is>
      </c>
      <c r="C170" s="13" t="inlineStr">
        <is>
          <t>each</t>
        </is>
      </c>
      <c r="D170" s="15" t="n">
        <v>0.17</v>
      </c>
      <c r="E170" s="16" t="n">
        <v>910</v>
      </c>
      <c r="F170" s="16">
        <f>D170*E170</f>
        <v/>
      </c>
    </row>
    <row r="171">
      <c r="A171" s="13" t="inlineStr">
        <is>
          <t>7328</t>
        </is>
      </c>
      <c r="B171" s="14" t="inlineStr">
        <is>
          <t>Double clip ( bridge clip)</t>
        </is>
      </c>
      <c r="C171" s="13" t="inlineStr">
        <is>
          <t>each</t>
        </is>
      </c>
      <c r="D171" s="15" t="n">
        <v>0.34</v>
      </c>
      <c r="E171" s="16" t="n">
        <v>76</v>
      </c>
      <c r="F171" s="16">
        <f>D171*E171</f>
        <v/>
      </c>
    </row>
    <row r="172">
      <c r="A172" s="13" t="inlineStr">
        <is>
          <t>7329</t>
        </is>
      </c>
      <c r="B172" s="14" t="inlineStr">
        <is>
          <t>Single clip</t>
        </is>
      </c>
      <c r="C172" s="13" t="inlineStr">
        <is>
          <t>each</t>
        </is>
      </c>
      <c r="D172" s="15" t="n">
        <v>0.17</v>
      </c>
      <c r="E172" s="16" t="n">
        <v>59</v>
      </c>
      <c r="F172" s="16">
        <f>D172*E172</f>
        <v/>
      </c>
    </row>
    <row r="173">
      <c r="A173" s="13" t="inlineStr">
        <is>
          <t>7330</t>
        </is>
      </c>
      <c r="B173" s="14" t="inlineStr">
        <is>
          <t>M.S. tube 40 mm dia</t>
        </is>
      </c>
      <c r="C173" s="13" t="inlineStr">
        <is>
          <t>metre</t>
        </is>
      </c>
      <c r="D173" s="15" t="n">
        <v>0.2295</v>
      </c>
      <c r="E173" s="16" t="n">
        <v>215</v>
      </c>
      <c r="F173" s="16">
        <f>D173*E173</f>
        <v/>
      </c>
    </row>
    <row r="174">
      <c r="A174" s="13" t="inlineStr">
        <is>
          <t>9999</t>
        </is>
      </c>
      <c r="B174" s="14" t="inlineStr">
        <is>
          <t>Assembly nuts &amp; bolts</t>
        </is>
      </c>
      <c r="C174" s="13" t="inlineStr">
        <is>
          <t>L.S.</t>
        </is>
      </c>
      <c r="D174" s="15" t="n">
        <v>22.1</v>
      </c>
      <c r="E174" s="16" t="n">
        <v>2</v>
      </c>
      <c r="F174" s="16">
        <f>D174*E174</f>
        <v/>
      </c>
    </row>
    <row r="175">
      <c r="A175" s="13" t="inlineStr">
        <is>
          <t>9977</t>
        </is>
      </c>
      <c r="B175" s="14" t="inlineStr">
        <is>
          <t>Carriage</t>
        </is>
      </c>
      <c r="C175" s="13" t="inlineStr">
        <is>
          <t>L.S.</t>
        </is>
      </c>
      <c r="D175" s="15" t="n">
        <v>78</v>
      </c>
      <c r="E175" s="16" t="n">
        <v>2</v>
      </c>
      <c r="F175" s="16">
        <f>D175*E175</f>
        <v/>
      </c>
    </row>
    <row r="176">
      <c r="A176" s="13" t="inlineStr">
        <is>
          <t>0116</t>
        </is>
      </c>
      <c r="B176" s="14" t="inlineStr">
        <is>
          <t>Fitter (grade 1)</t>
        </is>
      </c>
      <c r="C176" s="13" t="inlineStr">
        <is>
          <t>day</t>
        </is>
      </c>
      <c r="D176" s="15" t="n">
        <v>0.75</v>
      </c>
      <c r="E176" s="16" t="n">
        <v>738</v>
      </c>
      <c r="F176" s="16">
        <f>D176*E176</f>
        <v/>
      </c>
    </row>
    <row r="177">
      <c r="A177" s="13" t="inlineStr">
        <is>
          <t>0114</t>
        </is>
      </c>
      <c r="B177" s="14" t="inlineStr">
        <is>
          <t>Beldar</t>
        </is>
      </c>
      <c r="C177" s="13" t="inlineStr">
        <is>
          <t>day</t>
        </is>
      </c>
      <c r="D177" s="15" t="n">
        <v>1.5</v>
      </c>
      <c r="E177" s="16" t="n">
        <v>558</v>
      </c>
      <c r="F177" s="16">
        <f>D177*E177</f>
        <v/>
      </c>
    </row>
    <row r="178">
      <c r="A178" s="13" t="inlineStr">
        <is>
          <t>9999</t>
        </is>
      </c>
      <c r="B178" s="14" t="inlineStr">
        <is>
          <t>Shuttering oil</t>
        </is>
      </c>
      <c r="C178" s="13" t="inlineStr">
        <is>
          <t>L.S.</t>
        </is>
      </c>
      <c r="D178" s="15" t="n">
        <v>52</v>
      </c>
      <c r="E178" s="16" t="n">
        <v>2</v>
      </c>
      <c r="F178" s="16">
        <f>D178*E178</f>
        <v/>
      </c>
    </row>
    <row r="179">
      <c r="A179" s="13" t="inlineStr">
        <is>
          <t>9999</t>
        </is>
      </c>
      <c r="B179" s="14" t="inlineStr">
        <is>
          <t>Sundries</t>
        </is>
      </c>
      <c r="C179" s="13" t="inlineStr">
        <is>
          <t>L.S.</t>
        </is>
      </c>
      <c r="D179" s="15" t="n">
        <v>26</v>
      </c>
      <c r="E179" s="16" t="n">
        <v>2</v>
      </c>
      <c r="F179" s="16">
        <f>D179*E179</f>
        <v/>
      </c>
    </row>
    <row r="180">
      <c r="A180" s="17" t="inlineStr">
        <is>
          <t>Resource Total (Material + Labour + Machinery, as printed)</t>
        </is>
      </c>
      <c r="B180" s="18" t="n"/>
      <c r="C180" s="18" t="n"/>
      <c r="D180" s="18" t="n"/>
      <c r="E180" s="18" t="n"/>
      <c r="F180" s="19">
        <f>SUM(F168:F179)</f>
        <v/>
      </c>
    </row>
    <row r="181">
      <c r="A181" s="20" t="inlineStr">
        <is>
          <t>SAY (Rs.) — final DAR rate</t>
        </is>
      </c>
      <c r="B181" s="21" t="n"/>
      <c r="C181" s="21" t="n"/>
      <c r="D181" s="21" t="n"/>
      <c r="E181" s="21" t="n"/>
      <c r="F181" s="22" t="n">
        <v>284.85</v>
      </c>
    </row>
    <row r="183" ht="28" customHeight="1">
      <c r="A183" s="9" t="inlineStr">
        <is>
          <t>5.9.2</t>
        </is>
      </c>
      <c r="B183" s="10" t="inlineStr">
        <is>
          <t>Walls (any thickness) including attached pilasters, butteresses, plinth and string courses etc.</t>
        </is>
      </c>
      <c r="C183" s="11" t="n"/>
      <c r="D183" s="11" t="n"/>
      <c r="E183" s="11" t="n"/>
      <c r="F183" s="11" t="n"/>
    </row>
    <row r="184">
      <c r="A184" s="12" t="inlineStr">
        <is>
          <t>Rate basis: per nos  (source: cost for 1 nos)</t>
        </is>
      </c>
    </row>
    <row r="185">
      <c r="A185" s="5" t="inlineStr">
        <is>
          <t>Code</t>
        </is>
      </c>
      <c r="B185" s="5" t="inlineStr">
        <is>
          <t>Description</t>
        </is>
      </c>
      <c r="C185" s="5" t="inlineStr">
        <is>
          <t>Unit</t>
        </is>
      </c>
      <c r="D185" s="5" t="inlineStr">
        <is>
          <t>Quantity</t>
        </is>
      </c>
      <c r="E185" s="5" t="inlineStr">
        <is>
          <t>Rate (Rs.)</t>
        </is>
      </c>
      <c r="F185" s="5" t="inlineStr">
        <is>
          <t>Amount (Rs.)</t>
        </is>
      </c>
    </row>
    <row r="186">
      <c r="A186" s="13" t="inlineStr">
        <is>
          <t>7319</t>
        </is>
      </c>
      <c r="B186" s="14" t="inlineStr">
        <is>
          <t>Wall form panel 1250x500 mm</t>
        </is>
      </c>
      <c r="C186" s="13" t="inlineStr">
        <is>
          <t>each</t>
        </is>
      </c>
      <c r="D186" s="15" t="n">
        <v>0.51</v>
      </c>
      <c r="E186" s="16" t="n">
        <v>860</v>
      </c>
      <c r="F186" s="16">
        <f>D186*E186</f>
        <v/>
      </c>
    </row>
    <row r="187">
      <c r="A187" s="13" t="inlineStr">
        <is>
          <t>7327</t>
        </is>
      </c>
      <c r="B187" s="14" t="inlineStr">
        <is>
          <t>100 mm channel shoulder 2.5 m long</t>
        </is>
      </c>
      <c r="C187" s="13" t="inlineStr">
        <is>
          <t>each</t>
        </is>
      </c>
      <c r="D187" s="15" t="n">
        <v>0.17</v>
      </c>
      <c r="E187" s="16" t="n">
        <v>910</v>
      </c>
      <c r="F187" s="16">
        <f>D187*E187</f>
        <v/>
      </c>
    </row>
    <row r="188">
      <c r="A188" s="13" t="inlineStr">
        <is>
          <t>7328</t>
        </is>
      </c>
      <c r="B188" s="14" t="inlineStr">
        <is>
          <t>Double clip ( bridge clip)</t>
        </is>
      </c>
      <c r="C188" s="13" t="inlineStr">
        <is>
          <t>each</t>
        </is>
      </c>
      <c r="D188" s="15" t="n">
        <v>0.51</v>
      </c>
      <c r="E188" s="16" t="n">
        <v>76</v>
      </c>
      <c r="F188" s="16">
        <f>D188*E188</f>
        <v/>
      </c>
    </row>
    <row r="189">
      <c r="A189" s="13" t="inlineStr">
        <is>
          <t>7329</t>
        </is>
      </c>
      <c r="B189" s="14" t="inlineStr">
        <is>
          <t>Single clip</t>
        </is>
      </c>
      <c r="C189" s="13" t="inlineStr">
        <is>
          <t>each</t>
        </is>
      </c>
      <c r="D189" s="15" t="n">
        <v>0.255</v>
      </c>
      <c r="E189" s="16" t="n">
        <v>59</v>
      </c>
      <c r="F189" s="16">
        <f>D189*E189</f>
        <v/>
      </c>
    </row>
    <row r="190">
      <c r="A190" s="13" t="inlineStr">
        <is>
          <t>7330</t>
        </is>
      </c>
      <c r="B190" s="14" t="inlineStr">
        <is>
          <t>M.S. tube 40 mm dia</t>
        </is>
      </c>
      <c r="C190" s="13" t="inlineStr">
        <is>
          <t>metre</t>
        </is>
      </c>
      <c r="D190" s="15" t="n">
        <v>0.68</v>
      </c>
      <c r="E190" s="16" t="n">
        <v>215</v>
      </c>
      <c r="F190" s="16">
        <f>D190*E190</f>
        <v/>
      </c>
    </row>
    <row r="191">
      <c r="A191" s="13" t="inlineStr">
        <is>
          <t>9999</t>
        </is>
      </c>
      <c r="B191" s="14" t="inlineStr">
        <is>
          <t>Nut &amp; Bolts</t>
        </is>
      </c>
      <c r="C191" s="13" t="inlineStr">
        <is>
          <t>L.S.</t>
        </is>
      </c>
      <c r="D191" s="15" t="n">
        <v>27.62</v>
      </c>
      <c r="E191" s="16" t="n">
        <v>2</v>
      </c>
      <c r="F191" s="16">
        <f>D191*E191</f>
        <v/>
      </c>
    </row>
    <row r="192">
      <c r="A192" s="13" t="inlineStr">
        <is>
          <t>9977</t>
        </is>
      </c>
      <c r="B192" s="14" t="inlineStr">
        <is>
          <t>Carriage</t>
        </is>
      </c>
      <c r="C192" s="13" t="inlineStr">
        <is>
          <t>L.S.</t>
        </is>
      </c>
      <c r="D192" s="15" t="n">
        <v>78</v>
      </c>
      <c r="E192" s="16" t="n">
        <v>2</v>
      </c>
      <c r="F192" s="16">
        <f>D192*E192</f>
        <v/>
      </c>
    </row>
    <row r="193">
      <c r="A193" s="13" t="inlineStr">
        <is>
          <t>0116</t>
        </is>
      </c>
      <c r="B193" s="14" t="inlineStr">
        <is>
          <t>Fitter (grade 1)</t>
        </is>
      </c>
      <c r="C193" s="13" t="inlineStr">
        <is>
          <t>day</t>
        </is>
      </c>
      <c r="D193" s="15" t="n">
        <v>3.5</v>
      </c>
      <c r="E193" s="16" t="n">
        <v>738</v>
      </c>
      <c r="F193" s="16">
        <f>D193*E193</f>
        <v/>
      </c>
    </row>
    <row r="194">
      <c r="A194" s="13" t="inlineStr">
        <is>
          <t>0114</t>
        </is>
      </c>
      <c r="B194" s="14" t="inlineStr">
        <is>
          <t>Beldar</t>
        </is>
      </c>
      <c r="C194" s="13" t="inlineStr">
        <is>
          <t>day</t>
        </is>
      </c>
      <c r="D194" s="15" t="n">
        <v>6</v>
      </c>
      <c r="E194" s="16" t="n">
        <v>558</v>
      </c>
      <c r="F194" s="16">
        <f>D194*E194</f>
        <v/>
      </c>
    </row>
    <row r="195">
      <c r="A195" s="13" t="inlineStr">
        <is>
          <t>9999</t>
        </is>
      </c>
      <c r="B195" s="14" t="inlineStr">
        <is>
          <t>Shuttering oil</t>
        </is>
      </c>
      <c r="C195" s="13" t="inlineStr">
        <is>
          <t>L.S.</t>
        </is>
      </c>
      <c r="D195" s="15" t="n">
        <v>78</v>
      </c>
      <c r="E195" s="16" t="n">
        <v>2</v>
      </c>
      <c r="F195" s="16">
        <f>D195*E195</f>
        <v/>
      </c>
    </row>
    <row r="196">
      <c r="A196" s="13" t="inlineStr">
        <is>
          <t>9999</t>
        </is>
      </c>
      <c r="B196" s="14" t="inlineStr">
        <is>
          <t>Sundries</t>
        </is>
      </c>
      <c r="C196" s="13" t="inlineStr">
        <is>
          <t>L.S.</t>
        </is>
      </c>
      <c r="D196" s="15" t="n">
        <v>52</v>
      </c>
      <c r="E196" s="16" t="n">
        <v>2</v>
      </c>
      <c r="F196" s="16">
        <f>D196*E196</f>
        <v/>
      </c>
    </row>
    <row r="197">
      <c r="A197" s="17" t="inlineStr">
        <is>
          <t>Resource Total (Material + Labour + Machinery, as printed)</t>
        </is>
      </c>
      <c r="B197" s="18" t="n"/>
      <c r="C197" s="18" t="n"/>
      <c r="D197" s="18" t="n"/>
      <c r="E197" s="18" t="n"/>
      <c r="F197" s="19">
        <f>SUM(F186:F196)</f>
        <v/>
      </c>
    </row>
    <row r="198">
      <c r="A198" s="20" t="inlineStr">
        <is>
          <t>SAY (Rs.) — final DAR rate</t>
        </is>
      </c>
      <c r="B198" s="21" t="n"/>
      <c r="C198" s="21" t="n"/>
      <c r="D198" s="21" t="n"/>
      <c r="E198" s="21" t="n"/>
      <c r="F198" s="22" t="n">
        <v>609.3</v>
      </c>
    </row>
    <row r="200" ht="18" customHeight="1">
      <c r="A200" s="9" t="inlineStr">
        <is>
          <t>5.9.3</t>
        </is>
      </c>
      <c r="B200" s="10" t="inlineStr">
        <is>
          <t>Suspended floors, roofs, landings, balconies and access platform</t>
        </is>
      </c>
      <c r="C200" s="11" t="n"/>
      <c r="D200" s="11" t="n"/>
      <c r="E200" s="11" t="n"/>
      <c r="F200" s="11" t="n"/>
    </row>
    <row r="201">
      <c r="A201" s="12" t="inlineStr">
        <is>
          <t>Rate basis: per sqm  (source: cost for 13.5 sqm)</t>
        </is>
      </c>
    </row>
    <row r="202">
      <c r="A202" s="5" t="inlineStr">
        <is>
          <t>Code</t>
        </is>
      </c>
      <c r="B202" s="5" t="inlineStr">
        <is>
          <t>Description</t>
        </is>
      </c>
      <c r="C202" s="5" t="inlineStr">
        <is>
          <t>Unit</t>
        </is>
      </c>
      <c r="D202" s="5" t="inlineStr">
        <is>
          <t>Quantity</t>
        </is>
      </c>
      <c r="E202" s="5" t="inlineStr">
        <is>
          <t>Rate (Rs.)</t>
        </is>
      </c>
      <c r="F202" s="5" t="inlineStr">
        <is>
          <t>Amount (Rs.)</t>
        </is>
      </c>
    </row>
    <row r="203">
      <c r="A203" s="13" t="inlineStr">
        <is>
          <t>10.1</t>
        </is>
      </c>
      <c r="B203" s="14" t="inlineStr">
        <is>
          <t>Rate as per SH: 10.1</t>
        </is>
      </c>
      <c r="C203" s="13" t="inlineStr">
        <is>
          <t>kg</t>
        </is>
      </c>
      <c r="D203" s="15" t="n">
        <v>9.205500000000001</v>
      </c>
      <c r="E203" s="16" t="n">
        <v>86.05</v>
      </c>
      <c r="F203" s="16">
        <f>D203*E203</f>
        <v/>
      </c>
    </row>
    <row r="204">
      <c r="A204" s="13" t="inlineStr">
        <is>
          <t>7342</t>
        </is>
      </c>
      <c r="B204" s="14" t="inlineStr">
        <is>
          <t>Adjustable span ESO+SI (2.35-3.40)</t>
        </is>
      </c>
      <c r="C204" s="13" t="inlineStr">
        <is>
          <t>each</t>
        </is>
      </c>
      <c r="D204" s="15" t="n">
        <v>0.1063</v>
      </c>
      <c r="E204" s="16" t="n">
        <v>1480</v>
      </c>
      <c r="F204" s="16">
        <f>D204*E204</f>
        <v/>
      </c>
    </row>
    <row r="205">
      <c r="A205" s="13" t="inlineStr">
        <is>
          <t>7343</t>
        </is>
      </c>
      <c r="B205" s="14" t="inlineStr">
        <is>
          <t>Adjustable telescopic prop 3 m (2.02-3.75 m)</t>
        </is>
      </c>
      <c r="C205" s="13" t="inlineStr">
        <is>
          <t>each</t>
        </is>
      </c>
      <c r="D205" s="15" t="n">
        <v>0.1275</v>
      </c>
      <c r="E205" s="16" t="n">
        <v>955</v>
      </c>
      <c r="F205" s="16">
        <f>D205*E205</f>
        <v/>
      </c>
    </row>
    <row r="206">
      <c r="A206" s="13" t="inlineStr">
        <is>
          <t>9999</t>
        </is>
      </c>
      <c r="B206" s="14" t="inlineStr">
        <is>
          <t>4. Assembly nut &amp; bolts etc.</t>
        </is>
      </c>
      <c r="C206" s="13" t="inlineStr">
        <is>
          <t>L.S.</t>
        </is>
      </c>
      <c r="D206" s="15" t="n">
        <v>22.1</v>
      </c>
      <c r="E206" s="16" t="n">
        <v>2</v>
      </c>
      <c r="F206" s="16">
        <f>D206*E206</f>
        <v/>
      </c>
    </row>
    <row r="207">
      <c r="A207" s="13" t="inlineStr">
        <is>
          <t>9977</t>
        </is>
      </c>
      <c r="B207" s="14" t="inlineStr">
        <is>
          <t>Carriage</t>
        </is>
      </c>
      <c r="C207" s="13" t="inlineStr">
        <is>
          <t>L.S.</t>
        </is>
      </c>
      <c r="D207" s="15" t="n">
        <v>130</v>
      </c>
      <c r="E207" s="16" t="n">
        <v>2</v>
      </c>
      <c r="F207" s="16">
        <f>D207*E207</f>
        <v/>
      </c>
    </row>
    <row r="208">
      <c r="A208" s="13" t="inlineStr">
        <is>
          <t>0116</t>
        </is>
      </c>
      <c r="B208" s="14" t="inlineStr">
        <is>
          <t>Fitter (grade 1)</t>
        </is>
      </c>
      <c r="C208" s="13" t="inlineStr">
        <is>
          <t>day</t>
        </is>
      </c>
      <c r="D208" s="15" t="n">
        <v>3</v>
      </c>
      <c r="E208" s="16" t="n">
        <v>738</v>
      </c>
      <c r="F208" s="16">
        <f>D208*E208</f>
        <v/>
      </c>
    </row>
    <row r="209">
      <c r="A209" s="13" t="inlineStr">
        <is>
          <t>0114</t>
        </is>
      </c>
      <c r="B209" s="14" t="inlineStr">
        <is>
          <t>Beldar</t>
        </is>
      </c>
      <c r="C209" s="13" t="inlineStr">
        <is>
          <t>day</t>
        </is>
      </c>
      <c r="D209" s="15" t="n">
        <v>6</v>
      </c>
      <c r="E209" s="16" t="n">
        <v>558</v>
      </c>
      <c r="F209" s="16">
        <f>D209*E209</f>
        <v/>
      </c>
    </row>
    <row r="210">
      <c r="A210" s="13" t="inlineStr">
        <is>
          <t>9999</t>
        </is>
      </c>
      <c r="B210" s="14" t="inlineStr">
        <is>
          <t>Shuttering oil</t>
        </is>
      </c>
      <c r="C210" s="13" t="inlineStr">
        <is>
          <t>L.S.</t>
        </is>
      </c>
      <c r="D210" s="15" t="n">
        <v>78</v>
      </c>
      <c r="E210" s="16" t="n">
        <v>2</v>
      </c>
      <c r="F210" s="16">
        <f>D210*E210</f>
        <v/>
      </c>
    </row>
    <row r="211">
      <c r="A211" s="13" t="inlineStr">
        <is>
          <t>9999</t>
        </is>
      </c>
      <c r="B211" s="14" t="inlineStr">
        <is>
          <t>Sundries, paper tap etc.</t>
        </is>
      </c>
      <c r="C211" s="13" t="inlineStr">
        <is>
          <t>L.S.</t>
        </is>
      </c>
      <c r="D211" s="15" t="n">
        <v>49.7</v>
      </c>
      <c r="E211" s="16" t="n">
        <v>2</v>
      </c>
      <c r="F211" s="16">
        <f>D211*E211</f>
        <v/>
      </c>
    </row>
    <row r="212">
      <c r="A212" s="17" t="inlineStr">
        <is>
          <t>Resource Total (Material + Labour + Machinery, as printed)</t>
        </is>
      </c>
      <c r="B212" s="18" t="n"/>
      <c r="C212" s="18" t="n"/>
      <c r="D212" s="18" t="n"/>
      <c r="E212" s="18" t="n"/>
      <c r="F212" s="19">
        <f>SUM(F203:F211)</f>
        <v/>
      </c>
    </row>
    <row r="213">
      <c r="A213" s="20" t="inlineStr">
        <is>
          <t>SAY (Rs.) — final DAR rate</t>
        </is>
      </c>
      <c r="B213" s="21" t="n"/>
      <c r="C213" s="21" t="n"/>
      <c r="D213" s="21" t="n"/>
      <c r="E213" s="21" t="n"/>
      <c r="F213" s="22" t="n">
        <v>693.05</v>
      </c>
    </row>
    <row r="215" ht="18" customHeight="1">
      <c r="A215" s="9" t="inlineStr">
        <is>
          <t>5.9.4</t>
        </is>
      </c>
      <c r="B215" s="10" t="inlineStr">
        <is>
          <t>Shelves (Cast in situ)</t>
        </is>
      </c>
      <c r="C215" s="11" t="n"/>
      <c r="D215" s="11" t="n"/>
      <c r="E215" s="11" t="n"/>
      <c r="F215" s="11" t="n"/>
    </row>
    <row r="216">
      <c r="A216" s="12" t="inlineStr">
        <is>
          <t>Rate basis: per sqm  (source: cost for 13.5 sqm)</t>
        </is>
      </c>
    </row>
    <row r="217">
      <c r="A217" s="5" t="inlineStr">
        <is>
          <t>Code</t>
        </is>
      </c>
      <c r="B217" s="5" t="inlineStr">
        <is>
          <t>Description</t>
        </is>
      </c>
      <c r="C217" s="5" t="inlineStr">
        <is>
          <t>Unit</t>
        </is>
      </c>
      <c r="D217" s="5" t="inlineStr">
        <is>
          <t>Quantity</t>
        </is>
      </c>
      <c r="E217" s="5" t="inlineStr">
        <is>
          <t>Rate (Rs.)</t>
        </is>
      </c>
      <c r="F217" s="5" t="inlineStr">
        <is>
          <t>Amount (Rs.)</t>
        </is>
      </c>
    </row>
    <row r="218">
      <c r="A218" s="13" t="inlineStr">
        <is>
          <t>10.1</t>
        </is>
      </c>
      <c r="B218" s="14" t="inlineStr">
        <is>
          <t>Rate as per SH: 10.1</t>
        </is>
      </c>
      <c r="C218" s="13" t="inlineStr">
        <is>
          <t>kg</t>
        </is>
      </c>
      <c r="D218" s="15" t="n">
        <v>9.205500000000001</v>
      </c>
      <c r="E218" s="16" t="n">
        <v>86.05</v>
      </c>
      <c r="F218" s="16">
        <f>D218*E218</f>
        <v/>
      </c>
    </row>
    <row r="219">
      <c r="A219" s="13" t="inlineStr">
        <is>
          <t>7342</t>
        </is>
      </c>
      <c r="B219" s="14" t="inlineStr">
        <is>
          <t>Adjustable span ESO+SI (2.35-3.40)</t>
        </is>
      </c>
      <c r="C219" s="13" t="inlineStr">
        <is>
          <t>each</t>
        </is>
      </c>
      <c r="D219" s="15" t="n">
        <v>0.1063</v>
      </c>
      <c r="E219" s="16" t="n">
        <v>1480</v>
      </c>
      <c r="F219" s="16">
        <f>D219*E219</f>
        <v/>
      </c>
    </row>
    <row r="220">
      <c r="A220" s="13" t="inlineStr">
        <is>
          <t>7343</t>
        </is>
      </c>
      <c r="B220" s="14" t="inlineStr">
        <is>
          <t>Adjustable telescopic prop 3 m (2.02-3.75 m)</t>
        </is>
      </c>
      <c r="C220" s="13" t="inlineStr">
        <is>
          <t>each</t>
        </is>
      </c>
      <c r="D220" s="15" t="n">
        <v>0.1275</v>
      </c>
      <c r="E220" s="16" t="n">
        <v>955</v>
      </c>
      <c r="F220" s="16">
        <f>D220*E220</f>
        <v/>
      </c>
    </row>
    <row r="221">
      <c r="A221" s="13" t="inlineStr">
        <is>
          <t>9999</t>
        </is>
      </c>
      <c r="B221" s="14" t="inlineStr">
        <is>
          <t>4. Assembly nut &amp; bolts etc.</t>
        </is>
      </c>
      <c r="C221" s="13" t="inlineStr">
        <is>
          <t>L.S.</t>
        </is>
      </c>
      <c r="D221" s="15" t="n">
        <v>22.1</v>
      </c>
      <c r="E221" s="16" t="n">
        <v>2</v>
      </c>
      <c r="F221" s="16">
        <f>D221*E221</f>
        <v/>
      </c>
    </row>
    <row r="222">
      <c r="A222" s="13" t="inlineStr">
        <is>
          <t>9977</t>
        </is>
      </c>
      <c r="B222" s="14" t="inlineStr">
        <is>
          <t>Carriage</t>
        </is>
      </c>
      <c r="C222" s="13" t="inlineStr">
        <is>
          <t>L.S.</t>
        </is>
      </c>
      <c r="D222" s="15" t="n">
        <v>130</v>
      </c>
      <c r="E222" s="16" t="n">
        <v>2</v>
      </c>
      <c r="F222" s="16">
        <f>D222*E222</f>
        <v/>
      </c>
    </row>
    <row r="223">
      <c r="A223" s="13" t="inlineStr">
        <is>
          <t>0116</t>
        </is>
      </c>
      <c r="B223" s="14" t="inlineStr">
        <is>
          <t>Fitter (grade 1)</t>
        </is>
      </c>
      <c r="C223" s="13" t="inlineStr">
        <is>
          <t>day</t>
        </is>
      </c>
      <c r="D223" s="15" t="n">
        <v>3</v>
      </c>
      <c r="E223" s="16" t="n">
        <v>738</v>
      </c>
      <c r="F223" s="16">
        <f>D223*E223</f>
        <v/>
      </c>
    </row>
    <row r="224">
      <c r="A224" s="13" t="inlineStr">
        <is>
          <t>0114</t>
        </is>
      </c>
      <c r="B224" s="14" t="inlineStr">
        <is>
          <t>Beldar</t>
        </is>
      </c>
      <c r="C224" s="13" t="inlineStr">
        <is>
          <t>day</t>
        </is>
      </c>
      <c r="D224" s="15" t="n">
        <v>6</v>
      </c>
      <c r="E224" s="16" t="n">
        <v>558</v>
      </c>
      <c r="F224" s="16">
        <f>D224*E224</f>
        <v/>
      </c>
    </row>
    <row r="225">
      <c r="A225" s="13" t="inlineStr">
        <is>
          <t>9999</t>
        </is>
      </c>
      <c r="B225" s="14" t="inlineStr">
        <is>
          <t>Shuttering oil</t>
        </is>
      </c>
      <c r="C225" s="13" t="inlineStr">
        <is>
          <t>L.S.</t>
        </is>
      </c>
      <c r="D225" s="15" t="n">
        <v>78</v>
      </c>
      <c r="E225" s="16" t="n">
        <v>2</v>
      </c>
      <c r="F225" s="16">
        <f>D225*E225</f>
        <v/>
      </c>
    </row>
    <row r="226">
      <c r="A226" s="13" t="inlineStr">
        <is>
          <t>9999</t>
        </is>
      </c>
      <c r="B226" s="14" t="inlineStr">
        <is>
          <t>Sundries, paper tap etc.</t>
        </is>
      </c>
      <c r="C226" s="13" t="inlineStr">
        <is>
          <t>L.S.</t>
        </is>
      </c>
      <c r="D226" s="15" t="n">
        <v>49.7</v>
      </c>
      <c r="E226" s="16" t="n">
        <v>2</v>
      </c>
      <c r="F226" s="16">
        <f>D226*E226</f>
        <v/>
      </c>
    </row>
    <row r="227">
      <c r="A227" s="17" t="inlineStr">
        <is>
          <t>Resource Total (Material + Labour + Machinery, as printed)</t>
        </is>
      </c>
      <c r="B227" s="18" t="n"/>
      <c r="C227" s="18" t="n"/>
      <c r="D227" s="18" t="n"/>
      <c r="E227" s="18" t="n"/>
      <c r="F227" s="19">
        <f>SUM(F218:F226)</f>
        <v/>
      </c>
    </row>
    <row r="228">
      <c r="A228" s="20" t="inlineStr">
        <is>
          <t>SAY (Rs.) — final DAR rate</t>
        </is>
      </c>
      <c r="B228" s="21" t="n"/>
      <c r="C228" s="21" t="n"/>
      <c r="D228" s="21" t="n"/>
      <c r="E228" s="21" t="n"/>
      <c r="F228" s="22" t="n">
        <v>693.05</v>
      </c>
    </row>
    <row r="230" ht="28" customHeight="1">
      <c r="A230" s="9" t="inlineStr">
        <is>
          <t>5.9.5</t>
        </is>
      </c>
      <c r="B230" s="10" t="inlineStr">
        <is>
          <t xml:space="preserve">Lintels, beams, plinth beams, girders, bressumers and cantilevers Consider a beam of 6 m clear span, 0.50 m deep 0.30 m wide and height 3.5 </t>
        </is>
      </c>
      <c r="C230" s="11" t="n"/>
      <c r="D230" s="11" t="n"/>
      <c r="E230" s="11" t="n"/>
      <c r="F230" s="11" t="n"/>
    </row>
    <row r="231">
      <c r="A231" s="12" t="inlineStr">
        <is>
          <t>Rate basis: per nos  (source: cost for 1 nos)</t>
        </is>
      </c>
    </row>
    <row r="232">
      <c r="A232" s="5" t="inlineStr">
        <is>
          <t>Code</t>
        </is>
      </c>
      <c r="B232" s="5" t="inlineStr">
        <is>
          <t>Description</t>
        </is>
      </c>
      <c r="C232" s="5" t="inlineStr">
        <is>
          <t>Unit</t>
        </is>
      </c>
      <c r="D232" s="5" t="inlineStr">
        <is>
          <t>Quantity</t>
        </is>
      </c>
      <c r="E232" s="5" t="inlineStr">
        <is>
          <t>Rate (Rs.)</t>
        </is>
      </c>
      <c r="F232" s="5" t="inlineStr">
        <is>
          <t>Amount (Rs.)</t>
        </is>
      </c>
    </row>
    <row r="233">
      <c r="A233" s="13" t="inlineStr">
        <is>
          <t>10.1</t>
        </is>
      </c>
      <c r="B233" s="14" t="inlineStr">
        <is>
          <t>Rate as per SH: 10.1</t>
        </is>
      </c>
      <c r="C233" s="13" t="inlineStr">
        <is>
          <t>kg</t>
        </is>
      </c>
      <c r="D233" s="15" t="n">
        <v>6.4356</v>
      </c>
      <c r="E233" s="16" t="n">
        <v>86.05</v>
      </c>
      <c r="F233" s="16">
        <f>D233*E233</f>
        <v/>
      </c>
    </row>
    <row r="234">
      <c r="A234" s="13" t="inlineStr">
        <is>
          <t>7343</t>
        </is>
      </c>
      <c r="B234" s="14" t="inlineStr">
        <is>
          <t>Adjustable telescopic prop 3 m (2.02-3.75 m)</t>
        </is>
      </c>
      <c r="C234" s="13" t="inlineStr">
        <is>
          <t>each</t>
        </is>
      </c>
      <c r="D234" s="15" t="n">
        <v>0.1275</v>
      </c>
      <c r="E234" s="16" t="n">
        <v>955</v>
      </c>
      <c r="F234" s="16">
        <f>D234*E234</f>
        <v/>
      </c>
    </row>
    <row r="235">
      <c r="A235" s="13" t="inlineStr">
        <is>
          <t>7344</t>
        </is>
      </c>
      <c r="B235" s="14" t="inlineStr">
        <is>
          <t>Beam clamp 300-380 mm (450-1070 mm) each</t>
        </is>
      </c>
      <c r="C235" s="13" t="inlineStr">
        <is>
          <t>set</t>
        </is>
      </c>
      <c r="D235" s="15" t="n">
        <v>0.1063</v>
      </c>
      <c r="E235" s="16" t="n">
        <v>355</v>
      </c>
      <c r="F235" s="16">
        <f>D235*E235</f>
        <v/>
      </c>
    </row>
    <row r="236">
      <c r="A236" s="13" t="inlineStr">
        <is>
          <t>9999</t>
        </is>
      </c>
      <c r="B236" s="14" t="inlineStr">
        <is>
          <t>(iv) Assembly nut &amp; bolts etc.</t>
        </is>
      </c>
      <c r="C236" s="13" t="inlineStr">
        <is>
          <t>L.S.</t>
        </is>
      </c>
      <c r="D236" s="15" t="n">
        <v>22.1</v>
      </c>
      <c r="E236" s="16" t="n">
        <v>2</v>
      </c>
      <c r="F236" s="16">
        <f>D236*E236</f>
        <v/>
      </c>
    </row>
    <row r="237">
      <c r="A237" s="13" t="inlineStr">
        <is>
          <t>9977</t>
        </is>
      </c>
      <c r="B237" s="14" t="inlineStr">
        <is>
          <t>Carriage</t>
        </is>
      </c>
      <c r="C237" s="13" t="inlineStr">
        <is>
          <t>L.S.</t>
        </is>
      </c>
      <c r="D237" s="15" t="n">
        <v>78</v>
      </c>
      <c r="E237" s="16" t="n">
        <v>2</v>
      </c>
      <c r="F237" s="16">
        <f>D237*E237</f>
        <v/>
      </c>
    </row>
    <row r="238">
      <c r="A238" s="13" t="inlineStr">
        <is>
          <t>0116</t>
        </is>
      </c>
      <c r="B238" s="14" t="inlineStr">
        <is>
          <t>Fitter (grade 1)</t>
        </is>
      </c>
      <c r="C238" s="13" t="inlineStr">
        <is>
          <t>day</t>
        </is>
      </c>
      <c r="D238" s="15" t="n">
        <v>1.25</v>
      </c>
      <c r="E238" s="16" t="n">
        <v>738</v>
      </c>
      <c r="F238" s="16">
        <f>D238*E238</f>
        <v/>
      </c>
    </row>
    <row r="239">
      <c r="A239" s="13" t="inlineStr">
        <is>
          <t>0114</t>
        </is>
      </c>
      <c r="B239" s="14" t="inlineStr">
        <is>
          <t>Beldar</t>
        </is>
      </c>
      <c r="C239" s="13" t="inlineStr">
        <is>
          <t>day</t>
        </is>
      </c>
      <c r="D239" s="15" t="n">
        <v>2.5</v>
      </c>
      <c r="E239" s="16" t="n">
        <v>558</v>
      </c>
      <c r="F239" s="16">
        <f>D239*E239</f>
        <v/>
      </c>
    </row>
    <row r="240">
      <c r="A240" s="13" t="inlineStr">
        <is>
          <t>9999</t>
        </is>
      </c>
      <c r="B240" s="14" t="inlineStr">
        <is>
          <t>Shuttering oil</t>
        </is>
      </c>
      <c r="C240" s="13" t="inlineStr">
        <is>
          <t>L.S.</t>
        </is>
      </c>
      <c r="D240" s="15" t="n">
        <v>39</v>
      </c>
      <c r="E240" s="16" t="n">
        <v>2</v>
      </c>
      <c r="F240" s="16">
        <f>D240*E240</f>
        <v/>
      </c>
    </row>
    <row r="241">
      <c r="A241" s="13" t="inlineStr">
        <is>
          <t>9999</t>
        </is>
      </c>
      <c r="B241" s="14" t="inlineStr">
        <is>
          <t>Sundries, paper tape etc.</t>
        </is>
      </c>
      <c r="C241" s="13" t="inlineStr">
        <is>
          <t>L.S.</t>
        </is>
      </c>
      <c r="D241" s="15" t="n">
        <v>24.61</v>
      </c>
      <c r="E241" s="16" t="n">
        <v>2</v>
      </c>
      <c r="F241" s="16">
        <f>D241*E241</f>
        <v/>
      </c>
    </row>
    <row r="242">
      <c r="A242" s="17" t="inlineStr">
        <is>
          <t>Resource Total (Material + Labour + Machinery, as printed)</t>
        </is>
      </c>
      <c r="B242" s="18" t="n"/>
      <c r="C242" s="18" t="n"/>
      <c r="D242" s="18" t="n"/>
      <c r="E242" s="18" t="n"/>
      <c r="F242" s="19">
        <f>SUM(F233:F241)</f>
        <v/>
      </c>
    </row>
    <row r="243">
      <c r="A243" s="20" t="inlineStr">
        <is>
          <t>SAY (Rs.) — final DAR rate</t>
        </is>
      </c>
      <c r="B243" s="21" t="n"/>
      <c r="C243" s="21" t="n"/>
      <c r="D243" s="21" t="n"/>
      <c r="E243" s="21" t="n"/>
      <c r="F243" s="22" t="n">
        <v>552.05</v>
      </c>
    </row>
    <row r="245" ht="18" customHeight="1">
      <c r="A245" s="9" t="inlineStr">
        <is>
          <t>5.9.6</t>
        </is>
      </c>
      <c r="B245" s="10" t="inlineStr">
        <is>
          <t>Columns, Pillars, Piers, Abutments, Posts and Struts</t>
        </is>
      </c>
      <c r="C245" s="11" t="n"/>
      <c r="D245" s="11" t="n"/>
      <c r="E245" s="11" t="n"/>
      <c r="F245" s="11" t="n"/>
    </row>
    <row r="246">
      <c r="A246" s="12" t="inlineStr">
        <is>
          <t>Rate basis: per sqm  (source: cost for 4.5 sqm)</t>
        </is>
      </c>
    </row>
    <row r="247">
      <c r="A247" s="5" t="inlineStr">
        <is>
          <t>Code</t>
        </is>
      </c>
      <c r="B247" s="5" t="inlineStr">
        <is>
          <t>Description</t>
        </is>
      </c>
      <c r="C247" s="5" t="inlineStr">
        <is>
          <t>Unit</t>
        </is>
      </c>
      <c r="D247" s="5" t="inlineStr">
        <is>
          <t>Quantity</t>
        </is>
      </c>
      <c r="E247" s="5" t="inlineStr">
        <is>
          <t>Rate (Rs.)</t>
        </is>
      </c>
      <c r="F247" s="5" t="inlineStr">
        <is>
          <t>Amount (Rs.)</t>
        </is>
      </c>
    </row>
    <row r="248">
      <c r="A248" s="13" t="inlineStr">
        <is>
          <t>7331</t>
        </is>
      </c>
      <c r="B248" s="14" t="inlineStr">
        <is>
          <t>Wall form panel 1250x450 mm</t>
        </is>
      </c>
      <c r="C248" s="13" t="inlineStr">
        <is>
          <t>each</t>
        </is>
      </c>
      <c r="D248" s="15" t="n">
        <v>0.17</v>
      </c>
      <c r="E248" s="16" t="n">
        <v>860</v>
      </c>
      <c r="F248" s="16">
        <f>D248*E248</f>
        <v/>
      </c>
    </row>
    <row r="249">
      <c r="A249" s="13" t="inlineStr">
        <is>
          <t>7332</t>
        </is>
      </c>
      <c r="B249" s="14" t="inlineStr">
        <is>
          <t>Corner angle 45x45x5 m 2.50 m long</t>
        </is>
      </c>
      <c r="C249" s="13" t="inlineStr">
        <is>
          <t>each</t>
        </is>
      </c>
      <c r="D249" s="15" t="n">
        <v>0.08500000000000001</v>
      </c>
      <c r="E249" s="16" t="n">
        <v>255</v>
      </c>
      <c r="F249" s="16">
        <f>D249*E249</f>
        <v/>
      </c>
    </row>
    <row r="250">
      <c r="A250" s="13" t="inlineStr">
        <is>
          <t>7333</t>
        </is>
      </c>
      <c r="B250" s="14" t="inlineStr">
        <is>
          <t>Column clamp 450x1070 m</t>
        </is>
      </c>
      <c r="C250" s="13" t="inlineStr">
        <is>
          <t>each</t>
        </is>
      </c>
      <c r="D250" s="15" t="n">
        <v>0.1063</v>
      </c>
      <c r="E250" s="16" t="n">
        <v>965</v>
      </c>
      <c r="F250" s="16">
        <f>D250*E250</f>
        <v/>
      </c>
    </row>
    <row r="251">
      <c r="A251" s="13" t="inlineStr">
        <is>
          <t>7334</t>
        </is>
      </c>
      <c r="B251" s="14" t="inlineStr">
        <is>
          <t>Prop 2 m ( 2-3.5m)</t>
        </is>
      </c>
      <c r="C251" s="13" t="inlineStr">
        <is>
          <t>each</t>
        </is>
      </c>
      <c r="D251" s="15" t="n">
        <v>0.08500000000000001</v>
      </c>
      <c r="E251" s="16" t="n">
        <v>635</v>
      </c>
      <c r="F251" s="16">
        <f>D251*E251</f>
        <v/>
      </c>
    </row>
    <row r="252">
      <c r="A252" s="13" t="inlineStr">
        <is>
          <t>9999</t>
        </is>
      </c>
      <c r="B252" s="14" t="inlineStr">
        <is>
          <t>Assembly nut &amp; bolt</t>
        </is>
      </c>
      <c r="C252" s="13" t="inlineStr">
        <is>
          <t>L.S.</t>
        </is>
      </c>
      <c r="D252" s="15" t="n">
        <v>27.62</v>
      </c>
      <c r="E252" s="16" t="n">
        <v>2</v>
      </c>
      <c r="F252" s="16">
        <f>D252*E252</f>
        <v/>
      </c>
    </row>
    <row r="253">
      <c r="A253" s="13" t="inlineStr">
        <is>
          <t>9977</t>
        </is>
      </c>
      <c r="B253" s="14" t="inlineStr">
        <is>
          <t>Carriage</t>
        </is>
      </c>
      <c r="C253" s="13" t="inlineStr">
        <is>
          <t>L.S.</t>
        </is>
      </c>
      <c r="D253" s="15" t="n">
        <v>52</v>
      </c>
      <c r="E253" s="16" t="n">
        <v>2</v>
      </c>
      <c r="F253" s="16">
        <f>D253*E253</f>
        <v/>
      </c>
    </row>
    <row r="254">
      <c r="A254" s="13" t="inlineStr">
        <is>
          <t>0116</t>
        </is>
      </c>
      <c r="B254" s="14" t="inlineStr">
        <is>
          <t>Fitter (grade 1)</t>
        </is>
      </c>
      <c r="C254" s="13" t="inlineStr">
        <is>
          <t>day</t>
        </is>
      </c>
      <c r="D254" s="15" t="n">
        <v>1</v>
      </c>
      <c r="E254" s="16" t="n">
        <v>738</v>
      </c>
      <c r="F254" s="16">
        <f>D254*E254</f>
        <v/>
      </c>
    </row>
    <row r="255">
      <c r="A255" s="13" t="inlineStr">
        <is>
          <t>0114</t>
        </is>
      </c>
      <c r="B255" s="14" t="inlineStr">
        <is>
          <t>Beldar</t>
        </is>
      </c>
      <c r="C255" s="13" t="inlineStr">
        <is>
          <t>day</t>
        </is>
      </c>
      <c r="D255" s="15" t="n">
        <v>2</v>
      </c>
      <c r="E255" s="16" t="n">
        <v>558</v>
      </c>
      <c r="F255" s="16">
        <f>D255*E255</f>
        <v/>
      </c>
    </row>
    <row r="256">
      <c r="A256" s="13" t="inlineStr">
        <is>
          <t>9999</t>
        </is>
      </c>
      <c r="B256" s="14" t="inlineStr">
        <is>
          <t>Shuttering oil</t>
        </is>
      </c>
      <c r="C256" s="13" t="inlineStr">
        <is>
          <t>L.S.</t>
        </is>
      </c>
      <c r="D256" s="15" t="n">
        <v>39</v>
      </c>
      <c r="E256" s="16" t="n">
        <v>2</v>
      </c>
      <c r="F256" s="16">
        <f>D256*E256</f>
        <v/>
      </c>
    </row>
    <row r="257">
      <c r="A257" s="13" t="inlineStr">
        <is>
          <t>9977</t>
        </is>
      </c>
      <c r="B257" s="14" t="inlineStr">
        <is>
          <t>Carriage</t>
        </is>
      </c>
      <c r="C257" s="13" t="inlineStr">
        <is>
          <t>L.S.</t>
        </is>
      </c>
      <c r="D257" s="15" t="n">
        <v>26</v>
      </c>
      <c r="E257" s="16" t="n">
        <v>2</v>
      </c>
      <c r="F257" s="16">
        <f>D257*E257</f>
        <v/>
      </c>
    </row>
    <row r="258">
      <c r="A258" s="17" t="inlineStr">
        <is>
          <t>Resource Total (Material + Labour + Machinery, as printed)</t>
        </is>
      </c>
      <c r="B258" s="18" t="n"/>
      <c r="C258" s="18" t="n"/>
      <c r="D258" s="18" t="n"/>
      <c r="E258" s="18" t="n"/>
      <c r="F258" s="19">
        <f>SUM(F248:F257)</f>
        <v/>
      </c>
    </row>
    <row r="259">
      <c r="A259" s="20" t="inlineStr">
        <is>
          <t>SAY (Rs.) — final DAR rate</t>
        </is>
      </c>
      <c r="B259" s="21" t="n"/>
      <c r="C259" s="21" t="n"/>
      <c r="D259" s="21" t="n"/>
      <c r="E259" s="21" t="n"/>
      <c r="F259" s="22" t="n">
        <v>733.7</v>
      </c>
    </row>
    <row r="261" ht="18" customHeight="1">
      <c r="A261" s="9" t="inlineStr">
        <is>
          <t>5.9.7</t>
        </is>
      </c>
      <c r="B261" s="10" t="inlineStr">
        <is>
          <t>Stairs, (excluding landings) except spiral-staircases</t>
        </is>
      </c>
      <c r="C261" s="11" t="n"/>
      <c r="D261" s="11" t="n"/>
      <c r="E261" s="11" t="n"/>
      <c r="F261" s="11" t="n"/>
    </row>
    <row r="262">
      <c r="A262" s="12" t="inlineStr">
        <is>
          <t>Rate basis: per sqm  (source: cost for 5.79 sqm)</t>
        </is>
      </c>
    </row>
    <row r="263">
      <c r="A263" s="5" t="inlineStr">
        <is>
          <t>Code</t>
        </is>
      </c>
      <c r="B263" s="5" t="inlineStr">
        <is>
          <t>Description</t>
        </is>
      </c>
      <c r="C263" s="5" t="inlineStr">
        <is>
          <t>Unit</t>
        </is>
      </c>
      <c r="D263" s="5" t="inlineStr">
        <is>
          <t>Quantity</t>
        </is>
      </c>
      <c r="E263" s="5" t="inlineStr">
        <is>
          <t>Rate (Rs.)</t>
        </is>
      </c>
      <c r="F263" s="5" t="inlineStr">
        <is>
          <t>Amount (Rs.)</t>
        </is>
      </c>
    </row>
    <row r="264">
      <c r="A264" s="13" t="inlineStr">
        <is>
          <t>0302</t>
        </is>
      </c>
      <c r="B264" s="14" t="inlineStr">
        <is>
          <t>Safeda ballies 125 mm diameter</t>
        </is>
      </c>
      <c r="C264" s="13" t="inlineStr">
        <is>
          <t>metre</t>
        </is>
      </c>
      <c r="D264" s="15" t="n">
        <v>0.8</v>
      </c>
      <c r="E264" s="16" t="n">
        <v>40</v>
      </c>
      <c r="F264" s="16">
        <f>D264*E264</f>
        <v/>
      </c>
    </row>
    <row r="265">
      <c r="A265" s="13" t="inlineStr">
        <is>
          <t>2204</t>
        </is>
      </c>
      <c r="B265" s="14" t="inlineStr">
        <is>
          <t>Carriage of Timber</t>
        </is>
      </c>
      <c r="C265" s="13" t="inlineStr">
        <is>
          <t>cum</t>
        </is>
      </c>
      <c r="D265" s="15" t="n">
        <v>0.04363</v>
      </c>
      <c r="E265" s="16" t="n">
        <v>118.59</v>
      </c>
      <c r="F265" s="16">
        <f>D265*E265</f>
        <v/>
      </c>
    </row>
    <row r="266">
      <c r="A266" s="13" t="inlineStr">
        <is>
          <t>0112</t>
        </is>
      </c>
      <c r="B266" s="14" t="inlineStr">
        <is>
          <t>Carpenter 2nd class</t>
        </is>
      </c>
      <c r="C266" s="13" t="inlineStr">
        <is>
          <t>day</t>
        </is>
      </c>
      <c r="D266" s="15" t="n">
        <v>1.75</v>
      </c>
      <c r="E266" s="16" t="n">
        <v>679</v>
      </c>
      <c r="F266" s="16">
        <f>D266*E266</f>
        <v/>
      </c>
    </row>
    <row r="267">
      <c r="A267" s="13" t="inlineStr">
        <is>
          <t>0114</t>
        </is>
      </c>
      <c r="B267" s="14" t="inlineStr">
        <is>
          <t>Beldar</t>
        </is>
      </c>
      <c r="C267" s="13" t="inlineStr">
        <is>
          <t>day</t>
        </is>
      </c>
      <c r="D267" s="15" t="n">
        <v>1</v>
      </c>
      <c r="E267" s="16" t="n">
        <v>558</v>
      </c>
      <c r="F267" s="16">
        <f>D267*E267</f>
        <v/>
      </c>
    </row>
    <row r="268">
      <c r="A268" s="13" t="inlineStr">
        <is>
          <t>9999</t>
        </is>
      </c>
      <c r="B268" s="14" t="inlineStr">
        <is>
          <t>Sundries</t>
        </is>
      </c>
      <c r="C268" s="13" t="inlineStr">
        <is>
          <t>L.S.</t>
        </is>
      </c>
      <c r="D268" s="15" t="n">
        <v>16.12</v>
      </c>
      <c r="E268" s="16" t="n">
        <v>2</v>
      </c>
      <c r="F268" s="16">
        <f>D268*E268</f>
        <v/>
      </c>
    </row>
    <row r="269">
      <c r="A269" s="17" t="inlineStr">
        <is>
          <t>Resource Total (Material + Labour + Machinery, as printed)</t>
        </is>
      </c>
      <c r="B269" s="18" t="n"/>
      <c r="C269" s="18" t="n"/>
      <c r="D269" s="18" t="n"/>
      <c r="E269" s="18" t="n"/>
      <c r="F269" s="19">
        <f>SUM(F264:F268)</f>
        <v/>
      </c>
    </row>
    <row r="270">
      <c r="A270" s="20" t="inlineStr">
        <is>
          <t>SAY (Rs.) — final DAR rate</t>
        </is>
      </c>
      <c r="B270" s="21" t="n"/>
      <c r="C270" s="21" t="n"/>
      <c r="D270" s="21" t="n"/>
      <c r="E270" s="21" t="n"/>
      <c r="F270" s="22" t="n">
        <v>622.35</v>
      </c>
    </row>
    <row r="272" ht="18" customHeight="1">
      <c r="A272" s="9" t="inlineStr">
        <is>
          <t>5.9.8</t>
        </is>
      </c>
      <c r="B272" s="10" t="inlineStr">
        <is>
          <t>Spiral staircases (including landing)</t>
        </is>
      </c>
      <c r="C272" s="11" t="n"/>
      <c r="D272" s="11" t="n"/>
      <c r="E272" s="11" t="n"/>
      <c r="F272" s="11" t="n"/>
    </row>
    <row r="273">
      <c r="A273" s="12" t="inlineStr">
        <is>
          <t>Rate basis: per sqm  (source: cost for 6.28 sqm)</t>
        </is>
      </c>
    </row>
    <row r="274">
      <c r="A274" s="5" t="inlineStr">
        <is>
          <t>Code</t>
        </is>
      </c>
      <c r="B274" s="5" t="inlineStr">
        <is>
          <t>Description</t>
        </is>
      </c>
      <c r="C274" s="5" t="inlineStr">
        <is>
          <t>Unit</t>
        </is>
      </c>
      <c r="D274" s="5" t="inlineStr">
        <is>
          <t>Quantity</t>
        </is>
      </c>
      <c r="E274" s="5" t="inlineStr">
        <is>
          <t>Rate (Rs.)</t>
        </is>
      </c>
      <c r="F274" s="5" t="inlineStr">
        <is>
          <t>Amount (Rs.)</t>
        </is>
      </c>
    </row>
    <row r="275">
      <c r="A275" s="13" t="inlineStr">
        <is>
          <t>5.9.5</t>
        </is>
      </c>
      <c r="B275" s="14" t="inlineStr">
        <is>
          <t>Rate as per SH: 5.9.5</t>
        </is>
      </c>
      <c r="C275" s="13" t="inlineStr">
        <is>
          <t>sqm</t>
        </is>
      </c>
      <c r="D275" s="15" t="n">
        <v>1.4</v>
      </c>
      <c r="E275" s="16" t="n">
        <v>552.05</v>
      </c>
      <c r="F275" s="16">
        <f>D275*E275</f>
        <v/>
      </c>
    </row>
    <row r="276">
      <c r="A276" s="13" t="inlineStr">
        <is>
          <t>5.9.2</t>
        </is>
      </c>
      <c r="B276" s="14" t="inlineStr">
        <is>
          <t>Rate as per SH: 5.9.2</t>
        </is>
      </c>
      <c r="C276" s="13" t="inlineStr">
        <is>
          <t>sqm</t>
        </is>
      </c>
      <c r="D276" s="15" t="n">
        <v>3.22</v>
      </c>
      <c r="E276" s="16" t="n">
        <v>609.3</v>
      </c>
      <c r="F276" s="16">
        <f>D276*E276</f>
        <v/>
      </c>
    </row>
    <row r="277">
      <c r="A277" s="13" t="inlineStr">
        <is>
          <t>5.9.7</t>
        </is>
      </c>
      <c r="B277" s="14" t="inlineStr">
        <is>
          <t>Rate as per SH: 5.9.7</t>
        </is>
      </c>
      <c r="C277" s="13" t="inlineStr">
        <is>
          <t>sqm</t>
        </is>
      </c>
      <c r="D277" s="15" t="n">
        <v>1.66</v>
      </c>
      <c r="E277" s="16" t="n">
        <v>622.35</v>
      </c>
      <c r="F277" s="16">
        <f>D277*E277</f>
        <v/>
      </c>
    </row>
    <row r="278">
      <c r="A278" s="17" t="inlineStr">
        <is>
          <t>Resource Total (Material + Labour + Machinery, as printed)</t>
        </is>
      </c>
      <c r="B278" s="18" t="n"/>
      <c r="C278" s="18" t="n"/>
      <c r="D278" s="18" t="n"/>
      <c r="E278" s="18" t="n"/>
      <c r="F278" s="19">
        <f>SUM(F275:F277)</f>
        <v/>
      </c>
    </row>
    <row r="279">
      <c r="A279" s="20" t="inlineStr">
        <is>
          <t>SAY (Rs.) — final DAR rate</t>
        </is>
      </c>
      <c r="B279" s="21" t="n"/>
      <c r="C279" s="21" t="n"/>
      <c r="D279" s="21" t="n"/>
      <c r="E279" s="21" t="n"/>
      <c r="F279" s="22" t="n">
        <v>600</v>
      </c>
    </row>
    <row r="281" ht="18" customHeight="1">
      <c r="A281" s="9" t="inlineStr">
        <is>
          <t>5.9.9</t>
        </is>
      </c>
      <c r="B281" s="10" t="inlineStr">
        <is>
          <t>Arches, domes, vaults up to 6 m span</t>
        </is>
      </c>
      <c r="C281" s="11" t="n"/>
      <c r="D281" s="11" t="n"/>
      <c r="E281" s="11" t="n"/>
      <c r="F281" s="11" t="n"/>
    </row>
    <row r="282">
      <c r="A282" s="12" t="inlineStr">
        <is>
          <t>Rate basis: per 2  (source: cost for 2 2)</t>
        </is>
      </c>
    </row>
    <row r="283">
      <c r="A283" s="5" t="inlineStr">
        <is>
          <t>Code</t>
        </is>
      </c>
      <c r="B283" s="5" t="inlineStr">
        <is>
          <t>Description</t>
        </is>
      </c>
      <c r="C283" s="5" t="inlineStr">
        <is>
          <t>Unit</t>
        </is>
      </c>
      <c r="D283" s="5" t="inlineStr">
        <is>
          <t>Quantity</t>
        </is>
      </c>
      <c r="E283" s="5" t="inlineStr">
        <is>
          <t>Rate (Rs.)</t>
        </is>
      </c>
      <c r="F283" s="5" t="inlineStr">
        <is>
          <t>Amount (Rs.)</t>
        </is>
      </c>
    </row>
    <row r="284">
      <c r="A284" s="13" t="inlineStr">
        <is>
          <t>0302</t>
        </is>
      </c>
      <c r="B284" s="14" t="inlineStr">
        <is>
          <t>Safeda ballies 125 mm diameter</t>
        </is>
      </c>
      <c r="C284" s="13" t="inlineStr">
        <is>
          <t>metre</t>
        </is>
      </c>
      <c r="D284" s="15" t="n">
        <v>12.6</v>
      </c>
      <c r="E284" s="16" t="n">
        <v>40</v>
      </c>
      <c r="F284" s="16">
        <f>D284*E284</f>
        <v/>
      </c>
    </row>
    <row r="285">
      <c r="A285" s="13" t="inlineStr">
        <is>
          <t>0992</t>
        </is>
      </c>
      <c r="B285" s="14" t="inlineStr">
        <is>
          <t>Galvanised steel plain sheets</t>
        </is>
      </c>
      <c r="C285" s="13" t="inlineStr">
        <is>
          <t>quintal</t>
        </is>
      </c>
      <c r="D285" s="15" t="n">
        <v>0.145</v>
      </c>
      <c r="E285" s="16" t="n">
        <v>5000</v>
      </c>
      <c r="F285" s="16">
        <f>D285*E285</f>
        <v/>
      </c>
    </row>
    <row r="286">
      <c r="A286" s="13" t="inlineStr">
        <is>
          <t>2204</t>
        </is>
      </c>
      <c r="B286" s="14" t="inlineStr">
        <is>
          <t>Carriage of Timber</t>
        </is>
      </c>
      <c r="C286" s="13" t="inlineStr">
        <is>
          <t>cum</t>
        </is>
      </c>
      <c r="D286" s="15" t="n">
        <v>0.4112</v>
      </c>
      <c r="E286" s="16" t="n">
        <v>118.59</v>
      </c>
      <c r="F286" s="16">
        <f>D286*E286</f>
        <v/>
      </c>
    </row>
    <row r="287">
      <c r="A287" s="13" t="inlineStr">
        <is>
          <t>2302</t>
        </is>
      </c>
      <c r="B287" s="14" t="inlineStr">
        <is>
          <t>Carriage of G.I.sheet and accessories</t>
        </is>
      </c>
      <c r="C287" s="13" t="inlineStr">
        <is>
          <t>tonne</t>
        </is>
      </c>
      <c r="D287" s="15" t="n">
        <v>0.0145</v>
      </c>
      <c r="E287" s="16" t="n">
        <v>92.23999999999999</v>
      </c>
      <c r="F287" s="16">
        <f>D287*E287</f>
        <v/>
      </c>
    </row>
    <row r="288">
      <c r="A288" s="13" t="inlineStr">
        <is>
          <t>0112</t>
        </is>
      </c>
      <c r="B288" s="14" t="inlineStr">
        <is>
          <t>Carpenter 2nd class</t>
        </is>
      </c>
      <c r="C288" s="13" t="inlineStr">
        <is>
          <t>day</t>
        </is>
      </c>
      <c r="D288" s="15" t="n">
        <v>16</v>
      </c>
      <c r="E288" s="16" t="n">
        <v>679</v>
      </c>
      <c r="F288" s="16">
        <f>D288*E288</f>
        <v/>
      </c>
    </row>
    <row r="289">
      <c r="A289" s="13" t="inlineStr">
        <is>
          <t>0114</t>
        </is>
      </c>
      <c r="B289" s="14" t="inlineStr">
        <is>
          <t>Beldar</t>
        </is>
      </c>
      <c r="C289" s="13" t="inlineStr">
        <is>
          <t>day</t>
        </is>
      </c>
      <c r="D289" s="15" t="n">
        <v>13</v>
      </c>
      <c r="E289" s="16" t="n">
        <v>558</v>
      </c>
      <c r="F289" s="16">
        <f>D289*E289</f>
        <v/>
      </c>
    </row>
    <row r="290">
      <c r="A290" s="13" t="inlineStr">
        <is>
          <t>9999</t>
        </is>
      </c>
      <c r="B290" s="14" t="inlineStr">
        <is>
          <t>Sundries</t>
        </is>
      </c>
      <c r="C290" s="13" t="inlineStr">
        <is>
          <t>L.S.</t>
        </is>
      </c>
      <c r="D290" s="15" t="n">
        <v>11.7</v>
      </c>
      <c r="E290" s="16" t="n">
        <v>2</v>
      </c>
      <c r="F290" s="16">
        <f>D290*E290</f>
        <v/>
      </c>
    </row>
    <row r="291">
      <c r="A291" s="17" t="inlineStr">
        <is>
          <t>Resource Total (Material + Labour + Machinery, as printed)</t>
        </is>
      </c>
      <c r="B291" s="18" t="n"/>
      <c r="C291" s="18" t="n"/>
      <c r="D291" s="18" t="n"/>
      <c r="E291" s="18" t="n"/>
      <c r="F291" s="19">
        <f>SUM(F284:F290)</f>
        <v/>
      </c>
    </row>
    <row r="292">
      <c r="A292" s="20" t="inlineStr">
        <is>
          <t>SAY (Rs.) — final DAR rate</t>
        </is>
      </c>
      <c r="B292" s="21" t="n"/>
      <c r="C292" s="21" t="n"/>
      <c r="D292" s="21" t="n"/>
      <c r="E292" s="21" t="n"/>
      <c r="F292" s="22" t="n">
        <v>1713.2</v>
      </c>
    </row>
    <row r="294" ht="18" customHeight="1">
      <c r="A294" s="9" t="inlineStr">
        <is>
          <t>5.9.10</t>
        </is>
      </c>
      <c r="B294" s="10" t="inlineStr">
        <is>
          <t>Extra for arches, domes, vaults exceeding 6 m span</t>
        </is>
      </c>
      <c r="C294" s="11" t="n"/>
      <c r="D294" s="11" t="n"/>
      <c r="E294" s="11" t="n"/>
      <c r="F294" s="11" t="n"/>
    </row>
    <row r="295">
      <c r="A295" s="12" t="inlineStr">
        <is>
          <t>Rate basis: per sqm  (source: cost for 33.31 sqm)</t>
        </is>
      </c>
    </row>
    <row r="296">
      <c r="A296" s="5" t="inlineStr">
        <is>
          <t>Code</t>
        </is>
      </c>
      <c r="B296" s="5" t="inlineStr">
        <is>
          <t>Description</t>
        </is>
      </c>
      <c r="C296" s="5" t="inlineStr">
        <is>
          <t>Unit</t>
        </is>
      </c>
      <c r="D296" s="5" t="inlineStr">
        <is>
          <t>Quantity</t>
        </is>
      </c>
      <c r="E296" s="5" t="inlineStr">
        <is>
          <t>Rate (Rs.)</t>
        </is>
      </c>
      <c r="F296" s="5" t="inlineStr">
        <is>
          <t>Amount (Rs.)</t>
        </is>
      </c>
    </row>
    <row r="297">
      <c r="A297" s="13" t="inlineStr">
        <is>
          <t>2204</t>
        </is>
      </c>
      <c r="B297" s="14" t="inlineStr">
        <is>
          <t>Carriage of Timber</t>
        </is>
      </c>
      <c r="C297" s="13" t="inlineStr">
        <is>
          <t>cum</t>
        </is>
      </c>
      <c r="D297" s="15" t="n">
        <v>0.8879</v>
      </c>
      <c r="E297" s="16" t="n">
        <v>118.59</v>
      </c>
      <c r="F297" s="16">
        <f>D297*E297</f>
        <v/>
      </c>
    </row>
    <row r="298">
      <c r="A298" s="13" t="inlineStr">
        <is>
          <t>1225</t>
        </is>
      </c>
      <c r="B298" s="14" t="inlineStr">
        <is>
          <t>Mild steel flat strap fitting</t>
        </is>
      </c>
      <c r="C298" s="13" t="inlineStr">
        <is>
          <t>quintal</t>
        </is>
      </c>
      <c r="D298" s="15" t="n">
        <v>0.0878</v>
      </c>
      <c r="E298" s="16" t="n">
        <v>4120</v>
      </c>
      <c r="F298" s="16">
        <f>D298*E298</f>
        <v/>
      </c>
    </row>
    <row r="299">
      <c r="A299" s="13" t="inlineStr">
        <is>
          <t>1034</t>
        </is>
      </c>
      <c r="B299" s="14" t="inlineStr">
        <is>
          <t>Bolts and nuts upto 300 mm in length</t>
        </is>
      </c>
      <c r="C299" s="13" t="inlineStr">
        <is>
          <t>quintal</t>
        </is>
      </c>
      <c r="D299" s="15" t="n">
        <v>0.08</v>
      </c>
      <c r="E299" s="16" t="n">
        <v>4800</v>
      </c>
      <c r="F299" s="16">
        <f>D299*E299</f>
        <v/>
      </c>
    </row>
    <row r="300">
      <c r="A300" s="13" t="inlineStr">
        <is>
          <t>2302</t>
        </is>
      </c>
      <c r="B300" s="14" t="inlineStr">
        <is>
          <t>Carriage of G.I.sheet and accessories</t>
        </is>
      </c>
      <c r="C300" s="13" t="inlineStr">
        <is>
          <t>tonne</t>
        </is>
      </c>
      <c r="D300" s="15" t="n">
        <v>0.0168</v>
      </c>
      <c r="E300" s="16" t="n">
        <v>92.23999999999999</v>
      </c>
      <c r="F300" s="16">
        <f>D300*E300</f>
        <v/>
      </c>
    </row>
    <row r="301">
      <c r="A301" s="13" t="inlineStr">
        <is>
          <t>0112</t>
        </is>
      </c>
      <c r="B301" s="14" t="inlineStr">
        <is>
          <t>Carpenter 2nd class</t>
        </is>
      </c>
      <c r="C301" s="13" t="inlineStr">
        <is>
          <t>day</t>
        </is>
      </c>
      <c r="D301" s="15" t="n">
        <v>28</v>
      </c>
      <c r="E301" s="16" t="n">
        <v>679</v>
      </c>
      <c r="F301" s="16">
        <f>D301*E301</f>
        <v/>
      </c>
    </row>
    <row r="302">
      <c r="A302" s="13" t="inlineStr">
        <is>
          <t>0114</t>
        </is>
      </c>
      <c r="B302" s="14" t="inlineStr">
        <is>
          <t>Beldar</t>
        </is>
      </c>
      <c r="C302" s="13" t="inlineStr">
        <is>
          <t>day</t>
        </is>
      </c>
      <c r="D302" s="15" t="n">
        <v>24</v>
      </c>
      <c r="E302" s="16" t="n">
        <v>558</v>
      </c>
      <c r="F302" s="16">
        <f>D302*E302</f>
        <v/>
      </c>
    </row>
    <row r="303">
      <c r="A303" s="13" t="inlineStr">
        <is>
          <t>9999</t>
        </is>
      </c>
      <c r="B303" s="14" t="inlineStr">
        <is>
          <t>Sundries</t>
        </is>
      </c>
      <c r="C303" s="13" t="inlineStr">
        <is>
          <t>L.S.</t>
        </is>
      </c>
      <c r="D303" s="15" t="n">
        <v>134.55</v>
      </c>
      <c r="E303" s="16" t="n">
        <v>2</v>
      </c>
      <c r="F303" s="16">
        <f>D303*E303</f>
        <v/>
      </c>
    </row>
    <row r="304">
      <c r="A304" s="17" t="inlineStr">
        <is>
          <t>Resource Total (Material + Labour + Machinery, as printed)</t>
        </is>
      </c>
      <c r="B304" s="18" t="n"/>
      <c r="C304" s="18" t="n"/>
      <c r="D304" s="18" t="n"/>
      <c r="E304" s="18" t="n"/>
      <c r="F304" s="19">
        <f>SUM(F297:F303)</f>
        <v/>
      </c>
    </row>
    <row r="305">
      <c r="A305" s="20" t="inlineStr">
        <is>
          <t>SAY (Rs.) — final DAR rate</t>
        </is>
      </c>
      <c r="B305" s="21" t="n"/>
      <c r="C305" s="21" t="n"/>
      <c r="D305" s="21" t="n"/>
      <c r="E305" s="21" t="n"/>
      <c r="F305" s="22" t="n">
        <v>560.65</v>
      </c>
    </row>
    <row r="307" ht="18" customHeight="1">
      <c r="A307" s="9" t="inlineStr">
        <is>
          <t>5.9.11</t>
        </is>
      </c>
      <c r="B307" s="10" t="inlineStr">
        <is>
          <t>Chimneys and shafts</t>
        </is>
      </c>
      <c r="C307" s="11" t="n"/>
      <c r="D307" s="11" t="n"/>
      <c r="E307" s="11" t="n"/>
      <c r="F307" s="11" t="n"/>
    </row>
    <row r="308">
      <c r="A308" s="12" t="inlineStr">
        <is>
          <t>Rate basis: per nos  (source: cost for 1 nos)</t>
        </is>
      </c>
    </row>
    <row r="309">
      <c r="A309" s="5" t="inlineStr">
        <is>
          <t>Code</t>
        </is>
      </c>
      <c r="B309" s="5" t="inlineStr">
        <is>
          <t>Description</t>
        </is>
      </c>
      <c r="C309" s="5" t="inlineStr">
        <is>
          <t>Unit</t>
        </is>
      </c>
      <c r="D309" s="5" t="inlineStr">
        <is>
          <t>Quantity</t>
        </is>
      </c>
      <c r="E309" s="5" t="inlineStr">
        <is>
          <t>Rate (Rs.)</t>
        </is>
      </c>
      <c r="F309" s="5" t="inlineStr">
        <is>
          <t>Amount (Rs.)</t>
        </is>
      </c>
    </row>
    <row r="310">
      <c r="A310" s="13" t="inlineStr">
        <is>
          <t>7319</t>
        </is>
      </c>
      <c r="B310" s="14" t="inlineStr">
        <is>
          <t>Wall form panel 1250x500 mm</t>
        </is>
      </c>
      <c r="C310" s="13" t="inlineStr">
        <is>
          <t>each</t>
        </is>
      </c>
      <c r="D310" s="15" t="n">
        <v>0.51</v>
      </c>
      <c r="E310" s="16" t="n">
        <v>860</v>
      </c>
      <c r="F310" s="16">
        <f>D310*E310</f>
        <v/>
      </c>
    </row>
    <row r="311">
      <c r="A311" s="13" t="inlineStr">
        <is>
          <t>7327</t>
        </is>
      </c>
      <c r="B311" s="14" t="inlineStr">
        <is>
          <t>100 mm channel shoulder 2.5 m long</t>
        </is>
      </c>
      <c r="C311" s="13" t="inlineStr">
        <is>
          <t>each</t>
        </is>
      </c>
      <c r="D311" s="15" t="n">
        <v>0.17</v>
      </c>
      <c r="E311" s="16" t="n">
        <v>910</v>
      </c>
      <c r="F311" s="16">
        <f>D311*E311</f>
        <v/>
      </c>
    </row>
    <row r="312">
      <c r="A312" s="13" t="inlineStr">
        <is>
          <t>7328</t>
        </is>
      </c>
      <c r="B312" s="14" t="inlineStr">
        <is>
          <t>Double clip ( bridge clip)</t>
        </is>
      </c>
      <c r="C312" s="13" t="inlineStr">
        <is>
          <t>each</t>
        </is>
      </c>
      <c r="D312" s="15" t="n">
        <v>0.51</v>
      </c>
      <c r="E312" s="16" t="n">
        <v>76</v>
      </c>
      <c r="F312" s="16">
        <f>D312*E312</f>
        <v/>
      </c>
    </row>
    <row r="313">
      <c r="A313" s="13" t="inlineStr">
        <is>
          <t>7329</t>
        </is>
      </c>
      <c r="B313" s="14" t="inlineStr">
        <is>
          <t>Single clip</t>
        </is>
      </c>
      <c r="C313" s="13" t="inlineStr">
        <is>
          <t>each</t>
        </is>
      </c>
      <c r="D313" s="15" t="n">
        <v>0.255</v>
      </c>
      <c r="E313" s="16" t="n">
        <v>59</v>
      </c>
      <c r="F313" s="16">
        <f>D313*E313</f>
        <v/>
      </c>
    </row>
    <row r="314">
      <c r="A314" s="13" t="inlineStr">
        <is>
          <t>7330</t>
        </is>
      </c>
      <c r="B314" s="14" t="inlineStr">
        <is>
          <t>M.S. tube 40 mm dia</t>
        </is>
      </c>
      <c r="C314" s="13" t="inlineStr">
        <is>
          <t>metre</t>
        </is>
      </c>
      <c r="D314" s="15" t="n">
        <v>0.68</v>
      </c>
      <c r="E314" s="16" t="n">
        <v>215</v>
      </c>
      <c r="F314" s="16">
        <f>D314*E314</f>
        <v/>
      </c>
    </row>
    <row r="315">
      <c r="A315" s="13" t="inlineStr">
        <is>
          <t>9999</t>
        </is>
      </c>
      <c r="B315" s="14" t="inlineStr">
        <is>
          <t>Nut &amp; Bolts</t>
        </is>
      </c>
      <c r="C315" s="13" t="inlineStr">
        <is>
          <t>L.S.</t>
        </is>
      </c>
      <c r="D315" s="15" t="n">
        <v>27.63</v>
      </c>
      <c r="E315" s="16" t="n">
        <v>2</v>
      </c>
      <c r="F315" s="16">
        <f>D315*E315</f>
        <v/>
      </c>
    </row>
    <row r="316">
      <c r="A316" s="13" t="inlineStr">
        <is>
          <t>9977</t>
        </is>
      </c>
      <c r="B316" s="14" t="inlineStr">
        <is>
          <t>Carriage</t>
        </is>
      </c>
      <c r="C316" s="13" t="inlineStr">
        <is>
          <t>L.S.</t>
        </is>
      </c>
      <c r="D316" s="15" t="n">
        <v>78</v>
      </c>
      <c r="E316" s="16" t="n">
        <v>2</v>
      </c>
      <c r="F316" s="16">
        <f>D316*E316</f>
        <v/>
      </c>
    </row>
    <row r="317">
      <c r="A317" s="13" t="inlineStr">
        <is>
          <t>0116</t>
        </is>
      </c>
      <c r="B317" s="14" t="inlineStr">
        <is>
          <t>Fitter (grade 1)</t>
        </is>
      </c>
      <c r="C317" s="13" t="inlineStr">
        <is>
          <t>day</t>
        </is>
      </c>
      <c r="D317" s="15" t="n">
        <v>3.5</v>
      </c>
      <c r="E317" s="16" t="n">
        <v>738</v>
      </c>
      <c r="F317" s="16">
        <f>D317*E317</f>
        <v/>
      </c>
    </row>
    <row r="318">
      <c r="A318" s="13" t="inlineStr">
        <is>
          <t>0114</t>
        </is>
      </c>
      <c r="B318" s="14" t="inlineStr">
        <is>
          <t>Beldar</t>
        </is>
      </c>
      <c r="C318" s="13" t="inlineStr">
        <is>
          <t>day</t>
        </is>
      </c>
      <c r="D318" s="15" t="n">
        <v>6</v>
      </c>
      <c r="E318" s="16" t="n">
        <v>558</v>
      </c>
      <c r="F318" s="16">
        <f>D318*E318</f>
        <v/>
      </c>
    </row>
    <row r="319">
      <c r="A319" s="13" t="inlineStr">
        <is>
          <t>9999</t>
        </is>
      </c>
      <c r="B319" s="14" t="inlineStr">
        <is>
          <t>Shuttering oil</t>
        </is>
      </c>
      <c r="C319" s="13" t="inlineStr">
        <is>
          <t>L.S.</t>
        </is>
      </c>
      <c r="D319" s="15" t="n">
        <v>78</v>
      </c>
      <c r="E319" s="16" t="n">
        <v>2</v>
      </c>
      <c r="F319" s="16">
        <f>D319*E319</f>
        <v/>
      </c>
    </row>
    <row r="320">
      <c r="A320" s="13" t="inlineStr">
        <is>
          <t>9999</t>
        </is>
      </c>
      <c r="B320" s="14" t="inlineStr">
        <is>
          <t>Sundries</t>
        </is>
      </c>
      <c r="C320" s="13" t="inlineStr">
        <is>
          <t>L.S.</t>
        </is>
      </c>
      <c r="D320" s="15" t="n">
        <v>52</v>
      </c>
      <c r="E320" s="16" t="n">
        <v>2</v>
      </c>
      <c r="F320" s="16">
        <f>D320*E320</f>
        <v/>
      </c>
    </row>
    <row r="321">
      <c r="A321" s="17" t="inlineStr">
        <is>
          <t>Resource Total (Material + Labour + Machinery, as printed)</t>
        </is>
      </c>
      <c r="B321" s="18" t="n"/>
      <c r="C321" s="18" t="n"/>
      <c r="D321" s="18" t="n"/>
      <c r="E321" s="18" t="n"/>
      <c r="F321" s="19">
        <f>SUM(F310:F320)</f>
        <v/>
      </c>
    </row>
    <row r="322">
      <c r="A322" s="20" t="inlineStr">
        <is>
          <t>SAY (Rs.) — final DAR rate</t>
        </is>
      </c>
      <c r="B322" s="21" t="n"/>
      <c r="C322" s="21" t="n"/>
      <c r="D322" s="21" t="n"/>
      <c r="E322" s="21" t="n"/>
      <c r="F322" s="22" t="n">
        <v>609.3</v>
      </c>
    </row>
    <row r="324" ht="18" customHeight="1">
      <c r="A324" s="9" t="inlineStr">
        <is>
          <t>5.9.12</t>
        </is>
      </c>
      <c r="B324" s="10" t="inlineStr">
        <is>
          <t>Well steining</t>
        </is>
      </c>
      <c r="C324" s="11" t="n"/>
      <c r="D324" s="11" t="n"/>
      <c r="E324" s="11" t="n"/>
      <c r="F324" s="11" t="n"/>
    </row>
    <row r="325">
      <c r="A325" s="12" t="inlineStr">
        <is>
          <t>Rate basis: per nos  (source: cost for 1 nos)</t>
        </is>
      </c>
    </row>
    <row r="326">
      <c r="A326" s="5" t="inlineStr">
        <is>
          <t>Code</t>
        </is>
      </c>
      <c r="B326" s="5" t="inlineStr">
        <is>
          <t>Description</t>
        </is>
      </c>
      <c r="C326" s="5" t="inlineStr">
        <is>
          <t>Unit</t>
        </is>
      </c>
      <c r="D326" s="5" t="inlineStr">
        <is>
          <t>Quantity</t>
        </is>
      </c>
      <c r="E326" s="5" t="inlineStr">
        <is>
          <t>Rate (Rs.)</t>
        </is>
      </c>
      <c r="F326" s="5" t="inlineStr">
        <is>
          <t>Amount (Rs.)</t>
        </is>
      </c>
    </row>
    <row r="327">
      <c r="A327" s="13" t="inlineStr">
        <is>
          <t>0302</t>
        </is>
      </c>
      <c r="B327" s="14" t="inlineStr">
        <is>
          <t>Safeda ballies 125 mm diameter</t>
        </is>
      </c>
      <c r="C327" s="13" t="inlineStr">
        <is>
          <t>metre</t>
        </is>
      </c>
      <c r="D327" s="15" t="n">
        <v>6.625</v>
      </c>
      <c r="E327" s="16" t="n">
        <v>40</v>
      </c>
      <c r="F327" s="16">
        <f>D327*E327</f>
        <v/>
      </c>
    </row>
    <row r="328">
      <c r="A328" s="17" t="inlineStr">
        <is>
          <t>Resource Total (Material + Labour + Machinery, as printed)</t>
        </is>
      </c>
      <c r="B328" s="18" t="n"/>
      <c r="C328" s="18" t="n"/>
      <c r="D328" s="18" t="n"/>
      <c r="E328" s="18" t="n"/>
      <c r="F328" s="19">
        <f>SUM(F327:F327)</f>
        <v/>
      </c>
    </row>
    <row r="329">
      <c r="A329" s="20" t="inlineStr">
        <is>
          <t>SAY (Rs.) — final DAR rate</t>
        </is>
      </c>
      <c r="B329" s="21" t="n"/>
      <c r="C329" s="21" t="n"/>
      <c r="D329" s="21" t="n"/>
      <c r="E329" s="21" t="n"/>
      <c r="F329" s="22" t="n">
        <v>246.4</v>
      </c>
    </row>
    <row r="331" ht="28" customHeight="1">
      <c r="A331" s="9" t="inlineStr">
        <is>
          <t>5.9.13</t>
        </is>
      </c>
      <c r="B331" s="10" t="inlineStr">
        <is>
          <t>Vertical and horizontal fins individually or forming box louvers band, facias and eaves boards</t>
        </is>
      </c>
      <c r="C331" s="11" t="n"/>
      <c r="D331" s="11" t="n"/>
      <c r="E331" s="11" t="n"/>
      <c r="F331" s="11" t="n"/>
    </row>
    <row r="332">
      <c r="A332" s="12" t="inlineStr">
        <is>
          <t>Rate basis: per sqm  (source: cost for 23.9 sqm)</t>
        </is>
      </c>
    </row>
    <row r="333">
      <c r="A333" s="5" t="inlineStr">
        <is>
          <t>Code</t>
        </is>
      </c>
      <c r="B333" s="5" t="inlineStr">
        <is>
          <t>Description</t>
        </is>
      </c>
      <c r="C333" s="5" t="inlineStr">
        <is>
          <t>Unit</t>
        </is>
      </c>
      <c r="D333" s="5" t="inlineStr">
        <is>
          <t>Quantity</t>
        </is>
      </c>
      <c r="E333" s="5" t="inlineStr">
        <is>
          <t>Rate (Rs.)</t>
        </is>
      </c>
      <c r="F333" s="5" t="inlineStr">
        <is>
          <t>Amount (Rs.)</t>
        </is>
      </c>
    </row>
    <row r="334">
      <c r="A334" s="13" t="inlineStr">
        <is>
          <t>0302</t>
        </is>
      </c>
      <c r="B334" s="14" t="inlineStr">
        <is>
          <t>Safeda ballies 125 mm diameter</t>
        </is>
      </c>
      <c r="C334" s="13" t="inlineStr">
        <is>
          <t>metre</t>
        </is>
      </c>
      <c r="D334" s="15" t="n">
        <v>12.6</v>
      </c>
      <c r="E334" s="16" t="n">
        <v>40</v>
      </c>
      <c r="F334" s="16">
        <f>D334*E334</f>
        <v/>
      </c>
    </row>
    <row r="335">
      <c r="A335" s="13" t="inlineStr">
        <is>
          <t>2204</t>
        </is>
      </c>
      <c r="B335" s="14" t="inlineStr">
        <is>
          <t>Carriage of Timber</t>
        </is>
      </c>
      <c r="C335" s="13" t="inlineStr">
        <is>
          <t>cum</t>
        </is>
      </c>
      <c r="D335" s="15" t="n">
        <v>0.3076</v>
      </c>
      <c r="E335" s="16" t="n">
        <v>118.59</v>
      </c>
      <c r="F335" s="16">
        <f>D335*E335</f>
        <v/>
      </c>
    </row>
    <row r="336">
      <c r="A336" s="13" t="inlineStr">
        <is>
          <t>0112</t>
        </is>
      </c>
      <c r="B336" s="14" t="inlineStr">
        <is>
          <t>Carpenter 2nd class</t>
        </is>
      </c>
      <c r="C336" s="13" t="inlineStr">
        <is>
          <t>day</t>
        </is>
      </c>
      <c r="D336" s="15" t="n">
        <v>11</v>
      </c>
      <c r="E336" s="16" t="n">
        <v>679</v>
      </c>
      <c r="F336" s="16">
        <f>D336*E336</f>
        <v/>
      </c>
    </row>
    <row r="337">
      <c r="A337" s="13" t="inlineStr">
        <is>
          <t>0114</t>
        </is>
      </c>
      <c r="B337" s="14" t="inlineStr">
        <is>
          <t>Beldar</t>
        </is>
      </c>
      <c r="C337" s="13" t="inlineStr">
        <is>
          <t>day</t>
        </is>
      </c>
      <c r="D337" s="15" t="n">
        <v>11</v>
      </c>
      <c r="E337" s="16" t="n">
        <v>558</v>
      </c>
      <c r="F337" s="16">
        <f>D337*E337</f>
        <v/>
      </c>
    </row>
    <row r="338">
      <c r="A338" s="13" t="inlineStr">
        <is>
          <t>9999</t>
        </is>
      </c>
      <c r="B338" s="14" t="inlineStr">
        <is>
          <t>Sundries</t>
        </is>
      </c>
      <c r="C338" s="13" t="inlineStr">
        <is>
          <t>L.S.</t>
        </is>
      </c>
      <c r="D338" s="15" t="n">
        <v>80.73</v>
      </c>
      <c r="E338" s="16" t="n">
        <v>2</v>
      </c>
      <c r="F338" s="16">
        <f>D338*E338</f>
        <v/>
      </c>
    </row>
    <row r="339">
      <c r="A339" s="17" t="inlineStr">
        <is>
          <t>Resource Total (Material + Labour + Machinery, as printed)</t>
        </is>
      </c>
      <c r="B339" s="18" t="n"/>
      <c r="C339" s="18" t="n"/>
      <c r="D339" s="18" t="n"/>
      <c r="E339" s="18" t="n"/>
      <c r="F339" s="19">
        <f>SUM(F334:F338)</f>
        <v/>
      </c>
    </row>
    <row r="340">
      <c r="A340" s="20" t="inlineStr">
        <is>
          <t>SAY (Rs.) — final DAR rate</t>
        </is>
      </c>
      <c r="B340" s="21" t="n"/>
      <c r="C340" s="21" t="n"/>
      <c r="D340" s="21" t="n"/>
      <c r="E340" s="21" t="n"/>
      <c r="F340" s="22" t="n">
        <v>1023.55</v>
      </c>
    </row>
    <row r="342" ht="28" customHeight="1">
      <c r="A342" s="9" t="inlineStr">
        <is>
          <t>5.9.15</t>
        </is>
      </c>
      <c r="B342" s="10" t="inlineStr">
        <is>
          <t>Small lintels not exceeding 1.5 m clear span, moulding as in cornices, window sills, string courses, bands, copings, bed plates, anchor bloc</t>
        </is>
      </c>
      <c r="C342" s="11" t="n"/>
      <c r="D342" s="11" t="n"/>
      <c r="E342" s="11" t="n"/>
      <c r="F342" s="11" t="n"/>
    </row>
    <row r="343">
      <c r="A343" s="12" t="inlineStr">
        <is>
          <t>Rate basis: per sqm  (source: cost for 10.8 sqm)</t>
        </is>
      </c>
    </row>
    <row r="344">
      <c r="A344" s="5" t="inlineStr">
        <is>
          <t>Code</t>
        </is>
      </c>
      <c r="B344" s="5" t="inlineStr">
        <is>
          <t>Description</t>
        </is>
      </c>
      <c r="C344" s="5" t="inlineStr">
        <is>
          <t>Unit</t>
        </is>
      </c>
      <c r="D344" s="5" t="inlineStr">
        <is>
          <t>Quantity</t>
        </is>
      </c>
      <c r="E344" s="5" t="inlineStr">
        <is>
          <t>Rate (Rs.)</t>
        </is>
      </c>
      <c r="F344" s="5" t="inlineStr">
        <is>
          <t>Amount (Rs.)</t>
        </is>
      </c>
    </row>
    <row r="345">
      <c r="A345" s="13" t="inlineStr">
        <is>
          <t>7319</t>
        </is>
      </c>
      <c r="B345" s="14" t="inlineStr">
        <is>
          <t>Wall form panel 1250x500 mm</t>
        </is>
      </c>
      <c r="C345" s="13" t="inlineStr">
        <is>
          <t>each</t>
        </is>
      </c>
      <c r="D345" s="15" t="n">
        <v>0.34</v>
      </c>
      <c r="E345" s="16" t="n">
        <v>860</v>
      </c>
      <c r="F345" s="16">
        <f>D345*E345</f>
        <v/>
      </c>
    </row>
    <row r="346">
      <c r="A346" s="13" t="inlineStr">
        <is>
          <t>7326</t>
        </is>
      </c>
      <c r="B346" s="14" t="inlineStr">
        <is>
          <t>Corner angle 45x45x5 mm 1.50 m long</t>
        </is>
      </c>
      <c r="C346" s="13" t="inlineStr">
        <is>
          <t>each</t>
        </is>
      </c>
      <c r="D346" s="15" t="n">
        <v>0.08500000000000001</v>
      </c>
      <c r="E346" s="16" t="n">
        <v>240</v>
      </c>
      <c r="F346" s="16">
        <f>D346*E346</f>
        <v/>
      </c>
    </row>
    <row r="347">
      <c r="A347" s="13" t="inlineStr">
        <is>
          <t>7327</t>
        </is>
      </c>
      <c r="B347" s="14" t="inlineStr">
        <is>
          <t>100 mm channel shoulder 2.5 m long</t>
        </is>
      </c>
      <c r="C347" s="13" t="inlineStr">
        <is>
          <t>each</t>
        </is>
      </c>
      <c r="D347" s="15" t="n">
        <v>0.17</v>
      </c>
      <c r="E347" s="16" t="n">
        <v>910</v>
      </c>
      <c r="F347" s="16">
        <f>D347*E347</f>
        <v/>
      </c>
    </row>
    <row r="348">
      <c r="A348" s="13" t="inlineStr">
        <is>
          <t>7328</t>
        </is>
      </c>
      <c r="B348" s="14" t="inlineStr">
        <is>
          <t>Double clip ( bridge clip)</t>
        </is>
      </c>
      <c r="C348" s="13" t="inlineStr">
        <is>
          <t>each</t>
        </is>
      </c>
      <c r="D348" s="15" t="n">
        <v>0.34</v>
      </c>
      <c r="E348" s="16" t="n">
        <v>76</v>
      </c>
      <c r="F348" s="16">
        <f>D348*E348</f>
        <v/>
      </c>
    </row>
    <row r="349">
      <c r="A349" s="13" t="inlineStr">
        <is>
          <t>7329</t>
        </is>
      </c>
      <c r="B349" s="14" t="inlineStr">
        <is>
          <t>Single clip</t>
        </is>
      </c>
      <c r="C349" s="13" t="inlineStr">
        <is>
          <t>each</t>
        </is>
      </c>
      <c r="D349" s="15" t="n">
        <v>0.17</v>
      </c>
      <c r="E349" s="16" t="n">
        <v>59</v>
      </c>
      <c r="F349" s="16">
        <f>D349*E349</f>
        <v/>
      </c>
    </row>
    <row r="350">
      <c r="A350" s="13" t="inlineStr">
        <is>
          <t>7330</t>
        </is>
      </c>
      <c r="B350" s="14" t="inlineStr">
        <is>
          <t>M.S. tube 40 mm dia</t>
        </is>
      </c>
      <c r="C350" s="13" t="inlineStr">
        <is>
          <t>metre</t>
        </is>
      </c>
      <c r="D350" s="15" t="n">
        <v>0.2295</v>
      </c>
      <c r="E350" s="16" t="n">
        <v>215</v>
      </c>
      <c r="F350" s="16">
        <f>D350*E350</f>
        <v/>
      </c>
    </row>
    <row r="351">
      <c r="A351" s="13" t="inlineStr">
        <is>
          <t>9999</t>
        </is>
      </c>
      <c r="B351" s="14" t="inlineStr">
        <is>
          <t>Assembly nuts &amp; bolts</t>
        </is>
      </c>
      <c r="C351" s="13" t="inlineStr">
        <is>
          <t>L.S.</t>
        </is>
      </c>
      <c r="D351" s="15" t="n">
        <v>22.1</v>
      </c>
      <c r="E351" s="16" t="n">
        <v>2</v>
      </c>
      <c r="F351" s="16">
        <f>D351*E351</f>
        <v/>
      </c>
    </row>
    <row r="352">
      <c r="A352" s="13" t="inlineStr">
        <is>
          <t>9977</t>
        </is>
      </c>
      <c r="B352" s="14" t="inlineStr">
        <is>
          <t>Carriage</t>
        </is>
      </c>
      <c r="C352" s="13" t="inlineStr">
        <is>
          <t>L.S.</t>
        </is>
      </c>
      <c r="D352" s="15" t="n">
        <v>78</v>
      </c>
      <c r="E352" s="16" t="n">
        <v>2</v>
      </c>
      <c r="F352" s="16">
        <f>D352*E352</f>
        <v/>
      </c>
    </row>
    <row r="353">
      <c r="A353" s="13" t="inlineStr">
        <is>
          <t>0116</t>
        </is>
      </c>
      <c r="B353" s="14" t="inlineStr">
        <is>
          <t>Fitter (grade 1)</t>
        </is>
      </c>
      <c r="C353" s="13" t="inlineStr">
        <is>
          <t>day</t>
        </is>
      </c>
      <c r="D353" s="15" t="n">
        <v>0.75</v>
      </c>
      <c r="E353" s="16" t="n">
        <v>738</v>
      </c>
      <c r="F353" s="16">
        <f>D353*E353</f>
        <v/>
      </c>
    </row>
    <row r="354">
      <c r="A354" s="13" t="inlineStr">
        <is>
          <t>0114</t>
        </is>
      </c>
      <c r="B354" s="14" t="inlineStr">
        <is>
          <t>Beldar</t>
        </is>
      </c>
      <c r="C354" s="13" t="inlineStr">
        <is>
          <t>day</t>
        </is>
      </c>
      <c r="D354" s="15" t="n">
        <v>1.5</v>
      </c>
      <c r="E354" s="16" t="n">
        <v>558</v>
      </c>
      <c r="F354" s="16">
        <f>D354*E354</f>
        <v/>
      </c>
    </row>
    <row r="355">
      <c r="A355" s="13" t="inlineStr">
        <is>
          <t>9999</t>
        </is>
      </c>
      <c r="B355" s="14" t="inlineStr">
        <is>
          <t>Shuttering oil</t>
        </is>
      </c>
      <c r="C355" s="13" t="inlineStr">
        <is>
          <t>L.S.</t>
        </is>
      </c>
      <c r="D355" s="15" t="n">
        <v>52</v>
      </c>
      <c r="E355" s="16" t="n">
        <v>2</v>
      </c>
      <c r="F355" s="16">
        <f>D355*E355</f>
        <v/>
      </c>
    </row>
    <row r="356">
      <c r="A356" s="13" t="inlineStr">
        <is>
          <t>9999</t>
        </is>
      </c>
      <c r="B356" s="14" t="inlineStr">
        <is>
          <t>Sundries</t>
        </is>
      </c>
      <c r="C356" s="13" t="inlineStr">
        <is>
          <t>L.S.</t>
        </is>
      </c>
      <c r="D356" s="15" t="n">
        <v>26</v>
      </c>
      <c r="E356" s="16" t="n">
        <v>2</v>
      </c>
      <c r="F356" s="16">
        <f>D356*E356</f>
        <v/>
      </c>
    </row>
    <row r="357">
      <c r="A357" s="17" t="inlineStr">
        <is>
          <t>Resource Total (Material + Labour + Machinery, as printed)</t>
        </is>
      </c>
      <c r="B357" s="18" t="n"/>
      <c r="C357" s="18" t="n"/>
      <c r="D357" s="18" t="n"/>
      <c r="E357" s="18" t="n"/>
      <c r="F357" s="19">
        <f>SUM(F345:F356)</f>
        <v/>
      </c>
    </row>
    <row r="358">
      <c r="A358" s="20" t="inlineStr">
        <is>
          <t>SAY (Rs.) — final DAR rate</t>
        </is>
      </c>
      <c r="B358" s="21" t="n"/>
      <c r="C358" s="21" t="n"/>
      <c r="D358" s="21" t="n"/>
      <c r="E358" s="21" t="n"/>
      <c r="F358" s="22" t="n">
        <v>284.85</v>
      </c>
    </row>
    <row r="360" ht="18" customHeight="1">
      <c r="A360" s="9" t="inlineStr">
        <is>
          <t>5.9.16.1</t>
        </is>
      </c>
      <c r="B360" s="10" t="inlineStr">
        <is>
          <t>Under 20 cm wide</t>
        </is>
      </c>
      <c r="C360" s="11" t="n"/>
      <c r="D360" s="11" t="n"/>
      <c r="E360" s="11" t="n"/>
      <c r="F360" s="11" t="n"/>
    </row>
    <row r="361">
      <c r="A361" s="12" t="inlineStr">
        <is>
          <t>Rate basis: per nos  (source: cost for 1 nos)</t>
        </is>
      </c>
    </row>
    <row r="362">
      <c r="A362" s="5" t="inlineStr">
        <is>
          <t>Code</t>
        </is>
      </c>
      <c r="B362" s="5" t="inlineStr">
        <is>
          <t>Description</t>
        </is>
      </c>
      <c r="C362" s="5" t="inlineStr">
        <is>
          <t>Unit</t>
        </is>
      </c>
      <c r="D362" s="5" t="inlineStr">
        <is>
          <t>Quantity</t>
        </is>
      </c>
      <c r="E362" s="5" t="inlineStr">
        <is>
          <t>Rate (Rs.)</t>
        </is>
      </c>
      <c r="F362" s="5" t="inlineStr">
        <is>
          <t>Amount (Rs.)</t>
        </is>
      </c>
    </row>
    <row r="363">
      <c r="A363" s="13" t="inlineStr">
        <is>
          <t>2204</t>
        </is>
      </c>
      <c r="B363" s="14" t="inlineStr">
        <is>
          <t>Carriage of Timber</t>
        </is>
      </c>
      <c r="C363" s="13" t="inlineStr">
        <is>
          <t>cum</t>
        </is>
      </c>
      <c r="D363" s="15" t="n">
        <v>0.0265</v>
      </c>
      <c r="E363" s="16" t="n">
        <v>118.59</v>
      </c>
      <c r="F363" s="16">
        <f>D363*E363</f>
        <v/>
      </c>
    </row>
    <row r="364">
      <c r="A364" s="13" t="inlineStr">
        <is>
          <t>0112</t>
        </is>
      </c>
      <c r="B364" s="14" t="inlineStr">
        <is>
          <t>Carpenter 2nd class</t>
        </is>
      </c>
      <c r="C364" s="13" t="inlineStr">
        <is>
          <t>day</t>
        </is>
      </c>
      <c r="D364" s="15" t="n">
        <v>0.8100000000000001</v>
      </c>
      <c r="E364" s="16" t="n">
        <v>679</v>
      </c>
      <c r="F364" s="16">
        <f>D364*E364</f>
        <v/>
      </c>
    </row>
    <row r="365">
      <c r="A365" s="13" t="inlineStr">
        <is>
          <t>0114</t>
        </is>
      </c>
      <c r="B365" s="14" t="inlineStr">
        <is>
          <t>Beldar</t>
        </is>
      </c>
      <c r="C365" s="13" t="inlineStr">
        <is>
          <t>day</t>
        </is>
      </c>
      <c r="D365" s="15" t="n">
        <v>0.54</v>
      </c>
      <c r="E365" s="16" t="n">
        <v>558</v>
      </c>
      <c r="F365" s="16">
        <f>D365*E365</f>
        <v/>
      </c>
    </row>
    <row r="366">
      <c r="A366" s="13" t="inlineStr">
        <is>
          <t>9999</t>
        </is>
      </c>
      <c r="B366" s="14" t="inlineStr">
        <is>
          <t>Sundries</t>
        </is>
      </c>
      <c r="C366" s="13" t="inlineStr">
        <is>
          <t>L.S.</t>
        </is>
      </c>
      <c r="D366" s="15" t="n">
        <v>5.2</v>
      </c>
      <c r="E366" s="16" t="n">
        <v>2</v>
      </c>
      <c r="F366" s="16">
        <f>D366*E366</f>
        <v/>
      </c>
    </row>
    <row r="367">
      <c r="A367" s="17" t="inlineStr">
        <is>
          <t>Resource Total (Material + Labour + Machinery, as printed)</t>
        </is>
      </c>
      <c r="B367" s="18" t="n"/>
      <c r="C367" s="18" t="n"/>
      <c r="D367" s="18" t="n"/>
      <c r="E367" s="18" t="n"/>
      <c r="F367" s="19">
        <f>SUM(F363:F366)</f>
        <v/>
      </c>
    </row>
    <row r="368">
      <c r="A368" s="20" t="inlineStr">
        <is>
          <t>SAY (Rs.) — final DAR rate</t>
        </is>
      </c>
      <c r="B368" s="21" t="n"/>
      <c r="C368" s="21" t="n"/>
      <c r="D368" s="21" t="n"/>
      <c r="E368" s="21" t="n"/>
      <c r="F368" s="22" t="n">
        <v>173.25</v>
      </c>
    </row>
    <row r="370" ht="18" customHeight="1">
      <c r="A370" s="9" t="inlineStr">
        <is>
          <t>5.9.16.2</t>
        </is>
      </c>
      <c r="B370" s="10" t="inlineStr">
        <is>
          <t>Above 20 cm wide</t>
        </is>
      </c>
      <c r="C370" s="11" t="n"/>
      <c r="D370" s="11" t="n"/>
      <c r="E370" s="11" t="n"/>
      <c r="F370" s="11" t="n"/>
    </row>
    <row r="371">
      <c r="A371" s="12" t="inlineStr">
        <is>
          <t>Rate basis: per mx4xslab  (source: cost for 4 mx4xslab)</t>
        </is>
      </c>
    </row>
    <row r="372">
      <c r="A372" s="5" t="inlineStr">
        <is>
          <t>Code</t>
        </is>
      </c>
      <c r="B372" s="5" t="inlineStr">
        <is>
          <t>Description</t>
        </is>
      </c>
      <c r="C372" s="5" t="inlineStr">
        <is>
          <t>Unit</t>
        </is>
      </c>
      <c r="D372" s="5" t="inlineStr">
        <is>
          <t>Quantity</t>
        </is>
      </c>
      <c r="E372" s="5" t="inlineStr">
        <is>
          <t>Rate (Rs.)</t>
        </is>
      </c>
      <c r="F372" s="5" t="inlineStr">
        <is>
          <t>Amount (Rs.)</t>
        </is>
      </c>
    </row>
    <row r="373">
      <c r="A373" s="13" t="inlineStr">
        <is>
          <t>2204</t>
        </is>
      </c>
      <c r="B373" s="14" t="inlineStr">
        <is>
          <t>Carriage of Timber</t>
        </is>
      </c>
      <c r="C373" s="13" t="inlineStr">
        <is>
          <t>cum</t>
        </is>
      </c>
      <c r="D373" s="15" t="n">
        <v>0.0419</v>
      </c>
      <c r="E373" s="16" t="n">
        <v>118.59</v>
      </c>
      <c r="F373" s="16">
        <f>D373*E373</f>
        <v/>
      </c>
    </row>
    <row r="374">
      <c r="A374" s="13" t="inlineStr">
        <is>
          <t>0112</t>
        </is>
      </c>
      <c r="B374" s="14" t="inlineStr">
        <is>
          <t>Carpenter 2nd class</t>
        </is>
      </c>
      <c r="C374" s="13" t="inlineStr">
        <is>
          <t>day</t>
        </is>
      </c>
      <c r="D374" s="15" t="n">
        <v>1</v>
      </c>
      <c r="E374" s="16" t="n">
        <v>679</v>
      </c>
      <c r="F374" s="16">
        <f>D374*E374</f>
        <v/>
      </c>
    </row>
    <row r="375">
      <c r="A375" s="13" t="inlineStr">
        <is>
          <t>0114</t>
        </is>
      </c>
      <c r="B375" s="14" t="inlineStr">
        <is>
          <t>Beldar</t>
        </is>
      </c>
      <c r="C375" s="13" t="inlineStr">
        <is>
          <t>day</t>
        </is>
      </c>
      <c r="D375" s="15" t="n">
        <v>0.75</v>
      </c>
      <c r="E375" s="16" t="n">
        <v>558</v>
      </c>
      <c r="F375" s="16">
        <f>D375*E375</f>
        <v/>
      </c>
    </row>
    <row r="376">
      <c r="A376" s="13" t="inlineStr">
        <is>
          <t>9999</t>
        </is>
      </c>
      <c r="B376" s="14" t="inlineStr">
        <is>
          <t>Sundries</t>
        </is>
      </c>
      <c r="C376" s="13" t="inlineStr">
        <is>
          <t>L.S.</t>
        </is>
      </c>
      <c r="D376" s="15" t="n">
        <v>6.5</v>
      </c>
      <c r="E376" s="16" t="n">
        <v>2</v>
      </c>
      <c r="F376" s="16">
        <f>D376*E376</f>
        <v/>
      </c>
    </row>
    <row r="377">
      <c r="A377" s="17" t="inlineStr">
        <is>
          <t>Resource Total (Material + Labour + Machinery, as printed)</t>
        </is>
      </c>
      <c r="B377" s="18" t="n"/>
      <c r="C377" s="18" t="n"/>
      <c r="D377" s="18" t="n"/>
      <c r="E377" s="18" t="n"/>
      <c r="F377" s="19">
        <f>SUM(F373:F376)</f>
        <v/>
      </c>
    </row>
    <row r="378">
      <c r="A378" s="20" t="inlineStr">
        <is>
          <t>SAY (Rs.) — final DAR rate</t>
        </is>
      </c>
      <c r="B378" s="21" t="n"/>
      <c r="C378" s="21" t="n"/>
      <c r="D378" s="21" t="n"/>
      <c r="E378" s="21" t="n"/>
      <c r="F378" s="22" t="n">
        <v>737.3</v>
      </c>
    </row>
    <row r="380" ht="18" customHeight="1">
      <c r="A380" s="9" t="inlineStr">
        <is>
          <t>5.9.17</t>
        </is>
      </c>
      <c r="B380" s="10" t="inlineStr">
        <is>
          <t>Cornices and mouldings</t>
        </is>
      </c>
      <c r="C380" s="11" t="n"/>
      <c r="D380" s="11" t="n"/>
      <c r="E380" s="11" t="n"/>
      <c r="F380" s="11" t="n"/>
    </row>
    <row r="381">
      <c r="A381" s="12" t="inlineStr">
        <is>
          <t>Rate basis: per m  (source: cost for 10 m)</t>
        </is>
      </c>
    </row>
    <row r="382">
      <c r="A382" s="5" t="inlineStr">
        <is>
          <t>Code</t>
        </is>
      </c>
      <c r="B382" s="5" t="inlineStr">
        <is>
          <t>Description</t>
        </is>
      </c>
      <c r="C382" s="5" t="inlineStr">
        <is>
          <t>Unit</t>
        </is>
      </c>
      <c r="D382" s="5" t="inlineStr">
        <is>
          <t>Quantity</t>
        </is>
      </c>
      <c r="E382" s="5" t="inlineStr">
        <is>
          <t>Rate (Rs.)</t>
        </is>
      </c>
      <c r="F382" s="5" t="inlineStr">
        <is>
          <t>Amount (Rs.)</t>
        </is>
      </c>
    </row>
    <row r="383">
      <c r="A383" s="13" t="inlineStr">
        <is>
          <t>2447</t>
        </is>
      </c>
      <c r="B383" s="14" t="inlineStr">
        <is>
          <t>Hollock ballies 125 mm diameter</t>
        </is>
      </c>
      <c r="C383" s="13" t="inlineStr">
        <is>
          <t>metre</t>
        </is>
      </c>
      <c r="D383" s="15" t="n">
        <v>3.15</v>
      </c>
      <c r="E383" s="16" t="n">
        <v>35</v>
      </c>
      <c r="F383" s="16">
        <f>D383*E383</f>
        <v/>
      </c>
    </row>
    <row r="384">
      <c r="A384" s="13" t="inlineStr">
        <is>
          <t>2204</t>
        </is>
      </c>
      <c r="B384" s="14" t="inlineStr">
        <is>
          <t>Carriage of Timber</t>
        </is>
      </c>
      <c r="C384" s="13" t="inlineStr">
        <is>
          <t>cum</t>
        </is>
      </c>
      <c r="D384" s="15" t="n">
        <v>0.0888</v>
      </c>
      <c r="E384" s="16" t="n">
        <v>118.59</v>
      </c>
      <c r="F384" s="16">
        <f>D384*E384</f>
        <v/>
      </c>
    </row>
    <row r="385">
      <c r="A385" s="13" t="inlineStr">
        <is>
          <t>0112</t>
        </is>
      </c>
      <c r="B385" s="14" t="inlineStr">
        <is>
          <t>Carpenter 2nd class</t>
        </is>
      </c>
      <c r="C385" s="13" t="inlineStr">
        <is>
          <t>day</t>
        </is>
      </c>
      <c r="D385" s="15" t="n">
        <v>0.63</v>
      </c>
      <c r="E385" s="16" t="n">
        <v>679</v>
      </c>
      <c r="F385" s="16">
        <f>D385*E385</f>
        <v/>
      </c>
    </row>
    <row r="386">
      <c r="A386" s="13" t="inlineStr">
        <is>
          <t>0114</t>
        </is>
      </c>
      <c r="B386" s="14" t="inlineStr">
        <is>
          <t>Beldar</t>
        </is>
      </c>
      <c r="C386" s="13" t="inlineStr">
        <is>
          <t>day</t>
        </is>
      </c>
      <c r="D386" s="15" t="n">
        <v>0.63</v>
      </c>
      <c r="E386" s="16" t="n">
        <v>558</v>
      </c>
      <c r="F386" s="16">
        <f>D386*E386</f>
        <v/>
      </c>
    </row>
    <row r="387">
      <c r="A387" s="13" t="inlineStr">
        <is>
          <t>9999</t>
        </is>
      </c>
      <c r="B387" s="14" t="inlineStr">
        <is>
          <t>Sundries</t>
        </is>
      </c>
      <c r="C387" s="13" t="inlineStr">
        <is>
          <t>L.S.</t>
        </is>
      </c>
      <c r="D387" s="15" t="n">
        <v>6.5</v>
      </c>
      <c r="E387" s="16" t="n">
        <v>2</v>
      </c>
      <c r="F387" s="16">
        <f>D387*E387</f>
        <v/>
      </c>
    </row>
    <row r="388">
      <c r="A388" s="17" t="inlineStr">
        <is>
          <t>Resource Total (Material + Labour + Machinery, as printed)</t>
        </is>
      </c>
      <c r="B388" s="18" t="n"/>
      <c r="C388" s="18" t="n"/>
      <c r="D388" s="18" t="n"/>
      <c r="E388" s="18" t="n"/>
      <c r="F388" s="19">
        <f>SUM(F383:F387)</f>
        <v/>
      </c>
    </row>
    <row r="389">
      <c r="A389" s="20" t="inlineStr">
        <is>
          <t>SAY (Rs.) — final DAR rate</t>
        </is>
      </c>
      <c r="B389" s="21" t="n"/>
      <c r="C389" s="21" t="n"/>
      <c r="D389" s="21" t="n"/>
      <c r="E389" s="21" t="n"/>
      <c r="F389" s="22" t="n">
        <v>740.25</v>
      </c>
    </row>
    <row r="391" ht="28" customHeight="1">
      <c r="A391" s="9" t="inlineStr">
        <is>
          <t>5.9.18</t>
        </is>
      </c>
      <c r="B391" s="10" t="inlineStr">
        <is>
          <t>Small surfaces such as cantilever ends, brackets and ends of steps, caps and bases to pilasters and columns and the like</t>
        </is>
      </c>
      <c r="C391" s="11" t="n"/>
      <c r="D391" s="11" t="n"/>
      <c r="E391" s="11" t="n"/>
      <c r="F391" s="11" t="n"/>
    </row>
    <row r="392">
      <c r="A392" s="12" t="inlineStr">
        <is>
          <t>Rate basis: per sqm  (source: cost for 1.62 sqm)</t>
        </is>
      </c>
    </row>
    <row r="393">
      <c r="A393" s="5" t="inlineStr">
        <is>
          <t>Code</t>
        </is>
      </c>
      <c r="B393" s="5" t="inlineStr">
        <is>
          <t>Description</t>
        </is>
      </c>
      <c r="C393" s="5" t="inlineStr">
        <is>
          <t>Unit</t>
        </is>
      </c>
      <c r="D393" s="5" t="inlineStr">
        <is>
          <t>Quantity</t>
        </is>
      </c>
      <c r="E393" s="5" t="inlineStr">
        <is>
          <t>Rate (Rs.)</t>
        </is>
      </c>
      <c r="F393" s="5" t="inlineStr">
        <is>
          <t>Amount (Rs.)</t>
        </is>
      </c>
    </row>
    <row r="394">
      <c r="A394" s="13" t="inlineStr">
        <is>
          <t>2447</t>
        </is>
      </c>
      <c r="B394" s="14" t="inlineStr">
        <is>
          <t>Hollock ballies 125 mm diameter</t>
        </is>
      </c>
      <c r="C394" s="13" t="inlineStr">
        <is>
          <t>metre</t>
        </is>
      </c>
      <c r="D394" s="15" t="n">
        <v>0.6763</v>
      </c>
      <c r="E394" s="16" t="n">
        <v>35</v>
      </c>
      <c r="F394" s="16">
        <f>D394*E394</f>
        <v/>
      </c>
    </row>
    <row r="395">
      <c r="A395" s="13" t="inlineStr">
        <is>
          <t>2204</t>
        </is>
      </c>
      <c r="B395" s="14" t="inlineStr">
        <is>
          <t>Carriage of Timber</t>
        </is>
      </c>
      <c r="C395" s="13" t="inlineStr">
        <is>
          <t>cum</t>
        </is>
      </c>
      <c r="D395" s="15" t="n">
        <v>0.0248</v>
      </c>
      <c r="E395" s="16" t="n">
        <v>118.59</v>
      </c>
      <c r="F395" s="16">
        <f>D395*E395</f>
        <v/>
      </c>
    </row>
    <row r="396">
      <c r="A396" s="13" t="inlineStr">
        <is>
          <t>0112</t>
        </is>
      </c>
      <c r="B396" s="14" t="inlineStr">
        <is>
          <t>Carpenter 2nd class</t>
        </is>
      </c>
      <c r="C396" s="13" t="inlineStr">
        <is>
          <t>day</t>
        </is>
      </c>
      <c r="D396" s="15" t="n">
        <v>0.8</v>
      </c>
      <c r="E396" s="16" t="n">
        <v>679</v>
      </c>
      <c r="F396" s="16">
        <f>D396*E396</f>
        <v/>
      </c>
    </row>
    <row r="397">
      <c r="A397" s="13" t="inlineStr">
        <is>
          <t>0114</t>
        </is>
      </c>
      <c r="B397" s="14" t="inlineStr">
        <is>
          <t>Beldar</t>
        </is>
      </c>
      <c r="C397" s="13" t="inlineStr">
        <is>
          <t>day</t>
        </is>
      </c>
      <c r="D397" s="15" t="n">
        <v>0.8</v>
      </c>
      <c r="E397" s="16" t="n">
        <v>558</v>
      </c>
      <c r="F397" s="16">
        <f>D397*E397</f>
        <v/>
      </c>
    </row>
    <row r="398">
      <c r="A398" s="13" t="inlineStr">
        <is>
          <t>9999</t>
        </is>
      </c>
      <c r="B398" s="14" t="inlineStr">
        <is>
          <t>Sundries</t>
        </is>
      </c>
      <c r="C398" s="13" t="inlineStr">
        <is>
          <t>L.S.</t>
        </is>
      </c>
      <c r="D398" s="15" t="n">
        <v>7.15</v>
      </c>
      <c r="E398" s="16" t="n">
        <v>2</v>
      </c>
      <c r="F398" s="16">
        <f>D398*E398</f>
        <v/>
      </c>
    </row>
    <row r="399">
      <c r="A399" s="17" t="inlineStr">
        <is>
          <t>Resource Total (Material + Labour + Machinery, as printed)</t>
        </is>
      </c>
      <c r="B399" s="18" t="n"/>
      <c r="C399" s="18" t="n"/>
      <c r="D399" s="18" t="n"/>
      <c r="E399" s="18" t="n"/>
      <c r="F399" s="19">
        <f>SUM(F394:F398)</f>
        <v/>
      </c>
    </row>
    <row r="400">
      <c r="A400" s="20" t="inlineStr">
        <is>
          <t>SAY (Rs.) — final DAR rate</t>
        </is>
      </c>
      <c r="B400" s="21" t="n"/>
      <c r="C400" s="21" t="n"/>
      <c r="D400" s="21" t="n"/>
      <c r="E400" s="21" t="n"/>
      <c r="F400" s="22" t="n">
        <v>773.7</v>
      </c>
    </row>
    <row r="402" ht="18" customHeight="1">
      <c r="A402" s="9" t="inlineStr">
        <is>
          <t>5.9.19</t>
        </is>
      </c>
      <c r="B402" s="10" t="inlineStr">
        <is>
          <t>Weather shade, Chajjas, corbels etc., including edges</t>
        </is>
      </c>
      <c r="C402" s="11" t="n"/>
      <c r="D402" s="11" t="n"/>
      <c r="E402" s="11" t="n"/>
      <c r="F402" s="11" t="n"/>
    </row>
    <row r="403">
      <c r="A403" s="12" t="inlineStr">
        <is>
          <t>Rate basis: per sqm  (source: cost for 0.954 sqm)</t>
        </is>
      </c>
    </row>
    <row r="404">
      <c r="A404" s="5" t="inlineStr">
        <is>
          <t>Code</t>
        </is>
      </c>
      <c r="B404" s="5" t="inlineStr">
        <is>
          <t>Description</t>
        </is>
      </c>
      <c r="C404" s="5" t="inlineStr">
        <is>
          <t>Unit</t>
        </is>
      </c>
      <c r="D404" s="5" t="inlineStr">
        <is>
          <t>Quantity</t>
        </is>
      </c>
      <c r="E404" s="5" t="inlineStr">
        <is>
          <t>Rate (Rs.)</t>
        </is>
      </c>
      <c r="F404" s="5" t="inlineStr">
        <is>
          <t>Amount (Rs.)</t>
        </is>
      </c>
    </row>
    <row r="405">
      <c r="A405" s="13" t="inlineStr">
        <is>
          <t>2447</t>
        </is>
      </c>
      <c r="B405" s="14" t="inlineStr">
        <is>
          <t>Hollock ballies 125 mm diameter</t>
        </is>
      </c>
      <c r="C405" s="13" t="inlineStr">
        <is>
          <t>metre</t>
        </is>
      </c>
      <c r="D405" s="15" t="n">
        <v>0.5513</v>
      </c>
      <c r="E405" s="16" t="n">
        <v>35</v>
      </c>
      <c r="F405" s="16">
        <f>D405*E405</f>
        <v/>
      </c>
    </row>
    <row r="406">
      <c r="A406" s="13" t="inlineStr">
        <is>
          <t>2204</t>
        </is>
      </c>
      <c r="B406" s="14" t="inlineStr">
        <is>
          <t>Carriage of Timber</t>
        </is>
      </c>
      <c r="C406" s="13" t="inlineStr">
        <is>
          <t>cum</t>
        </is>
      </c>
      <c r="D406" s="15" t="n">
        <v>0.01338</v>
      </c>
      <c r="E406" s="16" t="n">
        <v>118.59</v>
      </c>
      <c r="F406" s="16">
        <f>D406*E406</f>
        <v/>
      </c>
    </row>
    <row r="407">
      <c r="A407" s="13" t="inlineStr">
        <is>
          <t>0112</t>
        </is>
      </c>
      <c r="B407" s="14" t="inlineStr">
        <is>
          <t>Carpenter 2nd class</t>
        </is>
      </c>
      <c r="C407" s="13" t="inlineStr">
        <is>
          <t>day</t>
        </is>
      </c>
      <c r="D407" s="15" t="n">
        <v>0.3</v>
      </c>
      <c r="E407" s="16" t="n">
        <v>679</v>
      </c>
      <c r="F407" s="16">
        <f>D407*E407</f>
        <v/>
      </c>
    </row>
    <row r="408">
      <c r="A408" s="13" t="inlineStr">
        <is>
          <t>0114</t>
        </is>
      </c>
      <c r="B408" s="14" t="inlineStr">
        <is>
          <t>Beldar</t>
        </is>
      </c>
      <c r="C408" s="13" t="inlineStr">
        <is>
          <t>day</t>
        </is>
      </c>
      <c r="D408" s="15" t="n">
        <v>0.25</v>
      </c>
      <c r="E408" s="16" t="n">
        <v>558</v>
      </c>
      <c r="F408" s="16">
        <f>D408*E408</f>
        <v/>
      </c>
    </row>
    <row r="409">
      <c r="A409" s="13" t="inlineStr">
        <is>
          <t>9999</t>
        </is>
      </c>
      <c r="B409" s="14" t="inlineStr">
        <is>
          <t>Sundries</t>
        </is>
      </c>
      <c r="C409" s="13" t="inlineStr">
        <is>
          <t>L.S.</t>
        </is>
      </c>
      <c r="D409" s="15" t="n">
        <v>5.2</v>
      </c>
      <c r="E409" s="16" t="n">
        <v>2</v>
      </c>
      <c r="F409" s="16">
        <f>D409*E409</f>
        <v/>
      </c>
    </row>
    <row r="410">
      <c r="A410" s="17" t="inlineStr">
        <is>
          <t>Resource Total (Material + Labour + Machinery, as printed)</t>
        </is>
      </c>
      <c r="B410" s="18" t="n"/>
      <c r="C410" s="18" t="n"/>
      <c r="D410" s="18" t="n"/>
      <c r="E410" s="18" t="n"/>
      <c r="F410" s="19">
        <f>SUM(F405:F409)</f>
        <v/>
      </c>
    </row>
    <row r="411">
      <c r="A411" s="20" t="inlineStr">
        <is>
          <t>SAY (Rs.) — final DAR rate</t>
        </is>
      </c>
      <c r="B411" s="21" t="n"/>
      <c r="C411" s="21" t="n"/>
      <c r="D411" s="21" t="n"/>
      <c r="E411" s="21" t="n"/>
      <c r="F411" s="22" t="n">
        <v>766.75</v>
      </c>
    </row>
    <row r="413" ht="28" customHeight="1">
      <c r="A413" s="9" t="inlineStr">
        <is>
          <t>5.9.20</t>
        </is>
      </c>
      <c r="B413" s="10" t="inlineStr">
        <is>
          <t>Suspended floors, roofs, landings, balconies and access platform. with water proof ply 12 mm thick</t>
        </is>
      </c>
      <c r="C413" s="11" t="n"/>
      <c r="D413" s="11" t="n"/>
      <c r="E413" s="11" t="n"/>
      <c r="F413" s="11" t="n"/>
    </row>
    <row r="414">
      <c r="A414" s="12" t="inlineStr">
        <is>
          <t>Rate basis: per sqm  (source: cost for 13.5 sqm)</t>
        </is>
      </c>
    </row>
    <row r="415">
      <c r="A415" s="5" t="inlineStr">
        <is>
          <t>Code</t>
        </is>
      </c>
      <c r="B415" s="5" t="inlineStr">
        <is>
          <t>Description</t>
        </is>
      </c>
      <c r="C415" s="5" t="inlineStr">
        <is>
          <t>Unit</t>
        </is>
      </c>
      <c r="D415" s="5" t="inlineStr">
        <is>
          <t>Quantity</t>
        </is>
      </c>
      <c r="E415" s="5" t="inlineStr">
        <is>
          <t>Rate (Rs.)</t>
        </is>
      </c>
      <c r="F415" s="5" t="inlineStr">
        <is>
          <t>Amount (Rs.)</t>
        </is>
      </c>
    </row>
    <row r="416">
      <c r="A416" s="13" t="inlineStr">
        <is>
          <t>10.1</t>
        </is>
      </c>
      <c r="B416" s="14" t="inlineStr">
        <is>
          <t>Rate as per SH: 10.1</t>
        </is>
      </c>
      <c r="C416" s="13" t="inlineStr">
        <is>
          <t>kg</t>
        </is>
      </c>
      <c r="D416" s="15" t="n">
        <v>5.425</v>
      </c>
      <c r="E416" s="16" t="n">
        <v>86.05</v>
      </c>
      <c r="F416" s="16">
        <f>D416*E416</f>
        <v/>
      </c>
    </row>
    <row r="417">
      <c r="A417" s="13" t="inlineStr">
        <is>
          <t>1215</t>
        </is>
      </c>
      <c r="B417" s="14" t="inlineStr">
        <is>
          <t>Welding by electric plant</t>
        </is>
      </c>
      <c r="C417" s="13" t="inlineStr">
        <is>
          <t>cm</t>
        </is>
      </c>
      <c r="D417" s="15" t="n">
        <v>24</v>
      </c>
      <c r="E417" s="16" t="n">
        <v>2</v>
      </c>
      <c r="F417" s="16">
        <f>D417*E417</f>
        <v/>
      </c>
    </row>
    <row r="418">
      <c r="A418" s="13" t="inlineStr">
        <is>
          <t>8659</t>
        </is>
      </c>
      <c r="B418" s="14" t="inlineStr">
        <is>
          <t>Water proof ply 12mm thick.</t>
        </is>
      </c>
      <c r="C418" s="13" t="inlineStr">
        <is>
          <t>sqm</t>
        </is>
      </c>
      <c r="D418" s="15" t="n">
        <v>1.77</v>
      </c>
      <c r="E418" s="16" t="n">
        <v>517</v>
      </c>
      <c r="F418" s="16">
        <f>D418*E418</f>
        <v/>
      </c>
    </row>
    <row r="419">
      <c r="A419" s="13" t="inlineStr">
        <is>
          <t>0112</t>
        </is>
      </c>
      <c r="B419" s="14" t="inlineStr">
        <is>
          <t>Carpenter 2nd class</t>
        </is>
      </c>
      <c r="C419" s="13" t="inlineStr">
        <is>
          <t>day</t>
        </is>
      </c>
      <c r="D419" s="15" t="n">
        <v>0.125</v>
      </c>
      <c r="E419" s="16" t="n">
        <v>679</v>
      </c>
      <c r="F419" s="16">
        <f>D419*E419</f>
        <v/>
      </c>
    </row>
    <row r="420">
      <c r="A420" s="13" t="inlineStr">
        <is>
          <t>0114</t>
        </is>
      </c>
      <c r="B420" s="14" t="inlineStr">
        <is>
          <t>Beldar</t>
        </is>
      </c>
      <c r="C420" s="13" t="inlineStr">
        <is>
          <t>day</t>
        </is>
      </c>
      <c r="D420" s="15" t="n">
        <v>0.125</v>
      </c>
      <c r="E420" s="16" t="n">
        <v>558</v>
      </c>
      <c r="F420" s="16">
        <f>D420*E420</f>
        <v/>
      </c>
    </row>
    <row r="421">
      <c r="A421" s="13" t="inlineStr">
        <is>
          <t>1034</t>
        </is>
      </c>
      <c r="B421" s="14" t="inlineStr">
        <is>
          <t>Bolts and nuts upto 300 mm in length</t>
        </is>
      </c>
      <c r="C421" s="13" t="inlineStr">
        <is>
          <t>quintal</t>
        </is>
      </c>
      <c r="D421" s="15" t="n">
        <v>0.0021</v>
      </c>
      <c r="E421" s="16" t="n">
        <v>4800</v>
      </c>
      <c r="F421" s="16">
        <f>D421*E421</f>
        <v/>
      </c>
    </row>
    <row r="422">
      <c r="A422" s="13" t="inlineStr">
        <is>
          <t>7342</t>
        </is>
      </c>
      <c r="B422" s="14" t="inlineStr">
        <is>
          <t>Adjustable span ESO+SI (2.35-3.40)</t>
        </is>
      </c>
      <c r="C422" s="13" t="inlineStr">
        <is>
          <t>each</t>
        </is>
      </c>
      <c r="D422" s="15" t="n">
        <v>0.1063</v>
      </c>
      <c r="E422" s="16" t="n">
        <v>1480</v>
      </c>
      <c r="F422" s="16">
        <f>D422*E422</f>
        <v/>
      </c>
    </row>
    <row r="423">
      <c r="A423" s="13" t="inlineStr">
        <is>
          <t>7343</t>
        </is>
      </c>
      <c r="B423" s="14" t="inlineStr">
        <is>
          <t>Adjustable telescopic prop 3 m (2.02-3.75 m)</t>
        </is>
      </c>
      <c r="C423" s="13" t="inlineStr">
        <is>
          <t>each</t>
        </is>
      </c>
      <c r="D423" s="15" t="n">
        <v>0.1275</v>
      </c>
      <c r="E423" s="16" t="n">
        <v>955</v>
      </c>
      <c r="F423" s="16">
        <f>D423*E423</f>
        <v/>
      </c>
    </row>
    <row r="424">
      <c r="A424" s="13" t="inlineStr">
        <is>
          <t>9999</t>
        </is>
      </c>
      <c r="B424" s="14" t="inlineStr">
        <is>
          <t>Assembly nut &amp; bolts etc.</t>
        </is>
      </c>
      <c r="C424" s="13" t="inlineStr">
        <is>
          <t>L.S.</t>
        </is>
      </c>
      <c r="D424" s="15" t="n">
        <v>12.63</v>
      </c>
      <c r="E424" s="16" t="n">
        <v>2</v>
      </c>
      <c r="F424" s="16">
        <f>D424*E424</f>
        <v/>
      </c>
    </row>
    <row r="425">
      <c r="A425" s="13" t="inlineStr">
        <is>
          <t>9977</t>
        </is>
      </c>
      <c r="B425" s="14" t="inlineStr">
        <is>
          <t>Carriage</t>
        </is>
      </c>
      <c r="C425" s="13" t="inlineStr">
        <is>
          <t>L.S.</t>
        </is>
      </c>
      <c r="D425" s="15" t="n">
        <v>130</v>
      </c>
      <c r="E425" s="16" t="n">
        <v>2</v>
      </c>
      <c r="F425" s="16">
        <f>D425*E425</f>
        <v/>
      </c>
    </row>
    <row r="426">
      <c r="A426" s="13" t="inlineStr">
        <is>
          <t>0116</t>
        </is>
      </c>
      <c r="B426" s="14" t="inlineStr">
        <is>
          <t>Fitter (grade 1)</t>
        </is>
      </c>
      <c r="C426" s="13" t="inlineStr">
        <is>
          <t>day</t>
        </is>
      </c>
      <c r="D426" s="15" t="n">
        <v>3</v>
      </c>
      <c r="E426" s="16" t="n">
        <v>738</v>
      </c>
      <c r="F426" s="16">
        <f>D426*E426</f>
        <v/>
      </c>
    </row>
    <row r="427">
      <c r="A427" s="13" t="inlineStr">
        <is>
          <t>0114</t>
        </is>
      </c>
      <c r="B427" s="14" t="inlineStr">
        <is>
          <t>Beldar</t>
        </is>
      </c>
      <c r="C427" s="13" t="inlineStr">
        <is>
          <t>day</t>
        </is>
      </c>
      <c r="D427" s="15" t="n">
        <v>6</v>
      </c>
      <c r="E427" s="16" t="n">
        <v>558</v>
      </c>
      <c r="F427" s="16">
        <f>D427*E427</f>
        <v/>
      </c>
    </row>
    <row r="428">
      <c r="A428" s="13" t="inlineStr">
        <is>
          <t>9999</t>
        </is>
      </c>
      <c r="B428" s="14" t="inlineStr">
        <is>
          <t>Shuttering oil</t>
        </is>
      </c>
      <c r="C428" s="13" t="inlineStr">
        <is>
          <t>L.S.</t>
        </is>
      </c>
      <c r="D428" s="15" t="n">
        <v>78</v>
      </c>
      <c r="E428" s="16" t="n">
        <v>2</v>
      </c>
      <c r="F428" s="16">
        <f>D428*E428</f>
        <v/>
      </c>
    </row>
    <row r="429">
      <c r="A429" s="13" t="inlineStr">
        <is>
          <t>9999</t>
        </is>
      </c>
      <c r="B429" s="14" t="inlineStr">
        <is>
          <t>Sundries</t>
        </is>
      </c>
      <c r="C429" s="13" t="inlineStr">
        <is>
          <t>L.S.</t>
        </is>
      </c>
      <c r="D429" s="15" t="n">
        <v>52</v>
      </c>
      <c r="E429" s="16" t="n">
        <v>2</v>
      </c>
      <c r="F429" s="16">
        <f>D429*E429</f>
        <v/>
      </c>
    </row>
    <row r="430">
      <c r="A430" s="17" t="inlineStr">
        <is>
          <t>Resource Total (Material + Labour + Machinery, as printed)</t>
        </is>
      </c>
      <c r="B430" s="18" t="n"/>
      <c r="C430" s="18" t="n"/>
      <c r="D430" s="18" t="n"/>
      <c r="E430" s="18" t="n"/>
      <c r="F430" s="19">
        <f>SUM(F416:F429)</f>
        <v/>
      </c>
    </row>
    <row r="431">
      <c r="A431" s="20" t="inlineStr">
        <is>
          <t>SAY (Rs.) — final DAR rate</t>
        </is>
      </c>
      <c r="B431" s="21" t="n"/>
      <c r="C431" s="21" t="n"/>
      <c r="D431" s="21" t="n"/>
      <c r="E431" s="21" t="n"/>
      <c r="F431" s="22" t="n">
        <v>779.3</v>
      </c>
    </row>
    <row r="433" ht="28" customHeight="1">
      <c r="A433" s="9" t="inlineStr">
        <is>
          <t>5.9.21</t>
        </is>
      </c>
      <c r="B433" s="10" t="inlineStr">
        <is>
          <t>Lintels, beams, plinth beams, girders, bressumers and cantilevers. with water proof ply 12 mm thick</t>
        </is>
      </c>
      <c r="C433" s="11" t="n"/>
      <c r="D433" s="11" t="n"/>
      <c r="E433" s="11" t="n"/>
      <c r="F433" s="11" t="n"/>
    </row>
    <row r="434">
      <c r="A434" s="12" t="inlineStr">
        <is>
          <t>Rate basis: per cum  (source: cost for 0.99 cum)</t>
        </is>
      </c>
    </row>
    <row r="435">
      <c r="A435" s="5" t="inlineStr">
        <is>
          <t>Code</t>
        </is>
      </c>
      <c r="B435" s="5" t="inlineStr">
        <is>
          <t>Description</t>
        </is>
      </c>
      <c r="C435" s="5" t="inlineStr">
        <is>
          <t>Unit</t>
        </is>
      </c>
      <c r="D435" s="5" t="inlineStr">
        <is>
          <t>Quantity</t>
        </is>
      </c>
      <c r="E435" s="5" t="inlineStr">
        <is>
          <t>Rate (Rs.)</t>
        </is>
      </c>
      <c r="F435" s="5" t="inlineStr">
        <is>
          <t>Amount (Rs.)</t>
        </is>
      </c>
    </row>
    <row r="436">
      <c r="A436" s="13" t="inlineStr">
        <is>
          <t>10.1</t>
        </is>
      </c>
      <c r="B436" s="14" t="inlineStr">
        <is>
          <t>Rate as per SH: 10.1</t>
        </is>
      </c>
      <c r="C436" s="13" t="inlineStr">
        <is>
          <t>kg</t>
        </is>
      </c>
      <c r="D436" s="15" t="n">
        <v>3.72</v>
      </c>
      <c r="E436" s="16" t="n">
        <v>86.05</v>
      </c>
      <c r="F436" s="16">
        <f>D436*E436</f>
        <v/>
      </c>
    </row>
    <row r="437">
      <c r="A437" s="13" t="inlineStr">
        <is>
          <t>1215</t>
        </is>
      </c>
      <c r="B437" s="14" t="inlineStr">
        <is>
          <t>Welding by electric plant</t>
        </is>
      </c>
      <c r="C437" s="13" t="inlineStr">
        <is>
          <t>cm</t>
        </is>
      </c>
      <c r="D437" s="15" t="n">
        <v>12</v>
      </c>
      <c r="E437" s="16" t="n">
        <v>2</v>
      </c>
      <c r="F437" s="16">
        <f>D437*E437</f>
        <v/>
      </c>
    </row>
    <row r="438">
      <c r="A438" s="13" t="inlineStr">
        <is>
          <t>8659</t>
        </is>
      </c>
      <c r="B438" s="14" t="inlineStr">
        <is>
          <t>Water proof ply 12mm thick.</t>
        </is>
      </c>
      <c r="C438" s="13" t="inlineStr">
        <is>
          <t>sqm</t>
        </is>
      </c>
      <c r="D438" s="15" t="n">
        <v>1.02</v>
      </c>
      <c r="E438" s="16" t="n">
        <v>517</v>
      </c>
      <c r="F438" s="16">
        <f>D438*E438</f>
        <v/>
      </c>
    </row>
    <row r="439">
      <c r="A439" s="13" t="inlineStr">
        <is>
          <t>0112</t>
        </is>
      </c>
      <c r="B439" s="14" t="inlineStr">
        <is>
          <t>Carpenter 2nd class</t>
        </is>
      </c>
      <c r="C439" s="13" t="inlineStr">
        <is>
          <t>day</t>
        </is>
      </c>
      <c r="D439" s="15" t="n">
        <v>0.125</v>
      </c>
      <c r="E439" s="16" t="n">
        <v>679</v>
      </c>
      <c r="F439" s="16">
        <f>D439*E439</f>
        <v/>
      </c>
    </row>
    <row r="440">
      <c r="A440" s="13" t="inlineStr">
        <is>
          <t>0114</t>
        </is>
      </c>
      <c r="B440" s="14" t="inlineStr">
        <is>
          <t>Beldar</t>
        </is>
      </c>
      <c r="C440" s="13" t="inlineStr">
        <is>
          <t>day</t>
        </is>
      </c>
      <c r="D440" s="15" t="n">
        <v>0.125</v>
      </c>
      <c r="E440" s="16" t="n">
        <v>558</v>
      </c>
      <c r="F440" s="16">
        <f>D440*E440</f>
        <v/>
      </c>
    </row>
    <row r="441">
      <c r="A441" s="13" t="inlineStr">
        <is>
          <t>1034</t>
        </is>
      </c>
      <c r="B441" s="14" t="inlineStr">
        <is>
          <t>Bolts and nuts upto 300 mm in length</t>
        </is>
      </c>
      <c r="C441" s="13" t="inlineStr">
        <is>
          <t>quintal</t>
        </is>
      </c>
      <c r="D441" s="15" t="n">
        <v>0.0021</v>
      </c>
      <c r="E441" s="16" t="n">
        <v>4800</v>
      </c>
      <c r="F441" s="16">
        <f>D441*E441</f>
        <v/>
      </c>
    </row>
    <row r="442">
      <c r="A442" s="13" t="inlineStr">
        <is>
          <t>7343</t>
        </is>
      </c>
      <c r="B442" s="14" t="inlineStr">
        <is>
          <t>Adjustable telescopic prop 3 m (2.02-3.75 m)</t>
        </is>
      </c>
      <c r="C442" s="13" t="inlineStr">
        <is>
          <t>each</t>
        </is>
      </c>
      <c r="D442" s="15" t="n">
        <v>0.1275</v>
      </c>
      <c r="E442" s="16" t="n">
        <v>955</v>
      </c>
      <c r="F442" s="16">
        <f>D442*E442</f>
        <v/>
      </c>
    </row>
    <row r="443">
      <c r="A443" s="13" t="inlineStr">
        <is>
          <t>7344</t>
        </is>
      </c>
      <c r="B443" s="14" t="inlineStr">
        <is>
          <t>Beam clamp 300-380 mm (450-1070 mm) each</t>
        </is>
      </c>
      <c r="C443" s="13" t="inlineStr">
        <is>
          <t>set</t>
        </is>
      </c>
      <c r="D443" s="15" t="n">
        <v>0.1063</v>
      </c>
      <c r="E443" s="16" t="n">
        <v>355</v>
      </c>
      <c r="F443" s="16">
        <f>D443*E443</f>
        <v/>
      </c>
    </row>
    <row r="444">
      <c r="A444" s="13" t="inlineStr">
        <is>
          <t>9999</t>
        </is>
      </c>
      <c r="B444" s="14" t="inlineStr">
        <is>
          <t>Assembly nut &amp; bolts etc.</t>
        </is>
      </c>
      <c r="C444" s="13" t="inlineStr">
        <is>
          <t>L.S.</t>
        </is>
      </c>
      <c r="D444" s="15" t="n">
        <v>11.05</v>
      </c>
      <c r="E444" s="16" t="n">
        <v>2</v>
      </c>
      <c r="F444" s="16">
        <f>D444*E444</f>
        <v/>
      </c>
    </row>
    <row r="445">
      <c r="A445" s="13" t="inlineStr">
        <is>
          <t>9977</t>
        </is>
      </c>
      <c r="B445" s="14" t="inlineStr">
        <is>
          <t>Carriage</t>
        </is>
      </c>
      <c r="C445" s="13" t="inlineStr">
        <is>
          <t>L.S.</t>
        </is>
      </c>
      <c r="D445" s="15" t="n">
        <v>78</v>
      </c>
      <c r="E445" s="16" t="n">
        <v>2</v>
      </c>
      <c r="F445" s="16">
        <f>D445*E445</f>
        <v/>
      </c>
    </row>
    <row r="446">
      <c r="A446" s="13" t="inlineStr">
        <is>
          <t>0116</t>
        </is>
      </c>
      <c r="B446" s="14" t="inlineStr">
        <is>
          <t>Fitter (grade 1)</t>
        </is>
      </c>
      <c r="C446" s="13" t="inlineStr">
        <is>
          <t>day</t>
        </is>
      </c>
      <c r="D446" s="15" t="n">
        <v>1.25</v>
      </c>
      <c r="E446" s="16" t="n">
        <v>738</v>
      </c>
      <c r="F446" s="16">
        <f>D446*E446</f>
        <v/>
      </c>
    </row>
    <row r="447">
      <c r="A447" s="13" t="inlineStr">
        <is>
          <t>0114</t>
        </is>
      </c>
      <c r="B447" s="14" t="inlineStr">
        <is>
          <t>Beldar</t>
        </is>
      </c>
      <c r="C447" s="13" t="inlineStr">
        <is>
          <t>day</t>
        </is>
      </c>
      <c r="D447" s="15" t="n">
        <v>2.5</v>
      </c>
      <c r="E447" s="16" t="n">
        <v>558</v>
      </c>
      <c r="F447" s="16">
        <f>D447*E447</f>
        <v/>
      </c>
    </row>
    <row r="448">
      <c r="A448" s="13" t="inlineStr">
        <is>
          <t>9999</t>
        </is>
      </c>
      <c r="B448" s="14" t="inlineStr">
        <is>
          <t>Shuttering oil</t>
        </is>
      </c>
      <c r="C448" s="13" t="inlineStr">
        <is>
          <t>L.S.</t>
        </is>
      </c>
      <c r="D448" s="15" t="n">
        <v>39</v>
      </c>
      <c r="E448" s="16" t="n">
        <v>2</v>
      </c>
      <c r="F448" s="16">
        <f>D448*E448</f>
        <v/>
      </c>
    </row>
    <row r="449">
      <c r="A449" s="13" t="inlineStr">
        <is>
          <t>9999</t>
        </is>
      </c>
      <c r="B449" s="14" t="inlineStr">
        <is>
          <t>Sundries, paper tape etc.</t>
        </is>
      </c>
      <c r="C449" s="13" t="inlineStr">
        <is>
          <t>L.S.</t>
        </is>
      </c>
      <c r="D449" s="15" t="n">
        <v>26</v>
      </c>
      <c r="E449" s="16" t="n">
        <v>2</v>
      </c>
      <c r="F449" s="16">
        <f>D449*E449</f>
        <v/>
      </c>
    </row>
    <row r="450">
      <c r="A450" s="17" t="inlineStr">
        <is>
          <t>Resource Total (Material + Labour + Machinery, as printed)</t>
        </is>
      </c>
      <c r="B450" s="18" t="n"/>
      <c r="C450" s="18" t="n"/>
      <c r="D450" s="18" t="n"/>
      <c r="E450" s="18" t="n"/>
      <c r="F450" s="19">
        <f>SUM(F436:F449)</f>
        <v/>
      </c>
    </row>
    <row r="451">
      <c r="A451" s="20" t="inlineStr">
        <is>
          <t>SAY (Rs.) — final DAR rate</t>
        </is>
      </c>
      <c r="B451" s="21" t="n"/>
      <c r="C451" s="21" t="n"/>
      <c r="D451" s="21" t="n"/>
      <c r="E451" s="21" t="n"/>
      <c r="F451" s="22" t="n">
        <v>641.6</v>
      </c>
    </row>
    <row r="453" ht="18" customHeight="1">
      <c r="A453" s="9" t="inlineStr">
        <is>
          <t>5.10.1</t>
        </is>
      </c>
      <c r="B453" s="10" t="inlineStr">
        <is>
          <t>12 mm dia. &amp; 100 mm length</t>
        </is>
      </c>
      <c r="C453" s="11" t="n"/>
      <c r="D453" s="11" t="n"/>
      <c r="E453" s="11" t="n"/>
      <c r="F453" s="11" t="n"/>
    </row>
    <row r="454">
      <c r="A454" s="12" t="inlineStr">
        <is>
          <t>Rate basis: per nos  (source: cost for 1 nos)</t>
        </is>
      </c>
    </row>
    <row r="455">
      <c r="A455" s="5" t="inlineStr">
        <is>
          <t>Code</t>
        </is>
      </c>
      <c r="B455" s="5" t="inlineStr">
        <is>
          <t>Description</t>
        </is>
      </c>
      <c r="C455" s="5" t="inlineStr">
        <is>
          <t>Unit</t>
        </is>
      </c>
      <c r="D455" s="5" t="inlineStr">
        <is>
          <t>Quantity</t>
        </is>
      </c>
      <c r="E455" s="5" t="inlineStr">
        <is>
          <t>Rate (Rs.)</t>
        </is>
      </c>
      <c r="F455" s="5" t="inlineStr">
        <is>
          <t>Amount (Rs.)</t>
        </is>
      </c>
    </row>
    <row r="456">
      <c r="A456" s="13" t="inlineStr">
        <is>
          <t>7320</t>
        </is>
      </c>
      <c r="B456" s="14" t="inlineStr">
        <is>
          <t>Tie bolt 12 mm dia 100 mm length</t>
        </is>
      </c>
      <c r="C456" s="13" t="inlineStr">
        <is>
          <t>each</t>
        </is>
      </c>
      <c r="D456" s="15" t="n">
        <v>24</v>
      </c>
      <c r="E456" s="16" t="n">
        <v>38</v>
      </c>
      <c r="F456" s="16">
        <f>D456*E456</f>
        <v/>
      </c>
    </row>
    <row r="457">
      <c r="A457" s="13" t="inlineStr">
        <is>
          <t>7324</t>
        </is>
      </c>
      <c r="B457" s="14" t="inlineStr">
        <is>
          <t>Spring coil 12 mm</t>
        </is>
      </c>
      <c r="C457" s="13" t="inlineStr">
        <is>
          <t>each</t>
        </is>
      </c>
      <c r="D457" s="15" t="n">
        <v>48</v>
      </c>
      <c r="E457" s="16" t="n">
        <v>15</v>
      </c>
      <c r="F457" s="16">
        <f>D457*E457</f>
        <v/>
      </c>
    </row>
    <row r="458">
      <c r="A458" s="13" t="inlineStr">
        <is>
          <t>7325</t>
        </is>
      </c>
      <c r="B458" s="14" t="inlineStr">
        <is>
          <t>Plastic cone 12 mm dia</t>
        </is>
      </c>
      <c r="C458" s="13" t="inlineStr">
        <is>
          <t>each</t>
        </is>
      </c>
      <c r="D458" s="15" t="n">
        <v>48</v>
      </c>
      <c r="E458" s="16" t="n">
        <v>17</v>
      </c>
      <c r="F458" s="16">
        <f>D458*E458</f>
        <v/>
      </c>
    </row>
    <row r="459">
      <c r="A459" s="13" t="inlineStr">
        <is>
          <t>9977</t>
        </is>
      </c>
      <c r="B459" s="14" t="inlineStr">
        <is>
          <t>Carriage:</t>
        </is>
      </c>
      <c r="C459" s="13" t="inlineStr">
        <is>
          <t>L.S.</t>
        </is>
      </c>
      <c r="D459" s="15" t="n">
        <v>13</v>
      </c>
      <c r="E459" s="16" t="n">
        <v>2</v>
      </c>
      <c r="F459" s="16">
        <f>D459*E459</f>
        <v/>
      </c>
    </row>
    <row r="460">
      <c r="A460" s="13" t="inlineStr">
        <is>
          <t>9999</t>
        </is>
      </c>
      <c r="B460" s="14" t="inlineStr">
        <is>
          <t>Sundries</t>
        </is>
      </c>
      <c r="C460" s="13" t="inlineStr">
        <is>
          <t>L.S.</t>
        </is>
      </c>
      <c r="D460" s="15" t="n">
        <v>26</v>
      </c>
      <c r="E460" s="16" t="n">
        <v>2</v>
      </c>
      <c r="F460" s="16">
        <f>D460*E460</f>
        <v/>
      </c>
    </row>
    <row r="461">
      <c r="A461" s="17" t="inlineStr">
        <is>
          <t>Resource Total (Material + Labour + Machinery, as printed)</t>
        </is>
      </c>
      <c r="B461" s="18" t="n"/>
      <c r="C461" s="18" t="n"/>
      <c r="D461" s="18" t="n"/>
      <c r="E461" s="18" t="n"/>
      <c r="F461" s="19">
        <f>SUM(F456:F460)</f>
        <v/>
      </c>
    </row>
    <row r="462">
      <c r="A462" s="20" t="inlineStr">
        <is>
          <t>SAY (Rs.) — final DAR rate</t>
        </is>
      </c>
      <c r="B462" s="21" t="n"/>
      <c r="C462" s="21" t="n"/>
      <c r="D462" s="21" t="n"/>
      <c r="E462" s="21" t="n"/>
      <c r="F462" s="22" t="n">
        <v>140.8</v>
      </c>
    </row>
    <row r="464" ht="18" customHeight="1">
      <c r="A464" s="9" t="inlineStr">
        <is>
          <t>5.10.2</t>
        </is>
      </c>
      <c r="B464" s="10" t="inlineStr">
        <is>
          <t>12 mm dia. &amp; 150 mm length</t>
        </is>
      </c>
      <c r="C464" s="11" t="n"/>
      <c r="D464" s="11" t="n"/>
      <c r="E464" s="11" t="n"/>
      <c r="F464" s="11" t="n"/>
    </row>
    <row r="465">
      <c r="A465" s="12" t="inlineStr">
        <is>
          <t>Rate basis: per nos  (source: cost for 1 nos)</t>
        </is>
      </c>
    </row>
    <row r="466">
      <c r="A466" s="5" t="inlineStr">
        <is>
          <t>Code</t>
        </is>
      </c>
      <c r="B466" s="5" t="inlineStr">
        <is>
          <t>Description</t>
        </is>
      </c>
      <c r="C466" s="5" t="inlineStr">
        <is>
          <t>Unit</t>
        </is>
      </c>
      <c r="D466" s="5" t="inlineStr">
        <is>
          <t>Quantity</t>
        </is>
      </c>
      <c r="E466" s="5" t="inlineStr">
        <is>
          <t>Rate (Rs.)</t>
        </is>
      </c>
      <c r="F466" s="5" t="inlineStr">
        <is>
          <t>Amount (Rs.)</t>
        </is>
      </c>
    </row>
    <row r="467">
      <c r="A467" s="13" t="inlineStr">
        <is>
          <t>7321</t>
        </is>
      </c>
      <c r="B467" s="14" t="inlineStr">
        <is>
          <t>Tie bolt 12 mm dia 150 mm length</t>
        </is>
      </c>
      <c r="C467" s="13" t="inlineStr">
        <is>
          <t>each</t>
        </is>
      </c>
      <c r="D467" s="15" t="n">
        <v>24</v>
      </c>
      <c r="E467" s="16" t="n">
        <v>48</v>
      </c>
      <c r="F467" s="16">
        <f>D467*E467</f>
        <v/>
      </c>
    </row>
    <row r="468">
      <c r="A468" s="13" t="inlineStr">
        <is>
          <t>7324</t>
        </is>
      </c>
      <c r="B468" s="14" t="inlineStr">
        <is>
          <t>Spring coil 12 mm</t>
        </is>
      </c>
      <c r="C468" s="13" t="inlineStr">
        <is>
          <t>each</t>
        </is>
      </c>
      <c r="D468" s="15" t="n">
        <v>48</v>
      </c>
      <c r="E468" s="16" t="n">
        <v>15</v>
      </c>
      <c r="F468" s="16">
        <f>D468*E468</f>
        <v/>
      </c>
    </row>
    <row r="469">
      <c r="A469" s="13" t="inlineStr">
        <is>
          <t>7325</t>
        </is>
      </c>
      <c r="B469" s="14" t="inlineStr">
        <is>
          <t>Plastic cone 12 mm dia</t>
        </is>
      </c>
      <c r="C469" s="13" t="inlineStr">
        <is>
          <t>each</t>
        </is>
      </c>
      <c r="D469" s="15" t="n">
        <v>48</v>
      </c>
      <c r="E469" s="16" t="n">
        <v>17</v>
      </c>
      <c r="F469" s="16">
        <f>D469*E469</f>
        <v/>
      </c>
    </row>
    <row r="470">
      <c r="A470" s="13" t="inlineStr">
        <is>
          <t>9977</t>
        </is>
      </c>
      <c r="B470" s="14" t="inlineStr">
        <is>
          <t>Carriage:</t>
        </is>
      </c>
      <c r="C470" s="13" t="inlineStr">
        <is>
          <t>L.S.</t>
        </is>
      </c>
      <c r="D470" s="15" t="n">
        <v>13</v>
      </c>
      <c r="E470" s="16" t="n">
        <v>2</v>
      </c>
      <c r="F470" s="16">
        <f>D470*E470</f>
        <v/>
      </c>
    </row>
    <row r="471">
      <c r="A471" s="13" t="inlineStr">
        <is>
          <t>9999</t>
        </is>
      </c>
      <c r="B471" s="14" t="inlineStr">
        <is>
          <t>Sundries</t>
        </is>
      </c>
      <c r="C471" s="13" t="inlineStr">
        <is>
          <t>L.S.</t>
        </is>
      </c>
      <c r="D471" s="15" t="n">
        <v>26</v>
      </c>
      <c r="E471" s="16" t="n">
        <v>2</v>
      </c>
      <c r="F471" s="16">
        <f>D471*E471</f>
        <v/>
      </c>
    </row>
    <row r="472">
      <c r="A472" s="17" t="inlineStr">
        <is>
          <t>Resource Total (Material + Labour + Machinery, as printed)</t>
        </is>
      </c>
      <c r="B472" s="18" t="n"/>
      <c r="C472" s="18" t="n"/>
      <c r="D472" s="18" t="n"/>
      <c r="E472" s="18" t="n"/>
      <c r="F472" s="19">
        <f>SUM(F467:F471)</f>
        <v/>
      </c>
    </row>
    <row r="473">
      <c r="A473" s="20" t="inlineStr">
        <is>
          <t>SAY (Rs.) — final DAR rate</t>
        </is>
      </c>
      <c r="B473" s="21" t="n"/>
      <c r="C473" s="21" t="n"/>
      <c r="D473" s="21" t="n"/>
      <c r="E473" s="21" t="n"/>
      <c r="F473" s="22" t="n">
        <v>154.2</v>
      </c>
    </row>
    <row r="475" ht="18" customHeight="1">
      <c r="A475" s="9" t="inlineStr">
        <is>
          <t>5.10.3</t>
        </is>
      </c>
      <c r="B475" s="10" t="inlineStr">
        <is>
          <t>20 mm dia. &amp; 150 mm length</t>
        </is>
      </c>
      <c r="C475" s="11" t="n"/>
      <c r="D475" s="11" t="n"/>
      <c r="E475" s="11" t="n"/>
      <c r="F475" s="11" t="n"/>
    </row>
    <row r="476">
      <c r="A476" s="12" t="inlineStr">
        <is>
          <t>Rate basis: per nos  (source: cost for 1 nos)</t>
        </is>
      </c>
    </row>
    <row r="477">
      <c r="A477" s="5" t="inlineStr">
        <is>
          <t>Code</t>
        </is>
      </c>
      <c r="B477" s="5" t="inlineStr">
        <is>
          <t>Description</t>
        </is>
      </c>
      <c r="C477" s="5" t="inlineStr">
        <is>
          <t>Unit</t>
        </is>
      </c>
      <c r="D477" s="5" t="inlineStr">
        <is>
          <t>Quantity</t>
        </is>
      </c>
      <c r="E477" s="5" t="inlineStr">
        <is>
          <t>Rate (Rs.)</t>
        </is>
      </c>
      <c r="F477" s="5" t="inlineStr">
        <is>
          <t>Amount (Rs.)</t>
        </is>
      </c>
    </row>
    <row r="478">
      <c r="A478" s="13" t="inlineStr">
        <is>
          <t>7322</t>
        </is>
      </c>
      <c r="B478" s="14" t="inlineStr">
        <is>
          <t>Tie bolt 20 mm dia 150 mm length</t>
        </is>
      </c>
      <c r="C478" s="13" t="inlineStr">
        <is>
          <t>each</t>
        </is>
      </c>
      <c r="D478" s="15" t="n">
        <v>24</v>
      </c>
      <c r="E478" s="16" t="n">
        <v>57</v>
      </c>
      <c r="F478" s="16">
        <f>D478*E478</f>
        <v/>
      </c>
    </row>
    <row r="479">
      <c r="A479" s="13" t="inlineStr">
        <is>
          <t>7324</t>
        </is>
      </c>
      <c r="B479" s="14" t="inlineStr">
        <is>
          <t>Spring coil 12 mm</t>
        </is>
      </c>
      <c r="C479" s="13" t="inlineStr">
        <is>
          <t>each</t>
        </is>
      </c>
      <c r="D479" s="15" t="n">
        <v>48</v>
      </c>
      <c r="E479" s="16" t="n">
        <v>15</v>
      </c>
      <c r="F479" s="16">
        <f>D479*E479</f>
        <v/>
      </c>
    </row>
    <row r="480">
      <c r="A480" s="13" t="inlineStr">
        <is>
          <t>7325</t>
        </is>
      </c>
      <c r="B480" s="14" t="inlineStr">
        <is>
          <t>Plastic cone 12 mm dia</t>
        </is>
      </c>
      <c r="C480" s="13" t="inlineStr">
        <is>
          <t>each</t>
        </is>
      </c>
      <c r="D480" s="15" t="n">
        <v>48</v>
      </c>
      <c r="E480" s="16" t="n">
        <v>17</v>
      </c>
      <c r="F480" s="16">
        <f>D480*E480</f>
        <v/>
      </c>
    </row>
    <row r="481">
      <c r="A481" s="13" t="inlineStr">
        <is>
          <t>9977</t>
        </is>
      </c>
      <c r="B481" s="14" t="inlineStr">
        <is>
          <t>Carriage:</t>
        </is>
      </c>
      <c r="C481" s="13" t="inlineStr">
        <is>
          <t>L.S.</t>
        </is>
      </c>
      <c r="D481" s="15" t="n">
        <v>13</v>
      </c>
      <c r="E481" s="16" t="n">
        <v>2</v>
      </c>
      <c r="F481" s="16">
        <f>D481*E481</f>
        <v/>
      </c>
    </row>
    <row r="482">
      <c r="A482" s="13" t="inlineStr">
        <is>
          <t>9999</t>
        </is>
      </c>
      <c r="B482" s="14" t="inlineStr">
        <is>
          <t>Sundries</t>
        </is>
      </c>
      <c r="C482" s="13" t="inlineStr">
        <is>
          <t>L.S.</t>
        </is>
      </c>
      <c r="D482" s="15" t="n">
        <v>26</v>
      </c>
      <c r="E482" s="16" t="n">
        <v>2</v>
      </c>
      <c r="F482" s="16">
        <f>D482*E482</f>
        <v/>
      </c>
    </row>
    <row r="483">
      <c r="A483" s="17" t="inlineStr">
        <is>
          <t>Resource Total (Material + Labour + Machinery, as printed)</t>
        </is>
      </c>
      <c r="B483" s="18" t="n"/>
      <c r="C483" s="18" t="n"/>
      <c r="D483" s="18" t="n"/>
      <c r="E483" s="18" t="n"/>
      <c r="F483" s="19">
        <f>SUM(F478:F482)</f>
        <v/>
      </c>
    </row>
    <row r="484">
      <c r="A484" s="20" t="inlineStr">
        <is>
          <t>SAY (Rs.) — final DAR rate</t>
        </is>
      </c>
      <c r="B484" s="21" t="n"/>
      <c r="C484" s="21" t="n"/>
      <c r="D484" s="21" t="n"/>
      <c r="E484" s="21" t="n"/>
      <c r="F484" s="22" t="n">
        <v>166.25</v>
      </c>
    </row>
    <row r="486" ht="18" customHeight="1">
      <c r="A486" s="9" t="inlineStr">
        <is>
          <t>5.10.4</t>
        </is>
      </c>
      <c r="B486" s="10" t="inlineStr">
        <is>
          <t>20 mm dia.&amp; 225 mm length</t>
        </is>
      </c>
      <c r="C486" s="11" t="n"/>
      <c r="D486" s="11" t="n"/>
      <c r="E486" s="11" t="n"/>
      <c r="F486" s="11" t="n"/>
    </row>
    <row r="487">
      <c r="A487" s="12" t="inlineStr">
        <is>
          <t>Rate basis: per nos  (source: cost for 1 nos)</t>
        </is>
      </c>
    </row>
    <row r="488">
      <c r="A488" s="5" t="inlineStr">
        <is>
          <t>Code</t>
        </is>
      </c>
      <c r="B488" s="5" t="inlineStr">
        <is>
          <t>Description</t>
        </is>
      </c>
      <c r="C488" s="5" t="inlineStr">
        <is>
          <t>Unit</t>
        </is>
      </c>
      <c r="D488" s="5" t="inlineStr">
        <is>
          <t>Quantity</t>
        </is>
      </c>
      <c r="E488" s="5" t="inlineStr">
        <is>
          <t>Rate (Rs.)</t>
        </is>
      </c>
      <c r="F488" s="5" t="inlineStr">
        <is>
          <t>Amount (Rs.)</t>
        </is>
      </c>
    </row>
    <row r="489">
      <c r="A489" s="13" t="inlineStr">
        <is>
          <t>7323</t>
        </is>
      </c>
      <c r="B489" s="14" t="inlineStr">
        <is>
          <t>Tie bolt 20 mm dia 225 mm length</t>
        </is>
      </c>
      <c r="C489" s="13" t="inlineStr">
        <is>
          <t>each</t>
        </is>
      </c>
      <c r="D489" s="15" t="n">
        <v>24</v>
      </c>
      <c r="E489" s="16" t="n">
        <v>67</v>
      </c>
      <c r="F489" s="16">
        <f>D489*E489</f>
        <v/>
      </c>
    </row>
    <row r="490">
      <c r="A490" s="13" t="inlineStr">
        <is>
          <t>7324</t>
        </is>
      </c>
      <c r="B490" s="14" t="inlineStr">
        <is>
          <t>Spring coil 12 mm</t>
        </is>
      </c>
      <c r="C490" s="13" t="inlineStr">
        <is>
          <t>each</t>
        </is>
      </c>
      <c r="D490" s="15" t="n">
        <v>48</v>
      </c>
      <c r="E490" s="16" t="n">
        <v>15</v>
      </c>
      <c r="F490" s="16">
        <f>D490*E490</f>
        <v/>
      </c>
    </row>
    <row r="491">
      <c r="A491" s="13" t="inlineStr">
        <is>
          <t>7325</t>
        </is>
      </c>
      <c r="B491" s="14" t="inlineStr">
        <is>
          <t>Plastic cone 12 mm dia</t>
        </is>
      </c>
      <c r="C491" s="13" t="inlineStr">
        <is>
          <t>each</t>
        </is>
      </c>
      <c r="D491" s="15" t="n">
        <v>48</v>
      </c>
      <c r="E491" s="16" t="n">
        <v>17</v>
      </c>
      <c r="F491" s="16">
        <f>D491*E491</f>
        <v/>
      </c>
    </row>
    <row r="492">
      <c r="A492" s="13" t="inlineStr">
        <is>
          <t>9977</t>
        </is>
      </c>
      <c r="B492" s="14" t="inlineStr">
        <is>
          <t>Carriage:</t>
        </is>
      </c>
      <c r="C492" s="13" t="inlineStr">
        <is>
          <t>L.S.</t>
        </is>
      </c>
      <c r="D492" s="15" t="n">
        <v>13</v>
      </c>
      <c r="E492" s="16" t="n">
        <v>2</v>
      </c>
      <c r="F492" s="16">
        <f>D492*E492</f>
        <v/>
      </c>
    </row>
    <row r="493">
      <c r="A493" s="13" t="inlineStr">
        <is>
          <t>9999</t>
        </is>
      </c>
      <c r="B493" s="14" t="inlineStr">
        <is>
          <t>Sundries</t>
        </is>
      </c>
      <c r="C493" s="13" t="inlineStr">
        <is>
          <t>L.S.</t>
        </is>
      </c>
      <c r="D493" s="15" t="n">
        <v>26</v>
      </c>
      <c r="E493" s="16" t="n">
        <v>2</v>
      </c>
      <c r="F493" s="16">
        <f>D493*E493</f>
        <v/>
      </c>
    </row>
    <row r="494">
      <c r="A494" s="17" t="inlineStr">
        <is>
          <t>Resource Total (Material + Labour + Machinery, as printed)</t>
        </is>
      </c>
      <c r="B494" s="18" t="n"/>
      <c r="C494" s="18" t="n"/>
      <c r="D494" s="18" t="n"/>
      <c r="E494" s="18" t="n"/>
      <c r="F494" s="19">
        <f>SUM(F489:F493)</f>
        <v/>
      </c>
    </row>
    <row r="495">
      <c r="A495" s="20" t="inlineStr">
        <is>
          <t>SAY (Rs.) — final DAR rate</t>
        </is>
      </c>
      <c r="B495" s="21" t="n"/>
      <c r="C495" s="21" t="n"/>
      <c r="D495" s="21" t="n"/>
      <c r="E495" s="21" t="n"/>
      <c r="F495" s="22" t="n">
        <v>179.6</v>
      </c>
    </row>
    <row r="497" ht="18" customHeight="1">
      <c r="A497" s="9" t="inlineStr">
        <is>
          <t>5.11.1</t>
        </is>
      </c>
      <c r="B497" s="10" t="inlineStr">
        <is>
          <t>Suspended floors, roofs, landing, beams and balconies (Plan area to be measured)</t>
        </is>
      </c>
      <c r="C497" s="11" t="n"/>
      <c r="D497" s="11" t="n"/>
      <c r="E497" s="11" t="n"/>
      <c r="F497" s="11" t="n"/>
    </row>
    <row r="498">
      <c r="A498" s="12" t="inlineStr">
        <is>
          <t>Rate basis: per sqm  (source: cost for 28.8 sqm)</t>
        </is>
      </c>
    </row>
    <row r="499">
      <c r="A499" s="5" t="inlineStr">
        <is>
          <t>Code</t>
        </is>
      </c>
      <c r="B499" s="5" t="inlineStr">
        <is>
          <t>Description</t>
        </is>
      </c>
      <c r="C499" s="5" t="inlineStr">
        <is>
          <t>Unit</t>
        </is>
      </c>
      <c r="D499" s="5" t="inlineStr">
        <is>
          <t>Quantity</t>
        </is>
      </c>
      <c r="E499" s="5" t="inlineStr">
        <is>
          <t>Rate (Rs.)</t>
        </is>
      </c>
      <c r="F499" s="5" t="inlineStr">
        <is>
          <t>Amount (Rs.)</t>
        </is>
      </c>
    </row>
    <row r="500">
      <c r="A500" s="13" t="inlineStr">
        <is>
          <t>7345</t>
        </is>
      </c>
      <c r="B500" s="14" t="inlineStr">
        <is>
          <t>Prop 4 m</t>
        </is>
      </c>
      <c r="C500" s="13" t="inlineStr">
        <is>
          <t>each</t>
        </is>
      </c>
      <c r="D500" s="15" t="n">
        <v>0.4463</v>
      </c>
      <c r="E500" s="16" t="n">
        <v>910</v>
      </c>
      <c r="F500" s="16">
        <f>D500*E500</f>
        <v/>
      </c>
    </row>
    <row r="501">
      <c r="A501" s="13" t="inlineStr">
        <is>
          <t>7330</t>
        </is>
      </c>
      <c r="B501" s="14" t="inlineStr">
        <is>
          <t>M.S. tube 40 mm dia</t>
        </is>
      </c>
      <c r="C501" s="13" t="inlineStr">
        <is>
          <t>metre</t>
        </is>
      </c>
      <c r="D501" s="15" t="n">
        <v>1.0965</v>
      </c>
      <c r="E501" s="16" t="n">
        <v>215</v>
      </c>
      <c r="F501" s="16">
        <f>D501*E501</f>
        <v/>
      </c>
    </row>
    <row r="502">
      <c r="A502" s="13" t="inlineStr">
        <is>
          <t>7346</t>
        </is>
      </c>
      <c r="B502" s="14" t="inlineStr">
        <is>
          <t>Double coupler (40x40)</t>
        </is>
      </c>
      <c r="C502" s="13" t="inlineStr">
        <is>
          <t>each</t>
        </is>
      </c>
      <c r="D502" s="15" t="n">
        <v>0.4463</v>
      </c>
      <c r="E502" s="16" t="n">
        <v>46</v>
      </c>
      <c r="F502" s="16">
        <f>D502*E502</f>
        <v/>
      </c>
    </row>
    <row r="503">
      <c r="A503" s="13" t="inlineStr">
        <is>
          <t>9977</t>
        </is>
      </c>
      <c r="B503" s="14" t="inlineStr">
        <is>
          <t>Carriage</t>
        </is>
      </c>
      <c r="C503" s="13" t="inlineStr">
        <is>
          <t>L.S.</t>
        </is>
      </c>
      <c r="D503" s="15" t="n">
        <v>65</v>
      </c>
      <c r="E503" s="16" t="n">
        <v>2</v>
      </c>
      <c r="F503" s="16">
        <f>D503*E503</f>
        <v/>
      </c>
    </row>
    <row r="504">
      <c r="A504" s="13" t="inlineStr">
        <is>
          <t>0116</t>
        </is>
      </c>
      <c r="B504" s="14" t="inlineStr">
        <is>
          <t>Fitter (grade 1)</t>
        </is>
      </c>
      <c r="C504" s="13" t="inlineStr">
        <is>
          <t>day</t>
        </is>
      </c>
      <c r="D504" s="15" t="n">
        <v>3</v>
      </c>
      <c r="E504" s="16" t="n">
        <v>738</v>
      </c>
      <c r="F504" s="16">
        <f>D504*E504</f>
        <v/>
      </c>
    </row>
    <row r="505">
      <c r="A505" s="13" t="inlineStr">
        <is>
          <t>0114</t>
        </is>
      </c>
      <c r="B505" s="14" t="inlineStr">
        <is>
          <t>Beldar</t>
        </is>
      </c>
      <c r="C505" s="13" t="inlineStr">
        <is>
          <t>day</t>
        </is>
      </c>
      <c r="D505" s="15" t="n">
        <v>6</v>
      </c>
      <c r="E505" s="16" t="n">
        <v>558</v>
      </c>
      <c r="F505" s="16">
        <f>D505*E505</f>
        <v/>
      </c>
    </row>
    <row r="506">
      <c r="A506" s="13" t="inlineStr">
        <is>
          <t>9999</t>
        </is>
      </c>
      <c r="B506" s="14" t="inlineStr">
        <is>
          <t>Sundries</t>
        </is>
      </c>
      <c r="C506" s="13" t="inlineStr">
        <is>
          <t>L.S.</t>
        </is>
      </c>
      <c r="D506" s="15" t="n">
        <v>130</v>
      </c>
      <c r="E506" s="16" t="n">
        <v>2</v>
      </c>
      <c r="F506" s="16">
        <f>D506*E506</f>
        <v/>
      </c>
    </row>
    <row r="507">
      <c r="A507" s="17" t="inlineStr">
        <is>
          <t>Resource Total (Material + Labour + Machinery, as printed)</t>
        </is>
      </c>
      <c r="B507" s="18" t="n"/>
      <c r="C507" s="18" t="n"/>
      <c r="D507" s="18" t="n"/>
      <c r="E507" s="18" t="n"/>
      <c r="F507" s="19">
        <f>SUM(F500:F506)</f>
        <v/>
      </c>
    </row>
    <row r="508">
      <c r="A508" s="20" t="inlineStr">
        <is>
          <t>SAY (Rs.) — final DAR rate</t>
        </is>
      </c>
      <c r="B508" s="21" t="n"/>
      <c r="C508" s="21" t="n"/>
      <c r="D508" s="21" t="n"/>
      <c r="E508" s="21" t="n"/>
      <c r="F508" s="22" t="n">
        <v>287.5</v>
      </c>
    </row>
    <row r="510" ht="28" customHeight="1">
      <c r="A510" s="9" t="inlineStr">
        <is>
          <t>5.12</t>
        </is>
      </c>
      <c r="B510" s="10" t="inlineStr">
        <is>
          <t>Providing, hoisting and fixing above plinth level up to floor five level precast reinforced cement concrete work in string courses, bands, c</t>
        </is>
      </c>
      <c r="C510" s="11" t="n"/>
      <c r="D510" s="11" t="n"/>
      <c r="E510" s="11" t="n"/>
      <c r="F510" s="11" t="n"/>
    </row>
    <row r="511">
      <c r="A511" s="12" t="inlineStr">
        <is>
          <t>Rate basis: per cum  (source: cost for 1 cum)</t>
        </is>
      </c>
    </row>
    <row r="512">
      <c r="A512" s="5" t="inlineStr">
        <is>
          <t>Code</t>
        </is>
      </c>
      <c r="B512" s="5" t="inlineStr">
        <is>
          <t>Description</t>
        </is>
      </c>
      <c r="C512" s="5" t="inlineStr">
        <is>
          <t>Unit</t>
        </is>
      </c>
      <c r="D512" s="5" t="inlineStr">
        <is>
          <t>Quantity</t>
        </is>
      </c>
      <c r="E512" s="5" t="inlineStr">
        <is>
          <t>Rate (Rs.)</t>
        </is>
      </c>
      <c r="F512" s="5" t="inlineStr">
        <is>
          <t>Amount (Rs.)</t>
        </is>
      </c>
    </row>
    <row r="513">
      <c r="A513" s="13" t="inlineStr">
        <is>
          <t>4.5.1</t>
        </is>
      </c>
      <c r="B513" s="14" t="inlineStr">
        <is>
          <t>Rate as per SH: 4.5.1</t>
        </is>
      </c>
      <c r="C513" s="13" t="inlineStr">
        <is>
          <t>cum</t>
        </is>
      </c>
      <c r="D513" s="15" t="n">
        <v>1</v>
      </c>
      <c r="E513" s="16" t="n">
        <v>8537.75</v>
      </c>
      <c r="F513" s="16">
        <f>D513*E513</f>
        <v/>
      </c>
    </row>
    <row r="514">
      <c r="A514" s="13" t="inlineStr">
        <is>
          <t>0114</t>
        </is>
      </c>
      <c r="B514" s="14" t="inlineStr">
        <is>
          <t>Beldar</t>
        </is>
      </c>
      <c r="C514" s="13" t="inlineStr">
        <is>
          <t>day</t>
        </is>
      </c>
      <c r="D514" s="15" t="n">
        <v>0.1</v>
      </c>
      <c r="E514" s="16" t="n">
        <v>558</v>
      </c>
      <c r="F514" s="16">
        <f>D514*E514</f>
        <v/>
      </c>
    </row>
    <row r="515">
      <c r="A515" s="13" t="inlineStr">
        <is>
          <t>0101</t>
        </is>
      </c>
      <c r="B515" s="14" t="inlineStr">
        <is>
          <t>Bhisti</t>
        </is>
      </c>
      <c r="C515" s="13" t="inlineStr">
        <is>
          <t>day</t>
        </is>
      </c>
      <c r="D515" s="15" t="n">
        <v>0.2</v>
      </c>
      <c r="E515" s="16" t="n">
        <v>617</v>
      </c>
      <c r="F515" s="16">
        <f>D515*E515</f>
        <v/>
      </c>
    </row>
    <row r="516">
      <c r="A516" s="13" t="inlineStr">
        <is>
          <t>0123</t>
        </is>
      </c>
      <c r="B516" s="14" t="inlineStr">
        <is>
          <t>Mason (brick layer) 1st class</t>
        </is>
      </c>
      <c r="C516" s="13" t="inlineStr">
        <is>
          <t>day</t>
        </is>
      </c>
      <c r="D516" s="15" t="n">
        <v>0.04</v>
      </c>
      <c r="E516" s="16" t="n">
        <v>738</v>
      </c>
      <c r="F516" s="16">
        <f>D516*E516</f>
        <v/>
      </c>
    </row>
    <row r="517">
      <c r="A517" s="13" t="inlineStr">
        <is>
          <t>0124</t>
        </is>
      </c>
      <c r="B517" s="14" t="inlineStr">
        <is>
          <t>Mason (brick layer) 2nd class</t>
        </is>
      </c>
      <c r="C517" s="13" t="inlineStr">
        <is>
          <t>day</t>
        </is>
      </c>
      <c r="D517" s="15" t="n">
        <v>0.04</v>
      </c>
      <c r="E517" s="16" t="n">
        <v>679</v>
      </c>
      <c r="F517" s="16">
        <f>D517*E517</f>
        <v/>
      </c>
    </row>
    <row r="518">
      <c r="A518" s="13" t="inlineStr">
        <is>
          <t>0128</t>
        </is>
      </c>
      <c r="B518" s="14" t="inlineStr">
        <is>
          <t>Mate</t>
        </is>
      </c>
      <c r="C518" s="13" t="inlineStr">
        <is>
          <t>day</t>
        </is>
      </c>
      <c r="D518" s="15" t="n">
        <v>0.04</v>
      </c>
      <c r="E518" s="16" t="n">
        <v>617</v>
      </c>
      <c r="F518" s="16">
        <f>D518*E518</f>
        <v/>
      </c>
    </row>
    <row r="519">
      <c r="A519" s="17" t="inlineStr">
        <is>
          <t>Resource Total (Material + Labour + Machinery, as printed)</t>
        </is>
      </c>
      <c r="B519" s="18" t="n"/>
      <c r="C519" s="18" t="n"/>
      <c r="D519" s="18" t="n"/>
      <c r="E519" s="18" t="n"/>
      <c r="F519" s="19">
        <f>SUM(F513:F518)</f>
        <v/>
      </c>
    </row>
    <row r="520">
      <c r="A520" s="20" t="inlineStr">
        <is>
          <t>SAY (Rs.) — final DAR rate</t>
        </is>
      </c>
      <c r="B520" s="21" t="n"/>
      <c r="C520" s="21" t="n"/>
      <c r="D520" s="21" t="n"/>
      <c r="E520" s="21" t="n"/>
      <c r="F520" s="22" t="n">
        <v>8886.35</v>
      </c>
    </row>
    <row r="522" ht="28" customHeight="1">
      <c r="A522" s="9" t="inlineStr">
        <is>
          <t>5.13</t>
        </is>
      </c>
      <c r="B522" s="10" t="inlineStr">
        <is>
          <t>Providing, hoisting and fixing up to floor five level precast reinforced cement concrete in small lintels not exceeding 1.5m clear span up t</t>
        </is>
      </c>
      <c r="C522" s="11" t="n"/>
      <c r="D522" s="11" t="n"/>
      <c r="E522" s="11" t="n"/>
      <c r="F522" s="11" t="n"/>
    </row>
    <row r="523">
      <c r="A523" s="12" t="inlineStr">
        <is>
          <t>Rate basis: per cum  (source: cost for 0.054 cum)</t>
        </is>
      </c>
    </row>
    <row r="524">
      <c r="A524" s="5" t="inlineStr">
        <is>
          <t>Code</t>
        </is>
      </c>
      <c r="B524" s="5" t="inlineStr">
        <is>
          <t>Description</t>
        </is>
      </c>
      <c r="C524" s="5" t="inlineStr">
        <is>
          <t>Unit</t>
        </is>
      </c>
      <c r="D524" s="5" t="inlineStr">
        <is>
          <t>Quantity</t>
        </is>
      </c>
      <c r="E524" s="5" t="inlineStr">
        <is>
          <t>Rate (Rs.)</t>
        </is>
      </c>
      <c r="F524" s="5" t="inlineStr">
        <is>
          <t>Amount (Rs.)</t>
        </is>
      </c>
    </row>
    <row r="525">
      <c r="A525" s="13" t="inlineStr">
        <is>
          <t>4.2.2</t>
        </is>
      </c>
      <c r="B525" s="14" t="inlineStr">
        <is>
          <t>Rate as per SH: 4.2.2</t>
        </is>
      </c>
      <c r="C525" s="13" t="inlineStr">
        <is>
          <t>cum</t>
        </is>
      </c>
      <c r="D525" s="15" t="n">
        <v>0.054</v>
      </c>
      <c r="E525" s="16" t="n">
        <v>8976.450000000001</v>
      </c>
      <c r="F525" s="16">
        <f>D525*E525</f>
        <v/>
      </c>
    </row>
    <row r="526">
      <c r="A526" s="13" t="inlineStr">
        <is>
          <t>4.3.1</t>
        </is>
      </c>
      <c r="B526" s="14" t="inlineStr">
        <is>
          <t>Rate as per SH: 4.3.1</t>
        </is>
      </c>
      <c r="C526" s="13" t="inlineStr">
        <is>
          <t>sqm</t>
        </is>
      </c>
      <c r="D526" s="15" t="n">
        <v>0.6</v>
      </c>
      <c r="E526" s="16" t="n">
        <v>284.85</v>
      </c>
      <c r="F526" s="16">
        <f>D526*E526</f>
        <v/>
      </c>
    </row>
    <row r="527">
      <c r="A527" s="13" t="inlineStr">
        <is>
          <t>0114</t>
        </is>
      </c>
      <c r="B527" s="14" t="inlineStr">
        <is>
          <t>Beldar</t>
        </is>
      </c>
      <c r="C527" s="13" t="inlineStr">
        <is>
          <t>day</t>
        </is>
      </c>
      <c r="D527" s="15" t="n">
        <v>0.005</v>
      </c>
      <c r="E527" s="16" t="n">
        <v>558</v>
      </c>
      <c r="F527" s="16">
        <f>D527*E527</f>
        <v/>
      </c>
    </row>
    <row r="528">
      <c r="A528" s="13" t="inlineStr">
        <is>
          <t>0101</t>
        </is>
      </c>
      <c r="B528" s="14" t="inlineStr">
        <is>
          <t>Bhisti</t>
        </is>
      </c>
      <c r="C528" s="13" t="inlineStr">
        <is>
          <t>day</t>
        </is>
      </c>
      <c r="D528" s="15" t="n">
        <v>0.01</v>
      </c>
      <c r="E528" s="16" t="n">
        <v>617</v>
      </c>
      <c r="F528" s="16">
        <f>D528*E528</f>
        <v/>
      </c>
    </row>
    <row r="529">
      <c r="A529" s="13" t="inlineStr">
        <is>
          <t>0123</t>
        </is>
      </c>
      <c r="B529" s="14" t="inlineStr">
        <is>
          <t>Mason (brick layer) 1st class</t>
        </is>
      </c>
      <c r="C529" s="13" t="inlineStr">
        <is>
          <t>day</t>
        </is>
      </c>
      <c r="D529" s="15" t="n">
        <v>0.002</v>
      </c>
      <c r="E529" s="16" t="n">
        <v>738</v>
      </c>
      <c r="F529" s="16">
        <f>D529*E529</f>
        <v/>
      </c>
    </row>
    <row r="530">
      <c r="A530" s="13" t="inlineStr">
        <is>
          <t>0124</t>
        </is>
      </c>
      <c r="B530" s="14" t="inlineStr">
        <is>
          <t>Mason (brick layer) 2nd class</t>
        </is>
      </c>
      <c r="C530" s="13" t="inlineStr">
        <is>
          <t>day</t>
        </is>
      </c>
      <c r="D530" s="15" t="n">
        <v>0.002</v>
      </c>
      <c r="E530" s="16" t="n">
        <v>679</v>
      </c>
      <c r="F530" s="16">
        <f>D530*E530</f>
        <v/>
      </c>
    </row>
    <row r="531">
      <c r="A531" s="13" t="inlineStr">
        <is>
          <t>0128</t>
        </is>
      </c>
      <c r="B531" s="14" t="inlineStr">
        <is>
          <t>Mate</t>
        </is>
      </c>
      <c r="C531" s="13" t="inlineStr">
        <is>
          <t>day</t>
        </is>
      </c>
      <c r="D531" s="15" t="n">
        <v>0.002</v>
      </c>
      <c r="E531" s="16" t="n">
        <v>617</v>
      </c>
      <c r="F531" s="16">
        <f>D531*E531</f>
        <v/>
      </c>
    </row>
    <row r="532">
      <c r="A532" s="17" t="inlineStr">
        <is>
          <t>Resource Total (Material + Labour + Machinery, as printed)</t>
        </is>
      </c>
      <c r="B532" s="18" t="n"/>
      <c r="C532" s="18" t="n"/>
      <c r="D532" s="18" t="n"/>
      <c r="E532" s="18" t="n"/>
      <c r="F532" s="19">
        <f>SUM(F525:F531)</f>
        <v/>
      </c>
    </row>
    <row r="533">
      <c r="A533" s="20" t="inlineStr">
        <is>
          <t>SAY (Rs.) — final DAR rate</t>
        </is>
      </c>
      <c r="B533" s="21" t="n"/>
      <c r="C533" s="21" t="n"/>
      <c r="D533" s="21" t="n"/>
      <c r="E533" s="21" t="n"/>
      <c r="F533" s="22" t="n">
        <v>12464.25</v>
      </c>
    </row>
    <row r="535" ht="28" customHeight="1">
      <c r="A535" s="9" t="inlineStr">
        <is>
          <t>5.14</t>
        </is>
      </c>
      <c r="B535" s="10" t="inlineStr">
        <is>
          <t>Providing, hoisting and fixing above plinth level up to floor five level precast reinforced cement concrete in mouldings as in cornices, win</t>
        </is>
      </c>
      <c r="C535" s="11" t="n"/>
      <c r="D535" s="11" t="n"/>
      <c r="E535" s="11" t="n"/>
      <c r="F535" s="11" t="n"/>
    </row>
    <row r="536">
      <c r="A536" s="12" t="inlineStr">
        <is>
          <t>Rate basis: per mx0  (source: cost for 1 mx0)</t>
        </is>
      </c>
    </row>
    <row r="537">
      <c r="A537" s="5" t="inlineStr">
        <is>
          <t>Code</t>
        </is>
      </c>
      <c r="B537" s="5" t="inlineStr">
        <is>
          <t>Description</t>
        </is>
      </c>
      <c r="C537" s="5" t="inlineStr">
        <is>
          <t>Unit</t>
        </is>
      </c>
      <c r="D537" s="5" t="inlineStr">
        <is>
          <t>Quantity</t>
        </is>
      </c>
      <c r="E537" s="5" t="inlineStr">
        <is>
          <t>Rate (Rs.)</t>
        </is>
      </c>
      <c r="F537" s="5" t="inlineStr">
        <is>
          <t>Amount (Rs.)</t>
        </is>
      </c>
    </row>
    <row r="538">
      <c r="A538" s="13" t="inlineStr">
        <is>
          <t>4.1.2</t>
        </is>
      </c>
      <c r="B538" s="14" t="inlineStr">
        <is>
          <t>Rate as per SH: 4.1.2</t>
        </is>
      </c>
      <c r="C538" s="13" t="inlineStr">
        <is>
          <t>cum</t>
        </is>
      </c>
      <c r="D538" s="15" t="n">
        <v>0.03</v>
      </c>
      <c r="E538" s="16" t="n">
        <v>7210.55</v>
      </c>
      <c r="F538" s="16">
        <f>D538*E538</f>
        <v/>
      </c>
    </row>
    <row r="539">
      <c r="A539" s="13" t="inlineStr">
        <is>
          <t>4.3.1</t>
        </is>
      </c>
      <c r="B539" s="14" t="inlineStr">
        <is>
          <t>Rate as per SH: 4.3.1</t>
        </is>
      </c>
      <c r="C539" s="13" t="inlineStr">
        <is>
          <t>sqm</t>
        </is>
      </c>
      <c r="D539" s="15" t="n">
        <v>0.36</v>
      </c>
      <c r="E539" s="16" t="n">
        <v>284.85</v>
      </c>
      <c r="F539" s="16">
        <f>D539*E539</f>
        <v/>
      </c>
    </row>
    <row r="540">
      <c r="A540" s="13" t="inlineStr">
        <is>
          <t>0115</t>
        </is>
      </c>
      <c r="B540" s="14" t="inlineStr">
        <is>
          <t>Coolie</t>
        </is>
      </c>
      <c r="C540" s="13" t="inlineStr">
        <is>
          <t>day</t>
        </is>
      </c>
      <c r="D540" s="15" t="n">
        <v>0.034</v>
      </c>
      <c r="E540" s="16" t="n">
        <v>558</v>
      </c>
      <c r="F540" s="16">
        <f>D540*E540</f>
        <v/>
      </c>
    </row>
    <row r="541">
      <c r="A541" s="13" t="inlineStr">
        <is>
          <t>9999</t>
        </is>
      </c>
      <c r="B541" s="14" t="inlineStr">
        <is>
          <t>Mortar and labour for hoisting and for fixing</t>
        </is>
      </c>
      <c r="C541" s="13" t="inlineStr">
        <is>
          <t>L.S.</t>
        </is>
      </c>
      <c r="D541" s="15" t="n">
        <v>2.73</v>
      </c>
      <c r="E541" s="16" t="n">
        <v>2</v>
      </c>
      <c r="F541" s="16">
        <f>D541*E541</f>
        <v/>
      </c>
    </row>
    <row r="542">
      <c r="A542" s="13" t="inlineStr">
        <is>
          <t>9999</t>
        </is>
      </c>
      <c r="B542" s="14" t="inlineStr">
        <is>
          <t>Add for extra labour for hoisting</t>
        </is>
      </c>
      <c r="C542" s="13" t="inlineStr">
        <is>
          <t>L.S.</t>
        </is>
      </c>
      <c r="D542" s="15" t="n">
        <v>1.61</v>
      </c>
      <c r="E542" s="16" t="n">
        <v>2</v>
      </c>
      <c r="F542" s="16">
        <f>D542*E542</f>
        <v/>
      </c>
    </row>
    <row r="543">
      <c r="A543" s="13" t="inlineStr">
        <is>
          <t>0123</t>
        </is>
      </c>
      <c r="B543" s="14" t="inlineStr">
        <is>
          <t>Mason (brick layer) 1st class</t>
        </is>
      </c>
      <c r="C543" s="13" t="inlineStr">
        <is>
          <t>day</t>
        </is>
      </c>
      <c r="D543" s="15" t="n">
        <v>0.0174</v>
      </c>
      <c r="E543" s="16" t="n">
        <v>738</v>
      </c>
      <c r="F543" s="16">
        <f>D543*E543</f>
        <v/>
      </c>
    </row>
    <row r="544">
      <c r="A544" s="13" t="inlineStr">
        <is>
          <t>0124</t>
        </is>
      </c>
      <c r="B544" s="14" t="inlineStr">
        <is>
          <t>Mason (brick layer) 2nd class</t>
        </is>
      </c>
      <c r="C544" s="13" t="inlineStr">
        <is>
          <t>day</t>
        </is>
      </c>
      <c r="D544" s="15" t="n">
        <v>0.0174</v>
      </c>
      <c r="E544" s="16" t="n">
        <v>679</v>
      </c>
      <c r="F544" s="16">
        <f>D544*E544</f>
        <v/>
      </c>
    </row>
    <row r="545">
      <c r="A545" s="13" t="inlineStr">
        <is>
          <t>0115</t>
        </is>
      </c>
      <c r="B545" s="14" t="inlineStr">
        <is>
          <t>Coolie</t>
        </is>
      </c>
      <c r="C545" s="13" t="inlineStr">
        <is>
          <t>day</t>
        </is>
      </c>
      <c r="D545" s="15" t="n">
        <v>0.045</v>
      </c>
      <c r="E545" s="16" t="n">
        <v>558</v>
      </c>
      <c r="F545" s="16">
        <f>D545*E545</f>
        <v/>
      </c>
    </row>
    <row r="546">
      <c r="A546" s="13" t="inlineStr">
        <is>
          <t>0101</t>
        </is>
      </c>
      <c r="B546" s="14" t="inlineStr">
        <is>
          <t>Bhisti</t>
        </is>
      </c>
      <c r="C546" s="13" t="inlineStr">
        <is>
          <t>day</t>
        </is>
      </c>
      <c r="D546" s="15" t="n">
        <v>0.0018</v>
      </c>
      <c r="E546" s="16" t="n">
        <v>617</v>
      </c>
      <c r="F546" s="16">
        <f>D546*E546</f>
        <v/>
      </c>
    </row>
    <row r="547">
      <c r="A547" s="13" t="inlineStr">
        <is>
          <t>0114</t>
        </is>
      </c>
      <c r="B547" s="14" t="inlineStr">
        <is>
          <t>Beldar</t>
        </is>
      </c>
      <c r="C547" s="13" t="inlineStr">
        <is>
          <t>day</t>
        </is>
      </c>
      <c r="D547" s="15" t="n">
        <v>0.003</v>
      </c>
      <c r="E547" s="16" t="n">
        <v>558</v>
      </c>
      <c r="F547" s="16">
        <f>D547*E547</f>
        <v/>
      </c>
    </row>
    <row r="548">
      <c r="A548" s="13" t="inlineStr">
        <is>
          <t>0101</t>
        </is>
      </c>
      <c r="B548" s="14" t="inlineStr">
        <is>
          <t>Bhisti</t>
        </is>
      </c>
      <c r="C548" s="13" t="inlineStr">
        <is>
          <t>day</t>
        </is>
      </c>
      <c r="D548" s="15" t="n">
        <v>0.006</v>
      </c>
      <c r="E548" s="16" t="n">
        <v>617</v>
      </c>
      <c r="F548" s="16">
        <f>D548*E548</f>
        <v/>
      </c>
    </row>
    <row r="549">
      <c r="A549" s="13" t="inlineStr">
        <is>
          <t>0123</t>
        </is>
      </c>
      <c r="B549" s="14" t="inlineStr">
        <is>
          <t>Mason (brick layer) 1st class</t>
        </is>
      </c>
      <c r="C549" s="13" t="inlineStr">
        <is>
          <t>day</t>
        </is>
      </c>
      <c r="D549" s="15" t="n">
        <v>0.0012</v>
      </c>
      <c r="E549" s="16" t="n">
        <v>738</v>
      </c>
      <c r="F549" s="16">
        <f>D549*E549</f>
        <v/>
      </c>
    </row>
    <row r="550">
      <c r="A550" s="13" t="inlineStr">
        <is>
          <t>0124</t>
        </is>
      </c>
      <c r="B550" s="14" t="inlineStr">
        <is>
          <t>Mason (brick layer) 2nd class</t>
        </is>
      </c>
      <c r="C550" s="13" t="inlineStr">
        <is>
          <t>day</t>
        </is>
      </c>
      <c r="D550" s="15" t="n">
        <v>0.0012</v>
      </c>
      <c r="E550" s="16" t="n">
        <v>679</v>
      </c>
      <c r="F550" s="16">
        <f>D550*E550</f>
        <v/>
      </c>
    </row>
    <row r="551">
      <c r="A551" s="13" t="inlineStr">
        <is>
          <t>0128</t>
        </is>
      </c>
      <c r="B551" s="14" t="inlineStr">
        <is>
          <t>Mate</t>
        </is>
      </c>
      <c r="C551" s="13" t="inlineStr">
        <is>
          <t>day</t>
        </is>
      </c>
      <c r="D551" s="15" t="n">
        <v>0.0012</v>
      </c>
      <c r="E551" s="16" t="n">
        <v>617</v>
      </c>
      <c r="F551" s="16">
        <f>D551*E551</f>
        <v/>
      </c>
    </row>
    <row r="552">
      <c r="A552" s="17" t="inlineStr">
        <is>
          <t>Resource Total (Material + Labour + Machinery, as printed)</t>
        </is>
      </c>
      <c r="B552" s="18" t="n"/>
      <c r="C552" s="18" t="n"/>
      <c r="D552" s="18" t="n"/>
      <c r="E552" s="18" t="n"/>
      <c r="F552" s="19">
        <f>SUM(F538:F551)</f>
        <v/>
      </c>
    </row>
    <row r="553">
      <c r="A553" s="20" t="inlineStr">
        <is>
          <t>SAY (Rs.) — final DAR rate</t>
        </is>
      </c>
      <c r="B553" s="21" t="n"/>
      <c r="C553" s="21" t="n"/>
      <c r="D553" s="21" t="n"/>
      <c r="E553" s="21" t="n"/>
      <c r="F553" s="22" t="n">
        <v>14479.55</v>
      </c>
    </row>
    <row r="555" ht="28" customHeight="1">
      <c r="A555" s="9" t="inlineStr">
        <is>
          <t>5.15</t>
        </is>
      </c>
      <c r="B555" s="10" t="inlineStr">
        <is>
          <t>Providing, hoisting and fixing above plinth level up to floor five level precast reinforced cement concrete in lintels, beams and bressumers</t>
        </is>
      </c>
      <c r="C555" s="11" t="n"/>
      <c r="D555" s="11" t="n"/>
      <c r="E555" s="11" t="n"/>
      <c r="F555" s="11" t="n"/>
    </row>
    <row r="556">
      <c r="A556" s="12" t="inlineStr">
        <is>
          <t>Rate basis: per x0  (source: cost for 6.6 x0)</t>
        </is>
      </c>
    </row>
    <row r="557">
      <c r="A557" s="5" t="inlineStr">
        <is>
          <t>Code</t>
        </is>
      </c>
      <c r="B557" s="5" t="inlineStr">
        <is>
          <t>Description</t>
        </is>
      </c>
      <c r="C557" s="5" t="inlineStr">
        <is>
          <t>Unit</t>
        </is>
      </c>
      <c r="D557" s="5" t="inlineStr">
        <is>
          <t>Quantity</t>
        </is>
      </c>
      <c r="E557" s="5" t="inlineStr">
        <is>
          <t>Rate (Rs.)</t>
        </is>
      </c>
      <c r="F557" s="5" t="inlineStr">
        <is>
          <t>Amount (Rs.)</t>
        </is>
      </c>
    </row>
    <row r="558">
      <c r="A558" s="13" t="inlineStr">
        <is>
          <t>4.1.2</t>
        </is>
      </c>
      <c r="B558" s="14" t="inlineStr">
        <is>
          <t>Rate as per SH: 4.1.2</t>
        </is>
      </c>
      <c r="C558" s="13" t="inlineStr">
        <is>
          <t>cum</t>
        </is>
      </c>
      <c r="D558" s="15" t="n">
        <v>0.99</v>
      </c>
      <c r="E558" s="16" t="n">
        <v>7210.55</v>
      </c>
      <c r="F558" s="16">
        <f>D558*E558</f>
        <v/>
      </c>
    </row>
    <row r="559">
      <c r="A559" s="13" t="inlineStr">
        <is>
          <t>4.3.1</t>
        </is>
      </c>
      <c r="B559" s="14" t="inlineStr">
        <is>
          <t>Rate as per SH: 4.3.1</t>
        </is>
      </c>
      <c r="C559" s="13" t="inlineStr">
        <is>
          <t>sqm</t>
        </is>
      </c>
      <c r="D559" s="15" t="n">
        <v>6.9</v>
      </c>
      <c r="E559" s="16" t="n">
        <v>284.85</v>
      </c>
      <c r="F559" s="16">
        <f>D559*E559</f>
        <v/>
      </c>
    </row>
    <row r="560">
      <c r="A560" s="13" t="inlineStr">
        <is>
          <t>0115</t>
        </is>
      </c>
      <c r="B560" s="14" t="inlineStr">
        <is>
          <t>Coolie</t>
        </is>
      </c>
      <c r="C560" s="13" t="inlineStr">
        <is>
          <t>day</t>
        </is>
      </c>
      <c r="D560" s="15" t="n">
        <v>1.11</v>
      </c>
      <c r="E560" s="16" t="n">
        <v>558</v>
      </c>
      <c r="F560" s="16">
        <f>D560*E560</f>
        <v/>
      </c>
    </row>
    <row r="561">
      <c r="A561" s="13" t="inlineStr">
        <is>
          <t>0114</t>
        </is>
      </c>
      <c r="B561" s="14" t="inlineStr">
        <is>
          <t>Beldar</t>
        </is>
      </c>
      <c r="C561" s="13" t="inlineStr">
        <is>
          <t>day</t>
        </is>
      </c>
      <c r="D561" s="15" t="n">
        <v>0.099</v>
      </c>
      <c r="E561" s="16" t="n">
        <v>558</v>
      </c>
      <c r="F561" s="16">
        <f>D561*E561</f>
        <v/>
      </c>
    </row>
    <row r="562">
      <c r="A562" s="13" t="inlineStr">
        <is>
          <t>0101</t>
        </is>
      </c>
      <c r="B562" s="14" t="inlineStr">
        <is>
          <t>Bhisti</t>
        </is>
      </c>
      <c r="C562" s="13" t="inlineStr">
        <is>
          <t>day</t>
        </is>
      </c>
      <c r="D562" s="15" t="n">
        <v>0.198</v>
      </c>
      <c r="E562" s="16" t="n">
        <v>617</v>
      </c>
      <c r="F562" s="16">
        <f>D562*E562</f>
        <v/>
      </c>
    </row>
    <row r="563">
      <c r="A563" s="13" t="inlineStr">
        <is>
          <t>0123</t>
        </is>
      </c>
      <c r="B563" s="14" t="inlineStr">
        <is>
          <t>Mason (brick layer) 1st class</t>
        </is>
      </c>
      <c r="C563" s="13" t="inlineStr">
        <is>
          <t>day</t>
        </is>
      </c>
      <c r="D563" s="15" t="n">
        <v>0.0396</v>
      </c>
      <c r="E563" s="16" t="n">
        <v>738</v>
      </c>
      <c r="F563" s="16">
        <f>D563*E563</f>
        <v/>
      </c>
    </row>
    <row r="564">
      <c r="A564" s="13" t="inlineStr">
        <is>
          <t>0124</t>
        </is>
      </c>
      <c r="B564" s="14" t="inlineStr">
        <is>
          <t>Mason (brick layer) 2nd class</t>
        </is>
      </c>
      <c r="C564" s="13" t="inlineStr">
        <is>
          <t>day</t>
        </is>
      </c>
      <c r="D564" s="15" t="n">
        <v>0.0396</v>
      </c>
      <c r="E564" s="16" t="n">
        <v>679</v>
      </c>
      <c r="F564" s="16">
        <f>D564*E564</f>
        <v/>
      </c>
    </row>
    <row r="565">
      <c r="A565" s="13" t="inlineStr">
        <is>
          <t>0128</t>
        </is>
      </c>
      <c r="B565" s="14" t="inlineStr">
        <is>
          <t>Mate</t>
        </is>
      </c>
      <c r="C565" s="13" t="inlineStr">
        <is>
          <t>day</t>
        </is>
      </c>
      <c r="D565" s="15" t="n">
        <v>0.0396</v>
      </c>
      <c r="E565" s="16" t="n">
        <v>617</v>
      </c>
      <c r="F565" s="16">
        <f>D565*E565</f>
        <v/>
      </c>
    </row>
    <row r="566">
      <c r="A566" s="13" t="inlineStr">
        <is>
          <t>9999</t>
        </is>
      </c>
      <c r="B566" s="14" t="inlineStr">
        <is>
          <t>Cement mortar 1:3 for fixing</t>
        </is>
      </c>
      <c r="C566" s="13" t="inlineStr">
        <is>
          <t>L.S.</t>
        </is>
      </c>
      <c r="D566" s="15" t="n">
        <v>89.7</v>
      </c>
      <c r="E566" s="16" t="n">
        <v>2</v>
      </c>
      <c r="F566" s="16">
        <f>D566*E566</f>
        <v/>
      </c>
    </row>
    <row r="567">
      <c r="A567" s="13" t="inlineStr">
        <is>
          <t>9999</t>
        </is>
      </c>
      <c r="B567" s="14" t="inlineStr">
        <is>
          <t>Labour for hoisting, Transporting and setting in position</t>
        </is>
      </c>
      <c r="C567" s="13" t="inlineStr">
        <is>
          <t>L.S.</t>
        </is>
      </c>
      <c r="D567" s="15" t="n">
        <v>269.1</v>
      </c>
      <c r="E567" s="16" t="n">
        <v>2</v>
      </c>
      <c r="F567" s="16">
        <f>D567*E567</f>
        <v/>
      </c>
    </row>
    <row r="568">
      <c r="A568" s="17" t="inlineStr">
        <is>
          <t>Resource Total (Material + Labour + Machinery, as printed)</t>
        </is>
      </c>
      <c r="B568" s="18" t="n"/>
      <c r="C568" s="18" t="n"/>
      <c r="D568" s="18" t="n"/>
      <c r="E568" s="18" t="n"/>
      <c r="F568" s="19">
        <f>SUM(F558:F567)</f>
        <v/>
      </c>
    </row>
    <row r="569">
      <c r="A569" s="20" t="inlineStr">
        <is>
          <t>SAY (Rs.) — final DAR rate</t>
        </is>
      </c>
      <c r="B569" s="21" t="n"/>
      <c r="C569" s="21" t="n"/>
      <c r="D569" s="21" t="n"/>
      <c r="E569" s="21" t="n"/>
      <c r="F569" s="22" t="n">
        <v>11351.35</v>
      </c>
    </row>
    <row r="571" ht="28" customHeight="1">
      <c r="A571" s="9" t="inlineStr">
        <is>
          <t>5.16</t>
        </is>
      </c>
      <c r="B571" s="10" t="inlineStr">
        <is>
          <t>Providing, hoisting and fixing above plinth level up to floor five level precast reinforced cement concrete in shelves, including setting in</t>
        </is>
      </c>
      <c r="C571" s="11" t="n"/>
      <c r="D571" s="11" t="n"/>
      <c r="E571" s="11" t="n"/>
      <c r="F571" s="11" t="n"/>
    </row>
    <row r="572">
      <c r="A572" s="12" t="inlineStr">
        <is>
          <t>Rate basis: per x0  (source: cost for 0.9 x0)</t>
        </is>
      </c>
    </row>
    <row r="573">
      <c r="A573" s="5" t="inlineStr">
        <is>
          <t>Code</t>
        </is>
      </c>
      <c r="B573" s="5" t="inlineStr">
        <is>
          <t>Description</t>
        </is>
      </c>
      <c r="C573" s="5" t="inlineStr">
        <is>
          <t>Unit</t>
        </is>
      </c>
      <c r="D573" s="5" t="inlineStr">
        <is>
          <t>Quantity</t>
        </is>
      </c>
      <c r="E573" s="5" t="inlineStr">
        <is>
          <t>Rate (Rs.)</t>
        </is>
      </c>
      <c r="F573" s="5" t="inlineStr">
        <is>
          <t>Amount (Rs.)</t>
        </is>
      </c>
    </row>
    <row r="574">
      <c r="A574" s="13" t="inlineStr">
        <is>
          <t>4.1.2</t>
        </is>
      </c>
      <c r="B574" s="14" t="inlineStr">
        <is>
          <t>Rate as per SH: 4.1.2</t>
        </is>
      </c>
      <c r="C574" s="13" t="inlineStr">
        <is>
          <t>cum</t>
        </is>
      </c>
      <c r="D574" s="15" t="n">
        <v>0.0162</v>
      </c>
      <c r="E574" s="16" t="n">
        <v>7210.55</v>
      </c>
      <c r="F574" s="16">
        <f>D574*E574</f>
        <v/>
      </c>
    </row>
    <row r="575">
      <c r="A575" s="13" t="inlineStr">
        <is>
          <t>4.3.1</t>
        </is>
      </c>
      <c r="B575" s="14" t="inlineStr">
        <is>
          <t>Rate as per SH: 4.3.1</t>
        </is>
      </c>
      <c r="C575" s="13" t="inlineStr">
        <is>
          <t>sqm</t>
        </is>
      </c>
      <c r="D575" s="15" t="n">
        <v>0.108</v>
      </c>
      <c r="E575" s="16" t="n">
        <v>284.85</v>
      </c>
      <c r="F575" s="16">
        <f>D575*E575</f>
        <v/>
      </c>
    </row>
    <row r="576">
      <c r="A576" s="13" t="inlineStr">
        <is>
          <t>0115</t>
        </is>
      </c>
      <c r="B576" s="14" t="inlineStr">
        <is>
          <t>Coolie</t>
        </is>
      </c>
      <c r="C576" s="13" t="inlineStr">
        <is>
          <t>day</t>
        </is>
      </c>
      <c r="D576" s="15" t="n">
        <v>0.018</v>
      </c>
      <c r="E576" s="16" t="n">
        <v>558</v>
      </c>
      <c r="F576" s="16">
        <f>D576*E576</f>
        <v/>
      </c>
    </row>
    <row r="577">
      <c r="A577" s="13" t="inlineStr">
        <is>
          <t>0114</t>
        </is>
      </c>
      <c r="B577" s="14" t="inlineStr">
        <is>
          <t>Beldar</t>
        </is>
      </c>
      <c r="C577" s="13" t="inlineStr">
        <is>
          <t>day</t>
        </is>
      </c>
      <c r="D577" s="15" t="n">
        <v>0.016</v>
      </c>
      <c r="E577" s="16" t="n">
        <v>558</v>
      </c>
      <c r="F577" s="16">
        <f>D577*E577</f>
        <v/>
      </c>
    </row>
    <row r="578">
      <c r="A578" s="13" t="inlineStr">
        <is>
          <t>0101</t>
        </is>
      </c>
      <c r="B578" s="14" t="inlineStr">
        <is>
          <t>Bhisti</t>
        </is>
      </c>
      <c r="C578" s="13" t="inlineStr">
        <is>
          <t>day</t>
        </is>
      </c>
      <c r="D578" s="15" t="n">
        <v>0.0032</v>
      </c>
      <c r="E578" s="16" t="n">
        <v>617</v>
      </c>
      <c r="F578" s="16">
        <f>D578*E578</f>
        <v/>
      </c>
    </row>
    <row r="579">
      <c r="A579" s="13" t="inlineStr">
        <is>
          <t>0123</t>
        </is>
      </c>
      <c r="B579" s="14" t="inlineStr">
        <is>
          <t>Mason (brick layer) 1st class</t>
        </is>
      </c>
      <c r="C579" s="13" t="inlineStr">
        <is>
          <t>day</t>
        </is>
      </c>
      <c r="D579" s="15" t="n">
        <v>0.0005999999999999999</v>
      </c>
      <c r="E579" s="16" t="n">
        <v>738</v>
      </c>
      <c r="F579" s="16">
        <f>D579*E579</f>
        <v/>
      </c>
    </row>
    <row r="580">
      <c r="A580" s="13" t="inlineStr">
        <is>
          <t>0124</t>
        </is>
      </c>
      <c r="B580" s="14" t="inlineStr">
        <is>
          <t>Mason (brick layer) 2nd class</t>
        </is>
      </c>
      <c r="C580" s="13" t="inlineStr">
        <is>
          <t>day</t>
        </is>
      </c>
      <c r="D580" s="15" t="n">
        <v>0.0005999999999999999</v>
      </c>
      <c r="E580" s="16" t="n">
        <v>679</v>
      </c>
      <c r="F580" s="16">
        <f>D580*E580</f>
        <v/>
      </c>
    </row>
    <row r="581">
      <c r="A581" s="13" t="inlineStr">
        <is>
          <t>0128</t>
        </is>
      </c>
      <c r="B581" s="14" t="inlineStr">
        <is>
          <t>Mate</t>
        </is>
      </c>
      <c r="C581" s="13" t="inlineStr">
        <is>
          <t>day</t>
        </is>
      </c>
      <c r="D581" s="15" t="n">
        <v>0.0005999999999999999</v>
      </c>
      <c r="E581" s="16" t="n">
        <v>617</v>
      </c>
      <c r="F581" s="16">
        <f>D581*E581</f>
        <v/>
      </c>
    </row>
    <row r="582">
      <c r="A582" s="13" t="inlineStr">
        <is>
          <t>9999</t>
        </is>
      </c>
      <c r="B582" s="14" t="inlineStr">
        <is>
          <t>Cement mortar 1:3 for fixing</t>
        </is>
      </c>
      <c r="C582" s="13" t="inlineStr">
        <is>
          <t>L.S.</t>
        </is>
      </c>
      <c r="D582" s="15" t="n">
        <v>4.42</v>
      </c>
      <c r="E582" s="16" t="n">
        <v>2</v>
      </c>
      <c r="F582" s="16">
        <f>D582*E582</f>
        <v/>
      </c>
    </row>
    <row r="583">
      <c r="A583" s="13" t="inlineStr">
        <is>
          <t>9999</t>
        </is>
      </c>
      <c r="B583" s="14" t="inlineStr">
        <is>
          <t>Labour for hoisting, Transporting and setting in position</t>
        </is>
      </c>
      <c r="C583" s="13" t="inlineStr">
        <is>
          <t>L.S.</t>
        </is>
      </c>
      <c r="D583" s="15" t="n">
        <v>13.52</v>
      </c>
      <c r="E583" s="16" t="n">
        <v>2</v>
      </c>
      <c r="F583" s="16">
        <f>D583*E583</f>
        <v/>
      </c>
    </row>
    <row r="584">
      <c r="A584" s="17" t="inlineStr">
        <is>
          <t>Resource Total (Material + Labour + Machinery, as printed)</t>
        </is>
      </c>
      <c r="B584" s="18" t="n"/>
      <c r="C584" s="18" t="n"/>
      <c r="D584" s="18" t="n"/>
      <c r="E584" s="18" t="n"/>
      <c r="F584" s="19">
        <f>SUM(F574:F583)</f>
        <v/>
      </c>
    </row>
    <row r="585">
      <c r="A585" s="20" t="inlineStr">
        <is>
          <t>SAY (Rs.) — final DAR rate</t>
        </is>
      </c>
      <c r="B585" s="21" t="n"/>
      <c r="C585" s="21" t="n"/>
      <c r="D585" s="21" t="n"/>
      <c r="E585" s="21" t="n"/>
      <c r="F585" s="22" t="n">
        <v>17196</v>
      </c>
    </row>
    <row r="587" ht="28" customHeight="1">
      <c r="A587" s="9" t="inlineStr">
        <is>
          <t>5.17</t>
        </is>
      </c>
      <c r="B587" s="10" t="inlineStr">
        <is>
          <t>Providing, hoisting and fixing above plinth level up to floor five level precast reinforced cement concrete in vertical &amp; horizontal fins, i</t>
        </is>
      </c>
      <c r="C587" s="11" t="n"/>
      <c r="D587" s="11" t="n"/>
      <c r="E587" s="11" t="n"/>
      <c r="F587" s="11" t="n"/>
    </row>
    <row r="588">
      <c r="A588" s="12" t="inlineStr">
        <is>
          <t>Rate basis: per RCC  (source: cost for 4 RCC)</t>
        </is>
      </c>
    </row>
    <row r="589">
      <c r="A589" s="5" t="inlineStr">
        <is>
          <t>Code</t>
        </is>
      </c>
      <c r="B589" s="5" t="inlineStr">
        <is>
          <t>Description</t>
        </is>
      </c>
      <c r="C589" s="5" t="inlineStr">
        <is>
          <t>Unit</t>
        </is>
      </c>
      <c r="D589" s="5" t="inlineStr">
        <is>
          <t>Quantity</t>
        </is>
      </c>
      <c r="E589" s="5" t="inlineStr">
        <is>
          <t>Rate (Rs.)</t>
        </is>
      </c>
      <c r="F589" s="5" t="inlineStr">
        <is>
          <t>Amount (Rs.)</t>
        </is>
      </c>
    </row>
    <row r="590">
      <c r="A590" s="13" t="inlineStr">
        <is>
          <t>4.1.2</t>
        </is>
      </c>
      <c r="B590" s="14" t="inlineStr">
        <is>
          <t>Rate as per SH: 4.1.2</t>
        </is>
      </c>
      <c r="C590" s="13" t="inlineStr">
        <is>
          <t>cum</t>
        </is>
      </c>
      <c r="D590" s="15" t="n">
        <v>0.66</v>
      </c>
      <c r="E590" s="16" t="n">
        <v>7210.55</v>
      </c>
      <c r="F590" s="16">
        <f>D590*E590</f>
        <v/>
      </c>
    </row>
    <row r="591">
      <c r="A591" s="13" t="inlineStr">
        <is>
          <t>4.3.1</t>
        </is>
      </c>
      <c r="B591" s="14" t="inlineStr">
        <is>
          <t>Rate as per SH: 4.3.1</t>
        </is>
      </c>
      <c r="C591" s="13" t="inlineStr">
        <is>
          <t>sqm</t>
        </is>
      </c>
      <c r="D591" s="15" t="n">
        <v>2.56</v>
      </c>
      <c r="E591" s="16" t="n">
        <v>284.85</v>
      </c>
      <c r="F591" s="16">
        <f>D591*E591</f>
        <v/>
      </c>
    </row>
    <row r="592">
      <c r="A592" s="13" t="inlineStr">
        <is>
          <t>0115</t>
        </is>
      </c>
      <c r="B592" s="14" t="inlineStr">
        <is>
          <t>Coolie</t>
        </is>
      </c>
      <c r="C592" s="13" t="inlineStr">
        <is>
          <t>day</t>
        </is>
      </c>
      <c r="D592" s="15" t="n">
        <v>0.75</v>
      </c>
      <c r="E592" s="16" t="n">
        <v>558</v>
      </c>
      <c r="F592" s="16">
        <f>D592*E592</f>
        <v/>
      </c>
    </row>
    <row r="593">
      <c r="A593" s="13" t="inlineStr">
        <is>
          <t>0114</t>
        </is>
      </c>
      <c r="B593" s="14" t="inlineStr">
        <is>
          <t>Beldar</t>
        </is>
      </c>
      <c r="C593" s="13" t="inlineStr">
        <is>
          <t>day</t>
        </is>
      </c>
      <c r="D593" s="15" t="n">
        <v>0.066</v>
      </c>
      <c r="E593" s="16" t="n">
        <v>558</v>
      </c>
      <c r="F593" s="16">
        <f>D593*E593</f>
        <v/>
      </c>
    </row>
    <row r="594">
      <c r="A594" s="13" t="inlineStr">
        <is>
          <t>0101</t>
        </is>
      </c>
      <c r="B594" s="14" t="inlineStr">
        <is>
          <t>Bhisti</t>
        </is>
      </c>
      <c r="C594" s="13" t="inlineStr">
        <is>
          <t>day</t>
        </is>
      </c>
      <c r="D594" s="15" t="n">
        <v>0.132</v>
      </c>
      <c r="E594" s="16" t="n">
        <v>617</v>
      </c>
      <c r="F594" s="16">
        <f>D594*E594</f>
        <v/>
      </c>
    </row>
    <row r="595">
      <c r="A595" s="13" t="inlineStr">
        <is>
          <t>0123</t>
        </is>
      </c>
      <c r="B595" s="14" t="inlineStr">
        <is>
          <t>Mason (brick layer) 1st class</t>
        </is>
      </c>
      <c r="C595" s="13" t="inlineStr">
        <is>
          <t>day</t>
        </is>
      </c>
      <c r="D595" s="15" t="n">
        <v>0.0264</v>
      </c>
      <c r="E595" s="16" t="n">
        <v>738</v>
      </c>
      <c r="F595" s="16">
        <f>D595*E595</f>
        <v/>
      </c>
    </row>
    <row r="596">
      <c r="A596" s="13" t="inlineStr">
        <is>
          <t>0124</t>
        </is>
      </c>
      <c r="B596" s="14" t="inlineStr">
        <is>
          <t>Mason (brick layer) 2nd class</t>
        </is>
      </c>
      <c r="C596" s="13" t="inlineStr">
        <is>
          <t>day</t>
        </is>
      </c>
      <c r="D596" s="15" t="n">
        <v>0.0264</v>
      </c>
      <c r="E596" s="16" t="n">
        <v>679</v>
      </c>
      <c r="F596" s="16">
        <f>D596*E596</f>
        <v/>
      </c>
    </row>
    <row r="597">
      <c r="A597" s="13" t="inlineStr">
        <is>
          <t>0128</t>
        </is>
      </c>
      <c r="B597" s="14" t="inlineStr">
        <is>
          <t>Mate</t>
        </is>
      </c>
      <c r="C597" s="13" t="inlineStr">
        <is>
          <t>day</t>
        </is>
      </c>
      <c r="D597" s="15" t="n">
        <v>0.0264</v>
      </c>
      <c r="E597" s="16" t="n">
        <v>617</v>
      </c>
      <c r="F597" s="16">
        <f>D597*E597</f>
        <v/>
      </c>
    </row>
    <row r="598">
      <c r="A598" s="13" t="inlineStr">
        <is>
          <t>9999</t>
        </is>
      </c>
      <c r="B598" s="14" t="inlineStr">
        <is>
          <t>Cement mortar 1:3 for fixing</t>
        </is>
      </c>
      <c r="C598" s="13" t="inlineStr">
        <is>
          <t>L.S.</t>
        </is>
      </c>
      <c r="D598" s="15" t="n">
        <v>17.94</v>
      </c>
      <c r="E598" s="16" t="n">
        <v>2</v>
      </c>
      <c r="F598" s="16">
        <f>D598*E598</f>
        <v/>
      </c>
    </row>
    <row r="599">
      <c r="A599" s="13" t="inlineStr">
        <is>
          <t>9999</t>
        </is>
      </c>
      <c r="B599" s="14" t="inlineStr">
        <is>
          <t>Labour for hoisting, Transporting and setting in position</t>
        </is>
      </c>
      <c r="C599" s="13" t="inlineStr">
        <is>
          <t>L.S.</t>
        </is>
      </c>
      <c r="D599" s="15" t="n">
        <v>71.76000000000001</v>
      </c>
      <c r="E599" s="16" t="n">
        <v>2</v>
      </c>
      <c r="F599" s="16">
        <f>D599*E599</f>
        <v/>
      </c>
    </row>
    <row r="600">
      <c r="A600" s="13" t="inlineStr">
        <is>
          <t>9999</t>
        </is>
      </c>
      <c r="B600" s="14" t="inlineStr">
        <is>
          <t>Sundries</t>
        </is>
      </c>
      <c r="C600" s="13" t="inlineStr">
        <is>
          <t>L.S.</t>
        </is>
      </c>
      <c r="D600" s="15" t="n">
        <v>17.94</v>
      </c>
      <c r="E600" s="16" t="n">
        <v>2</v>
      </c>
      <c r="F600" s="16">
        <f>D600*E600</f>
        <v/>
      </c>
    </row>
    <row r="601">
      <c r="A601" s="17" t="inlineStr">
        <is>
          <t>Resource Total (Material + Labour + Machinery, as printed)</t>
        </is>
      </c>
      <c r="B601" s="18" t="n"/>
      <c r="C601" s="18" t="n"/>
      <c r="D601" s="18" t="n"/>
      <c r="E601" s="18" t="n"/>
      <c r="F601" s="19">
        <f>SUM(F590:F600)</f>
        <v/>
      </c>
    </row>
    <row r="602">
      <c r="A602" s="20" t="inlineStr">
        <is>
          <t>SAY (Rs.) — final DAR rate</t>
        </is>
      </c>
      <c r="B602" s="21" t="n"/>
      <c r="C602" s="21" t="n"/>
      <c r="D602" s="21" t="n"/>
      <c r="E602" s="21" t="n"/>
      <c r="F602" s="22" t="n">
        <v>9948.799999999999</v>
      </c>
    </row>
    <row r="604" ht="18" customHeight="1">
      <c r="A604" s="9" t="inlineStr">
        <is>
          <t>5.18.1</t>
        </is>
      </c>
      <c r="B604" s="10" t="inlineStr">
        <is>
          <t>50 mm thick</t>
        </is>
      </c>
      <c r="C604" s="11" t="n"/>
      <c r="D604" s="11" t="n"/>
      <c r="E604" s="11" t="n"/>
      <c r="F604" s="11" t="n"/>
    </row>
    <row r="605">
      <c r="A605" s="12" t="inlineStr">
        <is>
          <t>Rate basis: per sqm  (source: cost for 1.5 sqm)</t>
        </is>
      </c>
    </row>
    <row r="606">
      <c r="A606" s="5" t="inlineStr">
        <is>
          <t>Code</t>
        </is>
      </c>
      <c r="B606" s="5" t="inlineStr">
        <is>
          <t>Description</t>
        </is>
      </c>
      <c r="C606" s="5" t="inlineStr">
        <is>
          <t>Unit</t>
        </is>
      </c>
      <c r="D606" s="5" t="inlineStr">
        <is>
          <t>Quantity</t>
        </is>
      </c>
      <c r="E606" s="5" t="inlineStr">
        <is>
          <t>Rate (Rs.)</t>
        </is>
      </c>
      <c r="F606" s="5" t="inlineStr">
        <is>
          <t>Amount (Rs.)</t>
        </is>
      </c>
    </row>
    <row r="607">
      <c r="A607" s="13" t="inlineStr">
        <is>
          <t>0768</t>
        </is>
      </c>
      <c r="B607" s="14" t="inlineStr">
        <is>
          <t>Cement Concrete Jali 50 mm thick</t>
        </is>
      </c>
      <c r="C607" s="13" t="inlineStr">
        <is>
          <t>sqm</t>
        </is>
      </c>
      <c r="D607" s="15" t="n">
        <v>1.5</v>
      </c>
      <c r="E607" s="16" t="n">
        <v>400</v>
      </c>
      <c r="F607" s="16">
        <f>D607*E607</f>
        <v/>
      </c>
    </row>
    <row r="608">
      <c r="A608" s="13" t="inlineStr">
        <is>
          <t>9999</t>
        </is>
      </c>
      <c r="B608" s="14" t="inlineStr">
        <is>
          <t>Mortar for fixing</t>
        </is>
      </c>
      <c r="C608" s="13" t="inlineStr">
        <is>
          <t>L.S.</t>
        </is>
      </c>
      <c r="D608" s="15" t="n">
        <v>6.24</v>
      </c>
      <c r="E608" s="16" t="n">
        <v>2</v>
      </c>
      <c r="F608" s="16">
        <f>D608*E608</f>
        <v/>
      </c>
    </row>
    <row r="609">
      <c r="A609" s="13" t="inlineStr">
        <is>
          <t>9988</t>
        </is>
      </c>
      <c r="B609" s="14" t="inlineStr">
        <is>
          <t>Carriage and sundries</t>
        </is>
      </c>
      <c r="C609" s="13" t="inlineStr">
        <is>
          <t>L.S.</t>
        </is>
      </c>
      <c r="D609" s="15" t="n">
        <v>6.2</v>
      </c>
      <c r="E609" s="16" t="n">
        <v>2</v>
      </c>
      <c r="F609" s="16">
        <f>D609*E609</f>
        <v/>
      </c>
    </row>
    <row r="610">
      <c r="A610" s="13" t="inlineStr">
        <is>
          <t>0123</t>
        </is>
      </c>
      <c r="B610" s="14" t="inlineStr">
        <is>
          <t>Mason (brick layer) 1st class</t>
        </is>
      </c>
      <c r="C610" s="13" t="inlineStr">
        <is>
          <t>day</t>
        </is>
      </c>
      <c r="D610" s="15" t="n">
        <v>0.3</v>
      </c>
      <c r="E610" s="16" t="n">
        <v>738</v>
      </c>
      <c r="F610" s="16">
        <f>D610*E610</f>
        <v/>
      </c>
    </row>
    <row r="611">
      <c r="A611" s="13" t="inlineStr">
        <is>
          <t>0124</t>
        </is>
      </c>
      <c r="B611" s="14" t="inlineStr">
        <is>
          <t>Mason (brick layer) 2nd class</t>
        </is>
      </c>
      <c r="C611" s="13" t="inlineStr">
        <is>
          <t>day</t>
        </is>
      </c>
      <c r="D611" s="15" t="n">
        <v>0.3</v>
      </c>
      <c r="E611" s="16" t="n">
        <v>679</v>
      </c>
      <c r="F611" s="16">
        <f>D611*E611</f>
        <v/>
      </c>
    </row>
    <row r="612">
      <c r="A612" s="13" t="inlineStr">
        <is>
          <t>0114</t>
        </is>
      </c>
      <c r="B612" s="14" t="inlineStr">
        <is>
          <t>Beldar</t>
        </is>
      </c>
      <c r="C612" s="13" t="inlineStr">
        <is>
          <t>day</t>
        </is>
      </c>
      <c r="D612" s="15" t="n">
        <v>1.08</v>
      </c>
      <c r="E612" s="16" t="n">
        <v>558</v>
      </c>
      <c r="F612" s="16">
        <f>D612*E612</f>
        <v/>
      </c>
    </row>
    <row r="613">
      <c r="A613" s="17" t="inlineStr">
        <is>
          <t>Resource Total (Material + Labour + Machinery, as printed)</t>
        </is>
      </c>
      <c r="B613" s="18" t="n"/>
      <c r="C613" s="18" t="n"/>
      <c r="D613" s="18" t="n"/>
      <c r="E613" s="18" t="n"/>
      <c r="F613" s="19">
        <f>SUM(F607:F612)</f>
        <v/>
      </c>
    </row>
    <row r="614">
      <c r="A614" s="20" t="inlineStr">
        <is>
          <t>SAY (Rs.) — final DAR rate</t>
        </is>
      </c>
      <c r="B614" s="21" t="n"/>
      <c r="C614" s="21" t="n"/>
      <c r="D614" s="21" t="n"/>
      <c r="E614" s="21" t="n"/>
      <c r="F614" s="22" t="n">
        <v>1474.05</v>
      </c>
    </row>
    <row r="616" ht="18" customHeight="1">
      <c r="A616" s="9" t="inlineStr">
        <is>
          <t>5.18.2</t>
        </is>
      </c>
      <c r="B616" s="10" t="inlineStr">
        <is>
          <t>40 mm thick</t>
        </is>
      </c>
      <c r="C616" s="11" t="n"/>
      <c r="D616" s="11" t="n"/>
      <c r="E616" s="11" t="n"/>
      <c r="F616" s="11" t="n"/>
    </row>
    <row r="617">
      <c r="A617" s="12" t="inlineStr">
        <is>
          <t>Rate basis: per mx0  (source: cost for 1.2 mx0)</t>
        </is>
      </c>
    </row>
    <row r="618">
      <c r="A618" s="5" t="inlineStr">
        <is>
          <t>Code</t>
        </is>
      </c>
      <c r="B618" s="5" t="inlineStr">
        <is>
          <t>Description</t>
        </is>
      </c>
      <c r="C618" s="5" t="inlineStr">
        <is>
          <t>Unit</t>
        </is>
      </c>
      <c r="D618" s="5" t="inlineStr">
        <is>
          <t>Quantity</t>
        </is>
      </c>
      <c r="E618" s="5" t="inlineStr">
        <is>
          <t>Rate (Rs.)</t>
        </is>
      </c>
      <c r="F618" s="5" t="inlineStr">
        <is>
          <t>Amount (Rs.)</t>
        </is>
      </c>
    </row>
    <row r="619">
      <c r="A619" s="13" t="inlineStr">
        <is>
          <t>0769</t>
        </is>
      </c>
      <c r="B619" s="14" t="inlineStr">
        <is>
          <t>Cement Concrete Jali 40 mm thick</t>
        </is>
      </c>
      <c r="C619" s="13" t="inlineStr">
        <is>
          <t>sqm</t>
        </is>
      </c>
      <c r="D619" s="15" t="n">
        <v>0.72</v>
      </c>
      <c r="E619" s="16" t="n">
        <v>350</v>
      </c>
      <c r="F619" s="16">
        <f>D619*E619</f>
        <v/>
      </c>
    </row>
    <row r="620">
      <c r="A620" s="13" t="inlineStr">
        <is>
          <t>9999</t>
        </is>
      </c>
      <c r="B620" s="14" t="inlineStr">
        <is>
          <t>Mortar for fixing</t>
        </is>
      </c>
      <c r="C620" s="13" t="inlineStr">
        <is>
          <t>L.S.</t>
        </is>
      </c>
      <c r="D620" s="15" t="n">
        <v>3.64</v>
      </c>
      <c r="E620" s="16" t="n">
        <v>2</v>
      </c>
      <c r="F620" s="16">
        <f>D620*E620</f>
        <v/>
      </c>
    </row>
    <row r="621">
      <c r="A621" s="13" t="inlineStr">
        <is>
          <t>9988</t>
        </is>
      </c>
      <c r="B621" s="14" t="inlineStr">
        <is>
          <t>Carriage and sundries</t>
        </is>
      </c>
      <c r="C621" s="13" t="inlineStr">
        <is>
          <t>L.S.</t>
        </is>
      </c>
      <c r="D621" s="15" t="n">
        <v>3.64</v>
      </c>
      <c r="E621" s="16" t="n">
        <v>2</v>
      </c>
      <c r="F621" s="16">
        <f>D621*E621</f>
        <v/>
      </c>
    </row>
    <row r="622">
      <c r="A622" s="13" t="inlineStr">
        <is>
          <t>0123</t>
        </is>
      </c>
      <c r="B622" s="14" t="inlineStr">
        <is>
          <t>Mason (brick layer) 1st class</t>
        </is>
      </c>
      <c r="C622" s="13" t="inlineStr">
        <is>
          <t>day</t>
        </is>
      </c>
      <c r="D622" s="15" t="n">
        <v>0.12</v>
      </c>
      <c r="E622" s="16" t="n">
        <v>738</v>
      </c>
      <c r="F622" s="16">
        <f>D622*E622</f>
        <v/>
      </c>
    </row>
    <row r="623">
      <c r="A623" s="13" t="inlineStr">
        <is>
          <t>0124</t>
        </is>
      </c>
      <c r="B623" s="14" t="inlineStr">
        <is>
          <t>Mason (brick layer) 2nd class</t>
        </is>
      </c>
      <c r="C623" s="13" t="inlineStr">
        <is>
          <t>day</t>
        </is>
      </c>
      <c r="D623" s="15" t="n">
        <v>0.12</v>
      </c>
      <c r="E623" s="16" t="n">
        <v>679</v>
      </c>
      <c r="F623" s="16">
        <f>D623*E623</f>
        <v/>
      </c>
    </row>
    <row r="624">
      <c r="A624" s="13" t="inlineStr">
        <is>
          <t>0114</t>
        </is>
      </c>
      <c r="B624" s="14" t="inlineStr">
        <is>
          <t>Beldar</t>
        </is>
      </c>
      <c r="C624" s="13" t="inlineStr">
        <is>
          <t>day</t>
        </is>
      </c>
      <c r="D624" s="15" t="n">
        <v>0.5</v>
      </c>
      <c r="E624" s="16" t="n">
        <v>558</v>
      </c>
      <c r="F624" s="16">
        <f>D624*E624</f>
        <v/>
      </c>
    </row>
    <row r="625">
      <c r="A625" s="17" t="inlineStr">
        <is>
          <t>Resource Total (Material + Labour + Machinery, as printed)</t>
        </is>
      </c>
      <c r="B625" s="18" t="n"/>
      <c r="C625" s="18" t="n"/>
      <c r="D625" s="18" t="n"/>
      <c r="E625" s="18" t="n"/>
      <c r="F625" s="19">
        <f>SUM(F619:F624)</f>
        <v/>
      </c>
    </row>
    <row r="626">
      <c r="A626" s="20" t="inlineStr">
        <is>
          <t>SAY (Rs.) — final DAR rate</t>
        </is>
      </c>
      <c r="B626" s="21" t="n"/>
      <c r="C626" s="21" t="n"/>
      <c r="D626" s="21" t="n"/>
      <c r="E626" s="21" t="n"/>
      <c r="F626" s="22" t="n">
        <v>1329.75</v>
      </c>
    </row>
    <row r="628" ht="18" customHeight="1">
      <c r="A628" s="9" t="inlineStr">
        <is>
          <t>5.18.3</t>
        </is>
      </c>
      <c r="B628" s="10" t="inlineStr">
        <is>
          <t>25 mm thick</t>
        </is>
      </c>
      <c r="C628" s="11" t="n"/>
      <c r="D628" s="11" t="n"/>
      <c r="E628" s="11" t="n"/>
      <c r="F628" s="11" t="n"/>
    </row>
    <row r="629">
      <c r="A629" s="12" t="inlineStr">
        <is>
          <t>Rate basis: per sqm  (source: cost for 0.375 sqm)</t>
        </is>
      </c>
    </row>
    <row r="630">
      <c r="A630" s="5" t="inlineStr">
        <is>
          <t>Code</t>
        </is>
      </c>
      <c r="B630" s="5" t="inlineStr">
        <is>
          <t>Description</t>
        </is>
      </c>
      <c r="C630" s="5" t="inlineStr">
        <is>
          <t>Unit</t>
        </is>
      </c>
      <c r="D630" s="5" t="inlineStr">
        <is>
          <t>Quantity</t>
        </is>
      </c>
      <c r="E630" s="5" t="inlineStr">
        <is>
          <t>Rate (Rs.)</t>
        </is>
      </c>
      <c r="F630" s="5" t="inlineStr">
        <is>
          <t>Amount (Rs.)</t>
        </is>
      </c>
    </row>
    <row r="631">
      <c r="A631" s="13" t="inlineStr">
        <is>
          <t>0770</t>
        </is>
      </c>
      <c r="B631" s="14" t="inlineStr">
        <is>
          <t>Cement Concrete Jali 25 mm thick</t>
        </is>
      </c>
      <c r="C631" s="13" t="inlineStr">
        <is>
          <t>sqm</t>
        </is>
      </c>
      <c r="D631" s="15" t="n">
        <v>0.375</v>
      </c>
      <c r="E631" s="16" t="n">
        <v>275</v>
      </c>
      <c r="F631" s="16">
        <f>D631*E631</f>
        <v/>
      </c>
    </row>
    <row r="632">
      <c r="A632" s="13" t="inlineStr">
        <is>
          <t>9999</t>
        </is>
      </c>
      <c r="B632" s="14" t="inlineStr">
        <is>
          <t>Mortar for fixing</t>
        </is>
      </c>
      <c r="C632" s="13" t="inlineStr">
        <is>
          <t>L.S.</t>
        </is>
      </c>
      <c r="D632" s="15" t="n">
        <v>1.82</v>
      </c>
      <c r="E632" s="16" t="n">
        <v>2</v>
      </c>
      <c r="F632" s="16">
        <f>D632*E632</f>
        <v/>
      </c>
    </row>
    <row r="633">
      <c r="A633" s="13" t="inlineStr">
        <is>
          <t>9988</t>
        </is>
      </c>
      <c r="B633" s="14" t="inlineStr">
        <is>
          <t>Carriage and sundries</t>
        </is>
      </c>
      <c r="C633" s="13" t="inlineStr">
        <is>
          <t>L.S.</t>
        </is>
      </c>
      <c r="D633" s="15" t="n">
        <v>1.82</v>
      </c>
      <c r="E633" s="16" t="n">
        <v>2</v>
      </c>
      <c r="F633" s="16">
        <f>D633*E633</f>
        <v/>
      </c>
    </row>
    <row r="634">
      <c r="A634" s="13" t="inlineStr">
        <is>
          <t>0123</t>
        </is>
      </c>
      <c r="B634" s="14" t="inlineStr">
        <is>
          <t>Mason (brick layer) 1st class</t>
        </is>
      </c>
      <c r="C634" s="13" t="inlineStr">
        <is>
          <t>day</t>
        </is>
      </c>
      <c r="D634" s="15" t="n">
        <v>0.06</v>
      </c>
      <c r="E634" s="16" t="n">
        <v>738</v>
      </c>
      <c r="F634" s="16">
        <f>D634*E634</f>
        <v/>
      </c>
    </row>
    <row r="635">
      <c r="A635" s="13" t="inlineStr">
        <is>
          <t>0124</t>
        </is>
      </c>
      <c r="B635" s="14" t="inlineStr">
        <is>
          <t>Mason (brick layer) 2nd class</t>
        </is>
      </c>
      <c r="C635" s="13" t="inlineStr">
        <is>
          <t>day</t>
        </is>
      </c>
      <c r="D635" s="15" t="n">
        <v>0.06</v>
      </c>
      <c r="E635" s="16" t="n">
        <v>679</v>
      </c>
      <c r="F635" s="16">
        <f>D635*E635</f>
        <v/>
      </c>
    </row>
    <row r="636">
      <c r="A636" s="13" t="inlineStr">
        <is>
          <t>0114</t>
        </is>
      </c>
      <c r="B636" s="14" t="inlineStr">
        <is>
          <t>Beldar</t>
        </is>
      </c>
      <c r="C636" s="13" t="inlineStr">
        <is>
          <t>day</t>
        </is>
      </c>
      <c r="D636" s="15" t="n">
        <v>0.25</v>
      </c>
      <c r="E636" s="16" t="n">
        <v>558</v>
      </c>
      <c r="F636" s="16">
        <f>D636*E636</f>
        <v/>
      </c>
    </row>
    <row r="637">
      <c r="A637" s="17" t="inlineStr">
        <is>
          <t>Resource Total (Material + Labour + Machinery, as printed)</t>
        </is>
      </c>
      <c r="B637" s="18" t="n"/>
      <c r="C637" s="18" t="n"/>
      <c r="D637" s="18" t="n"/>
      <c r="E637" s="18" t="n"/>
      <c r="F637" s="19">
        <f>SUM(F631:F636)</f>
        <v/>
      </c>
    </row>
    <row r="638">
      <c r="A638" s="20" t="inlineStr">
        <is>
          <t>SAY (Rs.) — final DAR rate</t>
        </is>
      </c>
      <c r="B638" s="21" t="n"/>
      <c r="C638" s="21" t="n"/>
      <c r="D638" s="21" t="n"/>
      <c r="E638" s="21" t="n"/>
      <c r="F638" s="22" t="n">
        <v>1194.95</v>
      </c>
    </row>
    <row r="640" ht="28" customHeight="1">
      <c r="A640" s="9" t="inlineStr">
        <is>
          <t>5.19</t>
        </is>
      </c>
      <c r="B640" s="10" t="inlineStr">
        <is>
          <t>Encasing rolled steel sections, in beams and columns, with cement concrete 1:1.5:3 (1 cement : 1.5 coarse sand(zone-III) : 3 graded stone ag</t>
        </is>
      </c>
      <c r="C640" s="11" t="n"/>
      <c r="D640" s="11" t="n"/>
      <c r="E640" s="11" t="n"/>
      <c r="F640" s="11" t="n"/>
    </row>
    <row r="641">
      <c r="A641" s="12" t="inlineStr">
        <is>
          <t>Rate basis: per cum  (source: cost for 0.424 cum)</t>
        </is>
      </c>
    </row>
    <row r="642">
      <c r="A642" s="5" t="inlineStr">
        <is>
          <t>Code</t>
        </is>
      </c>
      <c r="B642" s="5" t="inlineStr">
        <is>
          <t>Description</t>
        </is>
      </c>
      <c r="C642" s="5" t="inlineStr">
        <is>
          <t>Unit</t>
        </is>
      </c>
      <c r="D642" s="5" t="inlineStr">
        <is>
          <t>Quantity</t>
        </is>
      </c>
      <c r="E642" s="5" t="inlineStr">
        <is>
          <t>Rate (Rs.)</t>
        </is>
      </c>
      <c r="F642" s="5" t="inlineStr">
        <is>
          <t>Amount (Rs.)</t>
        </is>
      </c>
    </row>
    <row r="643">
      <c r="A643" s="13" t="inlineStr">
        <is>
          <t>4.1.2</t>
        </is>
      </c>
      <c r="B643" s="14" t="inlineStr">
        <is>
          <t>Rate as per SH: 4.1.2</t>
        </is>
      </c>
      <c r="C643" s="13" t="inlineStr">
        <is>
          <t>cum</t>
        </is>
      </c>
      <c r="D643" s="15" t="n">
        <v>0.424</v>
      </c>
      <c r="E643" s="16" t="n">
        <v>7210.55</v>
      </c>
      <c r="F643" s="16">
        <f>D643*E643</f>
        <v/>
      </c>
    </row>
    <row r="644">
      <c r="A644" s="13" t="inlineStr">
        <is>
          <t>0114</t>
        </is>
      </c>
      <c r="B644" s="14" t="inlineStr">
        <is>
          <t>Beldar</t>
        </is>
      </c>
      <c r="C644" s="13" t="inlineStr">
        <is>
          <t>day</t>
        </is>
      </c>
      <c r="D644" s="15" t="n">
        <v>0.042</v>
      </c>
      <c r="E644" s="16" t="n">
        <v>558</v>
      </c>
      <c r="F644" s="16">
        <f>D644*E644</f>
        <v/>
      </c>
    </row>
    <row r="645">
      <c r="A645" s="13" t="inlineStr">
        <is>
          <t>0101</t>
        </is>
      </c>
      <c r="B645" s="14" t="inlineStr">
        <is>
          <t>Bhisti</t>
        </is>
      </c>
      <c r="C645" s="13" t="inlineStr">
        <is>
          <t>day</t>
        </is>
      </c>
      <c r="D645" s="15" t="n">
        <v>0.08500000000000001</v>
      </c>
      <c r="E645" s="16" t="n">
        <v>617</v>
      </c>
      <c r="F645" s="16">
        <f>D645*E645</f>
        <v/>
      </c>
    </row>
    <row r="646">
      <c r="A646" s="13" t="inlineStr">
        <is>
          <t>0123</t>
        </is>
      </c>
      <c r="B646" s="14" t="inlineStr">
        <is>
          <t>Mason (brick layer) 1st class</t>
        </is>
      </c>
      <c r="C646" s="13" t="inlineStr">
        <is>
          <t>day</t>
        </is>
      </c>
      <c r="D646" s="15" t="n">
        <v>0.017</v>
      </c>
      <c r="E646" s="16" t="n">
        <v>738</v>
      </c>
      <c r="F646" s="16">
        <f>D646*E646</f>
        <v/>
      </c>
    </row>
    <row r="647">
      <c r="A647" s="13" t="inlineStr">
        <is>
          <t>0124</t>
        </is>
      </c>
      <c r="B647" s="14" t="inlineStr">
        <is>
          <t>Mason (brick layer) 2nd class</t>
        </is>
      </c>
      <c r="C647" s="13" t="inlineStr">
        <is>
          <t>day</t>
        </is>
      </c>
      <c r="D647" s="15" t="n">
        <v>0.017</v>
      </c>
      <c r="E647" s="16" t="n">
        <v>679</v>
      </c>
      <c r="F647" s="16">
        <f>D647*E647</f>
        <v/>
      </c>
    </row>
    <row r="648">
      <c r="A648" s="13" t="inlineStr">
        <is>
          <t>0128</t>
        </is>
      </c>
      <c r="B648" s="14" t="inlineStr">
        <is>
          <t>Mate</t>
        </is>
      </c>
      <c r="C648" s="13" t="inlineStr">
        <is>
          <t>day</t>
        </is>
      </c>
      <c r="D648" s="15" t="n">
        <v>0.017</v>
      </c>
      <c r="E648" s="16" t="n">
        <v>617</v>
      </c>
      <c r="F648" s="16">
        <f>D648*E648</f>
        <v/>
      </c>
    </row>
    <row r="649">
      <c r="A649" s="13" t="inlineStr">
        <is>
          <t>9999</t>
        </is>
      </c>
      <c r="B649" s="14" t="inlineStr">
        <is>
          <t>Sundries and for lifting materials</t>
        </is>
      </c>
      <c r="C649" s="13" t="inlineStr">
        <is>
          <t>L.S.</t>
        </is>
      </c>
      <c r="D649" s="15" t="n">
        <v>21.58</v>
      </c>
      <c r="E649" s="16" t="n">
        <v>2</v>
      </c>
      <c r="F649" s="16">
        <f>D649*E649</f>
        <v/>
      </c>
    </row>
    <row r="650">
      <c r="A650" s="17" t="inlineStr">
        <is>
          <t>Resource Total (Material + Labour + Machinery, as printed)</t>
        </is>
      </c>
      <c r="B650" s="18" t="n"/>
      <c r="C650" s="18" t="n"/>
      <c r="D650" s="18" t="n"/>
      <c r="E650" s="18" t="n"/>
      <c r="F650" s="19">
        <f>SUM(F643:F649)</f>
        <v/>
      </c>
    </row>
    <row r="651">
      <c r="A651" s="20" t="inlineStr">
        <is>
          <t>SAY (Rs.) — final DAR rate</t>
        </is>
      </c>
      <c r="B651" s="21" t="n"/>
      <c r="C651" s="21" t="n"/>
      <c r="D651" s="21" t="n"/>
      <c r="E651" s="21" t="n"/>
      <c r="F651" s="22" t="n">
        <v>13020.5</v>
      </c>
    </row>
    <row r="653" ht="28" customHeight="1">
      <c r="A653" s="9" t="inlineStr">
        <is>
          <t>5.20</t>
        </is>
      </c>
      <c r="B653" s="10" t="inlineStr">
        <is>
          <t xml:space="preserve">Encasing rolled steel section in grillages with cement concrete 1:1.5:3 (1 cement : 1.5 coarse sand (zone-III): 3 graded stone aggregate 20 </t>
        </is>
      </c>
      <c r="C653" s="11" t="n"/>
      <c r="D653" s="11" t="n"/>
      <c r="E653" s="11" t="n"/>
      <c r="F653" s="11" t="n"/>
    </row>
    <row r="654">
      <c r="A654" s="12" t="inlineStr">
        <is>
          <t>Rate basis: per cum  (source: cost for 12.25 cum)</t>
        </is>
      </c>
    </row>
    <row r="655">
      <c r="A655" s="5" t="inlineStr">
        <is>
          <t>Code</t>
        </is>
      </c>
      <c r="B655" s="5" t="inlineStr">
        <is>
          <t>Description</t>
        </is>
      </c>
      <c r="C655" s="5" t="inlineStr">
        <is>
          <t>Unit</t>
        </is>
      </c>
      <c r="D655" s="5" t="inlineStr">
        <is>
          <t>Quantity</t>
        </is>
      </c>
      <c r="E655" s="5" t="inlineStr">
        <is>
          <t>Rate (Rs.)</t>
        </is>
      </c>
      <c r="F655" s="5" t="inlineStr">
        <is>
          <t>Amount (Rs.)</t>
        </is>
      </c>
    </row>
    <row r="656">
      <c r="A656" s="13" t="inlineStr">
        <is>
          <t>4.1.2</t>
        </is>
      </c>
      <c r="B656" s="14" t="inlineStr">
        <is>
          <t>Rate as per SH: 4.1.2</t>
        </is>
      </c>
      <c r="C656" s="13" t="inlineStr">
        <is>
          <t>cum</t>
        </is>
      </c>
      <c r="D656" s="15" t="n">
        <v>12.25</v>
      </c>
      <c r="E656" s="16" t="n">
        <v>7210.55</v>
      </c>
      <c r="F656" s="16">
        <f>D656*E656</f>
        <v/>
      </c>
    </row>
    <row r="657">
      <c r="A657" s="13" t="inlineStr">
        <is>
          <t>0114</t>
        </is>
      </c>
      <c r="B657" s="14" t="inlineStr">
        <is>
          <t>Beldar</t>
        </is>
      </c>
      <c r="C657" s="13" t="inlineStr">
        <is>
          <t>day</t>
        </is>
      </c>
      <c r="D657" s="15" t="n">
        <v>1.225</v>
      </c>
      <c r="E657" s="16" t="n">
        <v>558</v>
      </c>
      <c r="F657" s="16">
        <f>D657*E657</f>
        <v/>
      </c>
    </row>
    <row r="658">
      <c r="A658" s="13" t="inlineStr">
        <is>
          <t>0101</t>
        </is>
      </c>
      <c r="B658" s="14" t="inlineStr">
        <is>
          <t>Bhisti</t>
        </is>
      </c>
      <c r="C658" s="13" t="inlineStr">
        <is>
          <t>day</t>
        </is>
      </c>
      <c r="D658" s="15" t="n">
        <v>2.45</v>
      </c>
      <c r="E658" s="16" t="n">
        <v>617</v>
      </c>
      <c r="F658" s="16">
        <f>D658*E658</f>
        <v/>
      </c>
    </row>
    <row r="659">
      <c r="A659" s="13" t="inlineStr">
        <is>
          <t>0123</t>
        </is>
      </c>
      <c r="B659" s="14" t="inlineStr">
        <is>
          <t>Mason (brick layer) 1st class</t>
        </is>
      </c>
      <c r="C659" s="13" t="inlineStr">
        <is>
          <t>day</t>
        </is>
      </c>
      <c r="D659" s="15" t="n">
        <v>0.49</v>
      </c>
      <c r="E659" s="16" t="n">
        <v>738</v>
      </c>
      <c r="F659" s="16">
        <f>D659*E659</f>
        <v/>
      </c>
    </row>
    <row r="660">
      <c r="A660" s="13" t="inlineStr">
        <is>
          <t>0124</t>
        </is>
      </c>
      <c r="B660" s="14" t="inlineStr">
        <is>
          <t>Mason (brick layer) 2nd class</t>
        </is>
      </c>
      <c r="C660" s="13" t="inlineStr">
        <is>
          <t>day</t>
        </is>
      </c>
      <c r="D660" s="15" t="n">
        <v>0.49</v>
      </c>
      <c r="E660" s="16" t="n">
        <v>679</v>
      </c>
      <c r="F660" s="16">
        <f>D660*E660</f>
        <v/>
      </c>
    </row>
    <row r="661">
      <c r="A661" s="13" t="inlineStr">
        <is>
          <t>0128</t>
        </is>
      </c>
      <c r="B661" s="14" t="inlineStr">
        <is>
          <t>Mate</t>
        </is>
      </c>
      <c r="C661" s="13" t="inlineStr">
        <is>
          <t>day</t>
        </is>
      </c>
      <c r="D661" s="15" t="n">
        <v>0.49</v>
      </c>
      <c r="E661" s="16" t="n">
        <v>617</v>
      </c>
      <c r="F661" s="16">
        <f>D661*E661</f>
        <v/>
      </c>
    </row>
    <row r="662">
      <c r="A662" s="17" t="inlineStr">
        <is>
          <t>Resource Total (Material + Labour + Machinery, as printed)</t>
        </is>
      </c>
      <c r="B662" s="18" t="n"/>
      <c r="C662" s="18" t="n"/>
      <c r="D662" s="18" t="n"/>
      <c r="E662" s="18" t="n"/>
      <c r="F662" s="19">
        <f>SUM(F656:F661)</f>
        <v/>
      </c>
    </row>
    <row r="663">
      <c r="A663" s="20" t="inlineStr">
        <is>
          <t>SAY (Rs.) — final DAR rate</t>
        </is>
      </c>
      <c r="B663" s="21" t="n"/>
      <c r="C663" s="21" t="n"/>
      <c r="D663" s="21" t="n"/>
      <c r="E663" s="21" t="n"/>
      <c r="F663" s="22" t="n">
        <v>8190.1</v>
      </c>
    </row>
    <row r="665" ht="28" customHeight="1">
      <c r="A665" s="9" t="inlineStr">
        <is>
          <t>5.21</t>
        </is>
      </c>
      <c r="B665" s="10" t="inlineStr">
        <is>
          <t>Extra for providing and fixing expanded metal mesh of size 20x60 mm and strands 3.25 mm wide 1.6 mm thick weighing 3.64 kg per sqm for encas</t>
        </is>
      </c>
      <c r="C665" s="11" t="n"/>
      <c r="D665" s="11" t="n"/>
      <c r="E665" s="11" t="n"/>
      <c r="F665" s="11" t="n"/>
    </row>
    <row r="666">
      <c r="A666" s="12" t="inlineStr">
        <is>
          <t>Rate basis: per nos  (source: cost for 1 nos)</t>
        </is>
      </c>
    </row>
    <row r="667">
      <c r="A667" s="5" t="inlineStr">
        <is>
          <t>Code</t>
        </is>
      </c>
      <c r="B667" s="5" t="inlineStr">
        <is>
          <t>Description</t>
        </is>
      </c>
      <c r="C667" s="5" t="inlineStr">
        <is>
          <t>Unit</t>
        </is>
      </c>
      <c r="D667" s="5" t="inlineStr">
        <is>
          <t>Quantity</t>
        </is>
      </c>
      <c r="E667" s="5" t="inlineStr">
        <is>
          <t>Rate (Rs.)</t>
        </is>
      </c>
      <c r="F667" s="5" t="inlineStr">
        <is>
          <t>Amount (Rs.)</t>
        </is>
      </c>
    </row>
    <row r="668">
      <c r="A668" s="13" t="inlineStr">
        <is>
          <t>1015</t>
        </is>
      </c>
      <c r="B668" s="14" t="inlineStr">
        <is>
          <t>Mild steel expanded metal 20x60 mm strands</t>
        </is>
      </c>
      <c r="C668" s="13" t="inlineStr">
        <is>
          <t>sqm</t>
        </is>
      </c>
      <c r="D668" s="15" t="n">
        <v>10.5</v>
      </c>
      <c r="E668" s="16" t="n">
        <v>280</v>
      </c>
      <c r="F668" s="16">
        <f>D668*E668</f>
        <v/>
      </c>
    </row>
    <row r="669">
      <c r="A669" s="13" t="inlineStr">
        <is>
          <t>9977</t>
        </is>
      </c>
      <c r="B669" s="14" t="inlineStr">
        <is>
          <t>Carriage of expended metal</t>
        </is>
      </c>
      <c r="C669" s="13" t="inlineStr">
        <is>
          <t>L.S.</t>
        </is>
      </c>
      <c r="D669" s="15" t="n">
        <v>13.52</v>
      </c>
      <c r="E669" s="16" t="n">
        <v>2</v>
      </c>
      <c r="F669" s="16">
        <f>D669*E669</f>
        <v/>
      </c>
    </row>
    <row r="670">
      <c r="A670" s="13" t="inlineStr">
        <is>
          <t>9999</t>
        </is>
      </c>
      <c r="B670" s="14" t="inlineStr">
        <is>
          <t>Wire for tieing</t>
        </is>
      </c>
      <c r="C670" s="13" t="inlineStr">
        <is>
          <t>L.S.</t>
        </is>
      </c>
      <c r="D670" s="15" t="n">
        <v>13.52</v>
      </c>
      <c r="E670" s="16" t="n">
        <v>2</v>
      </c>
      <c r="F670" s="16">
        <f>D670*E670</f>
        <v/>
      </c>
    </row>
    <row r="671">
      <c r="A671" s="13" t="inlineStr">
        <is>
          <t>0102</t>
        </is>
      </c>
      <c r="B671" s="14" t="inlineStr">
        <is>
          <t>Blacksmith 1st class</t>
        </is>
      </c>
      <c r="C671" s="13" t="inlineStr">
        <is>
          <t>day</t>
        </is>
      </c>
      <c r="D671" s="15" t="n">
        <v>0.25</v>
      </c>
      <c r="E671" s="16" t="n">
        <v>738</v>
      </c>
      <c r="F671" s="16">
        <f>D671*E671</f>
        <v/>
      </c>
    </row>
    <row r="672">
      <c r="A672" s="13" t="inlineStr">
        <is>
          <t>0114</t>
        </is>
      </c>
      <c r="B672" s="14" t="inlineStr">
        <is>
          <t>Beldar</t>
        </is>
      </c>
      <c r="C672" s="13" t="inlineStr">
        <is>
          <t>day</t>
        </is>
      </c>
      <c r="D672" s="15" t="n">
        <v>0.25</v>
      </c>
      <c r="E672" s="16" t="n">
        <v>558</v>
      </c>
      <c r="F672" s="16">
        <f>D672*E672</f>
        <v/>
      </c>
    </row>
    <row r="673">
      <c r="A673" s="17" t="inlineStr">
        <is>
          <t>Resource Total (Material + Labour + Machinery, as printed)</t>
        </is>
      </c>
      <c r="B673" s="18" t="n"/>
      <c r="C673" s="18" t="n"/>
      <c r="D673" s="18" t="n"/>
      <c r="E673" s="18" t="n"/>
      <c r="F673" s="19">
        <f>SUM(F668:F672)</f>
        <v/>
      </c>
    </row>
    <row r="674">
      <c r="A674" s="20" t="inlineStr">
        <is>
          <t>SAY (Rs.) — final DAR rate</t>
        </is>
      </c>
      <c r="B674" s="21" t="n"/>
      <c r="C674" s="21" t="n"/>
      <c r="D674" s="21" t="n"/>
      <c r="E674" s="21" t="n"/>
      <c r="F674" s="22" t="n">
        <v>443.95</v>
      </c>
    </row>
    <row r="676" ht="18" customHeight="1">
      <c r="A676" s="9" t="inlineStr">
        <is>
          <t>5.22.1</t>
        </is>
      </c>
      <c r="B676" s="10" t="inlineStr">
        <is>
          <t>Mild steel and Medium Tensile steel bars</t>
        </is>
      </c>
      <c r="C676" s="11" t="n"/>
      <c r="D676" s="11" t="n"/>
      <c r="E676" s="11" t="n"/>
      <c r="F676" s="11" t="n"/>
    </row>
    <row r="677">
      <c r="A677" s="12" t="inlineStr">
        <is>
          <t>Rate basis: per quintal  (source: cost for 1 quintal)</t>
        </is>
      </c>
    </row>
    <row r="678">
      <c r="A678" s="5" t="inlineStr">
        <is>
          <t>Code</t>
        </is>
      </c>
      <c r="B678" s="5" t="inlineStr">
        <is>
          <t>Description</t>
        </is>
      </c>
      <c r="C678" s="5" t="inlineStr">
        <is>
          <t>Unit</t>
        </is>
      </c>
      <c r="D678" s="5" t="inlineStr">
        <is>
          <t>Quantity</t>
        </is>
      </c>
      <c r="E678" s="5" t="inlineStr">
        <is>
          <t>Rate (Rs.)</t>
        </is>
      </c>
      <c r="F678" s="5" t="inlineStr">
        <is>
          <t>Amount (Rs.)</t>
        </is>
      </c>
    </row>
    <row r="679">
      <c r="A679" s="13" t="inlineStr">
        <is>
          <t>1004</t>
        </is>
      </c>
      <c r="B679" s="14" t="inlineStr">
        <is>
          <t>Average rate of Mild steel round bars for reinforcements</t>
        </is>
      </c>
      <c r="C679" s="13" t="inlineStr">
        <is>
          <t>quintal</t>
        </is>
      </c>
      <c r="D679" s="15" t="n">
        <v>1.05</v>
      </c>
      <c r="E679" s="16" t="n">
        <v>4500</v>
      </c>
      <c r="F679" s="16">
        <f>D679*E679</f>
        <v/>
      </c>
    </row>
    <row r="680">
      <c r="A680" s="13" t="inlineStr">
        <is>
          <t>2205</t>
        </is>
      </c>
      <c r="B680" s="14" t="inlineStr">
        <is>
          <t>Carriage of Steel 1.05/10 = 0.105t</t>
        </is>
      </c>
      <c r="C680" s="13" t="inlineStr">
        <is>
          <t>tonne</t>
        </is>
      </c>
      <c r="D680" s="15" t="n">
        <v>0.105</v>
      </c>
      <c r="E680" s="16" t="n">
        <v>92.23999999999999</v>
      </c>
      <c r="F680" s="16">
        <f>D680*E680</f>
        <v/>
      </c>
    </row>
    <row r="681">
      <c r="A681" s="13" t="inlineStr">
        <is>
          <t>9999</t>
        </is>
      </c>
      <c r="B681" s="14" t="inlineStr">
        <is>
          <t>Cover block</t>
        </is>
      </c>
      <c r="C681" s="13" t="inlineStr">
        <is>
          <t>L.S.</t>
        </is>
      </c>
      <c r="D681" s="15" t="n">
        <v>26</v>
      </c>
      <c r="E681" s="16" t="n">
        <v>2</v>
      </c>
      <c r="F681" s="16">
        <f>D681*E681</f>
        <v/>
      </c>
    </row>
    <row r="682">
      <c r="A682" s="13" t="inlineStr">
        <is>
          <t>0102</t>
        </is>
      </c>
      <c r="B682" s="14" t="inlineStr">
        <is>
          <t>Blacksmith 1st class</t>
        </is>
      </c>
      <c r="C682" s="13" t="inlineStr">
        <is>
          <t>day</t>
        </is>
      </c>
      <c r="D682" s="15" t="n">
        <v>1</v>
      </c>
      <c r="E682" s="16" t="n">
        <v>738</v>
      </c>
      <c r="F682" s="16">
        <f>D682*E682</f>
        <v/>
      </c>
    </row>
    <row r="683">
      <c r="A683" s="13" t="inlineStr">
        <is>
          <t>0114</t>
        </is>
      </c>
      <c r="B683" s="14" t="inlineStr">
        <is>
          <t>Beldar</t>
        </is>
      </c>
      <c r="C683" s="13" t="inlineStr">
        <is>
          <t>day</t>
        </is>
      </c>
      <c r="D683" s="15" t="n">
        <v>1</v>
      </c>
      <c r="E683" s="16" t="n">
        <v>558</v>
      </c>
      <c r="F683" s="16">
        <f>D683*E683</f>
        <v/>
      </c>
    </row>
    <row r="684">
      <c r="A684" s="13" t="inlineStr">
        <is>
          <t>9999</t>
        </is>
      </c>
      <c r="B684" s="14" t="inlineStr">
        <is>
          <t>Sundries and binding wire</t>
        </is>
      </c>
      <c r="C684" s="13" t="inlineStr">
        <is>
          <t>L.S.</t>
        </is>
      </c>
      <c r="D684" s="15" t="n">
        <v>26.91</v>
      </c>
      <c r="E684" s="16" t="n">
        <v>2</v>
      </c>
      <c r="F684" s="16">
        <f>D684*E684</f>
        <v/>
      </c>
    </row>
    <row r="685">
      <c r="A685" s="17" t="inlineStr">
        <is>
          <t>Resource Total (Material + Labour + Machinery, as printed)</t>
        </is>
      </c>
      <c r="B685" s="18" t="n"/>
      <c r="C685" s="18" t="n"/>
      <c r="D685" s="18" t="n"/>
      <c r="E685" s="18" t="n"/>
      <c r="F685" s="19">
        <f>SUM(F679:F684)</f>
        <v/>
      </c>
    </row>
    <row r="686">
      <c r="A686" s="20" t="inlineStr">
        <is>
          <t>SAY (Rs.) — final DAR rate</t>
        </is>
      </c>
      <c r="B686" s="21" t="n"/>
      <c r="C686" s="21" t="n"/>
      <c r="D686" s="21" t="n"/>
      <c r="E686" s="21" t="n"/>
      <c r="F686" s="22" t="n">
        <v>82.09999999999999</v>
      </c>
    </row>
    <row r="688" ht="18" customHeight="1">
      <c r="A688" s="9" t="inlineStr">
        <is>
          <t>5.22.2</t>
        </is>
      </c>
      <c r="B688" s="10" t="inlineStr">
        <is>
          <t>Hard drawn steel wire</t>
        </is>
      </c>
      <c r="C688" s="11" t="n"/>
      <c r="D688" s="11" t="n"/>
      <c r="E688" s="11" t="n"/>
      <c r="F688" s="11" t="n"/>
    </row>
    <row r="689">
      <c r="A689" s="12" t="inlineStr">
        <is>
          <t>Rate basis: per quintal  (source: cost for 1 quintal)</t>
        </is>
      </c>
    </row>
    <row r="690">
      <c r="A690" s="5" t="inlineStr">
        <is>
          <t>Code</t>
        </is>
      </c>
      <c r="B690" s="5" t="inlineStr">
        <is>
          <t>Description</t>
        </is>
      </c>
      <c r="C690" s="5" t="inlineStr">
        <is>
          <t>Unit</t>
        </is>
      </c>
      <c r="D690" s="5" t="inlineStr">
        <is>
          <t>Quantity</t>
        </is>
      </c>
      <c r="E690" s="5" t="inlineStr">
        <is>
          <t>Rate (Rs.)</t>
        </is>
      </c>
      <c r="F690" s="5" t="inlineStr">
        <is>
          <t>Amount (Rs.)</t>
        </is>
      </c>
    </row>
    <row r="691">
      <c r="A691" s="13" t="inlineStr">
        <is>
          <t>1224</t>
        </is>
      </c>
      <c r="B691" s="14" t="inlineStr">
        <is>
          <t>Hard drawn steel wire</t>
        </is>
      </c>
      <c r="C691" s="13" t="inlineStr">
        <is>
          <t>quintal</t>
        </is>
      </c>
      <c r="D691" s="15" t="n">
        <v>1.05</v>
      </c>
      <c r="E691" s="16" t="n">
        <v>4800</v>
      </c>
      <c r="F691" s="16">
        <f>D691*E691</f>
        <v/>
      </c>
    </row>
    <row r="692">
      <c r="A692" s="13" t="inlineStr">
        <is>
          <t>2205</t>
        </is>
      </c>
      <c r="B692" s="14" t="inlineStr">
        <is>
          <t>Carriage of Steel 1.05q = 0.105 tonne</t>
        </is>
      </c>
      <c r="C692" s="13" t="inlineStr">
        <is>
          <t>tonne</t>
        </is>
      </c>
      <c r="D692" s="15" t="n">
        <v>0.105</v>
      </c>
      <c r="E692" s="16" t="n">
        <v>92.23999999999999</v>
      </c>
      <c r="F692" s="16">
        <f>D692*E692</f>
        <v/>
      </c>
    </row>
    <row r="693">
      <c r="A693" s="13" t="inlineStr">
        <is>
          <t>0102</t>
        </is>
      </c>
      <c r="B693" s="14" t="inlineStr">
        <is>
          <t>Blacksmith 1st class</t>
        </is>
      </c>
      <c r="C693" s="13" t="inlineStr">
        <is>
          <t>day</t>
        </is>
      </c>
      <c r="D693" s="15" t="n">
        <v>1</v>
      </c>
      <c r="E693" s="16" t="n">
        <v>738</v>
      </c>
      <c r="F693" s="16">
        <f>D693*E693</f>
        <v/>
      </c>
    </row>
    <row r="694">
      <c r="A694" s="13" t="inlineStr">
        <is>
          <t>0114</t>
        </is>
      </c>
      <c r="B694" s="14" t="inlineStr">
        <is>
          <t>Beldar</t>
        </is>
      </c>
      <c r="C694" s="13" t="inlineStr">
        <is>
          <t>day</t>
        </is>
      </c>
      <c r="D694" s="15" t="n">
        <v>1</v>
      </c>
      <c r="E694" s="16" t="n">
        <v>558</v>
      </c>
      <c r="F694" s="16">
        <f>D694*E694</f>
        <v/>
      </c>
    </row>
    <row r="695">
      <c r="A695" s="13" t="inlineStr">
        <is>
          <t>9999</t>
        </is>
      </c>
      <c r="B695" s="14" t="inlineStr">
        <is>
          <t>Sundries</t>
        </is>
      </c>
      <c r="C695" s="13" t="inlineStr">
        <is>
          <t>L.S.</t>
        </is>
      </c>
      <c r="D695" s="15" t="n">
        <v>26.91</v>
      </c>
      <c r="E695" s="16" t="n">
        <v>2</v>
      </c>
      <c r="F695" s="16">
        <f>D695*E695</f>
        <v/>
      </c>
    </row>
    <row r="696">
      <c r="A696" s="17" t="inlineStr">
        <is>
          <t>Resource Total (Material + Labour + Machinery, as printed)</t>
        </is>
      </c>
      <c r="B696" s="18" t="n"/>
      <c r="C696" s="18" t="n"/>
      <c r="D696" s="18" t="n"/>
      <c r="E696" s="18" t="n"/>
      <c r="F696" s="19">
        <f>SUM(F691:F695)</f>
        <v/>
      </c>
    </row>
    <row r="697">
      <c r="A697" s="20" t="inlineStr">
        <is>
          <t>SAY (Rs.) — final DAR rate</t>
        </is>
      </c>
      <c r="B697" s="21" t="n"/>
      <c r="C697" s="21" t="n"/>
      <c r="D697" s="21" t="n"/>
      <c r="E697" s="21" t="n"/>
      <c r="F697" s="22" t="n">
        <v>85.59999999999999</v>
      </c>
    </row>
    <row r="699" ht="18" customHeight="1">
      <c r="A699" s="9" t="inlineStr">
        <is>
          <t>5.22.3</t>
        </is>
      </c>
      <c r="B699" s="10" t="inlineStr">
        <is>
          <t>Cold twisted bars</t>
        </is>
      </c>
      <c r="C699" s="11" t="n"/>
      <c r="D699" s="11" t="n"/>
      <c r="E699" s="11" t="n"/>
      <c r="F699" s="11" t="n"/>
    </row>
    <row r="700">
      <c r="A700" s="12" t="inlineStr">
        <is>
          <t>Rate basis: per quintal  (source: cost for 1 quintal)</t>
        </is>
      </c>
    </row>
    <row r="701">
      <c r="A701" s="5" t="inlineStr">
        <is>
          <t>Code</t>
        </is>
      </c>
      <c r="B701" s="5" t="inlineStr">
        <is>
          <t>Description</t>
        </is>
      </c>
      <c r="C701" s="5" t="inlineStr">
        <is>
          <t>Unit</t>
        </is>
      </c>
      <c r="D701" s="5" t="inlineStr">
        <is>
          <t>Quantity</t>
        </is>
      </c>
      <c r="E701" s="5" t="inlineStr">
        <is>
          <t>Rate (Rs.)</t>
        </is>
      </c>
      <c r="F701" s="5" t="inlineStr">
        <is>
          <t>Amount (Rs.)</t>
        </is>
      </c>
    </row>
    <row r="702">
      <c r="A702" s="13" t="inlineStr">
        <is>
          <t>1005</t>
        </is>
      </c>
      <c r="B702" s="14" t="inlineStr">
        <is>
          <t>Twisted steel / deformed bars</t>
        </is>
      </c>
      <c r="C702" s="13" t="inlineStr">
        <is>
          <t>quintal</t>
        </is>
      </c>
      <c r="D702" s="15" t="n">
        <v>1.05</v>
      </c>
      <c r="E702" s="16" t="n">
        <v>4600</v>
      </c>
      <c r="F702" s="16">
        <f>D702*E702</f>
        <v/>
      </c>
    </row>
    <row r="703">
      <c r="A703" s="13" t="inlineStr">
        <is>
          <t>2205</t>
        </is>
      </c>
      <c r="B703" s="14" t="inlineStr">
        <is>
          <t>Carriage of Steel 1.05/10 = 0.105t</t>
        </is>
      </c>
      <c r="C703" s="13" t="inlineStr">
        <is>
          <t>tonne</t>
        </is>
      </c>
      <c r="D703" s="15" t="n">
        <v>0.105</v>
      </c>
      <c r="E703" s="16" t="n">
        <v>92.23999999999999</v>
      </c>
      <c r="F703" s="16">
        <f>D703*E703</f>
        <v/>
      </c>
    </row>
    <row r="704">
      <c r="A704" s="13" t="inlineStr">
        <is>
          <t>9999</t>
        </is>
      </c>
      <c r="B704" s="14" t="inlineStr">
        <is>
          <t>Cover block</t>
        </is>
      </c>
      <c r="C704" s="13" t="inlineStr">
        <is>
          <t>L.S.</t>
        </is>
      </c>
      <c r="D704" s="15" t="n">
        <v>26</v>
      </c>
      <c r="E704" s="16" t="n">
        <v>2</v>
      </c>
      <c r="F704" s="16">
        <f>D704*E704</f>
        <v/>
      </c>
    </row>
    <row r="705">
      <c r="A705" s="13" t="inlineStr">
        <is>
          <t>0102</t>
        </is>
      </c>
      <c r="B705" s="14" t="inlineStr">
        <is>
          <t>Blacksmith 1st class</t>
        </is>
      </c>
      <c r="C705" s="13" t="inlineStr">
        <is>
          <t>day</t>
        </is>
      </c>
      <c r="D705" s="15" t="n">
        <v>1</v>
      </c>
      <c r="E705" s="16" t="n">
        <v>738</v>
      </c>
      <c r="F705" s="16">
        <f>D705*E705</f>
        <v/>
      </c>
    </row>
    <row r="706">
      <c r="A706" s="13" t="inlineStr">
        <is>
          <t>0114</t>
        </is>
      </c>
      <c r="B706" s="14" t="inlineStr">
        <is>
          <t>Beldar</t>
        </is>
      </c>
      <c r="C706" s="13" t="inlineStr">
        <is>
          <t>day</t>
        </is>
      </c>
      <c r="D706" s="15" t="n">
        <v>1</v>
      </c>
      <c r="E706" s="16" t="n">
        <v>558</v>
      </c>
      <c r="F706" s="16">
        <f>D706*E706</f>
        <v/>
      </c>
    </row>
    <row r="707">
      <c r="A707" s="13" t="inlineStr">
        <is>
          <t>9999</t>
        </is>
      </c>
      <c r="B707" s="14" t="inlineStr">
        <is>
          <t>Sundries and binding wire</t>
        </is>
      </c>
      <c r="C707" s="13" t="inlineStr">
        <is>
          <t>L.S.</t>
        </is>
      </c>
      <c r="D707" s="15" t="n">
        <v>26.91</v>
      </c>
      <c r="E707" s="16" t="n">
        <v>2</v>
      </c>
      <c r="F707" s="16">
        <f>D707*E707</f>
        <v/>
      </c>
    </row>
    <row r="708">
      <c r="A708" s="17" t="inlineStr">
        <is>
          <t>Resource Total (Material + Labour + Machinery, as printed)</t>
        </is>
      </c>
      <c r="B708" s="18" t="n"/>
      <c r="C708" s="18" t="n"/>
      <c r="D708" s="18" t="n"/>
      <c r="E708" s="18" t="n"/>
      <c r="F708" s="19">
        <f>SUM(F702:F707)</f>
        <v/>
      </c>
    </row>
    <row r="709">
      <c r="A709" s="20" t="inlineStr">
        <is>
          <t>SAY (Rs.) — final DAR rate</t>
        </is>
      </c>
      <c r="B709" s="21" t="n"/>
      <c r="C709" s="21" t="n"/>
      <c r="D709" s="21" t="n"/>
      <c r="E709" s="21" t="n"/>
      <c r="F709" s="22" t="n">
        <v>83.5</v>
      </c>
    </row>
    <row r="711" ht="18" customHeight="1">
      <c r="A711" s="9" t="inlineStr">
        <is>
          <t>5.22.4</t>
        </is>
      </c>
      <c r="B711" s="10" t="inlineStr">
        <is>
          <t>Hot rolled deformed bars</t>
        </is>
      </c>
      <c r="C711" s="11" t="n"/>
      <c r="D711" s="11" t="n"/>
      <c r="E711" s="11" t="n"/>
      <c r="F711" s="11" t="n"/>
    </row>
    <row r="712">
      <c r="A712" s="12" t="inlineStr">
        <is>
          <t>Rate basis: per quintal  (source: cost for 1 quintal)</t>
        </is>
      </c>
    </row>
    <row r="713">
      <c r="A713" s="5" t="inlineStr">
        <is>
          <t>Code</t>
        </is>
      </c>
      <c r="B713" s="5" t="inlineStr">
        <is>
          <t>Description</t>
        </is>
      </c>
      <c r="C713" s="5" t="inlineStr">
        <is>
          <t>Unit</t>
        </is>
      </c>
      <c r="D713" s="5" t="inlineStr">
        <is>
          <t>Quantity</t>
        </is>
      </c>
      <c r="E713" s="5" t="inlineStr">
        <is>
          <t>Rate (Rs.)</t>
        </is>
      </c>
      <c r="F713" s="5" t="inlineStr">
        <is>
          <t>Amount (Rs.)</t>
        </is>
      </c>
    </row>
    <row r="714">
      <c r="A714" s="13" t="inlineStr">
        <is>
          <t>1005</t>
        </is>
      </c>
      <c r="B714" s="14" t="inlineStr">
        <is>
          <t>Twisted steel / deformed bars</t>
        </is>
      </c>
      <c r="C714" s="13" t="inlineStr">
        <is>
          <t>quintal</t>
        </is>
      </c>
      <c r="D714" s="15" t="n">
        <v>1.05</v>
      </c>
      <c r="E714" s="16" t="n">
        <v>4600</v>
      </c>
      <c r="F714" s="16">
        <f>D714*E714</f>
        <v/>
      </c>
    </row>
    <row r="715">
      <c r="A715" s="13" t="inlineStr">
        <is>
          <t>2205</t>
        </is>
      </c>
      <c r="B715" s="14" t="inlineStr">
        <is>
          <t>Carriage of Steel 1.05/10 = 0.105t</t>
        </is>
      </c>
      <c r="C715" s="13" t="inlineStr">
        <is>
          <t>tonne</t>
        </is>
      </c>
      <c r="D715" s="15" t="n">
        <v>0.105</v>
      </c>
      <c r="E715" s="16" t="n">
        <v>92.23999999999999</v>
      </c>
      <c r="F715" s="16">
        <f>D715*E715</f>
        <v/>
      </c>
    </row>
    <row r="716">
      <c r="A716" s="13" t="inlineStr">
        <is>
          <t>9999</t>
        </is>
      </c>
      <c r="B716" s="14" t="inlineStr">
        <is>
          <t>Cover block</t>
        </is>
      </c>
      <c r="C716" s="13" t="inlineStr">
        <is>
          <t>L.S.</t>
        </is>
      </c>
      <c r="D716" s="15" t="n">
        <v>26</v>
      </c>
      <c r="E716" s="16" t="n">
        <v>2</v>
      </c>
      <c r="F716" s="16">
        <f>D716*E716</f>
        <v/>
      </c>
    </row>
    <row r="717">
      <c r="A717" s="13" t="inlineStr">
        <is>
          <t>0102</t>
        </is>
      </c>
      <c r="B717" s="14" t="inlineStr">
        <is>
          <t>Blacksmith 1st class</t>
        </is>
      </c>
      <c r="C717" s="13" t="inlineStr">
        <is>
          <t>day</t>
        </is>
      </c>
      <c r="D717" s="15" t="n">
        <v>1</v>
      </c>
      <c r="E717" s="16" t="n">
        <v>738</v>
      </c>
      <c r="F717" s="16">
        <f>D717*E717</f>
        <v/>
      </c>
    </row>
    <row r="718">
      <c r="A718" s="13" t="inlineStr">
        <is>
          <t>0114</t>
        </is>
      </c>
      <c r="B718" s="14" t="inlineStr">
        <is>
          <t>Beldar</t>
        </is>
      </c>
      <c r="C718" s="13" t="inlineStr">
        <is>
          <t>day</t>
        </is>
      </c>
      <c r="D718" s="15" t="n">
        <v>1</v>
      </c>
      <c r="E718" s="16" t="n">
        <v>558</v>
      </c>
      <c r="F718" s="16">
        <f>D718*E718</f>
        <v/>
      </c>
    </row>
    <row r="719">
      <c r="A719" s="13" t="inlineStr">
        <is>
          <t>9999</t>
        </is>
      </c>
      <c r="B719" s="14" t="inlineStr">
        <is>
          <t>Sundries and binding wire</t>
        </is>
      </c>
      <c r="C719" s="13" t="inlineStr">
        <is>
          <t>L.S.</t>
        </is>
      </c>
      <c r="D719" s="15" t="n">
        <v>26.91</v>
      </c>
      <c r="E719" s="16" t="n">
        <v>2</v>
      </c>
      <c r="F719" s="16">
        <f>D719*E719</f>
        <v/>
      </c>
    </row>
    <row r="720">
      <c r="A720" s="17" t="inlineStr">
        <is>
          <t>Resource Total (Material + Labour + Machinery, as printed)</t>
        </is>
      </c>
      <c r="B720" s="18" t="n"/>
      <c r="C720" s="18" t="n"/>
      <c r="D720" s="18" t="n"/>
      <c r="E720" s="18" t="n"/>
      <c r="F720" s="19">
        <f>SUM(F714:F719)</f>
        <v/>
      </c>
    </row>
    <row r="721">
      <c r="A721" s="20" t="inlineStr">
        <is>
          <t>SAY (Rs.) — final DAR rate</t>
        </is>
      </c>
      <c r="B721" s="21" t="n"/>
      <c r="C721" s="21" t="n"/>
      <c r="D721" s="21" t="n"/>
      <c r="E721" s="21" t="n"/>
      <c r="F721" s="22" t="n">
        <v>83.5</v>
      </c>
    </row>
    <row r="723" ht="18" customHeight="1">
      <c r="A723" s="9" t="inlineStr">
        <is>
          <t>5.22.5</t>
        </is>
      </c>
      <c r="B723" s="10" t="inlineStr">
        <is>
          <t>Hard drawn steel wire fabric</t>
        </is>
      </c>
      <c r="C723" s="11" t="n"/>
      <c r="D723" s="11" t="n"/>
      <c r="E723" s="11" t="n"/>
      <c r="F723" s="11" t="n"/>
    </row>
    <row r="724">
      <c r="A724" s="12" t="inlineStr">
        <is>
          <t>Rate basis: per quintal  (source: cost for 1 quintal)</t>
        </is>
      </c>
    </row>
    <row r="725">
      <c r="A725" s="5" t="inlineStr">
        <is>
          <t>Code</t>
        </is>
      </c>
      <c r="B725" s="5" t="inlineStr">
        <is>
          <t>Description</t>
        </is>
      </c>
      <c r="C725" s="5" t="inlineStr">
        <is>
          <t>Unit</t>
        </is>
      </c>
      <c r="D725" s="5" t="inlineStr">
        <is>
          <t>Quantity</t>
        </is>
      </c>
      <c r="E725" s="5" t="inlineStr">
        <is>
          <t>Rate (Rs.)</t>
        </is>
      </c>
      <c r="F725" s="5" t="inlineStr">
        <is>
          <t>Amount (Rs.)</t>
        </is>
      </c>
    </row>
    <row r="726">
      <c r="A726" s="13" t="inlineStr">
        <is>
          <t>1021</t>
        </is>
      </c>
      <c r="B726" s="14" t="inlineStr">
        <is>
          <t>Hard drawn steel wire fabric</t>
        </is>
      </c>
      <c r="C726" s="13" t="inlineStr">
        <is>
          <t>sqm</t>
        </is>
      </c>
      <c r="D726" s="15" t="n">
        <v>13.548</v>
      </c>
      <c r="E726" s="16" t="n">
        <v>430</v>
      </c>
      <c r="F726" s="16">
        <f>D726*E726</f>
        <v/>
      </c>
    </row>
    <row r="727">
      <c r="A727" s="13" t="inlineStr">
        <is>
          <t>2205</t>
        </is>
      </c>
      <c r="B727" s="14" t="inlineStr">
        <is>
          <t>Carriage 1.05q = 0.105 tonne</t>
        </is>
      </c>
      <c r="C727" s="13" t="inlineStr">
        <is>
          <t>tonne</t>
        </is>
      </c>
      <c r="D727" s="15" t="n">
        <v>0.105</v>
      </c>
      <c r="E727" s="16" t="n">
        <v>92.23999999999999</v>
      </c>
      <c r="F727" s="16">
        <f>D727*E727</f>
        <v/>
      </c>
    </row>
    <row r="728">
      <c r="A728" s="13" t="inlineStr">
        <is>
          <t>9999</t>
        </is>
      </c>
      <c r="B728" s="14" t="inlineStr">
        <is>
          <t>Cover block</t>
        </is>
      </c>
      <c r="C728" s="13" t="inlineStr">
        <is>
          <t>L.S.</t>
        </is>
      </c>
      <c r="D728" s="15" t="n">
        <v>26</v>
      </c>
      <c r="E728" s="16" t="n">
        <v>2</v>
      </c>
      <c r="F728" s="16">
        <f>D728*E728</f>
        <v/>
      </c>
    </row>
    <row r="729">
      <c r="A729" s="13" t="inlineStr">
        <is>
          <t>0103</t>
        </is>
      </c>
      <c r="B729" s="14" t="inlineStr">
        <is>
          <t>Blacksmith 2nd class</t>
        </is>
      </c>
      <c r="C729" s="13" t="inlineStr">
        <is>
          <t>day</t>
        </is>
      </c>
      <c r="D729" s="15" t="n">
        <v>0.2</v>
      </c>
      <c r="E729" s="16" t="n">
        <v>679</v>
      </c>
      <c r="F729" s="16">
        <f>D729*E729</f>
        <v/>
      </c>
    </row>
    <row r="730">
      <c r="A730" s="13" t="inlineStr">
        <is>
          <t>0114</t>
        </is>
      </c>
      <c r="B730" s="14" t="inlineStr">
        <is>
          <t>Beldar</t>
        </is>
      </c>
      <c r="C730" s="13" t="inlineStr">
        <is>
          <t>day</t>
        </is>
      </c>
      <c r="D730" s="15" t="n">
        <v>1.5</v>
      </c>
      <c r="E730" s="16" t="n">
        <v>558</v>
      </c>
      <c r="F730" s="16">
        <f>D730*E730</f>
        <v/>
      </c>
    </row>
    <row r="731">
      <c r="A731" s="13" t="inlineStr">
        <is>
          <t>9999</t>
        </is>
      </c>
      <c r="B731" s="14" t="inlineStr">
        <is>
          <t>Sundries and binding wire</t>
        </is>
      </c>
      <c r="C731" s="13" t="inlineStr">
        <is>
          <t>L.S.</t>
        </is>
      </c>
      <c r="D731" s="15" t="n">
        <v>13.52</v>
      </c>
      <c r="E731" s="16" t="n">
        <v>2</v>
      </c>
      <c r="F731" s="16">
        <f>D731*E731</f>
        <v/>
      </c>
    </row>
    <row r="732">
      <c r="A732" s="17" t="inlineStr">
        <is>
          <t>Resource Total (Material + Labour + Machinery, as printed)</t>
        </is>
      </c>
      <c r="B732" s="18" t="n"/>
      <c r="C732" s="18" t="n"/>
      <c r="D732" s="18" t="n"/>
      <c r="E732" s="18" t="n"/>
      <c r="F732" s="19">
        <f>SUM(F726:F731)</f>
        <v/>
      </c>
    </row>
    <row r="733">
      <c r="A733" s="20" t="inlineStr">
        <is>
          <t>SAY (Rs.) — final DAR rate</t>
        </is>
      </c>
      <c r="B733" s="21" t="n"/>
      <c r="C733" s="21" t="n"/>
      <c r="D733" s="21" t="n"/>
      <c r="E733" s="21" t="n"/>
      <c r="F733" s="22" t="n">
        <v>92.15000000000001</v>
      </c>
    </row>
    <row r="735" ht="18" customHeight="1">
      <c r="A735" s="9" t="inlineStr">
        <is>
          <t>5.22.6</t>
        </is>
      </c>
      <c r="B735" s="10" t="inlineStr">
        <is>
          <t>Thermo-Mechanically Treated bars of grade Fe-500D or more.</t>
        </is>
      </c>
      <c r="C735" s="11" t="n"/>
      <c r="D735" s="11" t="n"/>
      <c r="E735" s="11" t="n"/>
      <c r="F735" s="11" t="n"/>
    </row>
    <row r="736">
      <c r="A736" s="12" t="inlineStr">
        <is>
          <t>Rate basis: per quintal  (source: cost for 1 quintal)</t>
        </is>
      </c>
    </row>
    <row r="737">
      <c r="A737" s="5" t="inlineStr">
        <is>
          <t>Code</t>
        </is>
      </c>
      <c r="B737" s="5" t="inlineStr">
        <is>
          <t>Description</t>
        </is>
      </c>
      <c r="C737" s="5" t="inlineStr">
        <is>
          <t>Unit</t>
        </is>
      </c>
      <c r="D737" s="5" t="inlineStr">
        <is>
          <t>Quantity</t>
        </is>
      </c>
      <c r="E737" s="5" t="inlineStr">
        <is>
          <t>Rate (Rs.)</t>
        </is>
      </c>
      <c r="F737" s="5" t="inlineStr">
        <is>
          <t>Amount (Rs.)</t>
        </is>
      </c>
    </row>
    <row r="738">
      <c r="A738" s="13" t="inlineStr">
        <is>
          <t>1005</t>
        </is>
      </c>
      <c r="B738" s="14" t="inlineStr">
        <is>
          <t>Twisted steel / deformed bars</t>
        </is>
      </c>
      <c r="C738" s="13" t="inlineStr">
        <is>
          <t>quintal</t>
        </is>
      </c>
      <c r="D738" s="15" t="n">
        <v>1.05</v>
      </c>
      <c r="E738" s="16" t="n">
        <v>4600</v>
      </c>
      <c r="F738" s="16">
        <f>D738*E738</f>
        <v/>
      </c>
    </row>
    <row r="739">
      <c r="A739" s="13" t="inlineStr">
        <is>
          <t>2205</t>
        </is>
      </c>
      <c r="B739" s="14" t="inlineStr">
        <is>
          <t>Carriage of steel 1.05/10 = 0.105t</t>
        </is>
      </c>
      <c r="C739" s="13" t="inlineStr">
        <is>
          <t>tonne</t>
        </is>
      </c>
      <c r="D739" s="15" t="n">
        <v>0.105</v>
      </c>
      <c r="E739" s="16" t="n">
        <v>92.23999999999999</v>
      </c>
      <c r="F739" s="16">
        <f>D739*E739</f>
        <v/>
      </c>
    </row>
    <row r="740">
      <c r="A740" s="13" t="inlineStr">
        <is>
          <t>9999</t>
        </is>
      </c>
      <c r="B740" s="14" t="inlineStr">
        <is>
          <t>Cover block</t>
        </is>
      </c>
      <c r="C740" s="13" t="inlineStr">
        <is>
          <t>L.S.</t>
        </is>
      </c>
      <c r="D740" s="15" t="n">
        <v>26</v>
      </c>
      <c r="E740" s="16" t="n">
        <v>2</v>
      </c>
      <c r="F740" s="16">
        <f>D740*E740</f>
        <v/>
      </c>
    </row>
    <row r="741">
      <c r="A741" s="13" t="inlineStr">
        <is>
          <t>0102</t>
        </is>
      </c>
      <c r="B741" s="14" t="inlineStr">
        <is>
          <t>Blacksmith 1st class</t>
        </is>
      </c>
      <c r="C741" s="13" t="inlineStr">
        <is>
          <t>day</t>
        </is>
      </c>
      <c r="D741" s="15" t="n">
        <v>1</v>
      </c>
      <c r="E741" s="16" t="n">
        <v>738</v>
      </c>
      <c r="F741" s="16">
        <f>D741*E741</f>
        <v/>
      </c>
    </row>
    <row r="742">
      <c r="A742" s="13" t="inlineStr">
        <is>
          <t>0114</t>
        </is>
      </c>
      <c r="B742" s="14" t="inlineStr">
        <is>
          <t>Beldar</t>
        </is>
      </c>
      <c r="C742" s="13" t="inlineStr">
        <is>
          <t>day</t>
        </is>
      </c>
      <c r="D742" s="15" t="n">
        <v>1</v>
      </c>
      <c r="E742" s="16" t="n">
        <v>558</v>
      </c>
      <c r="F742" s="16">
        <f>D742*E742</f>
        <v/>
      </c>
    </row>
    <row r="743">
      <c r="A743" s="13" t="inlineStr">
        <is>
          <t>9999</t>
        </is>
      </c>
      <c r="B743" s="14" t="inlineStr">
        <is>
          <t>Sundries and binding wire</t>
        </is>
      </c>
      <c r="C743" s="13" t="inlineStr">
        <is>
          <t>L.S.</t>
        </is>
      </c>
      <c r="D743" s="15" t="n">
        <v>26.91</v>
      </c>
      <c r="E743" s="16" t="n">
        <v>2</v>
      </c>
      <c r="F743" s="16">
        <f>D743*E743</f>
        <v/>
      </c>
    </row>
    <row r="744">
      <c r="A744" s="17" t="inlineStr">
        <is>
          <t>Resource Total (Material + Labour + Machinery, as printed)</t>
        </is>
      </c>
      <c r="B744" s="18" t="n"/>
      <c r="C744" s="18" t="n"/>
      <c r="D744" s="18" t="n"/>
      <c r="E744" s="18" t="n"/>
      <c r="F744" s="19">
        <f>SUM(F738:F743)</f>
        <v/>
      </c>
    </row>
    <row r="745">
      <c r="A745" s="20" t="inlineStr">
        <is>
          <t>SAY (Rs.) — final DAR rate</t>
        </is>
      </c>
      <c r="B745" s="21" t="n"/>
      <c r="C745" s="21" t="n"/>
      <c r="D745" s="21" t="n"/>
      <c r="E745" s="21" t="n"/>
      <c r="F745" s="22" t="n">
        <v>83.5</v>
      </c>
    </row>
    <row r="747" ht="18" customHeight="1">
      <c r="A747" s="9" t="inlineStr">
        <is>
          <t>5.22A.1</t>
        </is>
      </c>
      <c r="B747" s="10" t="inlineStr">
        <is>
          <t>Mild steel and Medium Tensile steel bars</t>
        </is>
      </c>
      <c r="C747" s="11" t="n"/>
      <c r="D747" s="11" t="n"/>
      <c r="E747" s="11" t="n"/>
      <c r="F747" s="11" t="n"/>
    </row>
    <row r="748">
      <c r="A748" s="12" t="inlineStr">
        <is>
          <t>Rate basis: per quintal  (source: cost for 1 quintal)</t>
        </is>
      </c>
    </row>
    <row r="749">
      <c r="A749" s="5" t="inlineStr">
        <is>
          <t>Code</t>
        </is>
      </c>
      <c r="B749" s="5" t="inlineStr">
        <is>
          <t>Description</t>
        </is>
      </c>
      <c r="C749" s="5" t="inlineStr">
        <is>
          <t>Unit</t>
        </is>
      </c>
      <c r="D749" s="5" t="inlineStr">
        <is>
          <t>Quantity</t>
        </is>
      </c>
      <c r="E749" s="5" t="inlineStr">
        <is>
          <t>Rate (Rs.)</t>
        </is>
      </c>
      <c r="F749" s="5" t="inlineStr">
        <is>
          <t>Amount (Rs.)</t>
        </is>
      </c>
    </row>
    <row r="750">
      <c r="A750" s="13" t="inlineStr">
        <is>
          <t>1004</t>
        </is>
      </c>
      <c r="B750" s="14" t="inlineStr">
        <is>
          <t>Average rate of Mild steel round bars for reinforcements</t>
        </is>
      </c>
      <c r="C750" s="13" t="inlineStr">
        <is>
          <t>quintal</t>
        </is>
      </c>
      <c r="D750" s="15" t="n">
        <v>1.05</v>
      </c>
      <c r="E750" s="16" t="n">
        <v>4500</v>
      </c>
      <c r="F750" s="16">
        <f>D750*E750</f>
        <v/>
      </c>
    </row>
    <row r="751">
      <c r="A751" s="13" t="inlineStr">
        <is>
          <t>2205</t>
        </is>
      </c>
      <c r="B751" s="14" t="inlineStr">
        <is>
          <t>Carriage of Steel NOS/ 10 = 0.105 t</t>
        </is>
      </c>
      <c r="C751" s="13" t="inlineStr">
        <is>
          <t>tonne</t>
        </is>
      </c>
      <c r="D751" s="15" t="n">
        <v>0.105</v>
      </c>
      <c r="E751" s="16" t="n">
        <v>92.23999999999999</v>
      </c>
      <c r="F751" s="16">
        <f>D751*E751</f>
        <v/>
      </c>
    </row>
    <row r="752">
      <c r="A752" s="13" t="inlineStr">
        <is>
          <t>9999</t>
        </is>
      </c>
      <c r="B752" s="14" t="inlineStr">
        <is>
          <t>Cover block</t>
        </is>
      </c>
      <c r="C752" s="13" t="inlineStr">
        <is>
          <t>L.S.</t>
        </is>
      </c>
      <c r="D752" s="15" t="n">
        <v>26</v>
      </c>
      <c r="E752" s="16" t="n">
        <v>2</v>
      </c>
      <c r="F752" s="16">
        <f>D752*E752</f>
        <v/>
      </c>
    </row>
    <row r="753">
      <c r="A753" s="13" t="inlineStr">
        <is>
          <t>0102</t>
        </is>
      </c>
      <c r="B753" s="14" t="inlineStr">
        <is>
          <t>Blacksmith 1st class</t>
        </is>
      </c>
      <c r="C753" s="13" t="inlineStr">
        <is>
          <t>day</t>
        </is>
      </c>
      <c r="D753" s="15" t="n">
        <v>1</v>
      </c>
      <c r="E753" s="16" t="n">
        <v>738</v>
      </c>
      <c r="F753" s="16">
        <f>D753*E753</f>
        <v/>
      </c>
    </row>
    <row r="754">
      <c r="A754" s="13" t="inlineStr">
        <is>
          <t>0114</t>
        </is>
      </c>
      <c r="B754" s="14" t="inlineStr">
        <is>
          <t>Beldar</t>
        </is>
      </c>
      <c r="C754" s="13" t="inlineStr">
        <is>
          <t>day</t>
        </is>
      </c>
      <c r="D754" s="15" t="n">
        <v>1</v>
      </c>
      <c r="E754" s="16" t="n">
        <v>558</v>
      </c>
      <c r="F754" s="16">
        <f>D754*E754</f>
        <v/>
      </c>
    </row>
    <row r="755">
      <c r="A755" s="13" t="inlineStr">
        <is>
          <t>9999</t>
        </is>
      </c>
      <c r="B755" s="14" t="inlineStr">
        <is>
          <t>Sundries and binding wire</t>
        </is>
      </c>
      <c r="C755" s="13" t="inlineStr">
        <is>
          <t>L.S.</t>
        </is>
      </c>
      <c r="D755" s="15" t="n">
        <v>26.91</v>
      </c>
      <c r="E755" s="16" t="n">
        <v>2</v>
      </c>
      <c r="F755" s="16">
        <f>D755*E755</f>
        <v/>
      </c>
    </row>
    <row r="756">
      <c r="A756" s="17" t="inlineStr">
        <is>
          <t>Resource Total (Material + Labour + Machinery, as printed)</t>
        </is>
      </c>
      <c r="B756" s="18" t="n"/>
      <c r="C756" s="18" t="n"/>
      <c r="D756" s="18" t="n"/>
      <c r="E756" s="18" t="n"/>
      <c r="F756" s="19">
        <f>SUM(F750:F755)</f>
        <v/>
      </c>
    </row>
    <row r="757">
      <c r="A757" s="20" t="inlineStr">
        <is>
          <t>SAY (Rs.) — final DAR rate</t>
        </is>
      </c>
      <c r="B757" s="21" t="n"/>
      <c r="C757" s="21" t="n"/>
      <c r="D757" s="21" t="n"/>
      <c r="E757" s="21" t="n"/>
      <c r="F757" s="22" t="n">
        <v>82.09999999999999</v>
      </c>
    </row>
    <row r="759" ht="18" customHeight="1">
      <c r="A759" s="9" t="inlineStr">
        <is>
          <t>5.22A.2</t>
        </is>
      </c>
      <c r="B759" s="10" t="inlineStr">
        <is>
          <t>Hard drawn steel wire</t>
        </is>
      </c>
      <c r="C759" s="11" t="n"/>
      <c r="D759" s="11" t="n"/>
      <c r="E759" s="11" t="n"/>
      <c r="F759" s="11" t="n"/>
    </row>
    <row r="760">
      <c r="A760" s="12" t="inlineStr">
        <is>
          <t>Rate basis: per quintal  (source: cost for 1 quintal)</t>
        </is>
      </c>
    </row>
    <row r="761">
      <c r="A761" s="5" t="inlineStr">
        <is>
          <t>Code</t>
        </is>
      </c>
      <c r="B761" s="5" t="inlineStr">
        <is>
          <t>Description</t>
        </is>
      </c>
      <c r="C761" s="5" t="inlineStr">
        <is>
          <t>Unit</t>
        </is>
      </c>
      <c r="D761" s="5" t="inlineStr">
        <is>
          <t>Quantity</t>
        </is>
      </c>
      <c r="E761" s="5" t="inlineStr">
        <is>
          <t>Rate (Rs.)</t>
        </is>
      </c>
      <c r="F761" s="5" t="inlineStr">
        <is>
          <t>Amount (Rs.)</t>
        </is>
      </c>
    </row>
    <row r="762">
      <c r="A762" s="13" t="inlineStr">
        <is>
          <t>1224</t>
        </is>
      </c>
      <c r="B762" s="14" t="inlineStr">
        <is>
          <t>Hard drawn steel wire</t>
        </is>
      </c>
      <c r="C762" s="13" t="inlineStr">
        <is>
          <t>quintal</t>
        </is>
      </c>
      <c r="D762" s="15" t="n">
        <v>1.05</v>
      </c>
      <c r="E762" s="16" t="n">
        <v>4800</v>
      </c>
      <c r="F762" s="16">
        <f>D762*E762</f>
        <v/>
      </c>
    </row>
    <row r="763">
      <c r="A763" s="13" t="inlineStr">
        <is>
          <t>2205</t>
        </is>
      </c>
      <c r="B763" s="14" t="inlineStr">
        <is>
          <t>Carriage of Steel</t>
        </is>
      </c>
      <c r="C763" s="13" t="inlineStr">
        <is>
          <t>tonne</t>
        </is>
      </c>
      <c r="D763" s="15" t="n">
        <v>0.105</v>
      </c>
      <c r="E763" s="16" t="n">
        <v>92.23999999999999</v>
      </c>
      <c r="F763" s="16">
        <f>D763*E763</f>
        <v/>
      </c>
    </row>
    <row r="764">
      <c r="A764" s="13" t="inlineStr">
        <is>
          <t>0102</t>
        </is>
      </c>
      <c r="B764" s="14" t="inlineStr">
        <is>
          <t>Blacksmith 1st class</t>
        </is>
      </c>
      <c r="C764" s="13" t="inlineStr">
        <is>
          <t>day</t>
        </is>
      </c>
      <c r="D764" s="15" t="n">
        <v>1</v>
      </c>
      <c r="E764" s="16" t="n">
        <v>738</v>
      </c>
      <c r="F764" s="16">
        <f>D764*E764</f>
        <v/>
      </c>
    </row>
    <row r="765">
      <c r="A765" s="13" t="inlineStr">
        <is>
          <t>0114</t>
        </is>
      </c>
      <c r="B765" s="14" t="inlineStr">
        <is>
          <t>Beldar</t>
        </is>
      </c>
      <c r="C765" s="13" t="inlineStr">
        <is>
          <t>day</t>
        </is>
      </c>
      <c r="D765" s="15" t="n">
        <v>1</v>
      </c>
      <c r="E765" s="16" t="n">
        <v>558</v>
      </c>
      <c r="F765" s="16">
        <f>D765*E765</f>
        <v/>
      </c>
    </row>
    <row r="766">
      <c r="A766" s="13" t="inlineStr">
        <is>
          <t>9999</t>
        </is>
      </c>
      <c r="B766" s="14" t="inlineStr">
        <is>
          <t>Sundries</t>
        </is>
      </c>
      <c r="C766" s="13" t="inlineStr">
        <is>
          <t>L.S.</t>
        </is>
      </c>
      <c r="D766" s="15" t="n">
        <v>26.91</v>
      </c>
      <c r="E766" s="16" t="n">
        <v>2</v>
      </c>
      <c r="F766" s="16">
        <f>D766*E766</f>
        <v/>
      </c>
    </row>
    <row r="767">
      <c r="A767" s="17" t="inlineStr">
        <is>
          <t>Resource Total (Material + Labour + Machinery, as printed)</t>
        </is>
      </c>
      <c r="B767" s="18" t="n"/>
      <c r="C767" s="18" t="n"/>
      <c r="D767" s="18" t="n"/>
      <c r="E767" s="18" t="n"/>
      <c r="F767" s="19">
        <f>SUM(F762:F766)</f>
        <v/>
      </c>
    </row>
    <row r="768">
      <c r="A768" s="20" t="inlineStr">
        <is>
          <t>SAY (Rs.) — final DAR rate</t>
        </is>
      </c>
      <c r="B768" s="21" t="n"/>
      <c r="C768" s="21" t="n"/>
      <c r="D768" s="21" t="n"/>
      <c r="E768" s="21" t="n"/>
      <c r="F768" s="22" t="n">
        <v>85.59999999999999</v>
      </c>
    </row>
    <row r="770" ht="18" customHeight="1">
      <c r="A770" s="9" t="inlineStr">
        <is>
          <t>5.22A.3</t>
        </is>
      </c>
      <c r="B770" s="10" t="inlineStr">
        <is>
          <t>Cold twisted bars</t>
        </is>
      </c>
      <c r="C770" s="11" t="n"/>
      <c r="D770" s="11" t="n"/>
      <c r="E770" s="11" t="n"/>
      <c r="F770" s="11" t="n"/>
    </row>
    <row r="771">
      <c r="A771" s="12" t="inlineStr">
        <is>
          <t>Rate basis: per quintal  (source: cost for 1 quintal)</t>
        </is>
      </c>
    </row>
    <row r="772">
      <c r="A772" s="5" t="inlineStr">
        <is>
          <t>Code</t>
        </is>
      </c>
      <c r="B772" s="5" t="inlineStr">
        <is>
          <t>Description</t>
        </is>
      </c>
      <c r="C772" s="5" t="inlineStr">
        <is>
          <t>Unit</t>
        </is>
      </c>
      <c r="D772" s="5" t="inlineStr">
        <is>
          <t>Quantity</t>
        </is>
      </c>
      <c r="E772" s="5" t="inlineStr">
        <is>
          <t>Rate (Rs.)</t>
        </is>
      </c>
      <c r="F772" s="5" t="inlineStr">
        <is>
          <t>Amount (Rs.)</t>
        </is>
      </c>
    </row>
    <row r="773">
      <c r="A773" s="13" t="inlineStr">
        <is>
          <t>1005</t>
        </is>
      </c>
      <c r="B773" s="14" t="inlineStr">
        <is>
          <t>Twisted steel / deformed bars</t>
        </is>
      </c>
      <c r="C773" s="13" t="inlineStr">
        <is>
          <t>quintal</t>
        </is>
      </c>
      <c r="D773" s="15" t="n">
        <v>1.05</v>
      </c>
      <c r="E773" s="16" t="n">
        <v>4600</v>
      </c>
      <c r="F773" s="16">
        <f>D773*E773</f>
        <v/>
      </c>
    </row>
    <row r="774">
      <c r="A774" s="13" t="inlineStr">
        <is>
          <t>2205</t>
        </is>
      </c>
      <c r="B774" s="14" t="inlineStr">
        <is>
          <t>Carriage of Steel</t>
        </is>
      </c>
      <c r="C774" s="13" t="inlineStr">
        <is>
          <t>tonne</t>
        </is>
      </c>
      <c r="D774" s="15" t="n">
        <v>0.105</v>
      </c>
      <c r="E774" s="16" t="n">
        <v>92.23999999999999</v>
      </c>
      <c r="F774" s="16">
        <f>D774*E774</f>
        <v/>
      </c>
    </row>
    <row r="775">
      <c r="A775" s="13" t="inlineStr">
        <is>
          <t>9999</t>
        </is>
      </c>
      <c r="B775" s="14" t="inlineStr">
        <is>
          <t>Cover block</t>
        </is>
      </c>
      <c r="C775" s="13" t="inlineStr">
        <is>
          <t>L.S.</t>
        </is>
      </c>
      <c r="D775" s="15" t="n">
        <v>26</v>
      </c>
      <c r="E775" s="16" t="n">
        <v>2</v>
      </c>
      <c r="F775" s="16">
        <f>D775*E775</f>
        <v/>
      </c>
    </row>
    <row r="776">
      <c r="A776" s="13" t="inlineStr">
        <is>
          <t>0102</t>
        </is>
      </c>
      <c r="B776" s="14" t="inlineStr">
        <is>
          <t>Blacksmith 1st class</t>
        </is>
      </c>
      <c r="C776" s="13" t="inlineStr">
        <is>
          <t>day</t>
        </is>
      </c>
      <c r="D776" s="15" t="n">
        <v>1</v>
      </c>
      <c r="E776" s="16" t="n">
        <v>738</v>
      </c>
      <c r="F776" s="16">
        <f>D776*E776</f>
        <v/>
      </c>
    </row>
    <row r="777">
      <c r="A777" s="13" t="inlineStr">
        <is>
          <t>0114</t>
        </is>
      </c>
      <c r="B777" s="14" t="inlineStr">
        <is>
          <t>Beldar</t>
        </is>
      </c>
      <c r="C777" s="13" t="inlineStr">
        <is>
          <t>day</t>
        </is>
      </c>
      <c r="D777" s="15" t="n">
        <v>1</v>
      </c>
      <c r="E777" s="16" t="n">
        <v>558</v>
      </c>
      <c r="F777" s="16">
        <f>D777*E777</f>
        <v/>
      </c>
    </row>
    <row r="778">
      <c r="A778" s="13" t="inlineStr">
        <is>
          <t>9999</t>
        </is>
      </c>
      <c r="B778" s="14" t="inlineStr">
        <is>
          <t>Sundries and binding wire</t>
        </is>
      </c>
      <c r="C778" s="13" t="inlineStr">
        <is>
          <t>L.S.</t>
        </is>
      </c>
      <c r="D778" s="15" t="n">
        <v>26.91</v>
      </c>
      <c r="E778" s="16" t="n">
        <v>2</v>
      </c>
      <c r="F778" s="16">
        <f>D778*E778</f>
        <v/>
      </c>
    </row>
    <row r="779">
      <c r="A779" s="17" t="inlineStr">
        <is>
          <t>Resource Total (Material + Labour + Machinery, as printed)</t>
        </is>
      </c>
      <c r="B779" s="18" t="n"/>
      <c r="C779" s="18" t="n"/>
      <c r="D779" s="18" t="n"/>
      <c r="E779" s="18" t="n"/>
      <c r="F779" s="19">
        <f>SUM(F773:F778)</f>
        <v/>
      </c>
    </row>
    <row r="780">
      <c r="A780" s="20" t="inlineStr">
        <is>
          <t>SAY (Rs.) — final DAR rate</t>
        </is>
      </c>
      <c r="B780" s="21" t="n"/>
      <c r="C780" s="21" t="n"/>
      <c r="D780" s="21" t="n"/>
      <c r="E780" s="21" t="n"/>
      <c r="F780" s="22" t="n">
        <v>83.5</v>
      </c>
    </row>
    <row r="782" ht="18" customHeight="1">
      <c r="A782" s="9" t="inlineStr">
        <is>
          <t>5.22A.4</t>
        </is>
      </c>
      <c r="B782" s="10" t="inlineStr">
        <is>
          <t>Hot rolled deformed bars</t>
        </is>
      </c>
      <c r="C782" s="11" t="n"/>
      <c r="D782" s="11" t="n"/>
      <c r="E782" s="11" t="n"/>
      <c r="F782" s="11" t="n"/>
    </row>
    <row r="783">
      <c r="A783" s="12" t="inlineStr">
        <is>
          <t>Rate basis: per quintal  (source: cost for 1 quintal)</t>
        </is>
      </c>
    </row>
    <row r="784">
      <c r="A784" s="5" t="inlineStr">
        <is>
          <t>Code</t>
        </is>
      </c>
      <c r="B784" s="5" t="inlineStr">
        <is>
          <t>Description</t>
        </is>
      </c>
      <c r="C784" s="5" t="inlineStr">
        <is>
          <t>Unit</t>
        </is>
      </c>
      <c r="D784" s="5" t="inlineStr">
        <is>
          <t>Quantity</t>
        </is>
      </c>
      <c r="E784" s="5" t="inlineStr">
        <is>
          <t>Rate (Rs.)</t>
        </is>
      </c>
      <c r="F784" s="5" t="inlineStr">
        <is>
          <t>Amount (Rs.)</t>
        </is>
      </c>
    </row>
    <row r="785">
      <c r="A785" s="13" t="inlineStr">
        <is>
          <t>1005</t>
        </is>
      </c>
      <c r="B785" s="14" t="inlineStr">
        <is>
          <t>Twisted steel / deformed bars</t>
        </is>
      </c>
      <c r="C785" s="13" t="inlineStr">
        <is>
          <t>quintal</t>
        </is>
      </c>
      <c r="D785" s="15" t="n">
        <v>1.05</v>
      </c>
      <c r="E785" s="16" t="n">
        <v>4600</v>
      </c>
      <c r="F785" s="16">
        <f>D785*E785</f>
        <v/>
      </c>
    </row>
    <row r="786">
      <c r="A786" s="13" t="inlineStr">
        <is>
          <t>2205</t>
        </is>
      </c>
      <c r="B786" s="14" t="inlineStr">
        <is>
          <t>Carriage of Steel</t>
        </is>
      </c>
      <c r="C786" s="13" t="inlineStr">
        <is>
          <t>tonne</t>
        </is>
      </c>
      <c r="D786" s="15" t="n">
        <v>0.105</v>
      </c>
      <c r="E786" s="16" t="n">
        <v>92.23999999999999</v>
      </c>
      <c r="F786" s="16">
        <f>D786*E786</f>
        <v/>
      </c>
    </row>
    <row r="787">
      <c r="A787" s="13" t="inlineStr">
        <is>
          <t>9999</t>
        </is>
      </c>
      <c r="B787" s="14" t="inlineStr">
        <is>
          <t>Cover block</t>
        </is>
      </c>
      <c r="C787" s="13" t="inlineStr">
        <is>
          <t>L.S.</t>
        </is>
      </c>
      <c r="D787" s="15" t="n">
        <v>26</v>
      </c>
      <c r="E787" s="16" t="n">
        <v>2</v>
      </c>
      <c r="F787" s="16">
        <f>D787*E787</f>
        <v/>
      </c>
    </row>
    <row r="788">
      <c r="A788" s="13" t="inlineStr">
        <is>
          <t>0102</t>
        </is>
      </c>
      <c r="B788" s="14" t="inlineStr">
        <is>
          <t>Blacksmith 1st class</t>
        </is>
      </c>
      <c r="C788" s="13" t="inlineStr">
        <is>
          <t>day</t>
        </is>
      </c>
      <c r="D788" s="15" t="n">
        <v>1</v>
      </c>
      <c r="E788" s="16" t="n">
        <v>738</v>
      </c>
      <c r="F788" s="16">
        <f>D788*E788</f>
        <v/>
      </c>
    </row>
    <row r="789">
      <c r="A789" s="13" t="inlineStr">
        <is>
          <t>0114</t>
        </is>
      </c>
      <c r="B789" s="14" t="inlineStr">
        <is>
          <t>Beldar</t>
        </is>
      </c>
      <c r="C789" s="13" t="inlineStr">
        <is>
          <t>day</t>
        </is>
      </c>
      <c r="D789" s="15" t="n">
        <v>1</v>
      </c>
      <c r="E789" s="16" t="n">
        <v>558</v>
      </c>
      <c r="F789" s="16">
        <f>D789*E789</f>
        <v/>
      </c>
    </row>
    <row r="790">
      <c r="A790" s="13" t="inlineStr">
        <is>
          <t>9999</t>
        </is>
      </c>
      <c r="B790" s="14" t="inlineStr">
        <is>
          <t>Sundries and binding wire</t>
        </is>
      </c>
      <c r="C790" s="13" t="inlineStr">
        <is>
          <t>L.S.</t>
        </is>
      </c>
      <c r="D790" s="15" t="n">
        <v>26.91</v>
      </c>
      <c r="E790" s="16" t="n">
        <v>2</v>
      </c>
      <c r="F790" s="16">
        <f>D790*E790</f>
        <v/>
      </c>
    </row>
    <row r="791">
      <c r="A791" s="17" t="inlineStr">
        <is>
          <t>Resource Total (Material + Labour + Machinery, as printed)</t>
        </is>
      </c>
      <c r="B791" s="18" t="n"/>
      <c r="C791" s="18" t="n"/>
      <c r="D791" s="18" t="n"/>
      <c r="E791" s="18" t="n"/>
      <c r="F791" s="19">
        <f>SUM(F785:F790)</f>
        <v/>
      </c>
    </row>
    <row r="792">
      <c r="A792" s="20" t="inlineStr">
        <is>
          <t>SAY (Rs.) — final DAR rate</t>
        </is>
      </c>
      <c r="B792" s="21" t="n"/>
      <c r="C792" s="21" t="n"/>
      <c r="D792" s="21" t="n"/>
      <c r="E792" s="21" t="n"/>
      <c r="F792" s="22" t="n">
        <v>83.5</v>
      </c>
    </row>
    <row r="794" ht="18" customHeight="1">
      <c r="A794" s="9" t="inlineStr">
        <is>
          <t>5.22A.5</t>
        </is>
      </c>
      <c r="B794" s="10" t="inlineStr">
        <is>
          <t>Hard drawn steel wire fabric</t>
        </is>
      </c>
      <c r="C794" s="11" t="n"/>
      <c r="D794" s="11" t="n"/>
      <c r="E794" s="11" t="n"/>
      <c r="F794" s="11" t="n"/>
    </row>
    <row r="795">
      <c r="A795" s="12" t="inlineStr">
        <is>
          <t>Rate basis: per quintal  (source: cost for 1 quintal)</t>
        </is>
      </c>
    </row>
    <row r="796">
      <c r="A796" s="5" t="inlineStr">
        <is>
          <t>Code</t>
        </is>
      </c>
      <c r="B796" s="5" t="inlineStr">
        <is>
          <t>Description</t>
        </is>
      </c>
      <c r="C796" s="5" t="inlineStr">
        <is>
          <t>Unit</t>
        </is>
      </c>
      <c r="D796" s="5" t="inlineStr">
        <is>
          <t>Quantity</t>
        </is>
      </c>
      <c r="E796" s="5" t="inlineStr">
        <is>
          <t>Rate (Rs.)</t>
        </is>
      </c>
      <c r="F796" s="5" t="inlineStr">
        <is>
          <t>Amount (Rs.)</t>
        </is>
      </c>
    </row>
    <row r="797">
      <c r="A797" s="13" t="inlineStr">
        <is>
          <t>1021</t>
        </is>
      </c>
      <c r="B797" s="14" t="inlineStr">
        <is>
          <t>Hard drawn steel wire fabric</t>
        </is>
      </c>
      <c r="C797" s="13" t="inlineStr">
        <is>
          <t>sqm</t>
        </is>
      </c>
      <c r="D797" s="15" t="n">
        <v>13.548</v>
      </c>
      <c r="E797" s="16" t="n">
        <v>430</v>
      </c>
      <c r="F797" s="16">
        <f>D797*E797</f>
        <v/>
      </c>
    </row>
    <row r="798">
      <c r="A798" s="13" t="inlineStr">
        <is>
          <t>2205</t>
        </is>
      </c>
      <c r="B798" s="14" t="inlineStr">
        <is>
          <t>Carriage of Steel</t>
        </is>
      </c>
      <c r="C798" s="13" t="inlineStr">
        <is>
          <t>tonne</t>
        </is>
      </c>
      <c r="D798" s="15" t="n">
        <v>0.105</v>
      </c>
      <c r="E798" s="16" t="n">
        <v>92.23999999999999</v>
      </c>
      <c r="F798" s="16">
        <f>D798*E798</f>
        <v/>
      </c>
    </row>
    <row r="799">
      <c r="A799" s="13" t="inlineStr">
        <is>
          <t>9999</t>
        </is>
      </c>
      <c r="B799" s="14" t="inlineStr">
        <is>
          <t>Cover block</t>
        </is>
      </c>
      <c r="C799" s="13" t="inlineStr">
        <is>
          <t>L.S.</t>
        </is>
      </c>
      <c r="D799" s="15" t="n">
        <v>26</v>
      </c>
      <c r="E799" s="16" t="n">
        <v>2</v>
      </c>
      <c r="F799" s="16">
        <f>D799*E799</f>
        <v/>
      </c>
    </row>
    <row r="800">
      <c r="A800" s="13" t="inlineStr">
        <is>
          <t>0103</t>
        </is>
      </c>
      <c r="B800" s="14" t="inlineStr">
        <is>
          <t>Blacksmith 2nd class</t>
        </is>
      </c>
      <c r="C800" s="13" t="inlineStr">
        <is>
          <t>day</t>
        </is>
      </c>
      <c r="D800" s="15" t="n">
        <v>0.2</v>
      </c>
      <c r="E800" s="16" t="n">
        <v>679</v>
      </c>
      <c r="F800" s="16">
        <f>D800*E800</f>
        <v/>
      </c>
    </row>
    <row r="801">
      <c r="A801" s="13" t="inlineStr">
        <is>
          <t>0114</t>
        </is>
      </c>
      <c r="B801" s="14" t="inlineStr">
        <is>
          <t>Beldar</t>
        </is>
      </c>
      <c r="C801" s="13" t="inlineStr">
        <is>
          <t>day</t>
        </is>
      </c>
      <c r="D801" s="15" t="n">
        <v>1.5</v>
      </c>
      <c r="E801" s="16" t="n">
        <v>558</v>
      </c>
      <c r="F801" s="16">
        <f>D801*E801</f>
        <v/>
      </c>
    </row>
    <row r="802">
      <c r="A802" s="13" t="inlineStr">
        <is>
          <t>9999</t>
        </is>
      </c>
      <c r="B802" s="14" t="inlineStr">
        <is>
          <t>Sundries and binding wire</t>
        </is>
      </c>
      <c r="C802" s="13" t="inlineStr">
        <is>
          <t>L.S.</t>
        </is>
      </c>
      <c r="D802" s="15" t="n">
        <v>13.52</v>
      </c>
      <c r="E802" s="16" t="n">
        <v>2</v>
      </c>
      <c r="F802" s="16">
        <f>D802*E802</f>
        <v/>
      </c>
    </row>
    <row r="803">
      <c r="A803" s="17" t="inlineStr">
        <is>
          <t>Resource Total (Material + Labour + Machinery, as printed)</t>
        </is>
      </c>
      <c r="B803" s="18" t="n"/>
      <c r="C803" s="18" t="n"/>
      <c r="D803" s="18" t="n"/>
      <c r="E803" s="18" t="n"/>
      <c r="F803" s="19">
        <f>SUM(F797:F802)</f>
        <v/>
      </c>
    </row>
    <row r="804">
      <c r="A804" s="20" t="inlineStr">
        <is>
          <t>SAY (Rs.) — final DAR rate</t>
        </is>
      </c>
      <c r="B804" s="21" t="n"/>
      <c r="C804" s="21" t="n"/>
      <c r="D804" s="21" t="n"/>
      <c r="E804" s="21" t="n"/>
      <c r="F804" s="22" t="n">
        <v>92.15000000000001</v>
      </c>
    </row>
    <row r="806" ht="18" customHeight="1">
      <c r="A806" s="9" t="inlineStr">
        <is>
          <t>5.22A.6</t>
        </is>
      </c>
      <c r="B806" s="10" t="inlineStr">
        <is>
          <t>Thermo-Mechanically Treated bars of grade Fe-500D or more.</t>
        </is>
      </c>
      <c r="C806" s="11" t="n"/>
      <c r="D806" s="11" t="n"/>
      <c r="E806" s="11" t="n"/>
      <c r="F806" s="11" t="n"/>
    </row>
    <row r="807">
      <c r="A807" s="12" t="inlineStr">
        <is>
          <t>Rate basis: per quintal  (source: cost for 1 quintal)</t>
        </is>
      </c>
    </row>
    <row r="808">
      <c r="A808" s="5" t="inlineStr">
        <is>
          <t>Code</t>
        </is>
      </c>
      <c r="B808" s="5" t="inlineStr">
        <is>
          <t>Description</t>
        </is>
      </c>
      <c r="C808" s="5" t="inlineStr">
        <is>
          <t>Unit</t>
        </is>
      </c>
      <c r="D808" s="5" t="inlineStr">
        <is>
          <t>Quantity</t>
        </is>
      </c>
      <c r="E808" s="5" t="inlineStr">
        <is>
          <t>Rate (Rs.)</t>
        </is>
      </c>
      <c r="F808" s="5" t="inlineStr">
        <is>
          <t>Amount (Rs.)</t>
        </is>
      </c>
    </row>
    <row r="809">
      <c r="A809" s="13" t="inlineStr">
        <is>
          <t>1005</t>
        </is>
      </c>
      <c r="B809" s="14" t="inlineStr">
        <is>
          <t>Twisted steel / deformed bars</t>
        </is>
      </c>
      <c r="C809" s="13" t="inlineStr">
        <is>
          <t>quintal</t>
        </is>
      </c>
      <c r="D809" s="15" t="n">
        <v>1.05</v>
      </c>
      <c r="E809" s="16" t="n">
        <v>4600</v>
      </c>
      <c r="F809" s="16">
        <f>D809*E809</f>
        <v/>
      </c>
    </row>
    <row r="810">
      <c r="A810" s="13" t="inlineStr">
        <is>
          <t>2205</t>
        </is>
      </c>
      <c r="B810" s="14" t="inlineStr">
        <is>
          <t>Carriage of Steel</t>
        </is>
      </c>
      <c r="C810" s="13" t="inlineStr">
        <is>
          <t>tonne</t>
        </is>
      </c>
      <c r="D810" s="15" t="n">
        <v>0.105</v>
      </c>
      <c r="E810" s="16" t="n">
        <v>92.23999999999999</v>
      </c>
      <c r="F810" s="16">
        <f>D810*E810</f>
        <v/>
      </c>
    </row>
    <row r="811">
      <c r="A811" s="13" t="inlineStr">
        <is>
          <t>9999</t>
        </is>
      </c>
      <c r="B811" s="14" t="inlineStr">
        <is>
          <t>Cover block</t>
        </is>
      </c>
      <c r="C811" s="13" t="inlineStr">
        <is>
          <t>L.S.</t>
        </is>
      </c>
      <c r="D811" s="15" t="n">
        <v>26</v>
      </c>
      <c r="E811" s="16" t="n">
        <v>2</v>
      </c>
      <c r="F811" s="16">
        <f>D811*E811</f>
        <v/>
      </c>
    </row>
    <row r="812">
      <c r="A812" s="13" t="inlineStr">
        <is>
          <t>0102</t>
        </is>
      </c>
      <c r="B812" s="14" t="inlineStr">
        <is>
          <t>Blacksmith 1st class</t>
        </is>
      </c>
      <c r="C812" s="13" t="inlineStr">
        <is>
          <t>day</t>
        </is>
      </c>
      <c r="D812" s="15" t="n">
        <v>1</v>
      </c>
      <c r="E812" s="16" t="n">
        <v>738</v>
      </c>
      <c r="F812" s="16">
        <f>D812*E812</f>
        <v/>
      </c>
    </row>
    <row r="813">
      <c r="A813" s="13" t="inlineStr">
        <is>
          <t>0114</t>
        </is>
      </c>
      <c r="B813" s="14" t="inlineStr">
        <is>
          <t>Beldar</t>
        </is>
      </c>
      <c r="C813" s="13" t="inlineStr">
        <is>
          <t>day</t>
        </is>
      </c>
      <c r="D813" s="15" t="n">
        <v>1</v>
      </c>
      <c r="E813" s="16" t="n">
        <v>558</v>
      </c>
      <c r="F813" s="16">
        <f>D813*E813</f>
        <v/>
      </c>
    </row>
    <row r="814">
      <c r="A814" s="13" t="inlineStr">
        <is>
          <t>9999</t>
        </is>
      </c>
      <c r="B814" s="14" t="inlineStr">
        <is>
          <t>Sundries and binding wire</t>
        </is>
      </c>
      <c r="C814" s="13" t="inlineStr">
        <is>
          <t>L.S.</t>
        </is>
      </c>
      <c r="D814" s="15" t="n">
        <v>26.91</v>
      </c>
      <c r="E814" s="16" t="n">
        <v>2</v>
      </c>
      <c r="F814" s="16">
        <f>D814*E814</f>
        <v/>
      </c>
    </row>
    <row r="815">
      <c r="A815" s="17" t="inlineStr">
        <is>
          <t>Resource Total (Material + Labour + Machinery, as printed)</t>
        </is>
      </c>
      <c r="B815" s="18" t="n"/>
      <c r="C815" s="18" t="n"/>
      <c r="D815" s="18" t="n"/>
      <c r="E815" s="18" t="n"/>
      <c r="F815" s="19">
        <f>SUM(F809:F814)</f>
        <v/>
      </c>
    </row>
    <row r="816">
      <c r="A816" s="20" t="inlineStr">
        <is>
          <t>SAY (Rs.) — final DAR rate</t>
        </is>
      </c>
      <c r="B816" s="21" t="n"/>
      <c r="C816" s="21" t="n"/>
      <c r="D816" s="21" t="n"/>
      <c r="E816" s="21" t="n"/>
      <c r="F816" s="22" t="n">
        <v>83.5</v>
      </c>
    </row>
    <row r="818" ht="18" customHeight="1">
      <c r="A818" s="9" t="inlineStr">
        <is>
          <t>5.22B.1</t>
        </is>
      </c>
      <c r="B818" s="10" t="inlineStr">
        <is>
          <t>Thermo-Mechanically Treated bars of grade Fe-500D or more.</t>
        </is>
      </c>
      <c r="C818" s="11" t="n"/>
      <c r="D818" s="11" t="n"/>
      <c r="E818" s="11" t="n"/>
      <c r="F818" s="11" t="n"/>
    </row>
    <row r="819">
      <c r="A819" s="12" t="inlineStr">
        <is>
          <t>Rate basis: per quintal  (source: cost for 1 quintal)</t>
        </is>
      </c>
    </row>
    <row r="820">
      <c r="A820" s="5" t="inlineStr">
        <is>
          <t>Code</t>
        </is>
      </c>
      <c r="B820" s="5" t="inlineStr">
        <is>
          <t>Description</t>
        </is>
      </c>
      <c r="C820" s="5" t="inlineStr">
        <is>
          <t>Unit</t>
        </is>
      </c>
      <c r="D820" s="5" t="inlineStr">
        <is>
          <t>Quantity</t>
        </is>
      </c>
      <c r="E820" s="5" t="inlineStr">
        <is>
          <t>Rate (Rs.)</t>
        </is>
      </c>
      <c r="F820" s="5" t="inlineStr">
        <is>
          <t>Amount (Rs.)</t>
        </is>
      </c>
    </row>
    <row r="821">
      <c r="A821" s="13" t="inlineStr">
        <is>
          <t>1005</t>
        </is>
      </c>
      <c r="B821" s="14" t="inlineStr">
        <is>
          <t>Twisted steel / deformed bars</t>
        </is>
      </c>
      <c r="C821" s="13" t="inlineStr">
        <is>
          <t>quintal</t>
        </is>
      </c>
      <c r="D821" s="15" t="n">
        <v>1</v>
      </c>
      <c r="E821" s="16" t="n">
        <v>4600</v>
      </c>
      <c r="F821" s="16">
        <f>D821*E821</f>
        <v/>
      </c>
    </row>
    <row r="822">
      <c r="A822" s="13" t="inlineStr">
        <is>
          <t>2205</t>
        </is>
      </c>
      <c r="B822" s="14" t="inlineStr">
        <is>
          <t>Carriage of steel 1.0/10 = 0.1t</t>
        </is>
      </c>
      <c r="C822" s="13" t="inlineStr">
        <is>
          <t>tonne</t>
        </is>
      </c>
      <c r="D822" s="15" t="n">
        <v>0.1</v>
      </c>
      <c r="E822" s="16" t="n">
        <v>92.23999999999999</v>
      </c>
      <c r="F822" s="16">
        <f>D822*E822</f>
        <v/>
      </c>
    </row>
    <row r="823">
      <c r="A823" s="13" t="inlineStr">
        <is>
          <t>9999</t>
        </is>
      </c>
      <c r="B823" s="14" t="inlineStr">
        <is>
          <t>Cover block</t>
        </is>
      </c>
      <c r="C823" s="13" t="inlineStr">
        <is>
          <t>L.S.</t>
        </is>
      </c>
      <c r="D823" s="15" t="n">
        <v>26</v>
      </c>
      <c r="E823" s="16" t="n">
        <v>2</v>
      </c>
      <c r="F823" s="16">
        <f>D823*E823</f>
        <v/>
      </c>
    </row>
    <row r="824">
      <c r="A824" s="13" t="inlineStr">
        <is>
          <t>9999</t>
        </is>
      </c>
      <c r="B824" s="14" t="inlineStr">
        <is>
          <t>For cut and bend</t>
        </is>
      </c>
      <c r="C824" s="13" t="inlineStr">
        <is>
          <t>L.S.</t>
        </is>
      </c>
      <c r="D824" s="15" t="n">
        <v>156</v>
      </c>
      <c r="E824" s="16" t="n">
        <v>2</v>
      </c>
      <c r="F824" s="16">
        <f>D824*E824</f>
        <v/>
      </c>
    </row>
    <row r="825">
      <c r="A825" s="13" t="inlineStr">
        <is>
          <t>0102</t>
        </is>
      </c>
      <c r="B825" s="14" t="inlineStr">
        <is>
          <t>Blacksmith 1st class</t>
        </is>
      </c>
      <c r="C825" s="13" t="inlineStr">
        <is>
          <t>day</t>
        </is>
      </c>
      <c r="D825" s="15" t="n">
        <v>0.6</v>
      </c>
      <c r="E825" s="16" t="n">
        <v>738</v>
      </c>
      <c r="F825" s="16">
        <f>D825*E825</f>
        <v/>
      </c>
    </row>
    <row r="826">
      <c r="A826" s="13" t="inlineStr">
        <is>
          <t>0114</t>
        </is>
      </c>
      <c r="B826" s="14" t="inlineStr">
        <is>
          <t>Beldar</t>
        </is>
      </c>
      <c r="C826" s="13" t="inlineStr">
        <is>
          <t>day</t>
        </is>
      </c>
      <c r="D826" s="15" t="n">
        <v>0.6</v>
      </c>
      <c r="E826" s="16" t="n">
        <v>558</v>
      </c>
      <c r="F826" s="16">
        <f>D826*E826</f>
        <v/>
      </c>
    </row>
    <row r="827">
      <c r="A827" s="13" t="inlineStr">
        <is>
          <t>9999</t>
        </is>
      </c>
      <c r="B827" s="14" t="inlineStr">
        <is>
          <t>Sundries and binding wire</t>
        </is>
      </c>
      <c r="C827" s="13" t="inlineStr">
        <is>
          <t>L.S.</t>
        </is>
      </c>
      <c r="D827" s="15" t="n">
        <v>26.91</v>
      </c>
      <c r="E827" s="16" t="n">
        <v>2</v>
      </c>
      <c r="F827" s="16">
        <f>D827*E827</f>
        <v/>
      </c>
    </row>
    <row r="828">
      <c r="A828" s="17" t="inlineStr">
        <is>
          <t>Resource Total (Material + Labour + Machinery, as printed)</t>
        </is>
      </c>
      <c r="B828" s="18" t="n"/>
      <c r="C828" s="18" t="n"/>
      <c r="D828" s="18" t="n"/>
      <c r="E828" s="18" t="n"/>
      <c r="F828" s="19">
        <f>SUM(F821:F827)</f>
        <v/>
      </c>
    </row>
    <row r="829">
      <c r="A829" s="20" t="inlineStr">
        <is>
          <t>SAY (Rs.) — final DAR rate</t>
        </is>
      </c>
      <c r="B829" s="21" t="n"/>
      <c r="C829" s="21" t="n"/>
      <c r="D829" s="21" t="n"/>
      <c r="E829" s="21" t="n"/>
      <c r="F829" s="22" t="n">
        <v>77.65000000000001</v>
      </c>
    </row>
    <row r="831" ht="18" customHeight="1">
      <c r="A831" s="9" t="inlineStr">
        <is>
          <t>5.22C.1</t>
        </is>
      </c>
      <c r="B831" s="10" t="inlineStr">
        <is>
          <t>Thermo-Mechanically Treated bars of grade Fe-500D or more.</t>
        </is>
      </c>
      <c r="C831" s="11" t="n"/>
      <c r="D831" s="11" t="n"/>
      <c r="E831" s="11" t="n"/>
      <c r="F831" s="11" t="n"/>
    </row>
    <row r="832">
      <c r="A832" s="12" t="inlineStr">
        <is>
          <t>Rate basis: per quintal  (source: cost for 1 quintal)</t>
        </is>
      </c>
    </row>
    <row r="833">
      <c r="A833" s="5" t="inlineStr">
        <is>
          <t>Code</t>
        </is>
      </c>
      <c r="B833" s="5" t="inlineStr">
        <is>
          <t>Description</t>
        </is>
      </c>
      <c r="C833" s="5" t="inlineStr">
        <is>
          <t>Unit</t>
        </is>
      </c>
      <c r="D833" s="5" t="inlineStr">
        <is>
          <t>Quantity</t>
        </is>
      </c>
      <c r="E833" s="5" t="inlineStr">
        <is>
          <t>Rate (Rs.)</t>
        </is>
      </c>
      <c r="F833" s="5" t="inlineStr">
        <is>
          <t>Amount (Rs.)</t>
        </is>
      </c>
    </row>
    <row r="834">
      <c r="A834" s="13" t="inlineStr">
        <is>
          <t>1005</t>
        </is>
      </c>
      <c r="B834" s="14" t="inlineStr">
        <is>
          <t>Twisted steel / deformed bars</t>
        </is>
      </c>
      <c r="C834" s="13" t="inlineStr">
        <is>
          <t>quintal</t>
        </is>
      </c>
      <c r="D834" s="15" t="n">
        <v>1</v>
      </c>
      <c r="E834" s="16" t="n">
        <v>4600</v>
      </c>
      <c r="F834" s="16">
        <f>D834*E834</f>
        <v/>
      </c>
    </row>
    <row r="835">
      <c r="A835" s="13" t="inlineStr">
        <is>
          <t>2205</t>
        </is>
      </c>
      <c r="B835" s="14" t="inlineStr">
        <is>
          <t>Carriage of steel 1.0/10 = 0.1t</t>
        </is>
      </c>
      <c r="C835" s="13" t="inlineStr">
        <is>
          <t>tonne</t>
        </is>
      </c>
      <c r="D835" s="15" t="n">
        <v>0.1</v>
      </c>
      <c r="E835" s="16" t="n">
        <v>92.23999999999999</v>
      </c>
      <c r="F835" s="16">
        <f>D835*E835</f>
        <v/>
      </c>
    </row>
    <row r="836">
      <c r="A836" s="13" t="inlineStr">
        <is>
          <t>9999</t>
        </is>
      </c>
      <c r="B836" s="14" t="inlineStr">
        <is>
          <t>Cover block</t>
        </is>
      </c>
      <c r="C836" s="13" t="inlineStr">
        <is>
          <t>L.S.</t>
        </is>
      </c>
      <c r="D836" s="15" t="n">
        <v>26</v>
      </c>
      <c r="E836" s="16" t="n">
        <v>2</v>
      </c>
      <c r="F836" s="16">
        <f>D836*E836</f>
        <v/>
      </c>
    </row>
    <row r="837">
      <c r="A837" s="13" t="inlineStr">
        <is>
          <t>9999</t>
        </is>
      </c>
      <c r="B837" s="14" t="inlineStr">
        <is>
          <t>For cut and bend</t>
        </is>
      </c>
      <c r="C837" s="13" t="inlineStr">
        <is>
          <t>L.S.</t>
        </is>
      </c>
      <c r="D837" s="15" t="n">
        <v>156</v>
      </c>
      <c r="E837" s="16" t="n">
        <v>2</v>
      </c>
      <c r="F837" s="16">
        <f>D837*E837</f>
        <v/>
      </c>
    </row>
    <row r="838">
      <c r="A838" s="13" t="inlineStr">
        <is>
          <t>0102</t>
        </is>
      </c>
      <c r="B838" s="14" t="inlineStr">
        <is>
          <t>Blacksmith 1st class</t>
        </is>
      </c>
      <c r="C838" s="13" t="inlineStr">
        <is>
          <t>day</t>
        </is>
      </c>
      <c r="D838" s="15" t="n">
        <v>0.6</v>
      </c>
      <c r="E838" s="16" t="n">
        <v>738</v>
      </c>
      <c r="F838" s="16">
        <f>D838*E838</f>
        <v/>
      </c>
    </row>
    <row r="839">
      <c r="A839" s="13" t="inlineStr">
        <is>
          <t>0114</t>
        </is>
      </c>
      <c r="B839" s="14" t="inlineStr">
        <is>
          <t>Beldar</t>
        </is>
      </c>
      <c r="C839" s="13" t="inlineStr">
        <is>
          <t>day</t>
        </is>
      </c>
      <c r="D839" s="15" t="n">
        <v>0.6</v>
      </c>
      <c r="E839" s="16" t="n">
        <v>558</v>
      </c>
      <c r="F839" s="16">
        <f>D839*E839</f>
        <v/>
      </c>
    </row>
    <row r="840">
      <c r="A840" s="13" t="inlineStr">
        <is>
          <t>9999</t>
        </is>
      </c>
      <c r="B840" s="14" t="inlineStr">
        <is>
          <t>Sundries and binding wire</t>
        </is>
      </c>
      <c r="C840" s="13" t="inlineStr">
        <is>
          <t>L.S.</t>
        </is>
      </c>
      <c r="D840" s="15" t="n">
        <v>26.91</v>
      </c>
      <c r="E840" s="16" t="n">
        <v>2</v>
      </c>
      <c r="F840" s="16">
        <f>D840*E840</f>
        <v/>
      </c>
    </row>
    <row r="841">
      <c r="A841" s="17" t="inlineStr">
        <is>
          <t>Resource Total (Material + Labour + Machinery, as printed)</t>
        </is>
      </c>
      <c r="B841" s="18" t="n"/>
      <c r="C841" s="18" t="n"/>
      <c r="D841" s="18" t="n"/>
      <c r="E841" s="18" t="n"/>
      <c r="F841" s="19">
        <f>SUM(F834:F840)</f>
        <v/>
      </c>
    </row>
    <row r="842">
      <c r="A842" s="20" t="inlineStr">
        <is>
          <t>SAY (Rs.) — final DAR rate</t>
        </is>
      </c>
      <c r="B842" s="21" t="n"/>
      <c r="C842" s="21" t="n"/>
      <c r="D842" s="21" t="n"/>
      <c r="E842" s="21" t="n"/>
      <c r="F842" s="22" t="n">
        <v>77.65000000000001</v>
      </c>
    </row>
    <row r="844" ht="28" customHeight="1">
      <c r="A844" s="9" t="inlineStr">
        <is>
          <t>5.23</t>
        </is>
      </c>
      <c r="B844" s="10" t="inlineStr">
        <is>
          <t>Smooth finishing of the exposed surface of R.C.C. work with 6 mm thick cement mortar 1:3 (1 Cement : 3 fine sand).</t>
        </is>
      </c>
      <c r="C844" s="11" t="n"/>
      <c r="D844" s="11" t="n"/>
      <c r="E844" s="11" t="n"/>
      <c r="F844" s="11" t="n"/>
    </row>
    <row r="845">
      <c r="A845" s="12" t="inlineStr">
        <is>
          <t>Rate basis: per sqm  (source: cost for 10 sqm)</t>
        </is>
      </c>
    </row>
    <row r="846">
      <c r="A846" s="5" t="inlineStr">
        <is>
          <t>Code</t>
        </is>
      </c>
      <c r="B846" s="5" t="inlineStr">
        <is>
          <t>Description</t>
        </is>
      </c>
      <c r="C846" s="5" t="inlineStr">
        <is>
          <t>Unit</t>
        </is>
      </c>
      <c r="D846" s="5" t="inlineStr">
        <is>
          <t>Quantity</t>
        </is>
      </c>
      <c r="E846" s="5" t="inlineStr">
        <is>
          <t>Rate (Rs.)</t>
        </is>
      </c>
      <c r="F846" s="5" t="inlineStr">
        <is>
          <t>Amount (Rs.)</t>
        </is>
      </c>
    </row>
    <row r="847">
      <c r="A847" s="13" t="inlineStr">
        <is>
          <t>3.3</t>
        </is>
      </c>
      <c r="B847" s="14" t="inlineStr">
        <is>
          <t>Rate as per SH: 3.3</t>
        </is>
      </c>
      <c r="C847" s="13" t="inlineStr">
        <is>
          <t>cum</t>
        </is>
      </c>
      <c r="D847" s="15" t="n">
        <v>0.07199999999999999</v>
      </c>
      <c r="E847" s="16" t="n">
        <v>4183.05</v>
      </c>
      <c r="F847" s="16">
        <f>D847*E847</f>
        <v/>
      </c>
    </row>
    <row r="848">
      <c r="A848" s="13" t="inlineStr">
        <is>
          <t>0155</t>
        </is>
      </c>
      <c r="B848" s="14" t="inlineStr">
        <is>
          <t>Mason (average)</t>
        </is>
      </c>
      <c r="C848" s="13" t="inlineStr">
        <is>
          <t>day</t>
        </is>
      </c>
      <c r="D848" s="15" t="n">
        <v>0.51</v>
      </c>
      <c r="E848" s="16" t="n">
        <v>709</v>
      </c>
      <c r="F848" s="16">
        <f>D848*E848</f>
        <v/>
      </c>
    </row>
    <row r="849">
      <c r="A849" s="13" t="inlineStr">
        <is>
          <t>0115</t>
        </is>
      </c>
      <c r="B849" s="14" t="inlineStr">
        <is>
          <t>Coolie</t>
        </is>
      </c>
      <c r="C849" s="13" t="inlineStr">
        <is>
          <t>day</t>
        </is>
      </c>
      <c r="D849" s="15" t="n">
        <v>0.75</v>
      </c>
      <c r="E849" s="16" t="n">
        <v>558</v>
      </c>
      <c r="F849" s="16">
        <f>D849*E849</f>
        <v/>
      </c>
    </row>
    <row r="850">
      <c r="A850" s="13" t="inlineStr">
        <is>
          <t>0101</t>
        </is>
      </c>
      <c r="B850" s="14" t="inlineStr">
        <is>
          <t>Bhisti</t>
        </is>
      </c>
      <c r="C850" s="13" t="inlineStr">
        <is>
          <t>day</t>
        </is>
      </c>
      <c r="D850" s="15" t="n">
        <v>0.92</v>
      </c>
      <c r="E850" s="16" t="n">
        <v>617</v>
      </c>
      <c r="F850" s="16">
        <f>D850*E850</f>
        <v/>
      </c>
    </row>
    <row r="851">
      <c r="A851" s="13" t="inlineStr">
        <is>
          <t>9999</t>
        </is>
      </c>
      <c r="B851" s="14" t="inlineStr">
        <is>
          <t>Extra for removing burrs, cleaning with wire brushes pock marking with pointed tool etc. complete</t>
        </is>
      </c>
      <c r="C851" s="13" t="inlineStr">
        <is>
          <t>L.S.</t>
        </is>
      </c>
      <c r="D851" s="15" t="n">
        <v>13.39</v>
      </c>
      <c r="E851" s="16" t="n">
        <v>2</v>
      </c>
      <c r="F851" s="16">
        <f>D851*E851</f>
        <v/>
      </c>
    </row>
    <row r="852">
      <c r="A852" s="13" t="inlineStr">
        <is>
          <t>9999</t>
        </is>
      </c>
      <c r="B852" s="14" t="inlineStr">
        <is>
          <t>Scaffolding and Sundries</t>
        </is>
      </c>
      <c r="C852" s="13" t="inlineStr">
        <is>
          <t>L.S.</t>
        </is>
      </c>
      <c r="D852" s="15" t="n">
        <v>11.7</v>
      </c>
      <c r="E852" s="16" t="n">
        <v>2</v>
      </c>
      <c r="F852" s="16">
        <f>D852*E852</f>
        <v/>
      </c>
    </row>
    <row r="853">
      <c r="A853" s="17" t="inlineStr">
        <is>
          <t>Resource Total (Material + Labour + Machinery, as printed)</t>
        </is>
      </c>
      <c r="B853" s="18" t="n"/>
      <c r="C853" s="18" t="n"/>
      <c r="D853" s="18" t="n"/>
      <c r="E853" s="18" t="n"/>
      <c r="F853" s="19">
        <f>SUM(F847:F852)</f>
        <v/>
      </c>
    </row>
    <row r="854">
      <c r="A854" s="20" t="inlineStr">
        <is>
          <t>SAY (Rs.) — final DAR rate</t>
        </is>
      </c>
      <c r="B854" s="21" t="n"/>
      <c r="C854" s="21" t="n"/>
      <c r="D854" s="21" t="n"/>
      <c r="E854" s="21" t="n"/>
      <c r="F854" s="22" t="n">
        <v>227.35</v>
      </c>
    </row>
    <row r="856" ht="28" customHeight="1">
      <c r="A856" s="9" t="inlineStr">
        <is>
          <t>5.24</t>
        </is>
      </c>
      <c r="B856" s="10" t="inlineStr">
        <is>
          <t>Extra for rendering smooth the top of suspended floors, landings and staircases (treads and risers) with cement mortar 1:2 (1 cement : 2 coa</t>
        </is>
      </c>
      <c r="C856" s="11" t="n"/>
      <c r="D856" s="11" t="n"/>
      <c r="E856" s="11" t="n"/>
      <c r="F856" s="11" t="n"/>
    </row>
    <row r="857">
      <c r="A857" s="12" t="inlineStr">
        <is>
          <t>Rate basis: per sqm  (source: cost for 10 sqm)</t>
        </is>
      </c>
    </row>
    <row r="858">
      <c r="A858" s="5" t="inlineStr">
        <is>
          <t>Code</t>
        </is>
      </c>
      <c r="B858" s="5" t="inlineStr">
        <is>
          <t>Description</t>
        </is>
      </c>
      <c r="C858" s="5" t="inlineStr">
        <is>
          <t>Unit</t>
        </is>
      </c>
      <c r="D858" s="5" t="inlineStr">
        <is>
          <t>Quantity</t>
        </is>
      </c>
      <c r="E858" s="5" t="inlineStr">
        <is>
          <t>Rate (Rs.)</t>
        </is>
      </c>
      <c r="F858" s="5" t="inlineStr">
        <is>
          <t>Amount (Rs.)</t>
        </is>
      </c>
    </row>
    <row r="859">
      <c r="A859" s="13" t="inlineStr">
        <is>
          <t>3.7</t>
        </is>
      </c>
      <c r="B859" s="14" t="inlineStr">
        <is>
          <t>Rate as per SH: 3.7</t>
        </is>
      </c>
      <c r="C859" s="13" t="inlineStr">
        <is>
          <t>cum</t>
        </is>
      </c>
      <c r="D859" s="15" t="n">
        <v>0.03</v>
      </c>
      <c r="E859" s="16" t="n">
        <v>5345.55</v>
      </c>
      <c r="F859" s="16">
        <f>D859*E859</f>
        <v/>
      </c>
    </row>
    <row r="860">
      <c r="A860" s="13" t="inlineStr">
        <is>
          <t>0367</t>
        </is>
      </c>
      <c r="B860" s="14" t="inlineStr">
        <is>
          <t>Portland Cement</t>
        </is>
      </c>
      <c r="C860" s="13" t="inlineStr">
        <is>
          <t>tonne</t>
        </is>
      </c>
      <c r="D860" s="15" t="n">
        <v>0.0213</v>
      </c>
      <c r="E860" s="16" t="n">
        <v>4940</v>
      </c>
      <c r="F860" s="16">
        <f>D860*E860</f>
        <v/>
      </c>
    </row>
    <row r="861">
      <c r="A861" s="13" t="inlineStr">
        <is>
          <t>2209</t>
        </is>
      </c>
      <c r="B861" s="14" t="inlineStr">
        <is>
          <t>Carriage of Cement</t>
        </is>
      </c>
      <c r="C861" s="13" t="inlineStr">
        <is>
          <t>tonne</t>
        </is>
      </c>
      <c r="D861" s="15" t="n">
        <v>0.0213</v>
      </c>
      <c r="E861" s="16" t="n">
        <v>92.23999999999999</v>
      </c>
      <c r="F861" s="16">
        <f>D861*E861</f>
        <v/>
      </c>
    </row>
    <row r="862">
      <c r="A862" s="13" t="inlineStr">
        <is>
          <t>0123</t>
        </is>
      </c>
      <c r="B862" s="14" t="inlineStr">
        <is>
          <t>Mason (brick layer) 1st class</t>
        </is>
      </c>
      <c r="C862" s="13" t="inlineStr">
        <is>
          <t>day</t>
        </is>
      </c>
      <c r="D862" s="15" t="n">
        <v>0.2</v>
      </c>
      <c r="E862" s="16" t="n">
        <v>738</v>
      </c>
      <c r="F862" s="16">
        <f>D862*E862</f>
        <v/>
      </c>
    </row>
    <row r="863">
      <c r="A863" s="13" t="inlineStr">
        <is>
          <t>0124</t>
        </is>
      </c>
      <c r="B863" s="14" t="inlineStr">
        <is>
          <t>Mason (brick layer) 2nd class</t>
        </is>
      </c>
      <c r="C863" s="13" t="inlineStr">
        <is>
          <t>day</t>
        </is>
      </c>
      <c r="D863" s="15" t="n">
        <v>0.2</v>
      </c>
      <c r="E863" s="16" t="n">
        <v>679</v>
      </c>
      <c r="F863" s="16">
        <f>D863*E863</f>
        <v/>
      </c>
    </row>
    <row r="864">
      <c r="A864" s="13" t="inlineStr">
        <is>
          <t>0114</t>
        </is>
      </c>
      <c r="B864" s="14" t="inlineStr">
        <is>
          <t>Beldar</t>
        </is>
      </c>
      <c r="C864" s="13" t="inlineStr">
        <is>
          <t>day</t>
        </is>
      </c>
      <c r="D864" s="15" t="n">
        <v>0.25</v>
      </c>
      <c r="E864" s="16" t="n">
        <v>558</v>
      </c>
      <c r="F864" s="16">
        <f>D864*E864</f>
        <v/>
      </c>
    </row>
    <row r="865">
      <c r="A865" s="13" t="inlineStr">
        <is>
          <t>9999</t>
        </is>
      </c>
      <c r="B865" s="14" t="inlineStr">
        <is>
          <t>Spreading earth on floor (7.5mm thick)</t>
        </is>
      </c>
      <c r="C865" s="13" t="inlineStr">
        <is>
          <t>L.S.</t>
        </is>
      </c>
      <c r="D865" s="15" t="n">
        <v>35.49</v>
      </c>
      <c r="E865" s="16" t="n">
        <v>2</v>
      </c>
      <c r="F865" s="16">
        <f>D865*E865</f>
        <v/>
      </c>
    </row>
    <row r="866">
      <c r="A866" s="13" t="inlineStr">
        <is>
          <t>0983</t>
        </is>
      </c>
      <c r="B866" s="14" t="inlineStr">
        <is>
          <t>Fine sand (zone IV)</t>
        </is>
      </c>
      <c r="C866" s="13" t="inlineStr">
        <is>
          <t>cum</t>
        </is>
      </c>
      <c r="D866" s="15" t="n">
        <v>0.15</v>
      </c>
      <c r="E866" s="16" t="n">
        <v>900</v>
      </c>
      <c r="F866" s="16">
        <f>D866*E866</f>
        <v/>
      </c>
    </row>
    <row r="867">
      <c r="A867" s="13" t="inlineStr">
        <is>
          <t>2261</t>
        </is>
      </c>
      <c r="B867" s="14" t="inlineStr">
        <is>
          <t>Carriage of Fine sand (1 part badarpur sand : 2 parts jamuna sand)</t>
        </is>
      </c>
      <c r="C867" s="13" t="inlineStr">
        <is>
          <t>cum</t>
        </is>
      </c>
      <c r="D867" s="15" t="n">
        <v>0.15</v>
      </c>
      <c r="E867" s="16" t="n">
        <v>103.77</v>
      </c>
      <c r="F867" s="16">
        <f>D867*E867</f>
        <v/>
      </c>
    </row>
    <row r="868">
      <c r="A868" s="13" t="inlineStr">
        <is>
          <t>9999</t>
        </is>
      </c>
      <c r="B868" s="14" t="inlineStr">
        <is>
          <t>Disposal of earth spread over floor protectIron</t>
        </is>
      </c>
      <c r="C868" s="13" t="inlineStr">
        <is>
          <t>L.S.</t>
        </is>
      </c>
      <c r="D868" s="15" t="n">
        <v>5.33</v>
      </c>
      <c r="E868" s="16" t="n">
        <v>2</v>
      </c>
      <c r="F868" s="16">
        <f>D868*E868</f>
        <v/>
      </c>
    </row>
    <row r="869">
      <c r="A869" s="13" t="inlineStr">
        <is>
          <t>9999</t>
        </is>
      </c>
      <c r="B869" s="14" t="inlineStr">
        <is>
          <t>Sundries</t>
        </is>
      </c>
      <c r="C869" s="13" t="inlineStr">
        <is>
          <t>L.S.</t>
        </is>
      </c>
      <c r="D869" s="15" t="n">
        <v>6.24</v>
      </c>
      <c r="E869" s="16" t="n">
        <v>2</v>
      </c>
      <c r="F869" s="16">
        <f>D869*E869</f>
        <v/>
      </c>
    </row>
    <row r="870">
      <c r="A870" s="17" t="inlineStr">
        <is>
          <t>Resource Total (Material + Labour + Machinery, as printed)</t>
        </is>
      </c>
      <c r="B870" s="18" t="n"/>
      <c r="C870" s="18" t="n"/>
      <c r="D870" s="18" t="n"/>
      <c r="E870" s="18" t="n"/>
      <c r="F870" s="19">
        <f>SUM(F859:F869)</f>
        <v/>
      </c>
    </row>
    <row r="871">
      <c r="A871" s="20" t="inlineStr">
        <is>
          <t>SAY (Rs.) — final DAR rate</t>
        </is>
      </c>
      <c r="B871" s="21" t="n"/>
      <c r="C871" s="21" t="n"/>
      <c r="D871" s="21" t="n"/>
      <c r="E871" s="21" t="n"/>
      <c r="F871" s="22" t="n">
        <v>125.1</v>
      </c>
    </row>
    <row r="873" ht="18" customHeight="1">
      <c r="A873" s="9" t="inlineStr">
        <is>
          <t>5.25</t>
        </is>
      </c>
      <c r="B873" s="10" t="inlineStr">
        <is>
          <t>Providing and fixing in position copper plate as per design for expansion joints.</t>
        </is>
      </c>
      <c r="C873" s="11" t="n"/>
      <c r="D873" s="11" t="n"/>
      <c r="E873" s="11" t="n"/>
      <c r="F873" s="11" t="n"/>
    </row>
    <row r="874">
      <c r="A874" s="12" t="inlineStr">
        <is>
          <t>Rate basis: per kg  (source: cost for 10.56 kg)</t>
        </is>
      </c>
    </row>
    <row r="875">
      <c r="A875" s="5" t="inlineStr">
        <is>
          <t>Code</t>
        </is>
      </c>
      <c r="B875" s="5" t="inlineStr">
        <is>
          <t>Description</t>
        </is>
      </c>
      <c r="C875" s="5" t="inlineStr">
        <is>
          <t>Unit</t>
        </is>
      </c>
      <c r="D875" s="5" t="inlineStr">
        <is>
          <t>Quantity</t>
        </is>
      </c>
      <c r="E875" s="5" t="inlineStr">
        <is>
          <t>Rate (Rs.)</t>
        </is>
      </c>
      <c r="F875" s="5" t="inlineStr">
        <is>
          <t>Amount (Rs.)</t>
        </is>
      </c>
    </row>
    <row r="876">
      <c r="A876" s="13" t="inlineStr">
        <is>
          <t>0967</t>
        </is>
      </c>
      <c r="B876" s="14" t="inlineStr">
        <is>
          <t>Copper plate</t>
        </is>
      </c>
      <c r="C876" s="13" t="inlineStr">
        <is>
          <t>kilogram</t>
        </is>
      </c>
      <c r="D876" s="15" t="n">
        <v>10.56</v>
      </c>
      <c r="E876" s="16" t="n">
        <v>527</v>
      </c>
      <c r="F876" s="16">
        <f>D876*E876</f>
        <v/>
      </c>
    </row>
    <row r="877">
      <c r="A877" s="13" t="inlineStr">
        <is>
          <t>0103</t>
        </is>
      </c>
      <c r="B877" s="14" t="inlineStr">
        <is>
          <t>Blacksmith 2nd class</t>
        </is>
      </c>
      <c r="C877" s="13" t="inlineStr">
        <is>
          <t>day</t>
        </is>
      </c>
      <c r="D877" s="15" t="n">
        <v>0.25</v>
      </c>
      <c r="E877" s="16" t="n">
        <v>679</v>
      </c>
      <c r="F877" s="16">
        <f>D877*E877</f>
        <v/>
      </c>
    </row>
    <row r="878">
      <c r="A878" s="13" t="inlineStr">
        <is>
          <t>9999</t>
        </is>
      </c>
      <c r="B878" s="14" t="inlineStr">
        <is>
          <t>Sundries</t>
        </is>
      </c>
      <c r="C878" s="13" t="inlineStr">
        <is>
          <t>L.S.</t>
        </is>
      </c>
      <c r="D878" s="15" t="n">
        <v>6.24</v>
      </c>
      <c r="E878" s="16" t="n">
        <v>2</v>
      </c>
      <c r="F878" s="16">
        <f>D878*E878</f>
        <v/>
      </c>
    </row>
    <row r="879">
      <c r="A879" s="17" t="inlineStr">
        <is>
          <t>Resource Total (Material + Labour + Machinery, as printed)</t>
        </is>
      </c>
      <c r="B879" s="18" t="n"/>
      <c r="C879" s="18" t="n"/>
      <c r="D879" s="18" t="n"/>
      <c r="E879" s="18" t="n"/>
      <c r="F879" s="19">
        <f>SUM(F876:F878)</f>
        <v/>
      </c>
    </row>
    <row r="880">
      <c r="A880" s="20" t="inlineStr">
        <is>
          <t>SAY (Rs.) — final DAR rate</t>
        </is>
      </c>
      <c r="B880" s="21" t="n"/>
      <c r="C880" s="21" t="n"/>
      <c r="D880" s="21" t="n"/>
      <c r="E880" s="21" t="n"/>
      <c r="F880" s="22" t="n">
        <v>728.2</v>
      </c>
    </row>
    <row r="882" ht="18" customHeight="1">
      <c r="A882" s="9" t="inlineStr">
        <is>
          <t>5.26</t>
        </is>
      </c>
      <c r="B882" s="10" t="inlineStr">
        <is>
          <t>Providing and filling in position, blown bitumen in expansion joints.</t>
        </is>
      </c>
      <c r="C882" s="11" t="n"/>
      <c r="D882" s="11" t="n"/>
      <c r="E882" s="11" t="n"/>
      <c r="F882" s="11" t="n"/>
    </row>
    <row r="883">
      <c r="A883" s="12" t="inlineStr">
        <is>
          <t>Rate basis: per cum  (source: cost for 1.125 cum)</t>
        </is>
      </c>
    </row>
    <row r="884">
      <c r="A884" s="5" t="inlineStr">
        <is>
          <t>Code</t>
        </is>
      </c>
      <c r="B884" s="5" t="inlineStr">
        <is>
          <t>Description</t>
        </is>
      </c>
      <c r="C884" s="5" t="inlineStr">
        <is>
          <t>Unit</t>
        </is>
      </c>
      <c r="D884" s="5" t="inlineStr">
        <is>
          <t>Quantity</t>
        </is>
      </c>
      <c r="E884" s="5" t="inlineStr">
        <is>
          <t>Rate (Rs.)</t>
        </is>
      </c>
      <c r="F884" s="5" t="inlineStr">
        <is>
          <t>Amount (Rs.)</t>
        </is>
      </c>
    </row>
    <row r="885">
      <c r="A885" s="13" t="inlineStr">
        <is>
          <t>0313</t>
        </is>
      </c>
      <c r="B885" s="14" t="inlineStr">
        <is>
          <t>Blown type petroleum bitumen of penetration 85/25 of approved quality</t>
        </is>
      </c>
      <c r="C885" s="13" t="inlineStr">
        <is>
          <t>tonne</t>
        </is>
      </c>
      <c r="D885" s="15" t="n">
        <v>1.24</v>
      </c>
      <c r="E885" s="16" t="n">
        <v>34000</v>
      </c>
      <c r="F885" s="16">
        <f>D885*E885</f>
        <v/>
      </c>
    </row>
    <row r="886">
      <c r="A886" s="13" t="inlineStr">
        <is>
          <t>2211</t>
        </is>
      </c>
      <c r="B886" s="14" t="inlineStr">
        <is>
          <t>Carriage of Tar/ bitumen</t>
        </is>
      </c>
      <c r="C886" s="13" t="inlineStr">
        <is>
          <t>tonne</t>
        </is>
      </c>
      <c r="D886" s="15" t="n">
        <v>1.24</v>
      </c>
      <c r="E886" s="16" t="n">
        <v>103.77</v>
      </c>
      <c r="F886" s="16">
        <f>D886*E886</f>
        <v/>
      </c>
    </row>
    <row r="887">
      <c r="A887" s="13" t="inlineStr">
        <is>
          <t>0370</t>
        </is>
      </c>
      <c r="B887" s="14" t="inlineStr">
        <is>
          <t>Coal (steam)</t>
        </is>
      </c>
      <c r="C887" s="13" t="inlineStr">
        <is>
          <t>quintal</t>
        </is>
      </c>
      <c r="D887" s="15" t="n">
        <v>2.48</v>
      </c>
      <c r="E887" s="16" t="n">
        <v>440</v>
      </c>
      <c r="F887" s="16">
        <f>D887*E887</f>
        <v/>
      </c>
    </row>
    <row r="888">
      <c r="A888" s="13" t="inlineStr">
        <is>
          <t>2200</t>
        </is>
      </c>
      <c r="B888" s="14" t="inlineStr">
        <is>
          <t>Carriage of steam coal</t>
        </is>
      </c>
      <c r="C888" s="13" t="inlineStr">
        <is>
          <t>tonne</t>
        </is>
      </c>
      <c r="D888" s="15" t="n">
        <v>0.248</v>
      </c>
      <c r="E888" s="16" t="n">
        <v>120</v>
      </c>
      <c r="F888" s="16">
        <f>D888*E888</f>
        <v/>
      </c>
    </row>
    <row r="889">
      <c r="A889" s="13" t="inlineStr">
        <is>
          <t>0123</t>
        </is>
      </c>
      <c r="B889" s="14" t="inlineStr">
        <is>
          <t>Mason (brick layer) 1st class</t>
        </is>
      </c>
      <c r="C889" s="13" t="inlineStr">
        <is>
          <t>day</t>
        </is>
      </c>
      <c r="D889" s="15" t="n">
        <v>2.52</v>
      </c>
      <c r="E889" s="16" t="n">
        <v>738</v>
      </c>
      <c r="F889" s="16">
        <f>D889*E889</f>
        <v/>
      </c>
    </row>
    <row r="890">
      <c r="A890" s="13" t="inlineStr">
        <is>
          <t>0124</t>
        </is>
      </c>
      <c r="B890" s="14" t="inlineStr">
        <is>
          <t>Mason (brick layer) 2nd class</t>
        </is>
      </c>
      <c r="C890" s="13" t="inlineStr">
        <is>
          <t>day</t>
        </is>
      </c>
      <c r="D890" s="15" t="n">
        <v>2.52</v>
      </c>
      <c r="E890" s="16" t="n">
        <v>679</v>
      </c>
      <c r="F890" s="16">
        <f>D890*E890</f>
        <v/>
      </c>
    </row>
    <row r="891">
      <c r="A891" s="13" t="inlineStr">
        <is>
          <t>0114</t>
        </is>
      </c>
      <c r="B891" s="14" t="inlineStr">
        <is>
          <t>Beldar</t>
        </is>
      </c>
      <c r="C891" s="13" t="inlineStr">
        <is>
          <t>day</t>
        </is>
      </c>
      <c r="D891" s="15" t="n">
        <v>8.06</v>
      </c>
      <c r="E891" s="16" t="n">
        <v>558</v>
      </c>
      <c r="F891" s="16">
        <f>D891*E891</f>
        <v/>
      </c>
    </row>
    <row r="892">
      <c r="A892" s="13" t="inlineStr">
        <is>
          <t>9999</t>
        </is>
      </c>
      <c r="B892" s="14" t="inlineStr">
        <is>
          <t>Sundries</t>
        </is>
      </c>
      <c r="C892" s="13" t="inlineStr">
        <is>
          <t>L.S.</t>
        </is>
      </c>
      <c r="D892" s="15" t="n">
        <v>121.16</v>
      </c>
      <c r="E892" s="16" t="n">
        <v>2</v>
      </c>
      <c r="F892" s="16">
        <f>D892*E892</f>
        <v/>
      </c>
    </row>
    <row r="893">
      <c r="A893" s="17" t="inlineStr">
        <is>
          <t>Resource Total (Material + Labour + Machinery, as printed)</t>
        </is>
      </c>
      <c r="B893" s="18" t="n"/>
      <c r="C893" s="18" t="n"/>
      <c r="D893" s="18" t="n"/>
      <c r="E893" s="18" t="n"/>
      <c r="F893" s="19">
        <f>SUM(F885:F892)</f>
        <v/>
      </c>
    </row>
    <row r="894">
      <c r="A894" s="20" t="inlineStr">
        <is>
          <t>SAY (Rs.) — final DAR rate</t>
        </is>
      </c>
      <c r="B894" s="21" t="n"/>
      <c r="C894" s="21" t="n"/>
      <c r="D894" s="21" t="n"/>
      <c r="E894" s="21" t="n"/>
      <c r="F894" s="22" t="n">
        <v>61509.8</v>
      </c>
    </row>
    <row r="896" ht="28" customHeight="1">
      <c r="A896" s="9" t="inlineStr">
        <is>
          <t>5.27</t>
        </is>
      </c>
      <c r="B896" s="10" t="inlineStr">
        <is>
          <t>Providing and filling in position bitumen mix filler of Proportion 80 kg. of hot bitumen, 1 kg. of cement and 0.25 cubic metre of coarse san</t>
        </is>
      </c>
      <c r="C896" s="11" t="n"/>
      <c r="D896" s="11" t="n"/>
      <c r="E896" s="11" t="n"/>
      <c r="F896" s="11" t="n"/>
    </row>
    <row r="897">
      <c r="A897" s="12" t="inlineStr">
        <is>
          <t>Rate basis: per cum  (source: cost for 1.125 cum)</t>
        </is>
      </c>
    </row>
    <row r="898">
      <c r="A898" s="5" t="inlineStr">
        <is>
          <t>Code</t>
        </is>
      </c>
      <c r="B898" s="5" t="inlineStr">
        <is>
          <t>Description</t>
        </is>
      </c>
      <c r="C898" s="5" t="inlineStr">
        <is>
          <t>Unit</t>
        </is>
      </c>
      <c r="D898" s="5" t="inlineStr">
        <is>
          <t>Quantity</t>
        </is>
      </c>
      <c r="E898" s="5" t="inlineStr">
        <is>
          <t>Rate (Rs.)</t>
        </is>
      </c>
      <c r="F898" s="5" t="inlineStr">
        <is>
          <t>Amount (Rs.)</t>
        </is>
      </c>
    </row>
    <row r="899">
      <c r="A899" s="13" t="inlineStr">
        <is>
          <t>0309</t>
        </is>
      </c>
      <c r="B899" s="14" t="inlineStr">
        <is>
          <t>Paving bitumen VG-10 of approved quality</t>
        </is>
      </c>
      <c r="C899" s="13" t="inlineStr">
        <is>
          <t>tonne</t>
        </is>
      </c>
      <c r="D899" s="15" t="n">
        <v>0.303</v>
      </c>
      <c r="E899" s="16" t="n">
        <v>25614</v>
      </c>
      <c r="F899" s="16">
        <f>D899*E899</f>
        <v/>
      </c>
    </row>
    <row r="900">
      <c r="A900" s="13" t="inlineStr">
        <is>
          <t>2211</t>
        </is>
      </c>
      <c r="B900" s="14" t="inlineStr">
        <is>
          <t>Carriage of Tar bitumen</t>
        </is>
      </c>
      <c r="C900" s="13" t="inlineStr">
        <is>
          <t>tonne</t>
        </is>
      </c>
      <c r="D900" s="15" t="n">
        <v>0.303</v>
      </c>
      <c r="E900" s="16" t="n">
        <v>103.77</v>
      </c>
      <c r="F900" s="16">
        <f>D900*E900</f>
        <v/>
      </c>
    </row>
    <row r="901">
      <c r="A901" s="13" t="inlineStr">
        <is>
          <t>0370</t>
        </is>
      </c>
      <c r="B901" s="14" t="inlineStr">
        <is>
          <t>Coal (steam)</t>
        </is>
      </c>
      <c r="C901" s="13" t="inlineStr">
        <is>
          <t>quintal</t>
        </is>
      </c>
      <c r="D901" s="15" t="n">
        <v>0.606</v>
      </c>
      <c r="E901" s="16" t="n">
        <v>440</v>
      </c>
      <c r="F901" s="16">
        <f>D901*E901</f>
        <v/>
      </c>
    </row>
    <row r="902">
      <c r="A902" s="13" t="inlineStr">
        <is>
          <t>2200</t>
        </is>
      </c>
      <c r="B902" s="14" t="inlineStr">
        <is>
          <t>Carriage of steam coal</t>
        </is>
      </c>
      <c r="C902" s="13" t="inlineStr">
        <is>
          <t>tonne</t>
        </is>
      </c>
      <c r="D902" s="15" t="n">
        <v>0.061</v>
      </c>
      <c r="E902" s="16" t="n">
        <v>120</v>
      </c>
      <c r="F902" s="16">
        <f>D902*E902</f>
        <v/>
      </c>
    </row>
    <row r="903">
      <c r="A903" s="13" t="inlineStr">
        <is>
          <t>0367</t>
        </is>
      </c>
      <c r="B903" s="14" t="inlineStr">
        <is>
          <t>Portland Cement</t>
        </is>
      </c>
      <c r="C903" s="13" t="inlineStr">
        <is>
          <t>tonne</t>
        </is>
      </c>
      <c r="D903" s="15" t="n">
        <v>0.0036</v>
      </c>
      <c r="E903" s="16" t="n">
        <v>4940</v>
      </c>
      <c r="F903" s="16">
        <f>D903*E903</f>
        <v/>
      </c>
    </row>
    <row r="904">
      <c r="A904" s="13" t="inlineStr">
        <is>
          <t>2209</t>
        </is>
      </c>
      <c r="B904" s="14" t="inlineStr">
        <is>
          <t>Carriage of Cement</t>
        </is>
      </c>
      <c r="C904" s="13" t="inlineStr">
        <is>
          <t>tonne</t>
        </is>
      </c>
      <c r="D904" s="15" t="n">
        <v>0.0036</v>
      </c>
      <c r="E904" s="16" t="n">
        <v>92.23999999999999</v>
      </c>
      <c r="F904" s="16">
        <f>D904*E904</f>
        <v/>
      </c>
    </row>
    <row r="905">
      <c r="A905" s="13" t="inlineStr">
        <is>
          <t>0982</t>
        </is>
      </c>
      <c r="B905" s="14" t="inlineStr">
        <is>
          <t>Coarse sand (zone III)</t>
        </is>
      </c>
      <c r="C905" s="13" t="inlineStr">
        <is>
          <t>cum</t>
        </is>
      </c>
      <c r="D905" s="15" t="n">
        <v>0.9</v>
      </c>
      <c r="E905" s="16" t="n">
        <v>1350</v>
      </c>
      <c r="F905" s="16">
        <f>D905*E905</f>
        <v/>
      </c>
    </row>
    <row r="906">
      <c r="A906" s="13" t="inlineStr">
        <is>
          <t>2203</t>
        </is>
      </c>
      <c r="B906" s="14" t="inlineStr">
        <is>
          <t>Carriage of Coarse sand</t>
        </is>
      </c>
      <c r="C906" s="13" t="inlineStr">
        <is>
          <t>cum</t>
        </is>
      </c>
      <c r="D906" s="15" t="n">
        <v>0.9</v>
      </c>
      <c r="E906" s="16" t="n">
        <v>103.77</v>
      </c>
      <c r="F906" s="16">
        <f>D906*E906</f>
        <v/>
      </c>
    </row>
    <row r="907">
      <c r="A907" s="13" t="inlineStr">
        <is>
          <t>0123</t>
        </is>
      </c>
      <c r="B907" s="14" t="inlineStr">
        <is>
          <t>Mason (brick layer) 1st class</t>
        </is>
      </c>
      <c r="C907" s="13" t="inlineStr">
        <is>
          <t>day</t>
        </is>
      </c>
      <c r="D907" s="15" t="n">
        <v>2.52</v>
      </c>
      <c r="E907" s="16" t="n">
        <v>738</v>
      </c>
      <c r="F907" s="16">
        <f>D907*E907</f>
        <v/>
      </c>
    </row>
    <row r="908">
      <c r="A908" s="13" t="inlineStr">
        <is>
          <t>0124</t>
        </is>
      </c>
      <c r="B908" s="14" t="inlineStr">
        <is>
          <t>Mason (brick layer) 2nd class</t>
        </is>
      </c>
      <c r="C908" s="13" t="inlineStr">
        <is>
          <t>day</t>
        </is>
      </c>
      <c r="D908" s="15" t="n">
        <v>2.52</v>
      </c>
      <c r="E908" s="16" t="n">
        <v>679</v>
      </c>
      <c r="F908" s="16">
        <f>D908*E908</f>
        <v/>
      </c>
    </row>
    <row r="909">
      <c r="A909" s="13" t="inlineStr">
        <is>
          <t>0114</t>
        </is>
      </c>
      <c r="B909" s="14" t="inlineStr">
        <is>
          <t>Beldar</t>
        </is>
      </c>
      <c r="C909" s="13" t="inlineStr">
        <is>
          <t>day</t>
        </is>
      </c>
      <c r="D909" s="15" t="n">
        <v>8.06</v>
      </c>
      <c r="E909" s="16" t="n">
        <v>558</v>
      </c>
      <c r="F909" s="16">
        <f>D909*E909</f>
        <v/>
      </c>
    </row>
    <row r="910">
      <c r="A910" s="13" t="inlineStr">
        <is>
          <t>9999</t>
        </is>
      </c>
      <c r="B910" s="14" t="inlineStr">
        <is>
          <t>Sundries</t>
        </is>
      </c>
      <c r="C910" s="13" t="inlineStr">
        <is>
          <t>L.S.</t>
        </is>
      </c>
      <c r="D910" s="15" t="n">
        <v>121.16</v>
      </c>
      <c r="E910" s="16" t="n">
        <v>2</v>
      </c>
      <c r="F910" s="16">
        <f>D910*E910</f>
        <v/>
      </c>
    </row>
    <row r="911">
      <c r="A911" s="17" t="inlineStr">
        <is>
          <t>Resource Total (Material + Labour + Machinery, as printed)</t>
        </is>
      </c>
      <c r="B911" s="18" t="n"/>
      <c r="C911" s="18" t="n"/>
      <c r="D911" s="18" t="n"/>
      <c r="E911" s="18" t="n"/>
      <c r="F911" s="19">
        <f>SUM(F899:F910)</f>
        <v/>
      </c>
    </row>
    <row r="912">
      <c r="A912" s="20" t="inlineStr">
        <is>
          <t>SAY (Rs.) — final DAR rate</t>
        </is>
      </c>
      <c r="B912" s="21" t="n"/>
      <c r="C912" s="21" t="n"/>
      <c r="D912" s="21" t="n"/>
      <c r="E912" s="21" t="n"/>
      <c r="F912" s="22" t="n">
        <v>21054.5</v>
      </c>
    </row>
    <row r="914" ht="28" customHeight="1">
      <c r="A914" s="9" t="inlineStr">
        <is>
          <t>5.28</t>
        </is>
      </c>
      <c r="B914" s="10" t="inlineStr">
        <is>
          <t>Providing and fixing in position 12mm thick bitumen impregnated fiber board conforming to IS: 1838, including cost of primer, sealing compou</t>
        </is>
      </c>
      <c r="C914" s="11" t="n"/>
      <c r="D914" s="11" t="n"/>
      <c r="E914" s="11" t="n"/>
      <c r="F914" s="11" t="n"/>
    </row>
    <row r="915">
      <c r="A915" s="12" t="inlineStr">
        <is>
          <t>Rate basis: per sqm  (source: cost for 10 sqm)</t>
        </is>
      </c>
    </row>
    <row r="916">
      <c r="A916" s="5" t="inlineStr">
        <is>
          <t>Code</t>
        </is>
      </c>
      <c r="B916" s="5" t="inlineStr">
        <is>
          <t>Description</t>
        </is>
      </c>
      <c r="C916" s="5" t="inlineStr">
        <is>
          <t>Unit</t>
        </is>
      </c>
      <c r="D916" s="5" t="inlineStr">
        <is>
          <t>Quantity</t>
        </is>
      </c>
      <c r="E916" s="5" t="inlineStr">
        <is>
          <t>Rate (Rs.)</t>
        </is>
      </c>
      <c r="F916" s="5" t="inlineStr">
        <is>
          <t>Amount (Rs.)</t>
        </is>
      </c>
    </row>
    <row r="917">
      <c r="A917" s="13" t="inlineStr">
        <is>
          <t>0339</t>
        </is>
      </c>
      <c r="B917" s="14" t="inlineStr">
        <is>
          <t>Flame retardent face insulating, Impregnated fibre board 12 mm thick</t>
        </is>
      </c>
      <c r="C917" s="13" t="inlineStr">
        <is>
          <t>sqm</t>
        </is>
      </c>
      <c r="D917" s="15" t="n">
        <v>7.5</v>
      </c>
      <c r="E917" s="16" t="n">
        <v>375</v>
      </c>
      <c r="F917" s="16">
        <f>D917*E917</f>
        <v/>
      </c>
    </row>
    <row r="918">
      <c r="A918" s="13" t="inlineStr">
        <is>
          <t>0316</t>
        </is>
      </c>
      <c r="B918" s="14" t="inlineStr">
        <is>
          <t>Bitumen solution primer of approved quality</t>
        </is>
      </c>
      <c r="C918" s="13" t="inlineStr">
        <is>
          <t>litre</t>
        </is>
      </c>
      <c r="D918" s="15" t="n">
        <v>1.25</v>
      </c>
      <c r="E918" s="16" t="n">
        <v>45</v>
      </c>
      <c r="F918" s="16">
        <f>D918*E918</f>
        <v/>
      </c>
    </row>
    <row r="919">
      <c r="A919" s="13" t="inlineStr">
        <is>
          <t>0314</t>
        </is>
      </c>
      <c r="B919" s="14" t="inlineStr">
        <is>
          <t>Bitumen hot sealing compound : grade A</t>
        </is>
      </c>
      <c r="C919" s="13" t="inlineStr">
        <is>
          <t>kilogram</t>
        </is>
      </c>
      <c r="D919" s="15" t="n">
        <v>31.5</v>
      </c>
      <c r="E919" s="16" t="n">
        <v>28</v>
      </c>
      <c r="F919" s="16">
        <f>D919*E919</f>
        <v/>
      </c>
    </row>
    <row r="920">
      <c r="A920" s="13" t="inlineStr">
        <is>
          <t>9977</t>
        </is>
      </c>
      <c r="B920" s="14" t="inlineStr">
        <is>
          <t>Carriage</t>
        </is>
      </c>
      <c r="C920" s="13" t="inlineStr">
        <is>
          <t>L.S.</t>
        </is>
      </c>
      <c r="D920" s="15" t="n">
        <v>26.91</v>
      </c>
      <c r="E920" s="16" t="n">
        <v>2</v>
      </c>
      <c r="F920" s="16">
        <f>D920*E920</f>
        <v/>
      </c>
    </row>
    <row r="921">
      <c r="A921" s="13" t="inlineStr">
        <is>
          <t>0123</t>
        </is>
      </c>
      <c r="B921" s="14" t="inlineStr">
        <is>
          <t>Mason (brick layer) 1st class</t>
        </is>
      </c>
      <c r="C921" s="13" t="inlineStr">
        <is>
          <t>day</t>
        </is>
      </c>
      <c r="D921" s="15" t="n">
        <v>0.12</v>
      </c>
      <c r="E921" s="16" t="n">
        <v>738</v>
      </c>
      <c r="F921" s="16">
        <f>D921*E921</f>
        <v/>
      </c>
    </row>
    <row r="922">
      <c r="A922" s="13" t="inlineStr">
        <is>
          <t>0124</t>
        </is>
      </c>
      <c r="B922" s="14" t="inlineStr">
        <is>
          <t>Mason (brick layer) 2nd class</t>
        </is>
      </c>
      <c r="C922" s="13" t="inlineStr">
        <is>
          <t>day</t>
        </is>
      </c>
      <c r="D922" s="15" t="n">
        <v>0.12</v>
      </c>
      <c r="E922" s="16" t="n">
        <v>679</v>
      </c>
      <c r="F922" s="16">
        <f>D922*E922</f>
        <v/>
      </c>
    </row>
    <row r="923">
      <c r="A923" s="13" t="inlineStr">
        <is>
          <t>0114</t>
        </is>
      </c>
      <c r="B923" s="14" t="inlineStr">
        <is>
          <t>Beldar</t>
        </is>
      </c>
      <c r="C923" s="13" t="inlineStr">
        <is>
          <t>day</t>
        </is>
      </c>
      <c r="D923" s="15" t="n">
        <v>0.25</v>
      </c>
      <c r="E923" s="16" t="n">
        <v>558</v>
      </c>
      <c r="F923" s="16">
        <f>D923*E923</f>
        <v/>
      </c>
    </row>
    <row r="924">
      <c r="A924" s="13" t="inlineStr">
        <is>
          <t>9999</t>
        </is>
      </c>
      <c r="B924" s="14" t="inlineStr">
        <is>
          <t>Sundries</t>
        </is>
      </c>
      <c r="C924" s="13" t="inlineStr">
        <is>
          <t>L.S.</t>
        </is>
      </c>
      <c r="D924" s="15" t="n">
        <v>26.91</v>
      </c>
      <c r="E924" s="16" t="n">
        <v>2</v>
      </c>
      <c r="F924" s="16">
        <f>D924*E924</f>
        <v/>
      </c>
    </row>
    <row r="925">
      <c r="A925" s="17" t="inlineStr">
        <is>
          <t>Resource Total (Material + Labour + Machinery, as printed)</t>
        </is>
      </c>
      <c r="B925" s="18" t="n"/>
      <c r="C925" s="18" t="n"/>
      <c r="D925" s="18" t="n"/>
      <c r="E925" s="18" t="n"/>
      <c r="F925" s="19">
        <f>SUM(F917:F924)</f>
        <v/>
      </c>
    </row>
    <row r="926">
      <c r="A926" s="20" t="inlineStr">
        <is>
          <t>SAY (Rs.) — final DAR rate</t>
        </is>
      </c>
      <c r="B926" s="21" t="n"/>
      <c r="C926" s="21" t="n"/>
      <c r="D926" s="21" t="n"/>
      <c r="E926" s="21" t="n"/>
      <c r="F926" s="22" t="n">
        <v>557.65</v>
      </c>
    </row>
    <row r="928" ht="18" customHeight="1">
      <c r="A928" s="9" t="inlineStr">
        <is>
          <t>5.29.1.1</t>
        </is>
      </c>
      <c r="B928" s="10" t="inlineStr">
        <is>
          <t>150mm wide</t>
        </is>
      </c>
      <c r="C928" s="11" t="n"/>
      <c r="D928" s="11" t="n"/>
      <c r="E928" s="11" t="n"/>
      <c r="F928" s="11" t="n"/>
    </row>
    <row r="929">
      <c r="A929" s="12" t="inlineStr">
        <is>
          <t>Rate basis: per m  (source: cost for 3 m)</t>
        </is>
      </c>
    </row>
    <row r="930">
      <c r="A930" s="5" t="inlineStr">
        <is>
          <t>Code</t>
        </is>
      </c>
      <c r="B930" s="5" t="inlineStr">
        <is>
          <t>Description</t>
        </is>
      </c>
      <c r="C930" s="5" t="inlineStr">
        <is>
          <t>Unit</t>
        </is>
      </c>
      <c r="D930" s="5" t="inlineStr">
        <is>
          <t>Quantity</t>
        </is>
      </c>
      <c r="E930" s="5" t="inlineStr">
        <is>
          <t>Rate (Rs.)</t>
        </is>
      </c>
      <c r="F930" s="5" t="inlineStr">
        <is>
          <t>Amount (Rs.)</t>
        </is>
      </c>
    </row>
    <row r="931">
      <c r="A931" s="13" t="inlineStr">
        <is>
          <t>0236</t>
        </is>
      </c>
      <c r="B931" s="14" t="inlineStr">
        <is>
          <t>Non - Asbestos multi purpose fibre (high impact poly propelene reinforced) cement board 6mm thick.</t>
        </is>
      </c>
      <c r="C931" s="13" t="inlineStr">
        <is>
          <t>sqm</t>
        </is>
      </c>
      <c r="D931" s="15" t="n">
        <v>0.47</v>
      </c>
      <c r="E931" s="16" t="n">
        <v>210</v>
      </c>
      <c r="F931" s="16">
        <f>D931*E931</f>
        <v/>
      </c>
    </row>
    <row r="932">
      <c r="A932" s="13" t="inlineStr">
        <is>
          <t>2273</t>
        </is>
      </c>
      <c r="B932" s="14" t="inlineStr">
        <is>
          <t>Carriage of A.C.sheet and accessories</t>
        </is>
      </c>
      <c r="C932" s="13" t="inlineStr">
        <is>
          <t>tonne</t>
        </is>
      </c>
      <c r="D932" s="15" t="n">
        <v>0.0049</v>
      </c>
      <c r="E932" s="16" t="n">
        <v>92.23999999999999</v>
      </c>
      <c r="F932" s="16">
        <f>D932*E932</f>
        <v/>
      </c>
    </row>
    <row r="933">
      <c r="A933" s="13" t="inlineStr">
        <is>
          <t>9999</t>
        </is>
      </c>
      <c r="B933" s="14" t="inlineStr">
        <is>
          <t>50mm iron screws with washer and rawl plugs</t>
        </is>
      </c>
      <c r="C933" s="13" t="inlineStr">
        <is>
          <t>L.S.</t>
        </is>
      </c>
      <c r="D933" s="15" t="n">
        <v>40.3</v>
      </c>
      <c r="E933" s="16" t="n">
        <v>2</v>
      </c>
      <c r="F933" s="16">
        <f>D933*E933</f>
        <v/>
      </c>
    </row>
    <row r="934">
      <c r="A934" s="13" t="inlineStr">
        <is>
          <t>0112</t>
        </is>
      </c>
      <c r="B934" s="14" t="inlineStr">
        <is>
          <t>Carpenter 2nd class</t>
        </is>
      </c>
      <c r="C934" s="13" t="inlineStr">
        <is>
          <t>day</t>
        </is>
      </c>
      <c r="D934" s="15" t="n">
        <v>0.2</v>
      </c>
      <c r="E934" s="16" t="n">
        <v>679</v>
      </c>
      <c r="F934" s="16">
        <f>D934*E934</f>
        <v/>
      </c>
    </row>
    <row r="935">
      <c r="A935" s="13" t="inlineStr">
        <is>
          <t>0114</t>
        </is>
      </c>
      <c r="B935" s="14" t="inlineStr">
        <is>
          <t>Beldar</t>
        </is>
      </c>
      <c r="C935" s="13" t="inlineStr">
        <is>
          <t>day</t>
        </is>
      </c>
      <c r="D935" s="15" t="n">
        <v>0.2</v>
      </c>
      <c r="E935" s="16" t="n">
        <v>558</v>
      </c>
      <c r="F935" s="16">
        <f>D935*E935</f>
        <v/>
      </c>
    </row>
    <row r="936">
      <c r="A936" s="17" t="inlineStr">
        <is>
          <t>Resource Total (Material + Labour + Machinery, as printed)</t>
        </is>
      </c>
      <c r="B936" s="18" t="n"/>
      <c r="C936" s="18" t="n"/>
      <c r="D936" s="18" t="n"/>
      <c r="E936" s="18" t="n"/>
      <c r="F936" s="19">
        <f>SUM(F931:F935)</f>
        <v/>
      </c>
    </row>
    <row r="937">
      <c r="A937" s="20" t="inlineStr">
        <is>
          <t>SAY (Rs.) — final DAR rate</t>
        </is>
      </c>
      <c r="B937" s="21" t="n"/>
      <c r="C937" s="21" t="n"/>
      <c r="D937" s="21" t="n"/>
      <c r="E937" s="21" t="n"/>
      <c r="F937" s="22" t="n">
        <v>190.5</v>
      </c>
    </row>
    <row r="939" ht="18" customHeight="1">
      <c r="A939" s="9" t="inlineStr">
        <is>
          <t>5.29.1.2</t>
        </is>
      </c>
      <c r="B939" s="10" t="inlineStr">
        <is>
          <t>200mm wide</t>
        </is>
      </c>
      <c r="C939" s="11" t="n"/>
      <c r="D939" s="11" t="n"/>
      <c r="E939" s="11" t="n"/>
      <c r="F939" s="11" t="n"/>
    </row>
    <row r="940">
      <c r="A940" s="12" t="inlineStr">
        <is>
          <t>Rate basis: per m  (source: cost for 3 m)</t>
        </is>
      </c>
    </row>
    <row r="941">
      <c r="A941" s="5" t="inlineStr">
        <is>
          <t>Code</t>
        </is>
      </c>
      <c r="B941" s="5" t="inlineStr">
        <is>
          <t>Description</t>
        </is>
      </c>
      <c r="C941" s="5" t="inlineStr">
        <is>
          <t>Unit</t>
        </is>
      </c>
      <c r="D941" s="5" t="inlineStr">
        <is>
          <t>Quantity</t>
        </is>
      </c>
      <c r="E941" s="5" t="inlineStr">
        <is>
          <t>Rate (Rs.)</t>
        </is>
      </c>
      <c r="F941" s="5" t="inlineStr">
        <is>
          <t>Amount (Rs.)</t>
        </is>
      </c>
    </row>
    <row r="942">
      <c r="A942" s="13" t="inlineStr">
        <is>
          <t>0236</t>
        </is>
      </c>
      <c r="B942" s="14" t="inlineStr">
        <is>
          <t>Non - Asbestos multi purpose fibre (high impact poly propelene reinforced) cement board 6mm thick.</t>
        </is>
      </c>
      <c r="C942" s="13" t="inlineStr">
        <is>
          <t>sqm</t>
        </is>
      </c>
      <c r="D942" s="15" t="n">
        <v>0.63</v>
      </c>
      <c r="E942" s="16" t="n">
        <v>210</v>
      </c>
      <c r="F942" s="16">
        <f>D942*E942</f>
        <v/>
      </c>
    </row>
    <row r="943">
      <c r="A943" s="13" t="inlineStr">
        <is>
          <t>2273</t>
        </is>
      </c>
      <c r="B943" s="14" t="inlineStr">
        <is>
          <t>Carriage of A.C.sheet and accessories</t>
        </is>
      </c>
      <c r="C943" s="13" t="inlineStr">
        <is>
          <t>tonne</t>
        </is>
      </c>
      <c r="D943" s="15" t="n">
        <v>0.0065</v>
      </c>
      <c r="E943" s="16" t="n">
        <v>92.23999999999999</v>
      </c>
      <c r="F943" s="16">
        <f>D943*E943</f>
        <v/>
      </c>
    </row>
    <row r="944">
      <c r="A944" s="13" t="inlineStr">
        <is>
          <t>9999</t>
        </is>
      </c>
      <c r="B944" s="14" t="inlineStr">
        <is>
          <t>50mm iron screws with washer and rawl plugs</t>
        </is>
      </c>
      <c r="C944" s="13" t="inlineStr">
        <is>
          <t>L.S.</t>
        </is>
      </c>
      <c r="D944" s="15" t="n">
        <v>53.82</v>
      </c>
      <c r="E944" s="16" t="n">
        <v>2</v>
      </c>
      <c r="F944" s="16">
        <f>D944*E944</f>
        <v/>
      </c>
    </row>
    <row r="945">
      <c r="A945" s="13" t="inlineStr">
        <is>
          <t>0112</t>
        </is>
      </c>
      <c r="B945" s="14" t="inlineStr">
        <is>
          <t>Carpenter 2nd class</t>
        </is>
      </c>
      <c r="C945" s="13" t="inlineStr">
        <is>
          <t>day</t>
        </is>
      </c>
      <c r="D945" s="15" t="n">
        <v>0.27</v>
      </c>
      <c r="E945" s="16" t="n">
        <v>679</v>
      </c>
      <c r="F945" s="16">
        <f>D945*E945</f>
        <v/>
      </c>
    </row>
    <row r="946">
      <c r="A946" s="13" t="inlineStr">
        <is>
          <t>0114</t>
        </is>
      </c>
      <c r="B946" s="14" t="inlineStr">
        <is>
          <t>Beldar</t>
        </is>
      </c>
      <c r="C946" s="13" t="inlineStr">
        <is>
          <t>day</t>
        </is>
      </c>
      <c r="D946" s="15" t="n">
        <v>0.27</v>
      </c>
      <c r="E946" s="16" t="n">
        <v>558</v>
      </c>
      <c r="F946" s="16">
        <f>D946*E946</f>
        <v/>
      </c>
    </row>
    <row r="947">
      <c r="A947" s="17" t="inlineStr">
        <is>
          <t>Resource Total (Material + Labour + Machinery, as printed)</t>
        </is>
      </c>
      <c r="B947" s="18" t="n"/>
      <c r="C947" s="18" t="n"/>
      <c r="D947" s="18" t="n"/>
      <c r="E947" s="18" t="n"/>
      <c r="F947" s="19">
        <f>SUM(F942:F946)</f>
        <v/>
      </c>
    </row>
    <row r="948">
      <c r="A948" s="20" t="inlineStr">
        <is>
          <t>SAY (Rs.) — final DAR rate</t>
        </is>
      </c>
      <c r="B948" s="21" t="n"/>
      <c r="C948" s="21" t="n"/>
      <c r="D948" s="21" t="n"/>
      <c r="E948" s="21" t="n"/>
      <c r="F948" s="22" t="n">
        <v>256.25</v>
      </c>
    </row>
    <row r="950" ht="18" customHeight="1">
      <c r="A950" s="9" t="inlineStr">
        <is>
          <t>5.29.2.1</t>
        </is>
      </c>
      <c r="B950" s="10" t="inlineStr">
        <is>
          <t>150 mm wide</t>
        </is>
      </c>
      <c r="C950" s="11" t="n"/>
      <c r="D950" s="11" t="n"/>
      <c r="E950" s="11" t="n"/>
      <c r="F950" s="11" t="n"/>
    </row>
    <row r="951">
      <c r="A951" s="12" t="inlineStr">
        <is>
          <t>Rate basis: per meter  (source: cost for 1 meter)</t>
        </is>
      </c>
    </row>
    <row r="952">
      <c r="A952" s="5" t="inlineStr">
        <is>
          <t>Code</t>
        </is>
      </c>
      <c r="B952" s="5" t="inlineStr">
        <is>
          <t>Description</t>
        </is>
      </c>
      <c r="C952" s="5" t="inlineStr">
        <is>
          <t>Unit</t>
        </is>
      </c>
      <c r="D952" s="5" t="inlineStr">
        <is>
          <t>Quantity</t>
        </is>
      </c>
      <c r="E952" s="5" t="inlineStr">
        <is>
          <t>Rate (Rs.)</t>
        </is>
      </c>
      <c r="F952" s="5" t="inlineStr">
        <is>
          <t>Amount (Rs.)</t>
        </is>
      </c>
    </row>
    <row r="953">
      <c r="A953" s="13" t="inlineStr">
        <is>
          <t>2391</t>
        </is>
      </c>
      <c r="B953" s="14" t="inlineStr">
        <is>
          <t>Strips-Aluminium fluted 3.15mm thick and 150mm wide</t>
        </is>
      </c>
      <c r="C953" s="13" t="inlineStr">
        <is>
          <t>metre</t>
        </is>
      </c>
      <c r="D953" s="15" t="n">
        <v>1</v>
      </c>
      <c r="E953" s="16" t="n">
        <v>278</v>
      </c>
      <c r="F953" s="16">
        <f>D953*E953</f>
        <v/>
      </c>
    </row>
    <row r="954">
      <c r="A954" s="13" t="inlineStr">
        <is>
          <t>0639</t>
        </is>
      </c>
      <c r="B954" s="14" t="inlineStr">
        <is>
          <t>Bright finished or black enamelled mild steel screws 25 mm</t>
        </is>
      </c>
      <c r="C954" s="13" t="inlineStr">
        <is>
          <t>100 Nos</t>
        </is>
      </c>
      <c r="D954" s="15" t="n">
        <v>0.06</v>
      </c>
      <c r="E954" s="16" t="n">
        <v>36</v>
      </c>
      <c r="F954" s="16">
        <f>D954*E954</f>
        <v/>
      </c>
    </row>
    <row r="955">
      <c r="A955" s="13" t="inlineStr">
        <is>
          <t>9977</t>
        </is>
      </c>
      <c r="B955" s="14" t="inlineStr">
        <is>
          <t>Carriage of materials</t>
        </is>
      </c>
      <c r="C955" s="13" t="inlineStr">
        <is>
          <t>L.S.</t>
        </is>
      </c>
      <c r="D955" s="15" t="n">
        <v>1.04</v>
      </c>
      <c r="E955" s="16" t="n">
        <v>2</v>
      </c>
      <c r="F955" s="16">
        <f>D955*E955</f>
        <v/>
      </c>
    </row>
    <row r="956">
      <c r="A956" s="13" t="inlineStr">
        <is>
          <t>0112</t>
        </is>
      </c>
      <c r="B956" s="14" t="inlineStr">
        <is>
          <t>Carpenter 2nd class</t>
        </is>
      </c>
      <c r="C956" s="13" t="inlineStr">
        <is>
          <t>day</t>
        </is>
      </c>
      <c r="D956" s="15" t="n">
        <v>0.067</v>
      </c>
      <c r="E956" s="16" t="n">
        <v>679</v>
      </c>
      <c r="F956" s="16">
        <f>D956*E956</f>
        <v/>
      </c>
    </row>
    <row r="957">
      <c r="A957" s="13" t="inlineStr">
        <is>
          <t>0114</t>
        </is>
      </c>
      <c r="B957" s="14" t="inlineStr">
        <is>
          <t>Beldar</t>
        </is>
      </c>
      <c r="C957" s="13" t="inlineStr">
        <is>
          <t>day</t>
        </is>
      </c>
      <c r="D957" s="15" t="n">
        <v>0.067</v>
      </c>
      <c r="E957" s="16" t="n">
        <v>558</v>
      </c>
      <c r="F957" s="16">
        <f>D957*E957</f>
        <v/>
      </c>
    </row>
    <row r="958">
      <c r="A958" s="13" t="inlineStr">
        <is>
          <t>9999</t>
        </is>
      </c>
      <c r="B958" s="14" t="inlineStr">
        <is>
          <t>Sundries</t>
        </is>
      </c>
      <c r="C958" s="13" t="inlineStr">
        <is>
          <t>L.S.</t>
        </is>
      </c>
      <c r="D958" s="15" t="n">
        <v>1.82</v>
      </c>
      <c r="E958" s="16" t="n">
        <v>2</v>
      </c>
      <c r="F958" s="16">
        <f>D958*E958</f>
        <v/>
      </c>
    </row>
    <row r="959">
      <c r="A959" s="17" t="inlineStr">
        <is>
          <t>Resource Total (Material + Labour + Machinery, as printed)</t>
        </is>
      </c>
      <c r="B959" s="18" t="n"/>
      <c r="C959" s="18" t="n"/>
      <c r="D959" s="18" t="n"/>
      <c r="E959" s="18" t="n"/>
      <c r="F959" s="19">
        <f>SUM(F953:F958)</f>
        <v/>
      </c>
    </row>
    <row r="960">
      <c r="A960" s="20" t="inlineStr">
        <is>
          <t>SAY (Rs.) — final DAR rate</t>
        </is>
      </c>
      <c r="B960" s="21" t="n"/>
      <c r="C960" s="21" t="n"/>
      <c r="D960" s="21" t="n"/>
      <c r="E960" s="21" t="n"/>
      <c r="F960" s="22" t="n">
        <v>493.4</v>
      </c>
    </row>
    <row r="962" ht="18" customHeight="1">
      <c r="A962" s="9" t="inlineStr">
        <is>
          <t>5.29.2.2</t>
        </is>
      </c>
      <c r="B962" s="10" t="inlineStr">
        <is>
          <t>200 mm wide</t>
        </is>
      </c>
      <c r="C962" s="11" t="n"/>
      <c r="D962" s="11" t="n"/>
      <c r="E962" s="11" t="n"/>
      <c r="F962" s="11" t="n"/>
    </row>
    <row r="963">
      <c r="A963" s="12" t="inlineStr">
        <is>
          <t>Rate basis: per meter  (source: cost for 1 meter)</t>
        </is>
      </c>
    </row>
    <row r="964">
      <c r="A964" s="5" t="inlineStr">
        <is>
          <t>Code</t>
        </is>
      </c>
      <c r="B964" s="5" t="inlineStr">
        <is>
          <t>Description</t>
        </is>
      </c>
      <c r="C964" s="5" t="inlineStr">
        <is>
          <t>Unit</t>
        </is>
      </c>
      <c r="D964" s="5" t="inlineStr">
        <is>
          <t>Quantity</t>
        </is>
      </c>
      <c r="E964" s="5" t="inlineStr">
        <is>
          <t>Rate (Rs.)</t>
        </is>
      </c>
      <c r="F964" s="5" t="inlineStr">
        <is>
          <t>Amount (Rs.)</t>
        </is>
      </c>
    </row>
    <row r="965">
      <c r="A965" s="13" t="inlineStr">
        <is>
          <t>2392</t>
        </is>
      </c>
      <c r="B965" s="14" t="inlineStr">
        <is>
          <t>Strips Aluminium fluted 3.15mm thick and 200mm wide metre</t>
        </is>
      </c>
      <c r="C965" s="13" t="inlineStr">
        <is>
          <t>metre</t>
        </is>
      </c>
      <c r="D965" s="15" t="n">
        <v>1</v>
      </c>
      <c r="E965" s="16" t="n">
        <v>370</v>
      </c>
      <c r="F965" s="16">
        <f>D965*E965</f>
        <v/>
      </c>
    </row>
    <row r="966">
      <c r="A966" s="13" t="inlineStr">
        <is>
          <t>0639</t>
        </is>
      </c>
      <c r="B966" s="14" t="inlineStr">
        <is>
          <t>Bright finished or black enamelled mild steel screws 25 mm</t>
        </is>
      </c>
      <c r="C966" s="13" t="inlineStr">
        <is>
          <t>100 Nos</t>
        </is>
      </c>
      <c r="D966" s="15" t="n">
        <v>0.06</v>
      </c>
      <c r="E966" s="16" t="n">
        <v>36</v>
      </c>
      <c r="F966" s="16">
        <f>D966*E966</f>
        <v/>
      </c>
    </row>
    <row r="967">
      <c r="A967" s="13" t="inlineStr">
        <is>
          <t>9977</t>
        </is>
      </c>
      <c r="B967" s="14" t="inlineStr">
        <is>
          <t>Carriage of materials</t>
        </is>
      </c>
      <c r="C967" s="13" t="inlineStr">
        <is>
          <t>L.S.</t>
        </is>
      </c>
      <c r="D967" s="15" t="n">
        <v>1.3</v>
      </c>
      <c r="E967" s="16" t="n">
        <v>2</v>
      </c>
      <c r="F967" s="16">
        <f>D967*E967</f>
        <v/>
      </c>
    </row>
    <row r="968">
      <c r="A968" s="13" t="inlineStr">
        <is>
          <t>0112</t>
        </is>
      </c>
      <c r="B968" s="14" t="inlineStr">
        <is>
          <t>Carpenter 2nd class</t>
        </is>
      </c>
      <c r="C968" s="13" t="inlineStr">
        <is>
          <t>day</t>
        </is>
      </c>
      <c r="D968" s="15" t="n">
        <v>0.089</v>
      </c>
      <c r="E968" s="16" t="n">
        <v>679</v>
      </c>
      <c r="F968" s="16">
        <f>D968*E968</f>
        <v/>
      </c>
    </row>
    <row r="969">
      <c r="A969" s="13" t="inlineStr">
        <is>
          <t>0114</t>
        </is>
      </c>
      <c r="B969" s="14" t="inlineStr">
        <is>
          <t>Beldar</t>
        </is>
      </c>
      <c r="C969" s="13" t="inlineStr">
        <is>
          <t>day</t>
        </is>
      </c>
      <c r="D969" s="15" t="n">
        <v>0.089</v>
      </c>
      <c r="E969" s="16" t="n">
        <v>558</v>
      </c>
      <c r="F969" s="16">
        <f>D969*E969</f>
        <v/>
      </c>
    </row>
    <row r="970">
      <c r="A970" s="13" t="inlineStr">
        <is>
          <t>9999</t>
        </is>
      </c>
      <c r="B970" s="14" t="inlineStr">
        <is>
          <t>Sundries</t>
        </is>
      </c>
      <c r="C970" s="13" t="inlineStr">
        <is>
          <t>L.S.</t>
        </is>
      </c>
      <c r="D970" s="15" t="n">
        <v>2.34</v>
      </c>
      <c r="E970" s="16" t="n">
        <v>2</v>
      </c>
      <c r="F970" s="16">
        <f>D970*E970</f>
        <v/>
      </c>
    </row>
    <row r="971">
      <c r="A971" s="17" t="inlineStr">
        <is>
          <t>Resource Total (Material + Labour + Machinery, as printed)</t>
        </is>
      </c>
      <c r="B971" s="18" t="n"/>
      <c r="C971" s="18" t="n"/>
      <c r="D971" s="18" t="n"/>
      <c r="E971" s="18" t="n"/>
      <c r="F971" s="19">
        <f>SUM(F965:F970)</f>
        <v/>
      </c>
    </row>
    <row r="972">
      <c r="A972" s="20" t="inlineStr">
        <is>
          <t>SAY (Rs.) — final DAR rate</t>
        </is>
      </c>
      <c r="B972" s="21" t="n"/>
      <c r="C972" s="21" t="n"/>
      <c r="D972" s="21" t="n"/>
      <c r="E972" s="21" t="n"/>
      <c r="F972" s="22" t="n">
        <v>654.95</v>
      </c>
    </row>
    <row r="974" ht="18" customHeight="1">
      <c r="A974" s="9" t="inlineStr">
        <is>
          <t>5.29.3.1</t>
        </is>
      </c>
      <c r="B974" s="10" t="inlineStr">
        <is>
          <t>150 mm wide</t>
        </is>
      </c>
      <c r="C974" s="11" t="n"/>
      <c r="D974" s="11" t="n"/>
      <c r="E974" s="11" t="n"/>
      <c r="F974" s="11" t="n"/>
    </row>
    <row r="975">
      <c r="A975" s="12" t="inlineStr">
        <is>
          <t>Rate basis: per metre  (source: cost for 3 metre)</t>
        </is>
      </c>
    </row>
    <row r="976">
      <c r="A976" s="5" t="inlineStr">
        <is>
          <t>Code</t>
        </is>
      </c>
      <c r="B976" s="5" t="inlineStr">
        <is>
          <t>Description</t>
        </is>
      </c>
      <c r="C976" s="5" t="inlineStr">
        <is>
          <t>Unit</t>
        </is>
      </c>
      <c r="D976" s="5" t="inlineStr">
        <is>
          <t>Quantity</t>
        </is>
      </c>
      <c r="E976" s="5" t="inlineStr">
        <is>
          <t>Rate (Rs.)</t>
        </is>
      </c>
      <c r="F976" s="5" t="inlineStr">
        <is>
          <t>Amount (Rs.)</t>
        </is>
      </c>
    </row>
    <row r="977">
      <c r="A977" s="13" t="inlineStr">
        <is>
          <t>0242</t>
        </is>
      </c>
      <c r="B977" s="14" t="inlineStr">
        <is>
          <t>Multi purpose cement bonded wood particle board 6 mm thick</t>
        </is>
      </c>
      <c r="C977" s="13" t="inlineStr">
        <is>
          <t>sqm</t>
        </is>
      </c>
      <c r="D977" s="15" t="n">
        <v>0.47</v>
      </c>
      <c r="E977" s="16" t="n">
        <v>195</v>
      </c>
      <c r="F977" s="16">
        <f>D977*E977</f>
        <v/>
      </c>
    </row>
    <row r="978">
      <c r="A978" s="13" t="inlineStr">
        <is>
          <t>2273</t>
        </is>
      </c>
      <c r="B978" s="14" t="inlineStr">
        <is>
          <t>Carriage of board and accessories</t>
        </is>
      </c>
      <c r="C978" s="13" t="inlineStr">
        <is>
          <t>tonne</t>
        </is>
      </c>
      <c r="D978" s="15" t="n">
        <v>0.005</v>
      </c>
      <c r="E978" s="16" t="n">
        <v>92.23999999999999</v>
      </c>
      <c r="F978" s="16">
        <f>D978*E978</f>
        <v/>
      </c>
    </row>
    <row r="979">
      <c r="A979" s="13" t="inlineStr">
        <is>
          <t>0112</t>
        </is>
      </c>
      <c r="B979" s="14" t="inlineStr">
        <is>
          <t>Carpenter 2nd class</t>
        </is>
      </c>
      <c r="C979" s="13" t="inlineStr">
        <is>
          <t>day</t>
        </is>
      </c>
      <c r="D979" s="15" t="n">
        <v>0.2</v>
      </c>
      <c r="E979" s="16" t="n">
        <v>679</v>
      </c>
      <c r="F979" s="16">
        <f>D979*E979</f>
        <v/>
      </c>
    </row>
    <row r="980">
      <c r="A980" s="13" t="inlineStr">
        <is>
          <t>0114</t>
        </is>
      </c>
      <c r="B980" s="14" t="inlineStr">
        <is>
          <t>Beldar</t>
        </is>
      </c>
      <c r="C980" s="13" t="inlineStr">
        <is>
          <t>day</t>
        </is>
      </c>
      <c r="D980" s="15" t="n">
        <v>0.2</v>
      </c>
      <c r="E980" s="16" t="n">
        <v>558</v>
      </c>
      <c r="F980" s="16">
        <f>D980*E980</f>
        <v/>
      </c>
    </row>
    <row r="981">
      <c r="A981" s="17" t="inlineStr">
        <is>
          <t>Resource Total (Material + Labour + Machinery, as printed)</t>
        </is>
      </c>
      <c r="B981" s="18" t="n"/>
      <c r="C981" s="18" t="n"/>
      <c r="D981" s="18" t="n"/>
      <c r="E981" s="18" t="n"/>
      <c r="F981" s="19">
        <f>SUM(F977:F980)</f>
        <v/>
      </c>
    </row>
    <row r="982">
      <c r="A982" s="20" t="inlineStr">
        <is>
          <t>SAY (Rs.) — final DAR rate</t>
        </is>
      </c>
      <c r="B982" s="21" t="n"/>
      <c r="C982" s="21" t="n"/>
      <c r="D982" s="21" t="n"/>
      <c r="E982" s="21" t="n"/>
      <c r="F982" s="22" t="n">
        <v>187.35</v>
      </c>
    </row>
    <row r="984" ht="18" customHeight="1">
      <c r="A984" s="9" t="inlineStr">
        <is>
          <t>5.29.3.2</t>
        </is>
      </c>
      <c r="B984" s="10" t="inlineStr">
        <is>
          <t>200 mm wide</t>
        </is>
      </c>
      <c r="C984" s="11" t="n"/>
      <c r="D984" s="11" t="n"/>
      <c r="E984" s="11" t="n"/>
      <c r="F984" s="11" t="n"/>
    </row>
    <row r="985">
      <c r="A985" s="12" t="inlineStr">
        <is>
          <t>Rate basis: per m  (source: cost for 3 m)</t>
        </is>
      </c>
    </row>
    <row r="986">
      <c r="A986" s="5" t="inlineStr">
        <is>
          <t>Code</t>
        </is>
      </c>
      <c r="B986" s="5" t="inlineStr">
        <is>
          <t>Description</t>
        </is>
      </c>
      <c r="C986" s="5" t="inlineStr">
        <is>
          <t>Unit</t>
        </is>
      </c>
      <c r="D986" s="5" t="inlineStr">
        <is>
          <t>Quantity</t>
        </is>
      </c>
      <c r="E986" s="5" t="inlineStr">
        <is>
          <t>Rate (Rs.)</t>
        </is>
      </c>
      <c r="F986" s="5" t="inlineStr">
        <is>
          <t>Amount (Rs.)</t>
        </is>
      </c>
    </row>
    <row r="987">
      <c r="A987" s="13" t="inlineStr">
        <is>
          <t>0242</t>
        </is>
      </c>
      <c r="B987" s="14" t="inlineStr">
        <is>
          <t>Multi purpose cement bonded wood particle board 6 mm thick</t>
        </is>
      </c>
      <c r="C987" s="13" t="inlineStr">
        <is>
          <t>sqm</t>
        </is>
      </c>
      <c r="D987" s="15" t="n">
        <v>0.63</v>
      </c>
      <c r="E987" s="16" t="n">
        <v>195</v>
      </c>
      <c r="F987" s="16">
        <f>D987*E987</f>
        <v/>
      </c>
    </row>
    <row r="988">
      <c r="A988" s="13" t="inlineStr">
        <is>
          <t>2273</t>
        </is>
      </c>
      <c r="B988" s="14" t="inlineStr">
        <is>
          <t>Carriage of board and accessories</t>
        </is>
      </c>
      <c r="C988" s="13" t="inlineStr">
        <is>
          <t>tonne</t>
        </is>
      </c>
      <c r="D988" s="15" t="n">
        <v>0.0065</v>
      </c>
      <c r="E988" s="16" t="n">
        <v>92.23999999999999</v>
      </c>
      <c r="F988" s="16">
        <f>D988*E988</f>
        <v/>
      </c>
    </row>
    <row r="989">
      <c r="A989" s="13" t="inlineStr">
        <is>
          <t>0112</t>
        </is>
      </c>
      <c r="B989" s="14" t="inlineStr">
        <is>
          <t>Carpenter 2nd class</t>
        </is>
      </c>
      <c r="C989" s="13" t="inlineStr">
        <is>
          <t>day</t>
        </is>
      </c>
      <c r="D989" s="15" t="n">
        <v>0.27</v>
      </c>
      <c r="E989" s="16" t="n">
        <v>679</v>
      </c>
      <c r="F989" s="16">
        <f>D989*E989</f>
        <v/>
      </c>
    </row>
    <row r="990">
      <c r="A990" s="13" t="inlineStr">
        <is>
          <t>0114</t>
        </is>
      </c>
      <c r="B990" s="14" t="inlineStr">
        <is>
          <t>Beldar</t>
        </is>
      </c>
      <c r="C990" s="13" t="inlineStr">
        <is>
          <t>day</t>
        </is>
      </c>
      <c r="D990" s="15" t="n">
        <v>0.27</v>
      </c>
      <c r="E990" s="16" t="n">
        <v>558</v>
      </c>
      <c r="F990" s="16">
        <f>D990*E990</f>
        <v/>
      </c>
    </row>
    <row r="991">
      <c r="A991" s="17" t="inlineStr">
        <is>
          <t>Resource Total (Material + Labour + Machinery, as printed)</t>
        </is>
      </c>
      <c r="B991" s="18" t="n"/>
      <c r="C991" s="18" t="n"/>
      <c r="D991" s="18" t="n"/>
      <c r="E991" s="18" t="n"/>
      <c r="F991" s="19">
        <f>SUM(F987:F990)</f>
        <v/>
      </c>
    </row>
    <row r="992">
      <c r="A992" s="20" t="inlineStr">
        <is>
          <t>SAY (Rs.) — final DAR rate</t>
        </is>
      </c>
      <c r="B992" s="21" t="n"/>
      <c r="C992" s="21" t="n"/>
      <c r="D992" s="21" t="n"/>
      <c r="E992" s="21" t="n"/>
      <c r="F992" s="22" t="n">
        <v>252</v>
      </c>
    </row>
    <row r="994" ht="28" customHeight="1">
      <c r="A994" s="9" t="inlineStr">
        <is>
          <t>5.30</t>
        </is>
      </c>
      <c r="B994" s="10" t="inlineStr">
        <is>
          <t>Add for plaster drip course/ groove in plastered surface or moulding to R.C.C. projections.</t>
        </is>
      </c>
      <c r="C994" s="11" t="n"/>
      <c r="D994" s="11" t="n"/>
      <c r="E994" s="11" t="n"/>
      <c r="F994" s="11" t="n"/>
    </row>
    <row r="995">
      <c r="A995" s="12" t="inlineStr">
        <is>
          <t>Rate basis: per metre  (source: cost for 30 metre)</t>
        </is>
      </c>
    </row>
    <row r="996">
      <c r="A996" s="5" t="inlineStr">
        <is>
          <t>Code</t>
        </is>
      </c>
      <c r="B996" s="5" t="inlineStr">
        <is>
          <t>Description</t>
        </is>
      </c>
      <c r="C996" s="5" t="inlineStr">
        <is>
          <t>Unit</t>
        </is>
      </c>
      <c r="D996" s="5" t="inlineStr">
        <is>
          <t>Quantity</t>
        </is>
      </c>
      <c r="E996" s="5" t="inlineStr">
        <is>
          <t>Rate (Rs.)</t>
        </is>
      </c>
      <c r="F996" s="5" t="inlineStr">
        <is>
          <t>Amount (Rs.)</t>
        </is>
      </c>
    </row>
    <row r="997">
      <c r="A997" s="13" t="inlineStr">
        <is>
          <t>0123</t>
        </is>
      </c>
      <c r="B997" s="14" t="inlineStr">
        <is>
          <t>Mason (brick layer) 1st class</t>
        </is>
      </c>
      <c r="C997" s="13" t="inlineStr">
        <is>
          <t>day</t>
        </is>
      </c>
      <c r="D997" s="15" t="n">
        <v>0.5</v>
      </c>
      <c r="E997" s="16" t="n">
        <v>738</v>
      </c>
      <c r="F997" s="16">
        <f>D997*E997</f>
        <v/>
      </c>
    </row>
    <row r="998">
      <c r="A998" s="13" t="inlineStr">
        <is>
          <t>0124</t>
        </is>
      </c>
      <c r="B998" s="14" t="inlineStr">
        <is>
          <t>Mason (brick layer) 2nd class</t>
        </is>
      </c>
      <c r="C998" s="13" t="inlineStr">
        <is>
          <t>day</t>
        </is>
      </c>
      <c r="D998" s="15" t="n">
        <v>0.5</v>
      </c>
      <c r="E998" s="16" t="n">
        <v>679</v>
      </c>
      <c r="F998" s="16">
        <f>D998*E998</f>
        <v/>
      </c>
    </row>
    <row r="999">
      <c r="A999" s="13" t="inlineStr">
        <is>
          <t>0115</t>
        </is>
      </c>
      <c r="B999" s="14" t="inlineStr">
        <is>
          <t>Coolie</t>
        </is>
      </c>
      <c r="C999" s="13" t="inlineStr">
        <is>
          <t>day</t>
        </is>
      </c>
      <c r="D999" s="15" t="n">
        <v>1</v>
      </c>
      <c r="E999" s="16" t="n">
        <v>558</v>
      </c>
      <c r="F999" s="16">
        <f>D999*E999</f>
        <v/>
      </c>
    </row>
    <row r="1000">
      <c r="A1000" s="13" t="inlineStr">
        <is>
          <t>9999</t>
        </is>
      </c>
      <c r="B1000" s="14" t="inlineStr">
        <is>
          <t>Add for materials (cement mortar etc.)</t>
        </is>
      </c>
      <c r="C1000" s="13" t="inlineStr">
        <is>
          <t>L.S.</t>
        </is>
      </c>
      <c r="D1000" s="15" t="n">
        <v>26.91</v>
      </c>
      <c r="E1000" s="16" t="n">
        <v>2</v>
      </c>
      <c r="F1000" s="16">
        <f>D1000*E1000</f>
        <v/>
      </c>
    </row>
    <row r="1001">
      <c r="A1001" s="17" t="inlineStr">
        <is>
          <t>Resource Total (Material + Labour + Machinery, as printed)</t>
        </is>
      </c>
      <c r="B1001" s="18" t="n"/>
      <c r="C1001" s="18" t="n"/>
      <c r="D1001" s="18" t="n"/>
      <c r="E1001" s="18" t="n"/>
      <c r="F1001" s="19">
        <f>SUM(F997:F1000)</f>
        <v/>
      </c>
    </row>
    <row r="1002">
      <c r="A1002" s="20" t="inlineStr">
        <is>
          <t>SAY (Rs.) — final DAR rate</t>
        </is>
      </c>
      <c r="B1002" s="21" t="n"/>
      <c r="C1002" s="21" t="n"/>
      <c r="D1002" s="21" t="n"/>
      <c r="E1002" s="21" t="n"/>
      <c r="F1002" s="22" t="n">
        <v>58.9</v>
      </c>
    </row>
    <row r="1004" ht="28" customHeight="1">
      <c r="A1004" s="9" t="inlineStr">
        <is>
          <t>5.31</t>
        </is>
      </c>
      <c r="B1004" s="10" t="inlineStr">
        <is>
          <t>Extra for laying reinforced cement concrete in or under water and/ or liquid mud, including cost of pumping or bailing out water and removin</t>
        </is>
      </c>
      <c r="C1004" s="11" t="n"/>
      <c r="D1004" s="11" t="n"/>
      <c r="E1004" s="11" t="n"/>
      <c r="F1004" s="11" t="n"/>
    </row>
    <row r="1005">
      <c r="A1005" s="12" t="inlineStr">
        <is>
          <t>Rate basis: per cum  (source: cost for 14 cum)</t>
        </is>
      </c>
    </row>
    <row r="1006">
      <c r="A1006" s="5" t="inlineStr">
        <is>
          <t>Code</t>
        </is>
      </c>
      <c r="B1006" s="5" t="inlineStr">
        <is>
          <t>Description</t>
        </is>
      </c>
      <c r="C1006" s="5" t="inlineStr">
        <is>
          <t>Unit</t>
        </is>
      </c>
      <c r="D1006" s="5" t="inlineStr">
        <is>
          <t>Quantity</t>
        </is>
      </c>
      <c r="E1006" s="5" t="inlineStr">
        <is>
          <t>Rate (Rs.)</t>
        </is>
      </c>
      <c r="F1006" s="5" t="inlineStr">
        <is>
          <t>Amount (Rs.)</t>
        </is>
      </c>
    </row>
    <row r="1007">
      <c r="A1007" s="13" t="inlineStr">
        <is>
          <t>4000</t>
        </is>
      </c>
      <c r="B1007" s="14" t="inlineStr">
        <is>
          <t>litres/hour. for cleaning slush</t>
        </is>
      </c>
      <c r="C1007" s="13" t="inlineStr">
        <is>
          <t>day</t>
        </is>
      </c>
      <c r="D1007" s="15" t="n">
        <v>0.375</v>
      </c>
      <c r="E1007" s="16" t="n">
        <v>700</v>
      </c>
      <c r="F1007" s="16">
        <f>D1007*E1007</f>
        <v/>
      </c>
    </row>
    <row r="1008">
      <c r="A1008" s="13" t="inlineStr">
        <is>
          <t>0114</t>
        </is>
      </c>
      <c r="B1008" s="14" t="inlineStr">
        <is>
          <t>Beldar</t>
        </is>
      </c>
      <c r="C1008" s="13" t="inlineStr">
        <is>
          <t>day</t>
        </is>
      </c>
      <c r="D1008" s="15" t="n">
        <v>4</v>
      </c>
      <c r="E1008" s="16" t="n">
        <v>558</v>
      </c>
      <c r="F1008" s="16">
        <f>D1008*E1008</f>
        <v/>
      </c>
    </row>
    <row r="1009">
      <c r="A1009" s="17" t="inlineStr">
        <is>
          <t>Resource Total (Material + Labour + Machinery, as printed)</t>
        </is>
      </c>
      <c r="B1009" s="18" t="n"/>
      <c r="C1009" s="18" t="n"/>
      <c r="D1009" s="18" t="n"/>
      <c r="E1009" s="18" t="n"/>
      <c r="F1009" s="19">
        <f>SUM(F1007:F1008)</f>
        <v/>
      </c>
    </row>
    <row r="1010">
      <c r="A1010" s="20" t="inlineStr">
        <is>
          <t>SAY (Rs.) — final DAR rate</t>
        </is>
      </c>
      <c r="B1010" s="21" t="n"/>
      <c r="C1010" s="21" t="n"/>
      <c r="D1010" s="21" t="n"/>
      <c r="E1010" s="21" t="n"/>
      <c r="F1010" s="22" t="n">
        <v>794.65</v>
      </c>
    </row>
    <row r="1012" ht="18" customHeight="1">
      <c r="A1012" s="9" t="inlineStr">
        <is>
          <t>5.32</t>
        </is>
      </c>
      <c r="B1012" s="10" t="inlineStr">
        <is>
          <t>Extra for laying reinforced cement concrete in or under foul positions.</t>
        </is>
      </c>
      <c r="C1012" s="11" t="n"/>
      <c r="D1012" s="11" t="n"/>
      <c r="E1012" s="11" t="n"/>
      <c r="F1012" s="11" t="n"/>
    </row>
    <row r="1013">
      <c r="A1013" s="12" t="inlineStr">
        <is>
          <t>Rate basis: per nos  (source: cost for 1 nos)</t>
        </is>
      </c>
    </row>
    <row r="1014">
      <c r="A1014" s="5" t="inlineStr">
        <is>
          <t>Code</t>
        </is>
      </c>
      <c r="B1014" s="5" t="inlineStr">
        <is>
          <t>Description</t>
        </is>
      </c>
      <c r="C1014" s="5" t="inlineStr">
        <is>
          <t>Unit</t>
        </is>
      </c>
      <c r="D1014" s="5" t="inlineStr">
        <is>
          <t>Quantity</t>
        </is>
      </c>
      <c r="E1014" s="5" t="inlineStr">
        <is>
          <t>Rate (Rs.)</t>
        </is>
      </c>
      <c r="F1014" s="5" t="inlineStr">
        <is>
          <t>Amount (Rs.)</t>
        </is>
      </c>
    </row>
    <row r="1015">
      <c r="A1015" s="13" t="inlineStr">
        <is>
          <t>0123</t>
        </is>
      </c>
      <c r="B1015" s="14" t="inlineStr">
        <is>
          <t>Mason (brick layer) 1st class</t>
        </is>
      </c>
      <c r="C1015" s="13" t="inlineStr">
        <is>
          <t>day</t>
        </is>
      </c>
      <c r="D1015" s="15" t="n">
        <v>0.02</v>
      </c>
      <c r="E1015" s="16" t="n">
        <v>738</v>
      </c>
      <c r="F1015" s="16">
        <f>D1015*E1015</f>
        <v/>
      </c>
    </row>
    <row r="1016">
      <c r="A1016" s="13" t="inlineStr">
        <is>
          <t>0124</t>
        </is>
      </c>
      <c r="B1016" s="14" t="inlineStr">
        <is>
          <t>Mason (brick layer) 2nd class</t>
        </is>
      </c>
      <c r="C1016" s="13" t="inlineStr">
        <is>
          <t>day</t>
        </is>
      </c>
      <c r="D1016" s="15" t="n">
        <v>0.02</v>
      </c>
      <c r="E1016" s="16" t="n">
        <v>679</v>
      </c>
      <c r="F1016" s="16">
        <f>D1016*E1016</f>
        <v/>
      </c>
    </row>
    <row r="1017">
      <c r="A1017" s="13" t="inlineStr">
        <is>
          <t>0114</t>
        </is>
      </c>
      <c r="B1017" s="14" t="inlineStr">
        <is>
          <t>Beldar</t>
        </is>
      </c>
      <c r="C1017" s="13" t="inlineStr">
        <is>
          <t>day</t>
        </is>
      </c>
      <c r="D1017" s="15" t="n">
        <v>0.25</v>
      </c>
      <c r="E1017" s="16" t="n">
        <v>558</v>
      </c>
      <c r="F1017" s="16">
        <f>D1017*E1017</f>
        <v/>
      </c>
    </row>
    <row r="1018">
      <c r="A1018" s="13" t="inlineStr">
        <is>
          <t>0115</t>
        </is>
      </c>
      <c r="B1018" s="14" t="inlineStr">
        <is>
          <t>Coolie</t>
        </is>
      </c>
      <c r="C1018" s="13" t="inlineStr">
        <is>
          <t>day</t>
        </is>
      </c>
      <c r="D1018" s="15" t="n">
        <v>0.15</v>
      </c>
      <c r="E1018" s="16" t="n">
        <v>558</v>
      </c>
      <c r="F1018" s="16">
        <f>D1018*E1018</f>
        <v/>
      </c>
    </row>
    <row r="1019">
      <c r="A1019" s="17" t="inlineStr">
        <is>
          <t>Resource Total (Material + Labour + Machinery, as printed)</t>
        </is>
      </c>
      <c r="B1019" s="18" t="n"/>
      <c r="C1019" s="18" t="n"/>
      <c r="D1019" s="18" t="n"/>
      <c r="E1019" s="18" t="n"/>
      <c r="F1019" s="19">
        <f>SUM(F1015:F1018)</f>
        <v/>
      </c>
    </row>
    <row r="1020">
      <c r="A1020" s="20" t="inlineStr">
        <is>
          <t>SAY (Rs.) — final DAR rate</t>
        </is>
      </c>
      <c r="B1020" s="21" t="n"/>
      <c r="C1020" s="21" t="n"/>
      <c r="D1020" s="21" t="n"/>
      <c r="E1020" s="21" t="n"/>
      <c r="F1020" s="22" t="n">
        <v>336.55</v>
      </c>
    </row>
    <row r="1022" ht="18" customHeight="1">
      <c r="A1022" s="9" t="inlineStr">
        <is>
          <t>5.33.1</t>
        </is>
      </c>
      <c r="B1022" s="10" t="inlineStr">
        <is>
          <t>All works upto plinth level</t>
        </is>
      </c>
      <c r="C1022" s="11" t="n"/>
      <c r="D1022" s="11" t="n"/>
      <c r="E1022" s="11" t="n"/>
      <c r="F1022" s="11" t="n"/>
    </row>
    <row r="1023">
      <c r="A1023" s="12" t="inlineStr">
        <is>
          <t>Rate basis: per cum  (source: cost for 1 cum)</t>
        </is>
      </c>
    </row>
    <row r="1024">
      <c r="A1024" s="5" t="inlineStr">
        <is>
          <t>Code</t>
        </is>
      </c>
      <c r="B1024" s="5" t="inlineStr">
        <is>
          <t>Description</t>
        </is>
      </c>
      <c r="C1024" s="5" t="inlineStr">
        <is>
          <t>Unit</t>
        </is>
      </c>
      <c r="D1024" s="5" t="inlineStr">
        <is>
          <t>Quantity</t>
        </is>
      </c>
      <c r="E1024" s="5" t="inlineStr">
        <is>
          <t>Rate (Rs.)</t>
        </is>
      </c>
      <c r="F1024" s="5" t="inlineStr">
        <is>
          <t>Amount (Rs.)</t>
        </is>
      </c>
    </row>
    <row r="1025">
      <c r="A1025" s="13" t="inlineStr">
        <is>
          <t>0295</t>
        </is>
      </c>
      <c r="B1025" s="14" t="inlineStr">
        <is>
          <t>Stone Aggregate (Single size) : 20 mm nominal size</t>
        </is>
      </c>
      <c r="C1025" s="13" t="inlineStr">
        <is>
          <t>cum</t>
        </is>
      </c>
      <c r="D1025" s="15" t="n">
        <v>0.57</v>
      </c>
      <c r="E1025" s="16" t="n">
        <v>1350</v>
      </c>
      <c r="F1025" s="16">
        <f>D1025*E1025</f>
        <v/>
      </c>
    </row>
    <row r="1026">
      <c r="A1026" s="13" t="inlineStr">
        <is>
          <t>0297</t>
        </is>
      </c>
      <c r="B1026" s="14" t="inlineStr">
        <is>
          <t>Stone Aggregate (Single size) : 10 mm nominal size</t>
        </is>
      </c>
      <c r="C1026" s="13" t="inlineStr">
        <is>
          <t>cum</t>
        </is>
      </c>
      <c r="D1026" s="15" t="n">
        <v>0.28</v>
      </c>
      <c r="E1026" s="16" t="n">
        <v>1350</v>
      </c>
      <c r="F1026" s="16">
        <f>D1026*E1026</f>
        <v/>
      </c>
    </row>
    <row r="1027">
      <c r="A1027" s="13" t="inlineStr">
        <is>
          <t>2202</t>
        </is>
      </c>
      <c r="B1027" s="14" t="inlineStr">
        <is>
          <t>Carriage of Stone aggregate below 40 mm nominal size</t>
        </is>
      </c>
      <c r="C1027" s="13" t="inlineStr">
        <is>
          <t>cum</t>
        </is>
      </c>
      <c r="D1027" s="15" t="n">
        <v>0.85</v>
      </c>
      <c r="E1027" s="16" t="n">
        <v>103.77</v>
      </c>
      <c r="F1027" s="16">
        <f>D1027*E1027</f>
        <v/>
      </c>
    </row>
    <row r="1028">
      <c r="A1028" s="13" t="inlineStr">
        <is>
          <t>0982</t>
        </is>
      </c>
      <c r="B1028" s="14" t="inlineStr">
        <is>
          <t>Coarse sand (zone III)</t>
        </is>
      </c>
      <c r="C1028" s="13" t="inlineStr">
        <is>
          <t>cum</t>
        </is>
      </c>
      <c r="D1028" s="15" t="n">
        <v>0.425</v>
      </c>
      <c r="E1028" s="16" t="n">
        <v>1350</v>
      </c>
      <c r="F1028" s="16">
        <f>D1028*E1028</f>
        <v/>
      </c>
    </row>
    <row r="1029">
      <c r="A1029" s="13" t="inlineStr">
        <is>
          <t>2203</t>
        </is>
      </c>
      <c r="B1029" s="14" t="inlineStr">
        <is>
          <t>Carriage of Coarse sand</t>
        </is>
      </c>
      <c r="C1029" s="13" t="inlineStr">
        <is>
          <t>cum</t>
        </is>
      </c>
      <c r="D1029" s="15" t="n">
        <v>0.425</v>
      </c>
      <c r="E1029" s="16" t="n">
        <v>103.77</v>
      </c>
      <c r="F1029" s="16">
        <f>D1029*E1029</f>
        <v/>
      </c>
    </row>
    <row r="1030">
      <c r="A1030" s="13" t="inlineStr">
        <is>
          <t>0367</t>
        </is>
      </c>
      <c r="B1030" s="14" t="inlineStr">
        <is>
          <t>Portland Cement</t>
        </is>
      </c>
      <c r="C1030" s="13" t="inlineStr">
        <is>
          <t>tonne</t>
        </is>
      </c>
      <c r="D1030" s="15" t="n">
        <v>0.33</v>
      </c>
      <c r="E1030" s="16" t="n">
        <v>4940</v>
      </c>
      <c r="F1030" s="16">
        <f>D1030*E1030</f>
        <v/>
      </c>
    </row>
    <row r="1031">
      <c r="A1031" s="13" t="inlineStr">
        <is>
          <t>2209</t>
        </is>
      </c>
      <c r="B1031" s="14" t="inlineStr">
        <is>
          <t>Carriage of Cement</t>
        </is>
      </c>
      <c r="C1031" s="13" t="inlineStr">
        <is>
          <t>tonne</t>
        </is>
      </c>
      <c r="D1031" s="15" t="n">
        <v>0.33</v>
      </c>
      <c r="E1031" s="16" t="n">
        <v>92.23999999999999</v>
      </c>
      <c r="F1031" s="16">
        <f>D1031*E1031</f>
        <v/>
      </c>
    </row>
    <row r="1032">
      <c r="A1032" s="13" t="inlineStr">
        <is>
          <t>7318</t>
        </is>
      </c>
      <c r="B1032" s="14" t="inlineStr">
        <is>
          <t>Plasticizer / super plasticizer</t>
        </is>
      </c>
      <c r="C1032" s="13" t="inlineStr">
        <is>
          <t>kilogram</t>
        </is>
      </c>
      <c r="D1032" s="15" t="n">
        <v>1.65</v>
      </c>
      <c r="E1032" s="16" t="n">
        <v>36</v>
      </c>
      <c r="F1032" s="16">
        <f>D1032*E1032</f>
        <v/>
      </c>
    </row>
    <row r="1033">
      <c r="A1033" s="13" t="inlineStr">
        <is>
          <t>0004</t>
        </is>
      </c>
      <c r="B1033" s="14" t="inlineStr">
        <is>
          <t>Production cost of concrete by batch mix plant.</t>
        </is>
      </c>
      <c r="C1033" s="13" t="inlineStr">
        <is>
          <t>cum</t>
        </is>
      </c>
      <c r="D1033" s="15" t="n">
        <v>1</v>
      </c>
      <c r="E1033" s="16" t="n">
        <v>350</v>
      </c>
      <c r="F1033" s="16">
        <f>D1033*E1033</f>
        <v/>
      </c>
    </row>
    <row r="1034">
      <c r="A1034" s="13" t="inlineStr">
        <is>
          <t>0009</t>
        </is>
      </c>
      <c r="B1034" s="14" t="inlineStr">
        <is>
          <t>Pumping charges of concrete including Hire charges of pump, piping work &amp; accessories etc.</t>
        </is>
      </c>
      <c r="C1034" s="13" t="inlineStr">
        <is>
          <t>cum</t>
        </is>
      </c>
      <c r="D1034" s="15" t="n">
        <v>1</v>
      </c>
      <c r="E1034" s="16" t="n">
        <v>210</v>
      </c>
      <c r="F1034" s="16">
        <f>D1034*E1034</f>
        <v/>
      </c>
    </row>
    <row r="1035">
      <c r="A1035" s="13" t="inlineStr">
        <is>
          <t>0155</t>
        </is>
      </c>
      <c r="B1035" s="14" t="inlineStr">
        <is>
          <t>Mason (average)</t>
        </is>
      </c>
      <c r="C1035" s="13" t="inlineStr">
        <is>
          <t>day</t>
        </is>
      </c>
      <c r="D1035" s="15" t="n">
        <v>0.17</v>
      </c>
      <c r="E1035" s="16" t="n">
        <v>709</v>
      </c>
      <c r="F1035" s="16">
        <f>D1035*E1035</f>
        <v/>
      </c>
    </row>
    <row r="1036">
      <c r="A1036" s="13" t="inlineStr">
        <is>
          <t>0114</t>
        </is>
      </c>
      <c r="B1036" s="14" t="inlineStr">
        <is>
          <t>Beldar</t>
        </is>
      </c>
      <c r="C1036" s="13" t="inlineStr">
        <is>
          <t>day</t>
        </is>
      </c>
      <c r="D1036" s="15" t="n">
        <v>2</v>
      </c>
      <c r="E1036" s="16" t="n">
        <v>558</v>
      </c>
      <c r="F1036" s="16">
        <f>D1036*E1036</f>
        <v/>
      </c>
    </row>
    <row r="1037">
      <c r="A1037" s="13" t="inlineStr">
        <is>
          <t>0101</t>
        </is>
      </c>
      <c r="B1037" s="14" t="inlineStr">
        <is>
          <t>Bhisti</t>
        </is>
      </c>
      <c r="C1037" s="13" t="inlineStr">
        <is>
          <t>day</t>
        </is>
      </c>
      <c r="D1037" s="15" t="n">
        <v>0.9</v>
      </c>
      <c r="E1037" s="16" t="n">
        <v>617</v>
      </c>
      <c r="F1037" s="16">
        <f>D1037*E1037</f>
        <v/>
      </c>
    </row>
    <row r="1038">
      <c r="A1038" s="13" t="inlineStr">
        <is>
          <t>0012</t>
        </is>
      </c>
      <c r="B1038" s="14" t="inlineStr">
        <is>
          <t>Vibrator(Needle type 40mm)</t>
        </is>
      </c>
      <c r="C1038" s="13" t="inlineStr">
        <is>
          <t>day</t>
        </is>
      </c>
      <c r="D1038" s="15" t="n">
        <v>0.07000000000000001</v>
      </c>
      <c r="E1038" s="16" t="n">
        <v>370</v>
      </c>
      <c r="F1038" s="16">
        <f>D1038*E1038</f>
        <v/>
      </c>
    </row>
    <row r="1039">
      <c r="A1039" s="13" t="inlineStr">
        <is>
          <t>9999</t>
        </is>
      </c>
      <c r="B1039" s="14" t="inlineStr">
        <is>
          <t>Sundries</t>
        </is>
      </c>
      <c r="C1039" s="13" t="inlineStr">
        <is>
          <t>L.S.</t>
        </is>
      </c>
      <c r="D1039" s="15" t="n">
        <v>13</v>
      </c>
      <c r="E1039" s="16" t="n">
        <v>2</v>
      </c>
      <c r="F1039" s="16">
        <f>D1039*E1039</f>
        <v/>
      </c>
    </row>
    <row r="1040">
      <c r="A1040" s="17" t="inlineStr">
        <is>
          <t>Resource Total (Material + Labour + Machinery, as printed)</t>
        </is>
      </c>
      <c r="B1040" s="18" t="n"/>
      <c r="C1040" s="18" t="n"/>
      <c r="D1040" s="18" t="n"/>
      <c r="E1040" s="18" t="n"/>
      <c r="F1040" s="19">
        <f>SUM(F1025:F1039)</f>
        <v/>
      </c>
    </row>
    <row r="1041">
      <c r="A1041" s="20" t="inlineStr">
        <is>
          <t>SAY (Rs.) — final DAR rate</t>
        </is>
      </c>
      <c r="B1041" s="21" t="n"/>
      <c r="C1041" s="21" t="n"/>
      <c r="D1041" s="21" t="n"/>
      <c r="E1041" s="21" t="n"/>
      <c r="F1041" s="22" t="n">
        <v>7997.3</v>
      </c>
    </row>
    <row r="1043" ht="18" customHeight="1">
      <c r="A1043" s="9" t="inlineStr">
        <is>
          <t>5.33.2</t>
        </is>
      </c>
      <c r="B1043" s="10" t="inlineStr">
        <is>
          <t>All works above plinth level upto floor V level</t>
        </is>
      </c>
      <c r="C1043" s="11" t="n"/>
      <c r="D1043" s="11" t="n"/>
      <c r="E1043" s="11" t="n"/>
      <c r="F1043" s="11" t="n"/>
    </row>
    <row r="1044">
      <c r="A1044" s="12" t="inlineStr">
        <is>
          <t>Rate basis: per cum  (source: cost for 1 cum)</t>
        </is>
      </c>
    </row>
    <row r="1045">
      <c r="A1045" s="5" t="inlineStr">
        <is>
          <t>Code</t>
        </is>
      </c>
      <c r="B1045" s="5" t="inlineStr">
        <is>
          <t>Description</t>
        </is>
      </c>
      <c r="C1045" s="5" t="inlineStr">
        <is>
          <t>Unit</t>
        </is>
      </c>
      <c r="D1045" s="5" t="inlineStr">
        <is>
          <t>Quantity</t>
        </is>
      </c>
      <c r="E1045" s="5" t="inlineStr">
        <is>
          <t>Rate (Rs.)</t>
        </is>
      </c>
      <c r="F1045" s="5" t="inlineStr">
        <is>
          <t>Amount (Rs.)</t>
        </is>
      </c>
    </row>
    <row r="1046">
      <c r="A1046" s="13" t="inlineStr">
        <is>
          <t>0295</t>
        </is>
      </c>
      <c r="B1046" s="14" t="inlineStr">
        <is>
          <t>Stone Aggregate (Single size) : 20 mm nominal size</t>
        </is>
      </c>
      <c r="C1046" s="13" t="inlineStr">
        <is>
          <t>cum</t>
        </is>
      </c>
      <c r="D1046" s="15" t="n">
        <v>0.57</v>
      </c>
      <c r="E1046" s="16" t="n">
        <v>1350</v>
      </c>
      <c r="F1046" s="16">
        <f>D1046*E1046</f>
        <v/>
      </c>
    </row>
    <row r="1047">
      <c r="A1047" s="13" t="inlineStr">
        <is>
          <t>0297</t>
        </is>
      </c>
      <c r="B1047" s="14" t="inlineStr">
        <is>
          <t>Stone Aggregate (Single size) : 10 mm nominal size</t>
        </is>
      </c>
      <c r="C1047" s="13" t="inlineStr">
        <is>
          <t>cum</t>
        </is>
      </c>
      <c r="D1047" s="15" t="n">
        <v>0.28</v>
      </c>
      <c r="E1047" s="16" t="n">
        <v>1350</v>
      </c>
      <c r="F1047" s="16">
        <f>D1047*E1047</f>
        <v/>
      </c>
    </row>
    <row r="1048">
      <c r="A1048" s="13" t="inlineStr">
        <is>
          <t>2202</t>
        </is>
      </c>
      <c r="B1048" s="14" t="inlineStr">
        <is>
          <t>Carriage of Stone aggregate below 40 mm nominal size</t>
        </is>
      </c>
      <c r="C1048" s="13" t="inlineStr">
        <is>
          <t>cum</t>
        </is>
      </c>
      <c r="D1048" s="15" t="n">
        <v>0.85</v>
      </c>
      <c r="E1048" s="16" t="n">
        <v>103.77</v>
      </c>
      <c r="F1048" s="16">
        <f>D1048*E1048</f>
        <v/>
      </c>
    </row>
    <row r="1049">
      <c r="A1049" s="13" t="inlineStr">
        <is>
          <t>0982</t>
        </is>
      </c>
      <c r="B1049" s="14" t="inlineStr">
        <is>
          <t>Coarse sand (zone III)</t>
        </is>
      </c>
      <c r="C1049" s="13" t="inlineStr">
        <is>
          <t>cum</t>
        </is>
      </c>
      <c r="D1049" s="15" t="n">
        <v>0.425</v>
      </c>
      <c r="E1049" s="16" t="n">
        <v>1350</v>
      </c>
      <c r="F1049" s="16">
        <f>D1049*E1049</f>
        <v/>
      </c>
    </row>
    <row r="1050">
      <c r="A1050" s="13" t="inlineStr">
        <is>
          <t>2203</t>
        </is>
      </c>
      <c r="B1050" s="14" t="inlineStr">
        <is>
          <t>Carriage of Coarse sand</t>
        </is>
      </c>
      <c r="C1050" s="13" t="inlineStr">
        <is>
          <t>cum</t>
        </is>
      </c>
      <c r="D1050" s="15" t="n">
        <v>0.425</v>
      </c>
      <c r="E1050" s="16" t="n">
        <v>103.77</v>
      </c>
      <c r="F1050" s="16">
        <f>D1050*E1050</f>
        <v/>
      </c>
    </row>
    <row r="1051">
      <c r="A1051" s="13" t="inlineStr">
        <is>
          <t>0367</t>
        </is>
      </c>
      <c r="B1051" s="14" t="inlineStr">
        <is>
          <t>Portland cement</t>
        </is>
      </c>
      <c r="C1051" s="13" t="inlineStr">
        <is>
          <t>tonne</t>
        </is>
      </c>
      <c r="D1051" s="15" t="n">
        <v>0.33</v>
      </c>
      <c r="E1051" s="16" t="n">
        <v>4940</v>
      </c>
      <c r="F1051" s="16">
        <f>D1051*E1051</f>
        <v/>
      </c>
    </row>
    <row r="1052">
      <c r="A1052" s="13" t="inlineStr">
        <is>
          <t>2209</t>
        </is>
      </c>
      <c r="B1052" s="14" t="inlineStr">
        <is>
          <t>Carriage of Cement</t>
        </is>
      </c>
      <c r="C1052" s="13" t="inlineStr">
        <is>
          <t>tonne</t>
        </is>
      </c>
      <c r="D1052" s="15" t="n">
        <v>0.33</v>
      </c>
      <c r="E1052" s="16" t="n">
        <v>92.23999999999999</v>
      </c>
      <c r="F1052" s="16">
        <f>D1052*E1052</f>
        <v/>
      </c>
    </row>
    <row r="1053">
      <c r="A1053" s="13" t="inlineStr">
        <is>
          <t>7318</t>
        </is>
      </c>
      <c r="B1053" s="14" t="inlineStr">
        <is>
          <t>Plasticizer / super plasticizer</t>
        </is>
      </c>
      <c r="C1053" s="13" t="inlineStr">
        <is>
          <t>kilogram</t>
        </is>
      </c>
      <c r="D1053" s="15" t="n">
        <v>1.65</v>
      </c>
      <c r="E1053" s="16" t="n">
        <v>36</v>
      </c>
      <c r="F1053" s="16">
        <f>D1053*E1053</f>
        <v/>
      </c>
    </row>
    <row r="1054">
      <c r="A1054" s="13" t="inlineStr">
        <is>
          <t>0004</t>
        </is>
      </c>
      <c r="B1054" s="14" t="inlineStr">
        <is>
          <t>Production cost of concrete by batch mix plant.</t>
        </is>
      </c>
      <c r="C1054" s="13" t="inlineStr">
        <is>
          <t>cum</t>
        </is>
      </c>
      <c r="D1054" s="15" t="n">
        <v>1</v>
      </c>
      <c r="E1054" s="16" t="n">
        <v>350</v>
      </c>
      <c r="F1054" s="16">
        <f>D1054*E1054</f>
        <v/>
      </c>
    </row>
    <row r="1055">
      <c r="A1055" s="13" t="inlineStr">
        <is>
          <t>0009</t>
        </is>
      </c>
      <c r="B1055" s="14" t="inlineStr">
        <is>
          <t>Pumping charges of concrete including Hire charges of pump, piping work &amp; accessories etc.</t>
        </is>
      </c>
      <c r="C1055" s="13" t="inlineStr">
        <is>
          <t>cum</t>
        </is>
      </c>
      <c r="D1055" s="15" t="n">
        <v>1</v>
      </c>
      <c r="E1055" s="16" t="n">
        <v>210</v>
      </c>
      <c r="F1055" s="16">
        <f>D1055*E1055</f>
        <v/>
      </c>
    </row>
    <row r="1056">
      <c r="A1056" s="13" t="inlineStr">
        <is>
          <t>0155</t>
        </is>
      </c>
      <c r="B1056" s="14" t="inlineStr">
        <is>
          <t>Mason (average)</t>
        </is>
      </c>
      <c r="C1056" s="13" t="inlineStr">
        <is>
          <t>day</t>
        </is>
      </c>
      <c r="D1056" s="15" t="n">
        <v>0.17</v>
      </c>
      <c r="E1056" s="16" t="n">
        <v>709</v>
      </c>
      <c r="F1056" s="16">
        <f>D1056*E1056</f>
        <v/>
      </c>
    </row>
    <row r="1057">
      <c r="A1057" s="13" t="inlineStr">
        <is>
          <t>0114</t>
        </is>
      </c>
      <c r="B1057" s="14" t="inlineStr">
        <is>
          <t>Beldar</t>
        </is>
      </c>
      <c r="C1057" s="13" t="inlineStr">
        <is>
          <t>day</t>
        </is>
      </c>
      <c r="D1057" s="15" t="n">
        <v>2</v>
      </c>
      <c r="E1057" s="16" t="n">
        <v>558</v>
      </c>
      <c r="F1057" s="16">
        <f>D1057*E1057</f>
        <v/>
      </c>
    </row>
    <row r="1058">
      <c r="A1058" s="13" t="inlineStr">
        <is>
          <t>0101</t>
        </is>
      </c>
      <c r="B1058" s="14" t="inlineStr">
        <is>
          <t>Bhisti</t>
        </is>
      </c>
      <c r="C1058" s="13" t="inlineStr">
        <is>
          <t>day</t>
        </is>
      </c>
      <c r="D1058" s="15" t="n">
        <v>0.9</v>
      </c>
      <c r="E1058" s="16" t="n">
        <v>617</v>
      </c>
      <c r="F1058" s="16">
        <f>D1058*E1058</f>
        <v/>
      </c>
    </row>
    <row r="1059">
      <c r="A1059" s="13" t="inlineStr">
        <is>
          <t>0012</t>
        </is>
      </c>
      <c r="B1059" s="14" t="inlineStr">
        <is>
          <t>Vibrator(Needle type 40mm)</t>
        </is>
      </c>
      <c r="C1059" s="13" t="inlineStr">
        <is>
          <t>day</t>
        </is>
      </c>
      <c r="D1059" s="15" t="n">
        <v>0.07000000000000001</v>
      </c>
      <c r="E1059" s="16" t="n">
        <v>370</v>
      </c>
      <c r="F1059" s="16">
        <f>D1059*E1059</f>
        <v/>
      </c>
    </row>
    <row r="1060">
      <c r="A1060" s="13" t="inlineStr">
        <is>
          <t>9999</t>
        </is>
      </c>
      <c r="B1060" s="14" t="inlineStr">
        <is>
          <t>Sundries</t>
        </is>
      </c>
      <c r="C1060" s="13" t="inlineStr">
        <is>
          <t>L.S.</t>
        </is>
      </c>
      <c r="D1060" s="15" t="n">
        <v>13</v>
      </c>
      <c r="E1060" s="16" t="n">
        <v>2</v>
      </c>
      <c r="F1060" s="16">
        <f>D1060*E1060</f>
        <v/>
      </c>
    </row>
    <row r="1061">
      <c r="A1061" s="13" t="inlineStr">
        <is>
          <t>0115</t>
        </is>
      </c>
      <c r="B1061" s="14" t="inlineStr">
        <is>
          <t>Coolie</t>
        </is>
      </c>
      <c r="C1061" s="13" t="inlineStr">
        <is>
          <t>day</t>
        </is>
      </c>
      <c r="D1061" s="15" t="n">
        <v>1.88</v>
      </c>
      <c r="E1061" s="16" t="n">
        <v>558</v>
      </c>
      <c r="F1061" s="16">
        <f>D1061*E1061</f>
        <v/>
      </c>
    </row>
    <row r="1062">
      <c r="A1062" s="17" t="inlineStr">
        <is>
          <t>Resource Total (Material + Labour + Machinery, as printed)</t>
        </is>
      </c>
      <c r="B1062" s="18" t="n"/>
      <c r="C1062" s="18" t="n"/>
      <c r="D1062" s="18" t="n"/>
      <c r="E1062" s="18" t="n"/>
      <c r="F1062" s="19">
        <f>SUM(F1046:F1061)</f>
        <v/>
      </c>
    </row>
    <row r="1063">
      <c r="A1063" s="20" t="inlineStr">
        <is>
          <t>SAY (Rs.) — final DAR rate</t>
        </is>
      </c>
      <c r="B1063" s="21" t="n"/>
      <c r="C1063" s="21" t="n"/>
      <c r="D1063" s="21" t="n"/>
      <c r="E1063" s="21" t="n"/>
      <c r="F1063" s="22" t="n">
        <v>9400.85</v>
      </c>
    </row>
    <row r="1065" ht="28" customHeight="1">
      <c r="A1065" s="9" t="inlineStr">
        <is>
          <t>5.34.1</t>
        </is>
      </c>
      <c r="B1065" s="10" t="inlineStr">
        <is>
          <t>Providing M-30 grade concrete instead of M-25 grade BMC/ RMC. (Note:- Cement content considered in M-30 is @ 340 kg/cum)</t>
        </is>
      </c>
      <c r="C1065" s="11" t="n"/>
      <c r="D1065" s="11" t="n"/>
      <c r="E1065" s="11" t="n"/>
      <c r="F1065" s="11" t="n"/>
    </row>
    <row r="1066">
      <c r="A1066" s="12" t="inlineStr">
        <is>
          <t>Rate basis: per cum  (source: cost for 1 cum)</t>
        </is>
      </c>
    </row>
    <row r="1067">
      <c r="A1067" s="5" t="inlineStr">
        <is>
          <t>Code</t>
        </is>
      </c>
      <c r="B1067" s="5" t="inlineStr">
        <is>
          <t>Description</t>
        </is>
      </c>
      <c r="C1067" s="5" t="inlineStr">
        <is>
          <t>Unit</t>
        </is>
      </c>
      <c r="D1067" s="5" t="inlineStr">
        <is>
          <t>Quantity</t>
        </is>
      </c>
      <c r="E1067" s="5" t="inlineStr">
        <is>
          <t>Rate (Rs.)</t>
        </is>
      </c>
      <c r="F1067" s="5" t="inlineStr">
        <is>
          <t>Amount (Rs.)</t>
        </is>
      </c>
    </row>
    <row r="1068">
      <c r="A1068" s="13" t="inlineStr">
        <is>
          <t>0367</t>
        </is>
      </c>
      <c r="B1068" s="14" t="inlineStr">
        <is>
          <t>Portland Cement</t>
        </is>
      </c>
      <c r="C1068" s="13" t="inlineStr">
        <is>
          <t>tonne</t>
        </is>
      </c>
      <c r="D1068" s="15" t="n">
        <v>0.01</v>
      </c>
      <c r="E1068" s="16" t="n">
        <v>4940</v>
      </c>
      <c r="F1068" s="16">
        <f>D1068*E1068</f>
        <v/>
      </c>
    </row>
    <row r="1069">
      <c r="A1069" s="13" t="inlineStr">
        <is>
          <t>2209</t>
        </is>
      </c>
      <c r="B1069" s="14" t="inlineStr">
        <is>
          <t>Carriage of Cement</t>
        </is>
      </c>
      <c r="C1069" s="13" t="inlineStr">
        <is>
          <t>tonne</t>
        </is>
      </c>
      <c r="D1069" s="15" t="n">
        <v>0.01</v>
      </c>
      <c r="E1069" s="16" t="n">
        <v>92.23999999999999</v>
      </c>
      <c r="F1069" s="16">
        <f>D1069*E1069</f>
        <v/>
      </c>
    </row>
    <row r="1070">
      <c r="A1070" s="13" t="inlineStr">
        <is>
          <t>7318</t>
        </is>
      </c>
      <c r="B1070" s="14" t="inlineStr">
        <is>
          <t>Plasticizer / super plasticizer</t>
        </is>
      </c>
      <c r="C1070" s="13" t="inlineStr">
        <is>
          <t>kilogram</t>
        </is>
      </c>
      <c r="D1070" s="15" t="n">
        <v>0.05</v>
      </c>
      <c r="E1070" s="16" t="n">
        <v>36</v>
      </c>
      <c r="F1070" s="16">
        <f>D1070*E1070</f>
        <v/>
      </c>
    </row>
    <row r="1071">
      <c r="A1071" s="17" t="inlineStr">
        <is>
          <t>Resource Total (Material + Labour + Machinery, as printed)</t>
        </is>
      </c>
      <c r="B1071" s="18" t="n"/>
      <c r="C1071" s="18" t="n"/>
      <c r="D1071" s="18" t="n"/>
      <c r="E1071" s="18" t="n"/>
      <c r="F1071" s="19">
        <f>SUM(F1068:F1070)</f>
        <v/>
      </c>
    </row>
    <row r="1072">
      <c r="A1072" s="20" t="inlineStr">
        <is>
          <t>SAY (Rs.) — final DAR rate</t>
        </is>
      </c>
      <c r="B1072" s="21" t="n"/>
      <c r="C1072" s="21" t="n"/>
      <c r="D1072" s="21" t="n"/>
      <c r="E1072" s="21" t="n"/>
      <c r="F1072" s="22" t="n">
        <v>69.75</v>
      </c>
    </row>
    <row r="1074" ht="28" customHeight="1">
      <c r="A1074" s="9" t="inlineStr">
        <is>
          <t>5.34.2</t>
        </is>
      </c>
      <c r="B1074" s="10" t="inlineStr">
        <is>
          <t>Providing M-35 grade concrete instead of M-25 grade BMC/ RMC. (Note : Cement content considered in M-35 is @ 350 kg/ cum)</t>
        </is>
      </c>
      <c r="C1074" s="11" t="n"/>
      <c r="D1074" s="11" t="n"/>
      <c r="E1074" s="11" t="n"/>
      <c r="F1074" s="11" t="n"/>
    </row>
    <row r="1075">
      <c r="A1075" s="12" t="inlineStr">
        <is>
          <t>Rate basis: per cum  (source: cost for 1 cum)</t>
        </is>
      </c>
    </row>
    <row r="1076">
      <c r="A1076" s="5" t="inlineStr">
        <is>
          <t>Code</t>
        </is>
      </c>
      <c r="B1076" s="5" t="inlineStr">
        <is>
          <t>Description</t>
        </is>
      </c>
      <c r="C1076" s="5" t="inlineStr">
        <is>
          <t>Unit</t>
        </is>
      </c>
      <c r="D1076" s="5" t="inlineStr">
        <is>
          <t>Quantity</t>
        </is>
      </c>
      <c r="E1076" s="5" t="inlineStr">
        <is>
          <t>Rate (Rs.)</t>
        </is>
      </c>
      <c r="F1076" s="5" t="inlineStr">
        <is>
          <t>Amount (Rs.)</t>
        </is>
      </c>
    </row>
    <row r="1077">
      <c r="A1077" s="13" t="inlineStr">
        <is>
          <t>0367</t>
        </is>
      </c>
      <c r="B1077" s="14" t="inlineStr">
        <is>
          <t>Portland Cement</t>
        </is>
      </c>
      <c r="C1077" s="13" t="inlineStr">
        <is>
          <t>tonne</t>
        </is>
      </c>
      <c r="D1077" s="15" t="n">
        <v>0.02</v>
      </c>
      <c r="E1077" s="16" t="n">
        <v>4940</v>
      </c>
      <c r="F1077" s="16">
        <f>D1077*E1077</f>
        <v/>
      </c>
    </row>
    <row r="1078">
      <c r="A1078" s="13" t="inlineStr">
        <is>
          <t>2209</t>
        </is>
      </c>
      <c r="B1078" s="14" t="inlineStr">
        <is>
          <t>Carriage of Cement</t>
        </is>
      </c>
      <c r="C1078" s="13" t="inlineStr">
        <is>
          <t>tonne</t>
        </is>
      </c>
      <c r="D1078" s="15" t="n">
        <v>0.02</v>
      </c>
      <c r="E1078" s="16" t="n">
        <v>92.23999999999999</v>
      </c>
      <c r="F1078" s="16">
        <f>D1078*E1078</f>
        <v/>
      </c>
    </row>
    <row r="1079">
      <c r="A1079" s="13" t="inlineStr">
        <is>
          <t>7318</t>
        </is>
      </c>
      <c r="B1079" s="14" t="inlineStr">
        <is>
          <t>Plasticizer / super plasticizer</t>
        </is>
      </c>
      <c r="C1079" s="13" t="inlineStr">
        <is>
          <t>kilogram</t>
        </is>
      </c>
      <c r="D1079" s="15" t="n">
        <v>0.1</v>
      </c>
      <c r="E1079" s="16" t="n">
        <v>36</v>
      </c>
      <c r="F1079" s="16">
        <f>D1079*E1079</f>
        <v/>
      </c>
    </row>
    <row r="1080">
      <c r="A1080" s="17" t="inlineStr">
        <is>
          <t>Resource Total (Material + Labour + Machinery, as printed)</t>
        </is>
      </c>
      <c r="B1080" s="18" t="n"/>
      <c r="C1080" s="18" t="n"/>
      <c r="D1080" s="18" t="n"/>
      <c r="E1080" s="18" t="n"/>
      <c r="F1080" s="19">
        <f>SUM(F1077:F1079)</f>
        <v/>
      </c>
    </row>
    <row r="1081">
      <c r="A1081" s="20" t="inlineStr">
        <is>
          <t>SAY (Rs.) — final DAR rate</t>
        </is>
      </c>
      <c r="B1081" s="21" t="n"/>
      <c r="C1081" s="21" t="n"/>
      <c r="D1081" s="21" t="n"/>
      <c r="E1081" s="21" t="n"/>
      <c r="F1081" s="22" t="n">
        <v>139.45</v>
      </c>
    </row>
    <row r="1083" ht="28" customHeight="1">
      <c r="A1083" s="9" t="inlineStr">
        <is>
          <t>5.34.3</t>
        </is>
      </c>
      <c r="B1083" s="10" t="inlineStr">
        <is>
          <t>Providing M-40 grade concrete instead of M-25 grade BMC/ RMC.(Note : Cement content considered in M-40 is @ 360 kg/ cum)</t>
        </is>
      </c>
      <c r="C1083" s="11" t="n"/>
      <c r="D1083" s="11" t="n"/>
      <c r="E1083" s="11" t="n"/>
      <c r="F1083" s="11" t="n"/>
    </row>
    <row r="1084">
      <c r="A1084" s="12" t="inlineStr">
        <is>
          <t>Rate basis: per cum  (source: cost for 1 cum)</t>
        </is>
      </c>
    </row>
    <row r="1085">
      <c r="A1085" s="5" t="inlineStr">
        <is>
          <t>Code</t>
        </is>
      </c>
      <c r="B1085" s="5" t="inlineStr">
        <is>
          <t>Description</t>
        </is>
      </c>
      <c r="C1085" s="5" t="inlineStr">
        <is>
          <t>Unit</t>
        </is>
      </c>
      <c r="D1085" s="5" t="inlineStr">
        <is>
          <t>Quantity</t>
        </is>
      </c>
      <c r="E1085" s="5" t="inlineStr">
        <is>
          <t>Rate (Rs.)</t>
        </is>
      </c>
      <c r="F1085" s="5" t="inlineStr">
        <is>
          <t>Amount (Rs.)</t>
        </is>
      </c>
    </row>
    <row r="1086">
      <c r="A1086" s="13" t="inlineStr">
        <is>
          <t>0367</t>
        </is>
      </c>
      <c r="B1086" s="14" t="inlineStr">
        <is>
          <t>Portland Cement</t>
        </is>
      </c>
      <c r="C1086" s="13" t="inlineStr">
        <is>
          <t>tonne</t>
        </is>
      </c>
      <c r="D1086" s="15" t="n">
        <v>0.03</v>
      </c>
      <c r="E1086" s="16" t="n">
        <v>4940</v>
      </c>
      <c r="F1086" s="16">
        <f>D1086*E1086</f>
        <v/>
      </c>
    </row>
    <row r="1087">
      <c r="A1087" s="13" t="inlineStr">
        <is>
          <t>2209</t>
        </is>
      </c>
      <c r="B1087" s="14" t="inlineStr">
        <is>
          <t>Carriage of Cement</t>
        </is>
      </c>
      <c r="C1087" s="13" t="inlineStr">
        <is>
          <t>tonne</t>
        </is>
      </c>
      <c r="D1087" s="15" t="n">
        <v>0.03</v>
      </c>
      <c r="E1087" s="16" t="n">
        <v>92.23999999999999</v>
      </c>
      <c r="F1087" s="16">
        <f>D1087*E1087</f>
        <v/>
      </c>
    </row>
    <row r="1088">
      <c r="A1088" s="13" t="inlineStr">
        <is>
          <t>7318</t>
        </is>
      </c>
      <c r="B1088" s="14" t="inlineStr">
        <is>
          <t>Plasticizer / super plasticizer</t>
        </is>
      </c>
      <c r="C1088" s="13" t="inlineStr">
        <is>
          <t>kilogram</t>
        </is>
      </c>
      <c r="D1088" s="15" t="n">
        <v>0.15</v>
      </c>
      <c r="E1088" s="16" t="n">
        <v>36</v>
      </c>
      <c r="F1088" s="16">
        <f>D1088*E1088</f>
        <v/>
      </c>
    </row>
    <row r="1089">
      <c r="A1089" s="17" t="inlineStr">
        <is>
          <t>Resource Total (Material + Labour + Machinery, as printed)</t>
        </is>
      </c>
      <c r="B1089" s="18" t="n"/>
      <c r="C1089" s="18" t="n"/>
      <c r="D1089" s="18" t="n"/>
      <c r="E1089" s="18" t="n"/>
      <c r="F1089" s="19">
        <f>SUM(F1086:F1088)</f>
        <v/>
      </c>
    </row>
    <row r="1090">
      <c r="A1090" s="20" t="inlineStr">
        <is>
          <t>SAY (Rs.) — final DAR rate</t>
        </is>
      </c>
      <c r="B1090" s="21" t="n"/>
      <c r="C1090" s="21" t="n"/>
      <c r="D1090" s="21" t="n"/>
      <c r="E1090" s="21" t="n"/>
      <c r="F1090" s="22" t="n">
        <v>209.2</v>
      </c>
    </row>
    <row r="1092" ht="28" customHeight="1">
      <c r="A1092" s="9" t="inlineStr">
        <is>
          <t>5.35</t>
        </is>
      </c>
      <c r="B1092" s="10" t="inlineStr">
        <is>
          <t>Add for using extra cement in the items of design mix over and above the specified cement content therein.</t>
        </is>
      </c>
      <c r="C1092" s="11" t="n"/>
      <c r="D1092" s="11" t="n"/>
      <c r="E1092" s="11" t="n"/>
      <c r="F1092" s="11" t="n"/>
    </row>
    <row r="1093">
      <c r="A1093" s="12" t="inlineStr">
        <is>
          <t>Rate basis: per quintal  (source: cost for 1 quintal)</t>
        </is>
      </c>
    </row>
    <row r="1094">
      <c r="A1094" s="5" t="inlineStr">
        <is>
          <t>Code</t>
        </is>
      </c>
      <c r="B1094" s="5" t="inlineStr">
        <is>
          <t>Description</t>
        </is>
      </c>
      <c r="C1094" s="5" t="inlineStr">
        <is>
          <t>Unit</t>
        </is>
      </c>
      <c r="D1094" s="5" t="inlineStr">
        <is>
          <t>Quantity</t>
        </is>
      </c>
      <c r="E1094" s="5" t="inlineStr">
        <is>
          <t>Rate (Rs.)</t>
        </is>
      </c>
      <c r="F1094" s="5" t="inlineStr">
        <is>
          <t>Amount (Rs.)</t>
        </is>
      </c>
    </row>
    <row r="1095">
      <c r="A1095" s="13" t="inlineStr">
        <is>
          <t>0367</t>
        </is>
      </c>
      <c r="B1095" s="14" t="inlineStr">
        <is>
          <t>Portland Cement</t>
        </is>
      </c>
      <c r="C1095" s="13" t="inlineStr">
        <is>
          <t>tonne</t>
        </is>
      </c>
      <c r="D1095" s="15" t="n">
        <v>0.1</v>
      </c>
      <c r="E1095" s="16" t="n">
        <v>4940</v>
      </c>
      <c r="F1095" s="16">
        <f>D1095*E1095</f>
        <v/>
      </c>
    </row>
    <row r="1096">
      <c r="A1096" s="13" t="inlineStr">
        <is>
          <t>2209</t>
        </is>
      </c>
      <c r="B1096" s="14" t="inlineStr">
        <is>
          <t>Carriage of Cement</t>
        </is>
      </c>
      <c r="C1096" s="13" t="inlineStr">
        <is>
          <t>tonne</t>
        </is>
      </c>
      <c r="D1096" s="15" t="n">
        <v>0.1</v>
      </c>
      <c r="E1096" s="16" t="n">
        <v>92.23999999999999</v>
      </c>
      <c r="F1096" s="16">
        <f>D1096*E1096</f>
        <v/>
      </c>
    </row>
    <row r="1097">
      <c r="A1097" s="17" t="inlineStr">
        <is>
          <t>Resource Total (Material + Labour + Machinery, as printed)</t>
        </is>
      </c>
      <c r="B1097" s="18" t="n"/>
      <c r="C1097" s="18" t="n"/>
      <c r="D1097" s="18" t="n"/>
      <c r="E1097" s="18" t="n"/>
      <c r="F1097" s="19">
        <f>SUM(F1095:F1096)</f>
        <v/>
      </c>
    </row>
    <row r="1098">
      <c r="A1098" s="20" t="inlineStr">
        <is>
          <t>SAY (Rs.) — final DAR rate</t>
        </is>
      </c>
      <c r="B1098" s="21" t="n"/>
      <c r="C1098" s="21" t="n"/>
      <c r="D1098" s="21" t="n"/>
      <c r="E1098" s="21" t="n"/>
      <c r="F1098" s="22" t="n">
        <v>673.3</v>
      </c>
    </row>
    <row r="1100" ht="28" customHeight="1">
      <c r="A1100" s="9" t="inlineStr">
        <is>
          <t>5.36</t>
        </is>
      </c>
      <c r="B1100" s="10" t="inlineStr">
        <is>
          <t>Providing and placing in position precast reinforced cement concrete waffle units, square or rectangular, as per design and shape for floors</t>
        </is>
      </c>
      <c r="C1100" s="11" t="n"/>
      <c r="D1100" s="11" t="n"/>
      <c r="E1100" s="11" t="n"/>
      <c r="F1100" s="11" t="n"/>
    </row>
    <row r="1101">
      <c r="A1101" s="12" t="inlineStr">
        <is>
          <t>Rate basis: per cum  (source: cost for 1.38 cum)</t>
        </is>
      </c>
    </row>
    <row r="1102">
      <c r="A1102" s="5" t="inlineStr">
        <is>
          <t>Code</t>
        </is>
      </c>
      <c r="B1102" s="5" t="inlineStr">
        <is>
          <t>Description</t>
        </is>
      </c>
      <c r="C1102" s="5" t="inlineStr">
        <is>
          <t>Unit</t>
        </is>
      </c>
      <c r="D1102" s="5" t="inlineStr">
        <is>
          <t>Quantity</t>
        </is>
      </c>
      <c r="E1102" s="5" t="inlineStr">
        <is>
          <t>Rate (Rs.)</t>
        </is>
      </c>
      <c r="F1102" s="5" t="inlineStr">
        <is>
          <t>Amount (Rs.)</t>
        </is>
      </c>
    </row>
    <row r="1103">
      <c r="A1103" s="13" t="inlineStr">
        <is>
          <t>5.2.2</t>
        </is>
      </c>
      <c r="B1103" s="14" t="inlineStr">
        <is>
          <t>Rate as per SH: 5.2.2</t>
        </is>
      </c>
      <c r="C1103" s="13" t="inlineStr">
        <is>
          <t>cum</t>
        </is>
      </c>
      <c r="D1103" s="15" t="n">
        <v>1.38</v>
      </c>
      <c r="E1103" s="16" t="n">
        <v>9306</v>
      </c>
      <c r="F1103" s="16">
        <f>D1103*E1103</f>
        <v/>
      </c>
    </row>
    <row r="1104">
      <c r="A1104" s="13" t="inlineStr">
        <is>
          <t>5.9.15</t>
        </is>
      </c>
      <c r="B1104" s="14" t="inlineStr">
        <is>
          <t>Rate as per SH: 5.9.15</t>
        </is>
      </c>
      <c r="C1104" s="13" t="inlineStr">
        <is>
          <t>sqm</t>
        </is>
      </c>
      <c r="D1104" s="15" t="n">
        <v>45.86</v>
      </c>
      <c r="E1104" s="16" t="n">
        <v>284.85</v>
      </c>
      <c r="F1104" s="16">
        <f>D1104*E1104</f>
        <v/>
      </c>
    </row>
    <row r="1105">
      <c r="A1105" s="13" t="inlineStr">
        <is>
          <t>10.2</t>
        </is>
      </c>
      <c r="B1105" s="14" t="inlineStr">
        <is>
          <t>Rate as per SH: 10.2</t>
        </is>
      </c>
      <c r="C1105" s="13" t="inlineStr">
        <is>
          <t>kg</t>
        </is>
      </c>
      <c r="D1105" s="15" t="n">
        <v>9</v>
      </c>
      <c r="E1105" s="16" t="n">
        <v>101.75</v>
      </c>
      <c r="F1105" s="16">
        <f>D1105*E1105</f>
        <v/>
      </c>
    </row>
    <row r="1106">
      <c r="A1106" s="13" t="inlineStr">
        <is>
          <t>13.35.1</t>
        </is>
      </c>
      <c r="B1106" s="14" t="inlineStr">
        <is>
          <t>Rate as per SH: 13.35.1</t>
        </is>
      </c>
      <c r="C1106" s="13" t="inlineStr">
        <is>
          <t>sqm</t>
        </is>
      </c>
      <c r="D1106" s="15" t="n">
        <v>16.54</v>
      </c>
      <c r="E1106" s="16" t="n">
        <v>159</v>
      </c>
      <c r="F1106" s="16">
        <f>D1106*E1106</f>
        <v/>
      </c>
    </row>
    <row r="1107">
      <c r="A1107" s="13" t="inlineStr">
        <is>
          <t>9988</t>
        </is>
      </c>
      <c r="B1107" s="14" t="inlineStr">
        <is>
          <t>(iii) 10mm dia. Bolts 60mm long with nuts and washers 2x2 = 4 Nos. including carriage of bolts</t>
        </is>
      </c>
      <c r="C1107" s="13" t="inlineStr">
        <is>
          <t>L.S.</t>
        </is>
      </c>
      <c r="D1107" s="15" t="n">
        <v>13</v>
      </c>
      <c r="E1107" s="16" t="n">
        <v>2</v>
      </c>
      <c r="F1107" s="16">
        <f>D1107*E1107</f>
        <v/>
      </c>
    </row>
    <row r="1108">
      <c r="A1108" s="13" t="inlineStr">
        <is>
          <t>9999</t>
        </is>
      </c>
      <c r="B1108" s="14" t="inlineStr">
        <is>
          <t>Sundries</t>
        </is>
      </c>
      <c r="C1108" s="13" t="inlineStr">
        <is>
          <t>L.S.</t>
        </is>
      </c>
      <c r="D1108" s="15" t="n">
        <v>79.95</v>
      </c>
      <c r="E1108" s="16" t="n">
        <v>2</v>
      </c>
      <c r="F1108" s="16">
        <f>D1108*E1108</f>
        <v/>
      </c>
    </row>
    <row r="1109">
      <c r="A1109" s="13" t="inlineStr">
        <is>
          <t>0126</t>
        </is>
      </c>
      <c r="B1109" s="14" t="inlineStr">
        <is>
          <t>Mason (for ornamental stone work) 1st class</t>
        </is>
      </c>
      <c r="C1109" s="13" t="inlineStr">
        <is>
          <t>day</t>
        </is>
      </c>
      <c r="D1109" s="15" t="n">
        <v>1</v>
      </c>
      <c r="E1109" s="16" t="n">
        <v>738</v>
      </c>
      <c r="F1109" s="16">
        <f>D1109*E1109</f>
        <v/>
      </c>
    </row>
    <row r="1110">
      <c r="A1110" s="13" t="inlineStr">
        <is>
          <t>0114</t>
        </is>
      </c>
      <c r="B1110" s="14" t="inlineStr">
        <is>
          <t>Beldar</t>
        </is>
      </c>
      <c r="C1110" s="13" t="inlineStr">
        <is>
          <t>day</t>
        </is>
      </c>
      <c r="D1110" s="15" t="n">
        <v>6</v>
      </c>
      <c r="E1110" s="16" t="n">
        <v>558</v>
      </c>
      <c r="F1110" s="16">
        <f>D1110*E1110</f>
        <v/>
      </c>
    </row>
    <row r="1111">
      <c r="A1111" s="17" t="inlineStr">
        <is>
          <t>Resource Total (Material + Labour + Machinery, as printed)</t>
        </is>
      </c>
      <c r="B1111" s="18" t="n"/>
      <c r="C1111" s="18" t="n"/>
      <c r="D1111" s="18" t="n"/>
      <c r="E1111" s="18" t="n"/>
      <c r="F1111" s="19">
        <f>SUM(F1103:F1110)</f>
        <v/>
      </c>
    </row>
    <row r="1112">
      <c r="A1112" s="20" t="inlineStr">
        <is>
          <t>SAY (Rs.) — final DAR rate</t>
        </is>
      </c>
      <c r="B1112" s="21" t="n"/>
      <c r="C1112" s="21" t="n"/>
      <c r="D1112" s="21" t="n"/>
      <c r="E1112" s="21" t="n"/>
      <c r="F1112" s="22" t="n">
        <v>25483.1</v>
      </c>
    </row>
    <row r="1114" ht="18" customHeight="1">
      <c r="A1114" s="9" t="inlineStr">
        <is>
          <t>5.37.1</t>
        </is>
      </c>
      <c r="B1114" s="10" t="inlineStr">
        <is>
          <t>All works upto plinth level</t>
        </is>
      </c>
      <c r="C1114" s="11" t="n"/>
      <c r="D1114" s="11" t="n"/>
      <c r="E1114" s="11" t="n"/>
      <c r="F1114" s="11" t="n"/>
    </row>
    <row r="1115">
      <c r="A1115" s="12" t="inlineStr">
        <is>
          <t>Rate basis: per cum  (source: cost for 1 cum)</t>
        </is>
      </c>
    </row>
    <row r="1116">
      <c r="A1116" s="5" t="inlineStr">
        <is>
          <t>Code</t>
        </is>
      </c>
      <c r="B1116" s="5" t="inlineStr">
        <is>
          <t>Description</t>
        </is>
      </c>
      <c r="C1116" s="5" t="inlineStr">
        <is>
          <t>Unit</t>
        </is>
      </c>
      <c r="D1116" s="5" t="inlineStr">
        <is>
          <t>Quantity</t>
        </is>
      </c>
      <c r="E1116" s="5" t="inlineStr">
        <is>
          <t>Rate (Rs.)</t>
        </is>
      </c>
      <c r="F1116" s="5" t="inlineStr">
        <is>
          <t>Amount (Rs.)</t>
        </is>
      </c>
    </row>
    <row r="1117">
      <c r="A1117" s="13" t="inlineStr">
        <is>
          <t>0295</t>
        </is>
      </c>
      <c r="B1117" s="14" t="inlineStr">
        <is>
          <t>Stone Aggregate (Single size) : 20 mm nominal size</t>
        </is>
      </c>
      <c r="C1117" s="13" t="inlineStr">
        <is>
          <t>cum</t>
        </is>
      </c>
      <c r="D1117" s="15" t="n">
        <v>0.57</v>
      </c>
      <c r="E1117" s="16" t="n">
        <v>1350</v>
      </c>
      <c r="F1117" s="16">
        <f>D1117*E1117</f>
        <v/>
      </c>
    </row>
    <row r="1118">
      <c r="A1118" s="13" t="inlineStr">
        <is>
          <t>0297</t>
        </is>
      </c>
      <c r="B1118" s="14" t="inlineStr">
        <is>
          <t>Stone Aggregate (Single size) : 10 mm nominal size</t>
        </is>
      </c>
      <c r="C1118" s="13" t="inlineStr">
        <is>
          <t>cum</t>
        </is>
      </c>
      <c r="D1118" s="15" t="n">
        <v>0.28</v>
      </c>
      <c r="E1118" s="16" t="n">
        <v>1350</v>
      </c>
      <c r="F1118" s="16">
        <f>D1118*E1118</f>
        <v/>
      </c>
    </row>
    <row r="1119">
      <c r="A1119" s="13" t="inlineStr">
        <is>
          <t>2202</t>
        </is>
      </c>
      <c r="B1119" s="14" t="inlineStr">
        <is>
          <t>Carriage of Stone aggregate below 40 mm nominal size</t>
        </is>
      </c>
      <c r="C1119" s="13" t="inlineStr">
        <is>
          <t>cum</t>
        </is>
      </c>
      <c r="D1119" s="15" t="n">
        <v>0.85</v>
      </c>
      <c r="E1119" s="16" t="n">
        <v>103.77</v>
      </c>
      <c r="F1119" s="16">
        <f>D1119*E1119</f>
        <v/>
      </c>
    </row>
    <row r="1120">
      <c r="A1120" s="13" t="inlineStr">
        <is>
          <t>0982</t>
        </is>
      </c>
      <c r="B1120" s="14" t="inlineStr">
        <is>
          <t>Coarse sand (zone III)</t>
        </is>
      </c>
      <c r="C1120" s="13" t="inlineStr">
        <is>
          <t>cum</t>
        </is>
      </c>
      <c r="D1120" s="15" t="n">
        <v>0.425</v>
      </c>
      <c r="E1120" s="16" t="n">
        <v>1350</v>
      </c>
      <c r="F1120" s="16">
        <f>D1120*E1120</f>
        <v/>
      </c>
    </row>
    <row r="1121">
      <c r="A1121" s="13" t="inlineStr">
        <is>
          <t>2203</t>
        </is>
      </c>
      <c r="B1121" s="14" t="inlineStr">
        <is>
          <t>Carriage of Coarse sand</t>
        </is>
      </c>
      <c r="C1121" s="13" t="inlineStr">
        <is>
          <t>cum</t>
        </is>
      </c>
      <c r="D1121" s="15" t="n">
        <v>0.425</v>
      </c>
      <c r="E1121" s="16" t="n">
        <v>103.77</v>
      </c>
      <c r="F1121" s="16">
        <f>D1121*E1121</f>
        <v/>
      </c>
    </row>
    <row r="1122">
      <c r="A1122" s="13" t="inlineStr">
        <is>
          <t>0367</t>
        </is>
      </c>
      <c r="B1122" s="14" t="inlineStr">
        <is>
          <t>Portland Cement</t>
        </is>
      </c>
      <c r="C1122" s="13" t="inlineStr">
        <is>
          <t>tonne</t>
        </is>
      </c>
      <c r="D1122" s="15" t="n">
        <v>0.33</v>
      </c>
      <c r="E1122" s="16" t="n">
        <v>4940</v>
      </c>
      <c r="F1122" s="16">
        <f>D1122*E1122</f>
        <v/>
      </c>
    </row>
    <row r="1123">
      <c r="A1123" s="13" t="inlineStr">
        <is>
          <t>2209</t>
        </is>
      </c>
      <c r="B1123" s="14" t="inlineStr">
        <is>
          <t>Carriage of Cement</t>
        </is>
      </c>
      <c r="C1123" s="13" t="inlineStr">
        <is>
          <t>tonne</t>
        </is>
      </c>
      <c r="D1123" s="15" t="n">
        <v>0.33</v>
      </c>
      <c r="E1123" s="16" t="n">
        <v>92.23999999999999</v>
      </c>
      <c r="F1123" s="16">
        <f>D1123*E1123</f>
        <v/>
      </c>
    </row>
    <row r="1124">
      <c r="A1124" s="13" t="inlineStr">
        <is>
          <t>7318</t>
        </is>
      </c>
      <c r="B1124" s="14" t="inlineStr">
        <is>
          <t>Plasticizer / super plasticizer</t>
        </is>
      </c>
      <c r="C1124" s="13" t="inlineStr">
        <is>
          <t>kilogram</t>
        </is>
      </c>
      <c r="D1124" s="15" t="n">
        <v>1.65</v>
      </c>
      <c r="E1124" s="16" t="n">
        <v>36</v>
      </c>
      <c r="F1124" s="16">
        <f>D1124*E1124</f>
        <v/>
      </c>
    </row>
    <row r="1125">
      <c r="A1125" s="13" t="inlineStr">
        <is>
          <t>0004</t>
        </is>
      </c>
      <c r="B1125" s="14" t="inlineStr">
        <is>
          <t>Production cost of concrete by batch mix plant.</t>
        </is>
      </c>
      <c r="C1125" s="13" t="inlineStr">
        <is>
          <t>cum</t>
        </is>
      </c>
      <c r="D1125" s="15" t="n">
        <v>1</v>
      </c>
      <c r="E1125" s="16" t="n">
        <v>350</v>
      </c>
      <c r="F1125" s="16">
        <f>D1125*E1125</f>
        <v/>
      </c>
    </row>
    <row r="1126">
      <c r="A1126" s="13" t="inlineStr">
        <is>
          <t>0029</t>
        </is>
      </c>
      <c r="B1126" s="14" t="inlineStr">
        <is>
          <t>Carriage of concrete by transit mixer. km/</t>
        </is>
      </c>
      <c r="C1126" s="13" t="inlineStr">
        <is>
          <t>cum</t>
        </is>
      </c>
      <c r="D1126" s="15" t="n">
        <v>10</v>
      </c>
      <c r="E1126" s="16" t="n">
        <v>30</v>
      </c>
      <c r="F1126" s="16">
        <f>D1126*E1126</f>
        <v/>
      </c>
    </row>
    <row r="1127">
      <c r="A1127" s="13" t="inlineStr">
        <is>
          <t>0009</t>
        </is>
      </c>
      <c r="B1127" s="14" t="inlineStr">
        <is>
          <t>Pumping charges of concrete including Hire charges of pump, piping work &amp; accessories etc.</t>
        </is>
      </c>
      <c r="C1127" s="13" t="inlineStr">
        <is>
          <t>cum</t>
        </is>
      </c>
      <c r="D1127" s="15" t="n">
        <v>1</v>
      </c>
      <c r="E1127" s="16" t="n">
        <v>210</v>
      </c>
      <c r="F1127" s="16">
        <f>D1127*E1127</f>
        <v/>
      </c>
    </row>
    <row r="1128">
      <c r="A1128" s="13" t="inlineStr">
        <is>
          <t>0155</t>
        </is>
      </c>
      <c r="B1128" s="14" t="inlineStr">
        <is>
          <t>Mason (average)</t>
        </is>
      </c>
      <c r="C1128" s="13" t="inlineStr">
        <is>
          <t>day</t>
        </is>
      </c>
      <c r="D1128" s="15" t="n">
        <v>0.17</v>
      </c>
      <c r="E1128" s="16" t="n">
        <v>709</v>
      </c>
      <c r="F1128" s="16">
        <f>D1128*E1128</f>
        <v/>
      </c>
    </row>
    <row r="1129">
      <c r="A1129" s="13" t="inlineStr">
        <is>
          <t>0114</t>
        </is>
      </c>
      <c r="B1129" s="14" t="inlineStr">
        <is>
          <t>Beldar</t>
        </is>
      </c>
      <c r="C1129" s="13" t="inlineStr">
        <is>
          <t>day</t>
        </is>
      </c>
      <c r="D1129" s="15" t="n">
        <v>2</v>
      </c>
      <c r="E1129" s="16" t="n">
        <v>558</v>
      </c>
      <c r="F1129" s="16">
        <f>D1129*E1129</f>
        <v/>
      </c>
    </row>
    <row r="1130">
      <c r="A1130" s="13" t="inlineStr">
        <is>
          <t>0101</t>
        </is>
      </c>
      <c r="B1130" s="14" t="inlineStr">
        <is>
          <t>Bhisti</t>
        </is>
      </c>
      <c r="C1130" s="13" t="inlineStr">
        <is>
          <t>day</t>
        </is>
      </c>
      <c r="D1130" s="15" t="n">
        <v>0.9</v>
      </c>
      <c r="E1130" s="16" t="n">
        <v>617</v>
      </c>
      <c r="F1130" s="16">
        <f>D1130*E1130</f>
        <v/>
      </c>
    </row>
    <row r="1131">
      <c r="A1131" s="13" t="inlineStr">
        <is>
          <t>0012</t>
        </is>
      </c>
      <c r="B1131" s="14" t="inlineStr">
        <is>
          <t>Vibrator(Needle type 40mm)</t>
        </is>
      </c>
      <c r="C1131" s="13" t="inlineStr">
        <is>
          <t>day</t>
        </is>
      </c>
      <c r="D1131" s="15" t="n">
        <v>0.07000000000000001</v>
      </c>
      <c r="E1131" s="16" t="n">
        <v>370</v>
      </c>
      <c r="F1131" s="16">
        <f>D1131*E1131</f>
        <v/>
      </c>
    </row>
    <row r="1132">
      <c r="A1132" s="13" t="inlineStr">
        <is>
          <t>9999</t>
        </is>
      </c>
      <c r="B1132" s="14" t="inlineStr">
        <is>
          <t>Sundries</t>
        </is>
      </c>
      <c r="C1132" s="13" t="inlineStr">
        <is>
          <t>L.S.</t>
        </is>
      </c>
      <c r="D1132" s="15" t="n">
        <v>13</v>
      </c>
      <c r="E1132" s="16" t="n">
        <v>2</v>
      </c>
      <c r="F1132" s="16">
        <f>D1132*E1132</f>
        <v/>
      </c>
    </row>
    <row r="1133">
      <c r="A1133" s="17" t="inlineStr">
        <is>
          <t>Resource Total (Material + Labour + Machinery, as printed)</t>
        </is>
      </c>
      <c r="B1133" s="18" t="n"/>
      <c r="C1133" s="18" t="n"/>
      <c r="D1133" s="18" t="n"/>
      <c r="E1133" s="18" t="n"/>
      <c r="F1133" s="19">
        <f>SUM(F1117:F1132)</f>
        <v/>
      </c>
    </row>
    <row r="1134">
      <c r="A1134" s="20" t="inlineStr">
        <is>
          <t>SAY (Rs.) — final DAR rate</t>
        </is>
      </c>
      <c r="B1134" s="21" t="n"/>
      <c r="C1134" s="21" t="n"/>
      <c r="D1134" s="21" t="n"/>
      <c r="E1134" s="21" t="n"/>
      <c r="F1134" s="22" t="n">
        <v>8398.65</v>
      </c>
    </row>
    <row r="1136" ht="18" customHeight="1">
      <c r="A1136" s="9" t="inlineStr">
        <is>
          <t>5.37.2</t>
        </is>
      </c>
      <c r="B1136" s="10" t="inlineStr">
        <is>
          <t>All works above plinth level upto floor V level</t>
        </is>
      </c>
      <c r="C1136" s="11" t="n"/>
      <c r="D1136" s="11" t="n"/>
      <c r="E1136" s="11" t="n"/>
      <c r="F1136" s="11" t="n"/>
    </row>
    <row r="1137">
      <c r="A1137" s="12" t="inlineStr">
        <is>
          <t>Rate basis: per cum  (source: cost for 1 cum)</t>
        </is>
      </c>
    </row>
    <row r="1138">
      <c r="A1138" s="5" t="inlineStr">
        <is>
          <t>Code</t>
        </is>
      </c>
      <c r="B1138" s="5" t="inlineStr">
        <is>
          <t>Description</t>
        </is>
      </c>
      <c r="C1138" s="5" t="inlineStr">
        <is>
          <t>Unit</t>
        </is>
      </c>
      <c r="D1138" s="5" t="inlineStr">
        <is>
          <t>Quantity</t>
        </is>
      </c>
      <c r="E1138" s="5" t="inlineStr">
        <is>
          <t>Rate (Rs.)</t>
        </is>
      </c>
      <c r="F1138" s="5" t="inlineStr">
        <is>
          <t>Amount (Rs.)</t>
        </is>
      </c>
    </row>
    <row r="1139">
      <c r="A1139" s="13" t="inlineStr">
        <is>
          <t>0295</t>
        </is>
      </c>
      <c r="B1139" s="14" t="inlineStr">
        <is>
          <t>Stone Aggregate (Single size) : 20 mm nominal size</t>
        </is>
      </c>
      <c r="C1139" s="13" t="inlineStr">
        <is>
          <t>cum</t>
        </is>
      </c>
      <c r="D1139" s="15" t="n">
        <v>0.57</v>
      </c>
      <c r="E1139" s="16" t="n">
        <v>1350</v>
      </c>
      <c r="F1139" s="16">
        <f>D1139*E1139</f>
        <v/>
      </c>
    </row>
    <row r="1140">
      <c r="A1140" s="13" t="inlineStr">
        <is>
          <t>0297</t>
        </is>
      </c>
      <c r="B1140" s="14" t="inlineStr">
        <is>
          <t>Stone Aggregate (Single size) : 10 mm nominal size</t>
        </is>
      </c>
      <c r="C1140" s="13" t="inlineStr">
        <is>
          <t>cum</t>
        </is>
      </c>
      <c r="D1140" s="15" t="n">
        <v>0.28</v>
      </c>
      <c r="E1140" s="16" t="n">
        <v>1350</v>
      </c>
      <c r="F1140" s="16">
        <f>D1140*E1140</f>
        <v/>
      </c>
    </row>
    <row r="1141">
      <c r="A1141" s="13" t="inlineStr">
        <is>
          <t>2202</t>
        </is>
      </c>
      <c r="B1141" s="14" t="inlineStr">
        <is>
          <t>Carriage of Stone aggregate below 40 mm nominal size</t>
        </is>
      </c>
      <c r="C1141" s="13" t="inlineStr">
        <is>
          <t>cum</t>
        </is>
      </c>
      <c r="D1141" s="15" t="n">
        <v>0.85</v>
      </c>
      <c r="E1141" s="16" t="n">
        <v>103.77</v>
      </c>
      <c r="F1141" s="16">
        <f>D1141*E1141</f>
        <v/>
      </c>
    </row>
    <row r="1142">
      <c r="A1142" s="13" t="inlineStr">
        <is>
          <t>0982</t>
        </is>
      </c>
      <c r="B1142" s="14" t="inlineStr">
        <is>
          <t>Coarse sand (zone III)</t>
        </is>
      </c>
      <c r="C1142" s="13" t="inlineStr">
        <is>
          <t>cum</t>
        </is>
      </c>
      <c r="D1142" s="15" t="n">
        <v>0.425</v>
      </c>
      <c r="E1142" s="16" t="n">
        <v>1350</v>
      </c>
      <c r="F1142" s="16">
        <f>D1142*E1142</f>
        <v/>
      </c>
    </row>
    <row r="1143">
      <c r="A1143" s="13" t="inlineStr">
        <is>
          <t>2203</t>
        </is>
      </c>
      <c r="B1143" s="14" t="inlineStr">
        <is>
          <t>Carriage of Coarse sand</t>
        </is>
      </c>
      <c r="C1143" s="13" t="inlineStr">
        <is>
          <t>cum</t>
        </is>
      </c>
      <c r="D1143" s="15" t="n">
        <v>0.425</v>
      </c>
      <c r="E1143" s="16" t="n">
        <v>103.77</v>
      </c>
      <c r="F1143" s="16">
        <f>D1143*E1143</f>
        <v/>
      </c>
    </row>
    <row r="1144">
      <c r="A1144" s="13" t="inlineStr">
        <is>
          <t>0367</t>
        </is>
      </c>
      <c r="B1144" s="14" t="inlineStr">
        <is>
          <t>Portland Cement</t>
        </is>
      </c>
      <c r="C1144" s="13" t="inlineStr">
        <is>
          <t>tonne</t>
        </is>
      </c>
      <c r="D1144" s="15" t="n">
        <v>0.33</v>
      </c>
      <c r="E1144" s="16" t="n">
        <v>4940</v>
      </c>
      <c r="F1144" s="16">
        <f>D1144*E1144</f>
        <v/>
      </c>
    </row>
    <row r="1145">
      <c r="A1145" s="13" t="inlineStr">
        <is>
          <t>2209</t>
        </is>
      </c>
      <c r="B1145" s="14" t="inlineStr">
        <is>
          <t>Carriage of Cement</t>
        </is>
      </c>
      <c r="C1145" s="13" t="inlineStr">
        <is>
          <t>tonne</t>
        </is>
      </c>
      <c r="D1145" s="15" t="n">
        <v>0.33</v>
      </c>
      <c r="E1145" s="16" t="n">
        <v>92.23999999999999</v>
      </c>
      <c r="F1145" s="16">
        <f>D1145*E1145</f>
        <v/>
      </c>
    </row>
    <row r="1146">
      <c r="A1146" s="13" t="inlineStr">
        <is>
          <t>7318</t>
        </is>
      </c>
      <c r="B1146" s="14" t="inlineStr">
        <is>
          <t>Plasticizer / super plasticizer</t>
        </is>
      </c>
      <c r="C1146" s="13" t="inlineStr">
        <is>
          <t>kilogram</t>
        </is>
      </c>
      <c r="D1146" s="15" t="n">
        <v>1.65</v>
      </c>
      <c r="E1146" s="16" t="n">
        <v>36</v>
      </c>
      <c r="F1146" s="16">
        <f>D1146*E1146</f>
        <v/>
      </c>
    </row>
    <row r="1147">
      <c r="A1147" s="13" t="inlineStr">
        <is>
          <t>0004</t>
        </is>
      </c>
      <c r="B1147" s="14" t="inlineStr">
        <is>
          <t>Production cost of concrete by batch mix plant.</t>
        </is>
      </c>
      <c r="C1147" s="13" t="inlineStr">
        <is>
          <t>cum</t>
        </is>
      </c>
      <c r="D1147" s="15" t="n">
        <v>1</v>
      </c>
      <c r="E1147" s="16" t="n">
        <v>350</v>
      </c>
      <c r="F1147" s="16">
        <f>D1147*E1147</f>
        <v/>
      </c>
    </row>
    <row r="1148">
      <c r="A1148" s="13" t="inlineStr">
        <is>
          <t>0029</t>
        </is>
      </c>
      <c r="B1148" s="14" t="inlineStr">
        <is>
          <t>Carriage of concrete by transit mixer. km/</t>
        </is>
      </c>
      <c r="C1148" s="13" t="inlineStr">
        <is>
          <t>cum</t>
        </is>
      </c>
      <c r="D1148" s="15" t="n">
        <v>10</v>
      </c>
      <c r="E1148" s="16" t="n">
        <v>30</v>
      </c>
      <c r="F1148" s="16">
        <f>D1148*E1148</f>
        <v/>
      </c>
    </row>
    <row r="1149">
      <c r="A1149" s="13" t="inlineStr">
        <is>
          <t>0009</t>
        </is>
      </c>
      <c r="B1149" s="14" t="inlineStr">
        <is>
          <t>Pumping charges of concrete including Hire charges of pump, piping work &amp; accessories etc.</t>
        </is>
      </c>
      <c r="C1149" s="13" t="inlineStr">
        <is>
          <t>cum</t>
        </is>
      </c>
      <c r="D1149" s="15" t="n">
        <v>1</v>
      </c>
      <c r="E1149" s="16" t="n">
        <v>210</v>
      </c>
      <c r="F1149" s="16">
        <f>D1149*E1149</f>
        <v/>
      </c>
    </row>
    <row r="1150">
      <c r="A1150" s="13" t="inlineStr">
        <is>
          <t>0155</t>
        </is>
      </c>
      <c r="B1150" s="14" t="inlineStr">
        <is>
          <t>Mason (average)</t>
        </is>
      </c>
      <c r="C1150" s="13" t="inlineStr">
        <is>
          <t>day</t>
        </is>
      </c>
      <c r="D1150" s="15" t="n">
        <v>0.17</v>
      </c>
      <c r="E1150" s="16" t="n">
        <v>709</v>
      </c>
      <c r="F1150" s="16">
        <f>D1150*E1150</f>
        <v/>
      </c>
    </row>
    <row r="1151">
      <c r="A1151" s="13" t="inlineStr">
        <is>
          <t>0114</t>
        </is>
      </c>
      <c r="B1151" s="14" t="inlineStr">
        <is>
          <t>Beldar</t>
        </is>
      </c>
      <c r="C1151" s="13" t="inlineStr">
        <is>
          <t>day</t>
        </is>
      </c>
      <c r="D1151" s="15" t="n">
        <v>2</v>
      </c>
      <c r="E1151" s="16" t="n">
        <v>558</v>
      </c>
      <c r="F1151" s="16">
        <f>D1151*E1151</f>
        <v/>
      </c>
    </row>
    <row r="1152">
      <c r="A1152" s="13" t="inlineStr">
        <is>
          <t>0101</t>
        </is>
      </c>
      <c r="B1152" s="14" t="inlineStr">
        <is>
          <t>Bhisti</t>
        </is>
      </c>
      <c r="C1152" s="13" t="inlineStr">
        <is>
          <t>day</t>
        </is>
      </c>
      <c r="D1152" s="15" t="n">
        <v>0.9</v>
      </c>
      <c r="E1152" s="16" t="n">
        <v>617</v>
      </c>
      <c r="F1152" s="16">
        <f>D1152*E1152</f>
        <v/>
      </c>
    </row>
    <row r="1153">
      <c r="A1153" s="13" t="inlineStr">
        <is>
          <t>0012</t>
        </is>
      </c>
      <c r="B1153" s="14" t="inlineStr">
        <is>
          <t>Vibrator(Needle type 40mm)</t>
        </is>
      </c>
      <c r="C1153" s="13" t="inlineStr">
        <is>
          <t>day</t>
        </is>
      </c>
      <c r="D1153" s="15" t="n">
        <v>0.07000000000000001</v>
      </c>
      <c r="E1153" s="16" t="n">
        <v>370</v>
      </c>
      <c r="F1153" s="16">
        <f>D1153*E1153</f>
        <v/>
      </c>
    </row>
    <row r="1154">
      <c r="A1154" s="13" t="inlineStr">
        <is>
          <t>9999</t>
        </is>
      </c>
      <c r="B1154" s="14" t="inlineStr">
        <is>
          <t>Sundries</t>
        </is>
      </c>
      <c r="C1154" s="13" t="inlineStr">
        <is>
          <t>L.S.</t>
        </is>
      </c>
      <c r="D1154" s="15" t="n">
        <v>13</v>
      </c>
      <c r="E1154" s="16" t="n">
        <v>2</v>
      </c>
      <c r="F1154" s="16">
        <f>D1154*E1154</f>
        <v/>
      </c>
    </row>
    <row r="1155">
      <c r="A1155" s="13" t="inlineStr">
        <is>
          <t>0115</t>
        </is>
      </c>
      <c r="B1155" s="14" t="inlineStr">
        <is>
          <t>Coolie</t>
        </is>
      </c>
      <c r="C1155" s="13" t="inlineStr">
        <is>
          <t>day</t>
        </is>
      </c>
      <c r="D1155" s="15" t="n">
        <v>1.88</v>
      </c>
      <c r="E1155" s="16" t="n">
        <v>558</v>
      </c>
      <c r="F1155" s="16">
        <f>D1155*E1155</f>
        <v/>
      </c>
    </row>
    <row r="1156">
      <c r="A1156" s="17" t="inlineStr">
        <is>
          <t>Resource Total (Material + Labour + Machinery, as printed)</t>
        </is>
      </c>
      <c r="B1156" s="18" t="n"/>
      <c r="C1156" s="18" t="n"/>
      <c r="D1156" s="18" t="n"/>
      <c r="E1156" s="18" t="n"/>
      <c r="F1156" s="19">
        <f>SUM(F1139:F1155)</f>
        <v/>
      </c>
    </row>
    <row r="1157">
      <c r="A1157" s="20" t="inlineStr">
        <is>
          <t>SAY (Rs.) — final DAR rate</t>
        </is>
      </c>
      <c r="B1157" s="21" t="n"/>
      <c r="C1157" s="21" t="n"/>
      <c r="D1157" s="21" t="n"/>
      <c r="E1157" s="21" t="n"/>
      <c r="F1157" s="22" t="n">
        <v>9802.200000000001</v>
      </c>
    </row>
    <row r="1159" ht="28" customHeight="1">
      <c r="A1159" s="9" t="inlineStr">
        <is>
          <t>5.38</t>
        </is>
      </c>
      <c r="B1159" s="10" t="inlineStr">
        <is>
          <t>Extra for R.C.C./ B.M.C/ R.M.C. work above floor V level for each four floors or part thereof.</t>
        </is>
      </c>
      <c r="C1159" s="11" t="n"/>
      <c r="D1159" s="11" t="n"/>
      <c r="E1159" s="11" t="n"/>
      <c r="F1159" s="11" t="n"/>
    </row>
    <row r="1160">
      <c r="A1160" s="12" t="inlineStr">
        <is>
          <t>Rate basis: per cum  (source: cost for 1 cum)</t>
        </is>
      </c>
    </row>
    <row r="1161">
      <c r="A1161" s="5" t="inlineStr">
        <is>
          <t>Code</t>
        </is>
      </c>
      <c r="B1161" s="5" t="inlineStr">
        <is>
          <t>Description</t>
        </is>
      </c>
      <c r="C1161" s="5" t="inlineStr">
        <is>
          <t>Unit</t>
        </is>
      </c>
      <c r="D1161" s="5" t="inlineStr">
        <is>
          <t>Quantity</t>
        </is>
      </c>
      <c r="E1161" s="5" t="inlineStr">
        <is>
          <t>Rate (Rs.)</t>
        </is>
      </c>
      <c r="F1161" s="5" t="inlineStr">
        <is>
          <t>Amount (Rs.)</t>
        </is>
      </c>
    </row>
    <row r="1162">
      <c r="A1162" s="13" t="inlineStr">
        <is>
          <t>0009</t>
        </is>
      </c>
      <c r="B1162" s="14" t="inlineStr">
        <is>
          <t>Pumping charges of concrete including Hire charges of pump, piping work &amp; accessories etc</t>
        </is>
      </c>
      <c r="C1162" s="13" t="inlineStr">
        <is>
          <t>cum</t>
        </is>
      </c>
      <c r="D1162" s="15" t="n">
        <v>1</v>
      </c>
      <c r="E1162" s="16" t="n">
        <v>210</v>
      </c>
      <c r="F1162" s="16">
        <f>D1162*E1162</f>
        <v/>
      </c>
    </row>
    <row r="1163">
      <c r="A1163" s="17" t="inlineStr">
        <is>
          <t>Resource Total (Material + Labour + Machinery, as printed)</t>
        </is>
      </c>
      <c r="B1163" s="18" t="n"/>
      <c r="C1163" s="18" t="n"/>
      <c r="D1163" s="18" t="n"/>
      <c r="E1163" s="18" t="n"/>
      <c r="F1163" s="19">
        <f>SUM(F1162:F1162)</f>
        <v/>
      </c>
    </row>
    <row r="1164">
      <c r="A1164" s="20" t="inlineStr">
        <is>
          <t>SAY (Rs.) — final DAR rate</t>
        </is>
      </c>
      <c r="B1164" s="21" t="n"/>
      <c r="C1164" s="21" t="n"/>
      <c r="D1164" s="21" t="n"/>
      <c r="E1164" s="21" t="n"/>
      <c r="F1164" s="22" t="n">
        <v>280.95</v>
      </c>
    </row>
    <row r="1166" ht="18" customHeight="1">
      <c r="A1166" s="9" t="inlineStr">
        <is>
          <t>5.40.1</t>
        </is>
      </c>
      <c r="B1166" s="10" t="inlineStr">
        <is>
          <t>All works up to Plinth level.</t>
        </is>
      </c>
      <c r="C1166" s="11" t="n"/>
      <c r="D1166" s="11" t="n"/>
      <c r="E1166" s="11" t="n"/>
      <c r="F1166" s="11" t="n"/>
    </row>
    <row r="1167">
      <c r="A1167" s="12" t="inlineStr">
        <is>
          <t>Rate basis: per cum  (source: cost for 1 cum)</t>
        </is>
      </c>
    </row>
    <row r="1168">
      <c r="A1168" s="5" t="inlineStr">
        <is>
          <t>Code</t>
        </is>
      </c>
      <c r="B1168" s="5" t="inlineStr">
        <is>
          <t>Description</t>
        </is>
      </c>
      <c r="C1168" s="5" t="inlineStr">
        <is>
          <t>Unit</t>
        </is>
      </c>
      <c r="D1168" s="5" t="inlineStr">
        <is>
          <t>Quantity</t>
        </is>
      </c>
      <c r="E1168" s="5" t="inlineStr">
        <is>
          <t>Rate (Rs.)</t>
        </is>
      </c>
      <c r="F1168" s="5" t="inlineStr">
        <is>
          <t>Amount (Rs.)</t>
        </is>
      </c>
    </row>
    <row r="1169">
      <c r="A1169" s="13" t="inlineStr">
        <is>
          <t>0293</t>
        </is>
      </c>
      <c r="B1169" s="14" t="inlineStr">
        <is>
          <t>Stone Aggregate (Single size) : 40 mm nominal size</t>
        </is>
      </c>
      <c r="C1169" s="13" t="inlineStr">
        <is>
          <t>cum</t>
        </is>
      </c>
      <c r="D1169" s="15" t="n">
        <v>0.65</v>
      </c>
      <c r="E1169" s="16" t="n">
        <v>1300</v>
      </c>
      <c r="F1169" s="16">
        <f>D1169*E1169</f>
        <v/>
      </c>
    </row>
    <row r="1170">
      <c r="A1170" s="13" t="inlineStr">
        <is>
          <t>0295</t>
        </is>
      </c>
      <c r="B1170" s="14" t="inlineStr">
        <is>
          <t>Stone Aggregate (Single size) : 20 mm nominal size</t>
        </is>
      </c>
      <c r="C1170" s="13" t="inlineStr">
        <is>
          <t>cum</t>
        </is>
      </c>
      <c r="D1170" s="15" t="n">
        <v>0.24</v>
      </c>
      <c r="E1170" s="16" t="n">
        <v>1350</v>
      </c>
      <c r="F1170" s="16">
        <f>D1170*E1170</f>
        <v/>
      </c>
    </row>
    <row r="1171">
      <c r="A1171" s="13" t="inlineStr">
        <is>
          <t>2206</t>
        </is>
      </c>
      <c r="B1171" s="14" t="inlineStr">
        <is>
          <t>Carriage of Stone aggregate 40 mm nominal size and above</t>
        </is>
      </c>
      <c r="C1171" s="13" t="inlineStr">
        <is>
          <t>cum</t>
        </is>
      </c>
      <c r="D1171" s="15" t="n">
        <v>0.65</v>
      </c>
      <c r="E1171" s="16" t="n">
        <v>112.79</v>
      </c>
      <c r="F1171" s="16">
        <f>D1171*E1171</f>
        <v/>
      </c>
    </row>
    <row r="1172">
      <c r="A1172" s="13" t="inlineStr">
        <is>
          <t>2202</t>
        </is>
      </c>
      <c r="B1172" s="14" t="inlineStr">
        <is>
          <t>Carriage of Stone aggregate below 40 mm nominal size</t>
        </is>
      </c>
      <c r="C1172" s="13" t="inlineStr">
        <is>
          <t>cum</t>
        </is>
      </c>
      <c r="D1172" s="15" t="n">
        <v>0.24</v>
      </c>
      <c r="E1172" s="16" t="n">
        <v>103.77</v>
      </c>
      <c r="F1172" s="16">
        <f>D1172*E1172</f>
        <v/>
      </c>
    </row>
    <row r="1173">
      <c r="A1173" s="13" t="inlineStr">
        <is>
          <t>0982</t>
        </is>
      </c>
      <c r="B1173" s="14" t="inlineStr">
        <is>
          <t>Coarse sand (zone III)</t>
        </is>
      </c>
      <c r="C1173" s="13" t="inlineStr">
        <is>
          <t>cum</t>
        </is>
      </c>
      <c r="D1173" s="15" t="n">
        <v>0.37</v>
      </c>
      <c r="E1173" s="16" t="n">
        <v>1350</v>
      </c>
      <c r="F1173" s="16">
        <f>D1173*E1173</f>
        <v/>
      </c>
    </row>
    <row r="1174">
      <c r="A1174" s="13" t="inlineStr">
        <is>
          <t>2203</t>
        </is>
      </c>
      <c r="B1174" s="14" t="inlineStr">
        <is>
          <t>Carriage of Coarse sand</t>
        </is>
      </c>
      <c r="C1174" s="13" t="inlineStr">
        <is>
          <t>cum</t>
        </is>
      </c>
      <c r="D1174" s="15" t="n">
        <v>0.37</v>
      </c>
      <c r="E1174" s="16" t="n">
        <v>103.77</v>
      </c>
      <c r="F1174" s="16">
        <f>D1174*E1174</f>
        <v/>
      </c>
    </row>
    <row r="1175">
      <c r="A1175" s="13" t="inlineStr">
        <is>
          <t>1980</t>
        </is>
      </c>
      <c r="B1175" s="14" t="inlineStr">
        <is>
          <t>Flyash</t>
        </is>
      </c>
      <c r="C1175" s="13" t="inlineStr">
        <is>
          <t>cum</t>
        </is>
      </c>
      <c r="D1175" s="15" t="n">
        <v>0.21</v>
      </c>
      <c r="E1175" s="16" t="n">
        <v>10</v>
      </c>
      <c r="F1175" s="16">
        <f>D1175*E1175</f>
        <v/>
      </c>
    </row>
    <row r="1176">
      <c r="A1176" s="13" t="inlineStr">
        <is>
          <t>2262</t>
        </is>
      </c>
      <c r="B1176" s="14" t="inlineStr">
        <is>
          <t>Carriage of Flyash</t>
        </is>
      </c>
      <c r="C1176" s="13" t="inlineStr">
        <is>
          <t>cum</t>
        </is>
      </c>
      <c r="D1176" s="15" t="n">
        <v>0.21</v>
      </c>
      <c r="E1176" s="16" t="n">
        <v>103.77</v>
      </c>
      <c r="F1176" s="16">
        <f>D1176*E1176</f>
        <v/>
      </c>
    </row>
    <row r="1177">
      <c r="A1177" s="13" t="inlineStr">
        <is>
          <t>0367</t>
        </is>
      </c>
      <c r="B1177" s="14" t="inlineStr">
        <is>
          <t>Portland Cement</t>
        </is>
      </c>
      <c r="C1177" s="13" t="inlineStr">
        <is>
          <t>tonne</t>
        </is>
      </c>
      <c r="D1177" s="15" t="n">
        <v>0.33</v>
      </c>
      <c r="E1177" s="16" t="n">
        <v>4940</v>
      </c>
      <c r="F1177" s="16">
        <f>D1177*E1177</f>
        <v/>
      </c>
    </row>
    <row r="1178">
      <c r="A1178" s="13" t="inlineStr">
        <is>
          <t>2209</t>
        </is>
      </c>
      <c r="B1178" s="14" t="inlineStr">
        <is>
          <t>Carriage of Cement</t>
        </is>
      </c>
      <c r="C1178" s="13" t="inlineStr">
        <is>
          <t>tonne</t>
        </is>
      </c>
      <c r="D1178" s="15" t="n">
        <v>0.33</v>
      </c>
      <c r="E1178" s="16" t="n">
        <v>92.23999999999999</v>
      </c>
      <c r="F1178" s="16">
        <f>D1178*E1178</f>
        <v/>
      </c>
    </row>
    <row r="1179">
      <c r="A1179" s="13" t="inlineStr">
        <is>
          <t>7318</t>
        </is>
      </c>
      <c r="B1179" s="14" t="inlineStr">
        <is>
          <t>Plasticizer / super plasticizer</t>
        </is>
      </c>
      <c r="C1179" s="13" t="inlineStr">
        <is>
          <t>kilogram</t>
        </is>
      </c>
      <c r="D1179" s="15" t="n">
        <v>1.65</v>
      </c>
      <c r="E1179" s="16" t="n">
        <v>36</v>
      </c>
      <c r="F1179" s="16">
        <f>D1179*E1179</f>
        <v/>
      </c>
    </row>
    <row r="1180">
      <c r="A1180" s="13" t="inlineStr">
        <is>
          <t>0004</t>
        </is>
      </c>
      <c r="B1180" s="14" t="inlineStr">
        <is>
          <t>Production cost of concrete by batch mix plant.</t>
        </is>
      </c>
      <c r="C1180" s="13" t="inlineStr">
        <is>
          <t>cum</t>
        </is>
      </c>
      <c r="D1180" s="15" t="n">
        <v>1</v>
      </c>
      <c r="E1180" s="16" t="n">
        <v>350</v>
      </c>
      <c r="F1180" s="16">
        <f>D1180*E1180</f>
        <v/>
      </c>
    </row>
    <row r="1181">
      <c r="A1181" s="13" t="inlineStr">
        <is>
          <t>0029</t>
        </is>
      </c>
      <c r="B1181" s="14" t="inlineStr">
        <is>
          <t>Carriage of concrete by transit mixer. km/</t>
        </is>
      </c>
      <c r="C1181" s="13" t="inlineStr">
        <is>
          <t>cum</t>
        </is>
      </c>
      <c r="D1181" s="15" t="n">
        <v>10</v>
      </c>
      <c r="E1181" s="16" t="n">
        <v>30</v>
      </c>
      <c r="F1181" s="16">
        <f>D1181*E1181</f>
        <v/>
      </c>
    </row>
    <row r="1182">
      <c r="A1182" s="13" t="inlineStr">
        <is>
          <t>0009</t>
        </is>
      </c>
      <c r="B1182" s="14" t="inlineStr">
        <is>
          <t>Pumping charges of concrete including Hire charges of pump, piping work &amp; accessories etc.</t>
        </is>
      </c>
      <c r="C1182" s="13" t="inlineStr">
        <is>
          <t>cum</t>
        </is>
      </c>
      <c r="D1182" s="15" t="n">
        <v>1</v>
      </c>
      <c r="E1182" s="16" t="n">
        <v>210</v>
      </c>
      <c r="F1182" s="16">
        <f>D1182*E1182</f>
        <v/>
      </c>
    </row>
    <row r="1183">
      <c r="A1183" s="13" t="inlineStr">
        <is>
          <t>0155</t>
        </is>
      </c>
      <c r="B1183" s="14" t="inlineStr">
        <is>
          <t>Mason (average)</t>
        </is>
      </c>
      <c r="C1183" s="13" t="inlineStr">
        <is>
          <t>day</t>
        </is>
      </c>
      <c r="D1183" s="15" t="n">
        <v>0.17</v>
      </c>
      <c r="E1183" s="16" t="n">
        <v>709</v>
      </c>
      <c r="F1183" s="16">
        <f>D1183*E1183</f>
        <v/>
      </c>
    </row>
    <row r="1184">
      <c r="A1184" s="13" t="inlineStr">
        <is>
          <t>0114</t>
        </is>
      </c>
      <c r="B1184" s="14" t="inlineStr">
        <is>
          <t>Beldar</t>
        </is>
      </c>
      <c r="C1184" s="13" t="inlineStr">
        <is>
          <t>day</t>
        </is>
      </c>
      <c r="D1184" s="15" t="n">
        <v>2</v>
      </c>
      <c r="E1184" s="16" t="n">
        <v>558</v>
      </c>
      <c r="F1184" s="16">
        <f>D1184*E1184</f>
        <v/>
      </c>
    </row>
    <row r="1185">
      <c r="A1185" s="13" t="inlineStr">
        <is>
          <t>0101</t>
        </is>
      </c>
      <c r="B1185" s="14" t="inlineStr">
        <is>
          <t>Bhisti</t>
        </is>
      </c>
      <c r="C1185" s="13" t="inlineStr">
        <is>
          <t>day</t>
        </is>
      </c>
      <c r="D1185" s="15" t="n">
        <v>0.9</v>
      </c>
      <c r="E1185" s="16" t="n">
        <v>617</v>
      </c>
      <c r="F1185" s="16">
        <f>D1185*E1185</f>
        <v/>
      </c>
    </row>
    <row r="1186">
      <c r="A1186" s="13" t="inlineStr">
        <is>
          <t>0012</t>
        </is>
      </c>
      <c r="B1186" s="14" t="inlineStr">
        <is>
          <t>Vibrator(Needle type 40mm)</t>
        </is>
      </c>
      <c r="C1186" s="13" t="inlineStr">
        <is>
          <t>day</t>
        </is>
      </c>
      <c r="D1186" s="15" t="n">
        <v>0.07000000000000001</v>
      </c>
      <c r="E1186" s="16" t="n">
        <v>370</v>
      </c>
      <c r="F1186" s="16">
        <f>D1186*E1186</f>
        <v/>
      </c>
    </row>
    <row r="1187">
      <c r="A1187" s="13" t="inlineStr">
        <is>
          <t>9999</t>
        </is>
      </c>
      <c r="B1187" s="14" t="inlineStr">
        <is>
          <t>Sundries</t>
        </is>
      </c>
      <c r="C1187" s="13" t="inlineStr">
        <is>
          <t>L.S.</t>
        </is>
      </c>
      <c r="D1187" s="15" t="n">
        <v>13</v>
      </c>
      <c r="E1187" s="16" t="n">
        <v>2</v>
      </c>
      <c r="F1187" s="16">
        <f>D1187*E1187</f>
        <v/>
      </c>
    </row>
    <row r="1188">
      <c r="A1188" s="17" t="inlineStr">
        <is>
          <t>Resource Total (Material + Labour + Machinery, as printed)</t>
        </is>
      </c>
      <c r="B1188" s="18" t="n"/>
      <c r="C1188" s="18" t="n"/>
      <c r="D1188" s="18" t="n"/>
      <c r="E1188" s="18" t="n"/>
      <c r="F1188" s="19">
        <f>SUM(F1169:F1187)</f>
        <v/>
      </c>
    </row>
    <row r="1189">
      <c r="A1189" s="20" t="inlineStr">
        <is>
          <t>SAY (Rs.) — final DAR rate</t>
        </is>
      </c>
      <c r="B1189" s="21" t="n"/>
      <c r="C1189" s="21" t="n"/>
      <c r="D1189" s="21" t="n"/>
      <c r="E1189" s="21" t="n"/>
      <c r="F1189" s="22" t="n">
        <v>8365.799999999999</v>
      </c>
    </row>
    <row r="1191" ht="18" customHeight="1">
      <c r="A1191" s="9" t="inlineStr">
        <is>
          <t>5.40.2</t>
        </is>
      </c>
      <c r="B1191" s="10" t="inlineStr">
        <is>
          <t>All works above plinth &amp; up to floor V level.</t>
        </is>
      </c>
      <c r="C1191" s="11" t="n"/>
      <c r="D1191" s="11" t="n"/>
      <c r="E1191" s="11" t="n"/>
      <c r="F1191" s="11" t="n"/>
    </row>
    <row r="1192">
      <c r="A1192" s="12" t="inlineStr">
        <is>
          <t>Rate basis: per cum  (source: cost for 1 cum)</t>
        </is>
      </c>
    </row>
    <row r="1193">
      <c r="A1193" s="5" t="inlineStr">
        <is>
          <t>Code</t>
        </is>
      </c>
      <c r="B1193" s="5" t="inlineStr">
        <is>
          <t>Description</t>
        </is>
      </c>
      <c r="C1193" s="5" t="inlineStr">
        <is>
          <t>Unit</t>
        </is>
      </c>
      <c r="D1193" s="5" t="inlineStr">
        <is>
          <t>Quantity</t>
        </is>
      </c>
      <c r="E1193" s="5" t="inlineStr">
        <is>
          <t>Rate (Rs.)</t>
        </is>
      </c>
      <c r="F1193" s="5" t="inlineStr">
        <is>
          <t>Amount (Rs.)</t>
        </is>
      </c>
    </row>
    <row r="1194">
      <c r="A1194" s="13" t="inlineStr">
        <is>
          <t>0293</t>
        </is>
      </c>
      <c r="B1194" s="14" t="inlineStr">
        <is>
          <t>Stone Aggregate (Single size) : 40 mm nominal size</t>
        </is>
      </c>
      <c r="C1194" s="13" t="inlineStr">
        <is>
          <t>cum</t>
        </is>
      </c>
      <c r="D1194" s="15" t="n">
        <v>0.65</v>
      </c>
      <c r="E1194" s="16" t="n">
        <v>1300</v>
      </c>
      <c r="F1194" s="16">
        <f>D1194*E1194</f>
        <v/>
      </c>
    </row>
    <row r="1195">
      <c r="A1195" s="13" t="inlineStr">
        <is>
          <t>0295</t>
        </is>
      </c>
      <c r="B1195" s="14" t="inlineStr">
        <is>
          <t>Stone Aggregate (Single size) : 20 mm nominal size</t>
        </is>
      </c>
      <c r="C1195" s="13" t="inlineStr">
        <is>
          <t>cum</t>
        </is>
      </c>
      <c r="D1195" s="15" t="n">
        <v>0.24</v>
      </c>
      <c r="E1195" s="16" t="n">
        <v>1350</v>
      </c>
      <c r="F1195" s="16">
        <f>D1195*E1195</f>
        <v/>
      </c>
    </row>
    <row r="1196">
      <c r="A1196" s="13" t="inlineStr">
        <is>
          <t>2206</t>
        </is>
      </c>
      <c r="B1196" s="14" t="inlineStr">
        <is>
          <t>Carriage of Stone aggregate 40 mm nominal size and above</t>
        </is>
      </c>
      <c r="C1196" s="13" t="inlineStr">
        <is>
          <t>cum</t>
        </is>
      </c>
      <c r="D1196" s="15" t="n">
        <v>0.65</v>
      </c>
      <c r="E1196" s="16" t="n">
        <v>112.79</v>
      </c>
      <c r="F1196" s="16">
        <f>D1196*E1196</f>
        <v/>
      </c>
    </row>
    <row r="1197">
      <c r="A1197" s="13" t="inlineStr">
        <is>
          <t>2202</t>
        </is>
      </c>
      <c r="B1197" s="14" t="inlineStr">
        <is>
          <t>Carriage of Stone aggregate below 40 mm nominal size</t>
        </is>
      </c>
      <c r="C1197" s="13" t="inlineStr">
        <is>
          <t>cum</t>
        </is>
      </c>
      <c r="D1197" s="15" t="n">
        <v>0.24</v>
      </c>
      <c r="E1197" s="16" t="n">
        <v>103.77</v>
      </c>
      <c r="F1197" s="16">
        <f>D1197*E1197</f>
        <v/>
      </c>
    </row>
    <row r="1198">
      <c r="A1198" s="13" t="inlineStr">
        <is>
          <t>0982</t>
        </is>
      </c>
      <c r="B1198" s="14" t="inlineStr">
        <is>
          <t>Coarse sand (zone III)</t>
        </is>
      </c>
      <c r="C1198" s="13" t="inlineStr">
        <is>
          <t>cum</t>
        </is>
      </c>
      <c r="D1198" s="15" t="n">
        <v>0.37</v>
      </c>
      <c r="E1198" s="16" t="n">
        <v>1350</v>
      </c>
      <c r="F1198" s="16">
        <f>D1198*E1198</f>
        <v/>
      </c>
    </row>
    <row r="1199">
      <c r="A1199" s="13" t="inlineStr">
        <is>
          <t>2203</t>
        </is>
      </c>
      <c r="B1199" s="14" t="inlineStr">
        <is>
          <t>Carriage of Coarse sand</t>
        </is>
      </c>
      <c r="C1199" s="13" t="inlineStr">
        <is>
          <t>cum</t>
        </is>
      </c>
      <c r="D1199" s="15" t="n">
        <v>0.37</v>
      </c>
      <c r="E1199" s="16" t="n">
        <v>103.77</v>
      </c>
      <c r="F1199" s="16">
        <f>D1199*E1199</f>
        <v/>
      </c>
    </row>
    <row r="1200">
      <c r="A1200" s="13" t="inlineStr">
        <is>
          <t>1980</t>
        </is>
      </c>
      <c r="B1200" s="14" t="inlineStr">
        <is>
          <t>Flyash</t>
        </is>
      </c>
      <c r="C1200" s="13" t="inlineStr">
        <is>
          <t>cum</t>
        </is>
      </c>
      <c r="D1200" s="15" t="n">
        <v>0.21</v>
      </c>
      <c r="E1200" s="16" t="n">
        <v>10</v>
      </c>
      <c r="F1200" s="16">
        <f>D1200*E1200</f>
        <v/>
      </c>
    </row>
    <row r="1201">
      <c r="A1201" s="13" t="inlineStr">
        <is>
          <t>2262</t>
        </is>
      </c>
      <c r="B1201" s="14" t="inlineStr">
        <is>
          <t>Carriage of Flyash</t>
        </is>
      </c>
      <c r="C1201" s="13" t="inlineStr">
        <is>
          <t>cum</t>
        </is>
      </c>
      <c r="D1201" s="15" t="n">
        <v>0.21</v>
      </c>
      <c r="E1201" s="16" t="n">
        <v>103.77</v>
      </c>
      <c r="F1201" s="16">
        <f>D1201*E1201</f>
        <v/>
      </c>
    </row>
    <row r="1202">
      <c r="A1202" s="13" t="inlineStr">
        <is>
          <t>0367</t>
        </is>
      </c>
      <c r="B1202" s="14" t="inlineStr">
        <is>
          <t>Portland Cement</t>
        </is>
      </c>
      <c r="C1202" s="13" t="inlineStr">
        <is>
          <t>tonne</t>
        </is>
      </c>
      <c r="D1202" s="15" t="n">
        <v>0.33</v>
      </c>
      <c r="E1202" s="16" t="n">
        <v>4940</v>
      </c>
      <c r="F1202" s="16">
        <f>D1202*E1202</f>
        <v/>
      </c>
    </row>
    <row r="1203">
      <c r="A1203" s="13" t="inlineStr">
        <is>
          <t>2209</t>
        </is>
      </c>
      <c r="B1203" s="14" t="inlineStr">
        <is>
          <t>Carriage of Cement</t>
        </is>
      </c>
      <c r="C1203" s="13" t="inlineStr">
        <is>
          <t>tonne</t>
        </is>
      </c>
      <c r="D1203" s="15" t="n">
        <v>0.33</v>
      </c>
      <c r="E1203" s="16" t="n">
        <v>92.23999999999999</v>
      </c>
      <c r="F1203" s="16">
        <f>D1203*E1203</f>
        <v/>
      </c>
    </row>
    <row r="1204">
      <c r="A1204" s="13" t="inlineStr">
        <is>
          <t>7318</t>
        </is>
      </c>
      <c r="B1204" s="14" t="inlineStr">
        <is>
          <t>Plasticizer / super plasticizer</t>
        </is>
      </c>
      <c r="C1204" s="13" t="inlineStr">
        <is>
          <t>kilogram</t>
        </is>
      </c>
      <c r="D1204" s="15" t="n">
        <v>1.65</v>
      </c>
      <c r="E1204" s="16" t="n">
        <v>36</v>
      </c>
      <c r="F1204" s="16">
        <f>D1204*E1204</f>
        <v/>
      </c>
    </row>
    <row r="1205">
      <c r="A1205" s="13" t="inlineStr">
        <is>
          <t>0004</t>
        </is>
      </c>
      <c r="B1205" s="14" t="inlineStr">
        <is>
          <t>Production cost of concrete by batch mix plant.</t>
        </is>
      </c>
      <c r="C1205" s="13" t="inlineStr">
        <is>
          <t>cum</t>
        </is>
      </c>
      <c r="D1205" s="15" t="n">
        <v>1</v>
      </c>
      <c r="E1205" s="16" t="n">
        <v>350</v>
      </c>
      <c r="F1205" s="16">
        <f>D1205*E1205</f>
        <v/>
      </c>
    </row>
    <row r="1206">
      <c r="A1206" s="13" t="inlineStr">
        <is>
          <t>0029</t>
        </is>
      </c>
      <c r="B1206" s="14" t="inlineStr">
        <is>
          <t>Carriage of concrete by transit mixer. km/</t>
        </is>
      </c>
      <c r="C1206" s="13" t="inlineStr">
        <is>
          <t>cum</t>
        </is>
      </c>
      <c r="D1206" s="15" t="n">
        <v>10</v>
      </c>
      <c r="E1206" s="16" t="n">
        <v>30</v>
      </c>
      <c r="F1206" s="16">
        <f>D1206*E1206</f>
        <v/>
      </c>
    </row>
    <row r="1207">
      <c r="A1207" s="13" t="inlineStr">
        <is>
          <t>0009</t>
        </is>
      </c>
      <c r="B1207" s="14" t="inlineStr">
        <is>
          <t>Pumping charges of concrete including Hire charges of pump, piping work &amp; accessories etc.</t>
        </is>
      </c>
      <c r="C1207" s="13" t="inlineStr">
        <is>
          <t>cum</t>
        </is>
      </c>
      <c r="D1207" s="15" t="n">
        <v>1</v>
      </c>
      <c r="E1207" s="16" t="n">
        <v>210</v>
      </c>
      <c r="F1207" s="16">
        <f>D1207*E1207</f>
        <v/>
      </c>
    </row>
    <row r="1208">
      <c r="A1208" s="13" t="inlineStr">
        <is>
          <t>0155</t>
        </is>
      </c>
      <c r="B1208" s="14" t="inlineStr">
        <is>
          <t>Mason (average)</t>
        </is>
      </c>
      <c r="C1208" s="13" t="inlineStr">
        <is>
          <t>day</t>
        </is>
      </c>
      <c r="D1208" s="15" t="n">
        <v>0.17</v>
      </c>
      <c r="E1208" s="16" t="n">
        <v>709</v>
      </c>
      <c r="F1208" s="16">
        <f>D1208*E1208</f>
        <v/>
      </c>
    </row>
    <row r="1209">
      <c r="A1209" s="13" t="inlineStr">
        <is>
          <t>0114</t>
        </is>
      </c>
      <c r="B1209" s="14" t="inlineStr">
        <is>
          <t>Beldar</t>
        </is>
      </c>
      <c r="C1209" s="13" t="inlineStr">
        <is>
          <t>day</t>
        </is>
      </c>
      <c r="D1209" s="15" t="n">
        <v>2</v>
      </c>
      <c r="E1209" s="16" t="n">
        <v>558</v>
      </c>
      <c r="F1209" s="16">
        <f>D1209*E1209</f>
        <v/>
      </c>
    </row>
    <row r="1210">
      <c r="A1210" s="13" t="inlineStr">
        <is>
          <t>0101</t>
        </is>
      </c>
      <c r="B1210" s="14" t="inlineStr">
        <is>
          <t>Bhisti</t>
        </is>
      </c>
      <c r="C1210" s="13" t="inlineStr">
        <is>
          <t>day</t>
        </is>
      </c>
      <c r="D1210" s="15" t="n">
        <v>0.9</v>
      </c>
      <c r="E1210" s="16" t="n">
        <v>617</v>
      </c>
      <c r="F1210" s="16">
        <f>D1210*E1210</f>
        <v/>
      </c>
    </row>
    <row r="1211">
      <c r="A1211" s="13" t="inlineStr">
        <is>
          <t>0012</t>
        </is>
      </c>
      <c r="B1211" s="14" t="inlineStr">
        <is>
          <t>Vibrator(Needle type 40mm)</t>
        </is>
      </c>
      <c r="C1211" s="13" t="inlineStr">
        <is>
          <t>day</t>
        </is>
      </c>
      <c r="D1211" s="15" t="n">
        <v>0.07000000000000001</v>
      </c>
      <c r="E1211" s="16" t="n">
        <v>370</v>
      </c>
      <c r="F1211" s="16">
        <f>D1211*E1211</f>
        <v/>
      </c>
    </row>
    <row r="1212">
      <c r="A1212" s="13" t="inlineStr">
        <is>
          <t>9999</t>
        </is>
      </c>
      <c r="B1212" s="14" t="inlineStr">
        <is>
          <t>Sundries</t>
        </is>
      </c>
      <c r="C1212" s="13" t="inlineStr">
        <is>
          <t>L.S.</t>
        </is>
      </c>
      <c r="D1212" s="15" t="n">
        <v>13</v>
      </c>
      <c r="E1212" s="16" t="n">
        <v>2</v>
      </c>
      <c r="F1212" s="16">
        <f>D1212*E1212</f>
        <v/>
      </c>
    </row>
    <row r="1213">
      <c r="A1213" s="13" t="inlineStr">
        <is>
          <t>0115</t>
        </is>
      </c>
      <c r="B1213" s="14" t="inlineStr">
        <is>
          <t>Coolie</t>
        </is>
      </c>
      <c r="C1213" s="13" t="inlineStr">
        <is>
          <t>day</t>
        </is>
      </c>
      <c r="D1213" s="15" t="n">
        <v>1.88</v>
      </c>
      <c r="E1213" s="16" t="n">
        <v>558</v>
      </c>
      <c r="F1213" s="16">
        <f>D1213*E1213</f>
        <v/>
      </c>
    </row>
    <row r="1214">
      <c r="A1214" s="17" t="inlineStr">
        <is>
          <t>Resource Total (Material + Labour + Machinery, as printed)</t>
        </is>
      </c>
      <c r="B1214" s="18" t="n"/>
      <c r="C1214" s="18" t="n"/>
      <c r="D1214" s="18" t="n"/>
      <c r="E1214" s="18" t="n"/>
      <c r="F1214" s="19">
        <f>SUM(F1194:F1213)</f>
        <v/>
      </c>
    </row>
    <row r="1215">
      <c r="A1215" s="20" t="inlineStr">
        <is>
          <t>SAY (Rs.) — final DAR rate</t>
        </is>
      </c>
      <c r="B1215" s="21" t="n"/>
      <c r="C1215" s="21" t="n"/>
      <c r="D1215" s="21" t="n"/>
      <c r="E1215" s="21" t="n"/>
      <c r="F1215" s="22" t="n">
        <v>9769.35</v>
      </c>
    </row>
    <row r="1217" ht="18" customHeight="1">
      <c r="A1217" s="9" t="inlineStr">
        <is>
          <t>5.41.1</t>
        </is>
      </c>
      <c r="B1217" s="10" t="inlineStr">
        <is>
          <t>Non pigmented wet curing compound</t>
        </is>
      </c>
      <c r="C1217" s="11" t="n"/>
      <c r="D1217" s="11" t="n"/>
      <c r="E1217" s="11" t="n"/>
      <c r="F1217" s="11" t="n"/>
    </row>
    <row r="1218">
      <c r="A1218" s="12" t="inlineStr">
        <is>
          <t>Rate basis: per sqm  (source: cost for 10 sqm)</t>
        </is>
      </c>
    </row>
    <row r="1219">
      <c r="A1219" s="5" t="inlineStr">
        <is>
          <t>Code</t>
        </is>
      </c>
      <c r="B1219" s="5" t="inlineStr">
        <is>
          <t>Description</t>
        </is>
      </c>
      <c r="C1219" s="5" t="inlineStr">
        <is>
          <t>Unit</t>
        </is>
      </c>
      <c r="D1219" s="5" t="inlineStr">
        <is>
          <t>Quantity</t>
        </is>
      </c>
      <c r="E1219" s="5" t="inlineStr">
        <is>
          <t>Rate (Rs.)</t>
        </is>
      </c>
      <c r="F1219" s="5" t="inlineStr">
        <is>
          <t>Amount (Rs.)</t>
        </is>
      </c>
    </row>
    <row r="1220">
      <c r="A1220" s="13" t="inlineStr">
        <is>
          <t>0349</t>
        </is>
      </c>
      <c r="B1220" s="14" t="inlineStr">
        <is>
          <t>Curing compound</t>
        </is>
      </c>
      <c r="C1220" s="13" t="inlineStr">
        <is>
          <t>litre</t>
        </is>
      </c>
      <c r="D1220" s="15" t="n">
        <v>2</v>
      </c>
      <c r="E1220" s="16" t="n">
        <v>38</v>
      </c>
      <c r="F1220" s="16">
        <f>D1220*E1220</f>
        <v/>
      </c>
    </row>
    <row r="1221">
      <c r="A1221" s="13" t="inlineStr">
        <is>
          <t>9977</t>
        </is>
      </c>
      <c r="B1221" s="14" t="inlineStr">
        <is>
          <t>Carriage of material</t>
        </is>
      </c>
      <c r="C1221" s="13" t="inlineStr">
        <is>
          <t>L.S.</t>
        </is>
      </c>
      <c r="D1221" s="15" t="n">
        <v>1</v>
      </c>
      <c r="E1221" s="16" t="n">
        <v>2</v>
      </c>
      <c r="F1221" s="16">
        <f>D1221*E1221</f>
        <v/>
      </c>
    </row>
    <row r="1222">
      <c r="A1222" s="13" t="inlineStr">
        <is>
          <t>0131</t>
        </is>
      </c>
      <c r="B1222" s="14" t="inlineStr">
        <is>
          <t>Painter</t>
        </is>
      </c>
      <c r="C1222" s="13" t="inlineStr">
        <is>
          <t>day</t>
        </is>
      </c>
      <c r="D1222" s="15" t="n">
        <v>0.33</v>
      </c>
      <c r="E1222" s="16" t="n">
        <v>679</v>
      </c>
      <c r="F1222" s="16">
        <f>D1222*E1222</f>
        <v/>
      </c>
    </row>
    <row r="1223">
      <c r="A1223" s="13" t="inlineStr">
        <is>
          <t>0114</t>
        </is>
      </c>
      <c r="B1223" s="14" t="inlineStr">
        <is>
          <t>Beldar</t>
        </is>
      </c>
      <c r="C1223" s="13" t="inlineStr">
        <is>
          <t>day</t>
        </is>
      </c>
      <c r="D1223" s="15" t="n">
        <v>0.17</v>
      </c>
      <c r="E1223" s="16" t="n">
        <v>558</v>
      </c>
      <c r="F1223" s="16">
        <f>D1223*E1223</f>
        <v/>
      </c>
    </row>
    <row r="1224">
      <c r="A1224" s="13" t="inlineStr">
        <is>
          <t>9999</t>
        </is>
      </c>
      <c r="B1224" s="14" t="inlineStr">
        <is>
          <t>Sundries, Brush</t>
        </is>
      </c>
      <c r="C1224" s="13" t="inlineStr">
        <is>
          <t>L.S.</t>
        </is>
      </c>
      <c r="D1224" s="15" t="n">
        <v>3</v>
      </c>
      <c r="E1224" s="16" t="n">
        <v>2</v>
      </c>
      <c r="F1224" s="16">
        <f>D1224*E1224</f>
        <v/>
      </c>
    </row>
    <row r="1225">
      <c r="A1225" s="17" t="inlineStr">
        <is>
          <t>Resource Total (Material + Labour + Machinery, as printed)</t>
        </is>
      </c>
      <c r="B1225" s="18" t="n"/>
      <c r="C1225" s="18" t="n"/>
      <c r="D1225" s="18" t="n"/>
      <c r="E1225" s="18" t="n"/>
      <c r="F1225" s="19">
        <f>SUM(F1220:F1224)</f>
        <v/>
      </c>
    </row>
    <row r="1226">
      <c r="A1226" s="20" t="inlineStr">
        <is>
          <t>SAY (Rs.) — final DAR rate</t>
        </is>
      </c>
      <c r="B1226" s="21" t="n"/>
      <c r="C1226" s="21" t="n"/>
      <c r="D1226" s="21" t="n"/>
      <c r="E1226" s="21" t="n"/>
      <c r="F1226" s="22" t="n">
        <v>53.9</v>
      </c>
    </row>
    <row r="1228" ht="18" customHeight="1">
      <c r="A1228" s="9" t="inlineStr">
        <is>
          <t>5.42.1</t>
        </is>
      </c>
      <c r="B1228" s="10" t="inlineStr">
        <is>
          <t>Coupler for 16 mm diameter reinforcement bar</t>
        </is>
      </c>
      <c r="C1228" s="11" t="n"/>
      <c r="D1228" s="11" t="n"/>
      <c r="E1228" s="11" t="n"/>
      <c r="F1228" s="11" t="n"/>
    </row>
    <row r="1229">
      <c r="A1229" s="12" t="inlineStr">
        <is>
          <t>Rate basis: per Nos  (source: cost for 1 Nos)</t>
        </is>
      </c>
    </row>
    <row r="1230">
      <c r="A1230" s="5" t="inlineStr">
        <is>
          <t>Code</t>
        </is>
      </c>
      <c r="B1230" s="5" t="inlineStr">
        <is>
          <t>Description</t>
        </is>
      </c>
      <c r="C1230" s="5" t="inlineStr">
        <is>
          <t>Unit</t>
        </is>
      </c>
      <c r="D1230" s="5" t="inlineStr">
        <is>
          <t>Quantity</t>
        </is>
      </c>
      <c r="E1230" s="5" t="inlineStr">
        <is>
          <t>Rate (Rs.)</t>
        </is>
      </c>
      <c r="F1230" s="5" t="inlineStr">
        <is>
          <t>Amount (Rs.)</t>
        </is>
      </c>
    </row>
    <row r="1231">
      <c r="A1231" s="13" t="inlineStr">
        <is>
          <t>2394</t>
        </is>
      </c>
      <c r="B1231" s="14" t="inlineStr">
        <is>
          <t>Coupler 16 mm dia</t>
        </is>
      </c>
      <c r="C1231" s="13" t="inlineStr">
        <is>
          <t>each</t>
        </is>
      </c>
      <c r="D1231" s="15" t="n">
        <v>1</v>
      </c>
      <c r="E1231" s="16" t="n">
        <v>30</v>
      </c>
      <c r="F1231" s="16">
        <f>D1231*E1231</f>
        <v/>
      </c>
    </row>
    <row r="1232">
      <c r="A1232" s="13" t="inlineStr">
        <is>
          <t>9999</t>
        </is>
      </c>
      <c r="B1232" s="14" t="inlineStr">
        <is>
          <t>For placing in position and fixing</t>
        </is>
      </c>
      <c r="C1232" s="13" t="inlineStr">
        <is>
          <t>L.S.</t>
        </is>
      </c>
      <c r="D1232" s="15" t="n">
        <v>3.77</v>
      </c>
      <c r="E1232" s="16" t="n">
        <v>2</v>
      </c>
      <c r="F1232" s="16">
        <f>D1232*E1232</f>
        <v/>
      </c>
    </row>
    <row r="1233">
      <c r="A1233" s="13" t="inlineStr">
        <is>
          <t>9999</t>
        </is>
      </c>
      <c r="B1233" s="14" t="inlineStr">
        <is>
          <t>Tapard/Parallel threading charges</t>
        </is>
      </c>
      <c r="C1233" s="13" t="inlineStr">
        <is>
          <t>L.S.</t>
        </is>
      </c>
      <c r="D1233" s="15" t="n">
        <v>17.77</v>
      </c>
      <c r="E1233" s="16" t="n">
        <v>2</v>
      </c>
      <c r="F1233" s="16">
        <f>D1233*E1233</f>
        <v/>
      </c>
    </row>
    <row r="1234">
      <c r="A1234" s="17" t="inlineStr">
        <is>
          <t>Resource Total (Material + Labour + Machinery, as printed)</t>
        </is>
      </c>
      <c r="B1234" s="18" t="n"/>
      <c r="C1234" s="18" t="n"/>
      <c r="D1234" s="18" t="n"/>
      <c r="E1234" s="18" t="n"/>
      <c r="F1234" s="19">
        <f>SUM(F1231:F1233)</f>
        <v/>
      </c>
    </row>
    <row r="1235">
      <c r="A1235" s="20" t="inlineStr">
        <is>
          <t>SAY (Rs.) — final DAR rate</t>
        </is>
      </c>
      <c r="B1235" s="21" t="n"/>
      <c r="C1235" s="21" t="n"/>
      <c r="D1235" s="21" t="n"/>
      <c r="E1235" s="21" t="n"/>
      <c r="F1235" s="22" t="n">
        <v>97.8</v>
      </c>
    </row>
    <row r="1237" ht="18" customHeight="1">
      <c r="A1237" s="9" t="inlineStr">
        <is>
          <t>5.42.2</t>
        </is>
      </c>
      <c r="B1237" s="10" t="inlineStr">
        <is>
          <t>Coupler for 20 mm diameter reinforcement bar</t>
        </is>
      </c>
      <c r="C1237" s="11" t="n"/>
      <c r="D1237" s="11" t="n"/>
      <c r="E1237" s="11" t="n"/>
      <c r="F1237" s="11" t="n"/>
    </row>
    <row r="1238">
      <c r="A1238" s="12" t="inlineStr">
        <is>
          <t>Rate basis: per Nos  (source: cost for 1 Nos)</t>
        </is>
      </c>
    </row>
    <row r="1239">
      <c r="A1239" s="5" t="inlineStr">
        <is>
          <t>Code</t>
        </is>
      </c>
      <c r="B1239" s="5" t="inlineStr">
        <is>
          <t>Description</t>
        </is>
      </c>
      <c r="C1239" s="5" t="inlineStr">
        <is>
          <t>Unit</t>
        </is>
      </c>
      <c r="D1239" s="5" t="inlineStr">
        <is>
          <t>Quantity</t>
        </is>
      </c>
      <c r="E1239" s="5" t="inlineStr">
        <is>
          <t>Rate (Rs.)</t>
        </is>
      </c>
      <c r="F1239" s="5" t="inlineStr">
        <is>
          <t>Amount (Rs.)</t>
        </is>
      </c>
    </row>
    <row r="1240">
      <c r="A1240" s="13" t="inlineStr">
        <is>
          <t>2395</t>
        </is>
      </c>
      <c r="B1240" s="14" t="inlineStr">
        <is>
          <t>Coupler 20 mm dia</t>
        </is>
      </c>
      <c r="C1240" s="13" t="inlineStr">
        <is>
          <t>each</t>
        </is>
      </c>
      <c r="D1240" s="15" t="n">
        <v>1</v>
      </c>
      <c r="E1240" s="16" t="n">
        <v>39</v>
      </c>
      <c r="F1240" s="16">
        <f>D1240*E1240</f>
        <v/>
      </c>
    </row>
    <row r="1241">
      <c r="A1241" s="13" t="inlineStr">
        <is>
          <t>9999</t>
        </is>
      </c>
      <c r="B1241" s="14" t="inlineStr">
        <is>
          <t>For placing in position and fixing</t>
        </is>
      </c>
      <c r="C1241" s="13" t="inlineStr">
        <is>
          <t>L.S.</t>
        </is>
      </c>
      <c r="D1241" s="15" t="n">
        <v>5.9</v>
      </c>
      <c r="E1241" s="16" t="n">
        <v>2</v>
      </c>
      <c r="F1241" s="16">
        <f>D1241*E1241</f>
        <v/>
      </c>
    </row>
    <row r="1242">
      <c r="A1242" s="13" t="inlineStr">
        <is>
          <t>9999</t>
        </is>
      </c>
      <c r="B1242" s="14" t="inlineStr">
        <is>
          <t>Tapard/Parallel threading charges</t>
        </is>
      </c>
      <c r="C1242" s="13" t="inlineStr">
        <is>
          <t>L.S.</t>
        </is>
      </c>
      <c r="D1242" s="15" t="n">
        <v>25.17</v>
      </c>
      <c r="E1242" s="16" t="n">
        <v>2</v>
      </c>
      <c r="F1242" s="16">
        <f>D1242*E1242</f>
        <v/>
      </c>
    </row>
    <row r="1243">
      <c r="A1243" s="17" t="inlineStr">
        <is>
          <t>Resource Total (Material + Labour + Machinery, as printed)</t>
        </is>
      </c>
      <c r="B1243" s="18" t="n"/>
      <c r="C1243" s="18" t="n"/>
      <c r="D1243" s="18" t="n"/>
      <c r="E1243" s="18" t="n"/>
      <c r="F1243" s="19">
        <f>SUM(F1240:F1242)</f>
        <v/>
      </c>
    </row>
    <row r="1244">
      <c r="A1244" s="20" t="inlineStr">
        <is>
          <t>SAY (Rs.) — final DAR rate</t>
        </is>
      </c>
      <c r="B1244" s="21" t="n"/>
      <c r="C1244" s="21" t="n"/>
      <c r="D1244" s="21" t="n"/>
      <c r="E1244" s="21" t="n"/>
      <c r="F1244" s="22" t="n">
        <v>135.3</v>
      </c>
    </row>
    <row r="1246" ht="18" customHeight="1">
      <c r="A1246" s="9" t="inlineStr">
        <is>
          <t>5.42.3</t>
        </is>
      </c>
      <c r="B1246" s="10" t="inlineStr">
        <is>
          <t>Coupler for 25 mm diameter reinforcement bar</t>
        </is>
      </c>
      <c r="C1246" s="11" t="n"/>
      <c r="D1246" s="11" t="n"/>
      <c r="E1246" s="11" t="n"/>
      <c r="F1246" s="11" t="n"/>
    </row>
    <row r="1247">
      <c r="A1247" s="12" t="inlineStr">
        <is>
          <t>Rate basis: per Nos  (source: cost for 1 Nos)</t>
        </is>
      </c>
    </row>
    <row r="1248">
      <c r="A1248" s="5" t="inlineStr">
        <is>
          <t>Code</t>
        </is>
      </c>
      <c r="B1248" s="5" t="inlineStr">
        <is>
          <t>Description</t>
        </is>
      </c>
      <c r="C1248" s="5" t="inlineStr">
        <is>
          <t>Unit</t>
        </is>
      </c>
      <c r="D1248" s="5" t="inlineStr">
        <is>
          <t>Quantity</t>
        </is>
      </c>
      <c r="E1248" s="5" t="inlineStr">
        <is>
          <t>Rate (Rs.)</t>
        </is>
      </c>
      <c r="F1248" s="5" t="inlineStr">
        <is>
          <t>Amount (Rs.)</t>
        </is>
      </c>
    </row>
    <row r="1249">
      <c r="A1249" s="13" t="inlineStr">
        <is>
          <t>2396</t>
        </is>
      </c>
      <c r="B1249" s="14" t="inlineStr">
        <is>
          <t>Coupler 25 mm dia</t>
        </is>
      </c>
      <c r="C1249" s="13" t="inlineStr">
        <is>
          <t>each</t>
        </is>
      </c>
      <c r="D1249" s="15" t="n">
        <v>1</v>
      </c>
      <c r="E1249" s="16" t="n">
        <v>69.5</v>
      </c>
      <c r="F1249" s="16">
        <f>D1249*E1249</f>
        <v/>
      </c>
    </row>
    <row r="1250">
      <c r="A1250" s="13" t="inlineStr">
        <is>
          <t>9999</t>
        </is>
      </c>
      <c r="B1250" s="14" t="inlineStr">
        <is>
          <t>For placing in position and fixing</t>
        </is>
      </c>
      <c r="C1250" s="13" t="inlineStr">
        <is>
          <t>L.S.</t>
        </is>
      </c>
      <c r="D1250" s="15" t="n">
        <v>8.69</v>
      </c>
      <c r="E1250" s="16" t="n">
        <v>2</v>
      </c>
      <c r="F1250" s="16">
        <f>D1250*E1250</f>
        <v/>
      </c>
    </row>
    <row r="1251">
      <c r="A1251" s="13" t="inlineStr">
        <is>
          <t>9999</t>
        </is>
      </c>
      <c r="B1251" s="14" t="inlineStr">
        <is>
          <t>Tapard/Parallel threading charges</t>
        </is>
      </c>
      <c r="C1251" s="13" t="inlineStr">
        <is>
          <t>L.S.</t>
        </is>
      </c>
      <c r="D1251" s="15" t="n">
        <v>29.61</v>
      </c>
      <c r="E1251" s="16" t="n">
        <v>2</v>
      </c>
      <c r="F1251" s="16">
        <f>D1251*E1251</f>
        <v/>
      </c>
    </row>
    <row r="1252">
      <c r="A1252" s="17" t="inlineStr">
        <is>
          <t>Resource Total (Material + Labour + Machinery, as printed)</t>
        </is>
      </c>
      <c r="B1252" s="18" t="n"/>
      <c r="C1252" s="18" t="n"/>
      <c r="D1252" s="18" t="n"/>
      <c r="E1252" s="18" t="n"/>
      <c r="F1252" s="19">
        <f>SUM(F1249:F1251)</f>
        <v/>
      </c>
    </row>
    <row r="1253">
      <c r="A1253" s="20" t="inlineStr">
        <is>
          <t>SAY (Rs.) — final DAR rate</t>
        </is>
      </c>
      <c r="B1253" s="21" t="n"/>
      <c r="C1253" s="21" t="n"/>
      <c r="D1253" s="21" t="n"/>
      <c r="E1253" s="21" t="n"/>
      <c r="F1253" s="22" t="n">
        <v>195.45</v>
      </c>
    </row>
    <row r="1255" ht="18" customHeight="1">
      <c r="A1255" s="9" t="inlineStr">
        <is>
          <t>5.42.4</t>
        </is>
      </c>
      <c r="B1255" s="10" t="inlineStr">
        <is>
          <t>Coupler for 28 mm diameter reinforcement bar</t>
        </is>
      </c>
      <c r="C1255" s="11" t="n"/>
      <c r="D1255" s="11" t="n"/>
      <c r="E1255" s="11" t="n"/>
      <c r="F1255" s="11" t="n"/>
    </row>
    <row r="1256">
      <c r="A1256" s="12" t="inlineStr">
        <is>
          <t>Rate basis: per Nos  (source: cost for 1 Nos)</t>
        </is>
      </c>
    </row>
    <row r="1257">
      <c r="A1257" s="5" t="inlineStr">
        <is>
          <t>Code</t>
        </is>
      </c>
      <c r="B1257" s="5" t="inlineStr">
        <is>
          <t>Description</t>
        </is>
      </c>
      <c r="C1257" s="5" t="inlineStr">
        <is>
          <t>Unit</t>
        </is>
      </c>
      <c r="D1257" s="5" t="inlineStr">
        <is>
          <t>Quantity</t>
        </is>
      </c>
      <c r="E1257" s="5" t="inlineStr">
        <is>
          <t>Rate (Rs.)</t>
        </is>
      </c>
      <c r="F1257" s="5" t="inlineStr">
        <is>
          <t>Amount (Rs.)</t>
        </is>
      </c>
    </row>
    <row r="1258">
      <c r="A1258" s="13" t="inlineStr">
        <is>
          <t>2397</t>
        </is>
      </c>
      <c r="B1258" s="14" t="inlineStr">
        <is>
          <t>Coupler 28 mm dia</t>
        </is>
      </c>
      <c r="C1258" s="13" t="inlineStr">
        <is>
          <t>each</t>
        </is>
      </c>
      <c r="D1258" s="15" t="n">
        <v>1</v>
      </c>
      <c r="E1258" s="16" t="n">
        <v>80</v>
      </c>
      <c r="F1258" s="16">
        <f>D1258*E1258</f>
        <v/>
      </c>
    </row>
    <row r="1259">
      <c r="A1259" s="13" t="inlineStr">
        <is>
          <t>9999</t>
        </is>
      </c>
      <c r="B1259" s="14" t="inlineStr">
        <is>
          <t>For placing in position and fixing</t>
        </is>
      </c>
      <c r="C1259" s="13" t="inlineStr">
        <is>
          <t>L.S.</t>
        </is>
      </c>
      <c r="D1259" s="15" t="n">
        <v>12.84</v>
      </c>
      <c r="E1259" s="16" t="n">
        <v>2</v>
      </c>
      <c r="F1259" s="16">
        <f>D1259*E1259</f>
        <v/>
      </c>
    </row>
    <row r="1260">
      <c r="A1260" s="13" t="inlineStr">
        <is>
          <t>9999</t>
        </is>
      </c>
      <c r="B1260" s="14" t="inlineStr">
        <is>
          <t>Tapard/Parallel threading charges</t>
        </is>
      </c>
      <c r="C1260" s="13" t="inlineStr">
        <is>
          <t>L.S.</t>
        </is>
      </c>
      <c r="D1260" s="15" t="n">
        <v>32.57</v>
      </c>
      <c r="E1260" s="16" t="n">
        <v>2</v>
      </c>
      <c r="F1260" s="16">
        <f>D1260*E1260</f>
        <v/>
      </c>
    </row>
    <row r="1261">
      <c r="A1261" s="17" t="inlineStr">
        <is>
          <t>Resource Total (Material + Labour + Machinery, as printed)</t>
        </is>
      </c>
      <c r="B1261" s="18" t="n"/>
      <c r="C1261" s="18" t="n"/>
      <c r="D1261" s="18" t="n"/>
      <c r="E1261" s="18" t="n"/>
      <c r="F1261" s="19">
        <f>SUM(F1258:F1260)</f>
        <v/>
      </c>
    </row>
    <row r="1262">
      <c r="A1262" s="20" t="inlineStr">
        <is>
          <t>SAY (Rs.) — final DAR rate</t>
        </is>
      </c>
      <c r="B1262" s="21" t="n"/>
      <c r="C1262" s="21" t="n"/>
      <c r="D1262" s="21" t="n"/>
      <c r="E1262" s="21" t="n"/>
      <c r="F1262" s="22" t="n">
        <v>228.55</v>
      </c>
    </row>
    <row r="1264" ht="18" customHeight="1">
      <c r="A1264" s="9" t="inlineStr">
        <is>
          <t>5.42.5</t>
        </is>
      </c>
      <c r="B1264" s="10" t="inlineStr">
        <is>
          <t>Coupler for 32 mm diameter reinforcement bar</t>
        </is>
      </c>
      <c r="C1264" s="11" t="n"/>
      <c r="D1264" s="11" t="n"/>
      <c r="E1264" s="11" t="n"/>
      <c r="F1264" s="11" t="n"/>
    </row>
    <row r="1265">
      <c r="A1265" s="12" t="inlineStr">
        <is>
          <t>Rate basis: per Nos  (source: cost for 1 Nos)</t>
        </is>
      </c>
    </row>
    <row r="1266">
      <c r="A1266" s="5" t="inlineStr">
        <is>
          <t>Code</t>
        </is>
      </c>
      <c r="B1266" s="5" t="inlineStr">
        <is>
          <t>Description</t>
        </is>
      </c>
      <c r="C1266" s="5" t="inlineStr">
        <is>
          <t>Unit</t>
        </is>
      </c>
      <c r="D1266" s="5" t="inlineStr">
        <is>
          <t>Quantity</t>
        </is>
      </c>
      <c r="E1266" s="5" t="inlineStr">
        <is>
          <t>Rate (Rs.)</t>
        </is>
      </c>
      <c r="F1266" s="5" t="inlineStr">
        <is>
          <t>Amount (Rs.)</t>
        </is>
      </c>
    </row>
    <row r="1267">
      <c r="A1267" s="13" t="inlineStr">
        <is>
          <t>2398</t>
        </is>
      </c>
      <c r="B1267" s="14" t="inlineStr">
        <is>
          <t>Coupler 32 mm dia</t>
        </is>
      </c>
      <c r="C1267" s="13" t="inlineStr">
        <is>
          <t>each</t>
        </is>
      </c>
      <c r="D1267" s="15" t="n">
        <v>1</v>
      </c>
      <c r="E1267" s="16" t="n">
        <v>110</v>
      </c>
      <c r="F1267" s="16">
        <f>D1267*E1267</f>
        <v/>
      </c>
    </row>
    <row r="1268">
      <c r="A1268" s="13" t="inlineStr">
        <is>
          <t>9999</t>
        </is>
      </c>
      <c r="B1268" s="14" t="inlineStr">
        <is>
          <t>For placing in position and fixing</t>
        </is>
      </c>
      <c r="C1268" s="13" t="inlineStr">
        <is>
          <t>L.S.</t>
        </is>
      </c>
      <c r="D1268" s="15" t="n">
        <v>15.48</v>
      </c>
      <c r="E1268" s="16" t="n">
        <v>2</v>
      </c>
      <c r="F1268" s="16">
        <f>D1268*E1268</f>
        <v/>
      </c>
    </row>
    <row r="1269">
      <c r="A1269" s="13" t="inlineStr">
        <is>
          <t>9999</t>
        </is>
      </c>
      <c r="B1269" s="14" t="inlineStr">
        <is>
          <t>Tapard/Parallel threading charges</t>
        </is>
      </c>
      <c r="C1269" s="13" t="inlineStr">
        <is>
          <t>L.S.</t>
        </is>
      </c>
      <c r="D1269" s="15" t="n">
        <v>32.57</v>
      </c>
      <c r="E1269" s="16" t="n">
        <v>2</v>
      </c>
      <c r="F1269" s="16">
        <f>D1269*E1269</f>
        <v/>
      </c>
    </row>
    <row r="1270">
      <c r="A1270" s="17" t="inlineStr">
        <is>
          <t>Resource Total (Material + Labour + Machinery, as printed)</t>
        </is>
      </c>
      <c r="B1270" s="18" t="n"/>
      <c r="C1270" s="18" t="n"/>
      <c r="D1270" s="18" t="n"/>
      <c r="E1270" s="18" t="n"/>
      <c r="F1270" s="19">
        <f>SUM(F1267:F1269)</f>
        <v/>
      </c>
    </row>
    <row r="1271">
      <c r="A1271" s="20" t="inlineStr">
        <is>
          <t>SAY (Rs.) — final DAR rate</t>
        </is>
      </c>
      <c r="B1271" s="21" t="n"/>
      <c r="C1271" s="21" t="n"/>
      <c r="D1271" s="21" t="n"/>
      <c r="E1271" s="21" t="n"/>
      <c r="F1271" s="22" t="n">
        <v>275.75</v>
      </c>
    </row>
    <row r="1273" ht="18" customHeight="1">
      <c r="A1273" s="9" t="inlineStr">
        <is>
          <t>5.43.1</t>
        </is>
      </c>
      <c r="B1273" s="10" t="inlineStr">
        <is>
          <t>200 mm wide.</t>
        </is>
      </c>
      <c r="C1273" s="11" t="n"/>
      <c r="D1273" s="11" t="n"/>
      <c r="E1273" s="11" t="n"/>
      <c r="F1273" s="11" t="n"/>
    </row>
    <row r="1274">
      <c r="A1274" s="12" t="inlineStr">
        <is>
          <t>Rate basis: per metre  (source: cost for 1 metre)</t>
        </is>
      </c>
    </row>
    <row r="1275">
      <c r="A1275" s="5" t="inlineStr">
        <is>
          <t>Code</t>
        </is>
      </c>
      <c r="B1275" s="5" t="inlineStr">
        <is>
          <t>Description</t>
        </is>
      </c>
      <c r="C1275" s="5" t="inlineStr">
        <is>
          <t>Unit</t>
        </is>
      </c>
      <c r="D1275" s="5" t="inlineStr">
        <is>
          <t>Quantity</t>
        </is>
      </c>
      <c r="E1275" s="5" t="inlineStr">
        <is>
          <t>Rate (Rs.)</t>
        </is>
      </c>
      <c r="F1275" s="5" t="inlineStr">
        <is>
          <t>Amount (Rs.)</t>
        </is>
      </c>
    </row>
    <row r="1276">
      <c r="A1276" s="13" t="inlineStr">
        <is>
          <t>2393</t>
        </is>
      </c>
      <c r="B1276" s="14" t="inlineStr">
        <is>
          <t>1 mm thick Stainless Steel Cover plate grade</t>
        </is>
      </c>
      <c r="C1276" s="13" t="inlineStr">
        <is>
          <t>304 kg</t>
        </is>
      </c>
      <c r="D1276" s="15" t="n">
        <v>1.6</v>
      </c>
      <c r="E1276" s="16" t="n">
        <v>275</v>
      </c>
      <c r="F1276" s="16">
        <f>D1276*E1276</f>
        <v/>
      </c>
    </row>
    <row r="1277">
      <c r="A1277" s="13" t="inlineStr">
        <is>
          <t>8647</t>
        </is>
      </c>
      <c r="B1277" s="14" t="inlineStr">
        <is>
          <t>Stainless steal screws 30mm x4mm.</t>
        </is>
      </c>
      <c r="C1277" s="13" t="inlineStr">
        <is>
          <t>100 nos</t>
        </is>
      </c>
      <c r="D1277" s="15" t="n">
        <v>0.06</v>
      </c>
      <c r="E1277" s="16" t="n">
        <v>32</v>
      </c>
      <c r="F1277" s="16">
        <f>D1277*E1277</f>
        <v/>
      </c>
    </row>
    <row r="1278">
      <c r="A1278" s="13" t="inlineStr">
        <is>
          <t>9977</t>
        </is>
      </c>
      <c r="B1278" s="14" t="inlineStr">
        <is>
          <t>Carriage of material</t>
        </is>
      </c>
      <c r="C1278" s="13" t="inlineStr">
        <is>
          <t>L.S.</t>
        </is>
      </c>
      <c r="D1278" s="15" t="n">
        <v>1.3</v>
      </c>
      <c r="E1278" s="16" t="n">
        <v>2</v>
      </c>
      <c r="F1278" s="16">
        <f>D1278*E1278</f>
        <v/>
      </c>
    </row>
    <row r="1279">
      <c r="A1279" s="13" t="inlineStr">
        <is>
          <t>0103</t>
        </is>
      </c>
      <c r="B1279" s="14" t="inlineStr">
        <is>
          <t>Blacksmith 2nd class</t>
        </is>
      </c>
      <c r="C1279" s="13" t="inlineStr">
        <is>
          <t>day</t>
        </is>
      </c>
      <c r="D1279" s="15" t="n">
        <v>0.067</v>
      </c>
      <c r="E1279" s="16" t="n">
        <v>679</v>
      </c>
      <c r="F1279" s="16">
        <f>D1279*E1279</f>
        <v/>
      </c>
    </row>
    <row r="1280">
      <c r="A1280" s="13" t="inlineStr">
        <is>
          <t>0114</t>
        </is>
      </c>
      <c r="B1280" s="14" t="inlineStr">
        <is>
          <t>Beldar</t>
        </is>
      </c>
      <c r="C1280" s="13" t="inlineStr">
        <is>
          <t>day</t>
        </is>
      </c>
      <c r="D1280" s="15" t="n">
        <v>0.067</v>
      </c>
      <c r="E1280" s="16" t="n">
        <v>558</v>
      </c>
      <c r="F1280" s="16">
        <f>D1280*E1280</f>
        <v/>
      </c>
    </row>
    <row r="1281">
      <c r="A1281" s="13" t="inlineStr">
        <is>
          <t>9999</t>
        </is>
      </c>
      <c r="B1281" s="14" t="inlineStr">
        <is>
          <t>Sundries</t>
        </is>
      </c>
      <c r="C1281" s="13" t="inlineStr">
        <is>
          <t>L.S.</t>
        </is>
      </c>
      <c r="D1281" s="15" t="n">
        <v>2.34</v>
      </c>
      <c r="E1281" s="16" t="n">
        <v>2</v>
      </c>
      <c r="F1281" s="16">
        <f>D1281*E1281</f>
        <v/>
      </c>
    </row>
    <row r="1282">
      <c r="A1282" s="17" t="inlineStr">
        <is>
          <t>Resource Total (Material + Labour + Machinery, as printed)</t>
        </is>
      </c>
      <c r="B1282" s="18" t="n"/>
      <c r="C1282" s="18" t="n"/>
      <c r="D1282" s="18" t="n"/>
      <c r="E1282" s="18" t="n"/>
      <c r="F1282" s="19">
        <f>SUM(F1276:F1281)</f>
        <v/>
      </c>
    </row>
    <row r="1283">
      <c r="A1283" s="20" t="inlineStr">
        <is>
          <t>SAY (Rs.) — final DAR rate</t>
        </is>
      </c>
      <c r="B1283" s="21" t="n"/>
      <c r="C1283" s="21" t="n"/>
      <c r="D1283" s="21" t="n"/>
      <c r="E1283" s="21" t="n"/>
      <c r="F1283" s="22" t="n">
        <v>711.9</v>
      </c>
    </row>
    <row r="1285" ht="18" customHeight="1">
      <c r="A1285" s="9" t="inlineStr">
        <is>
          <t>5.43.2</t>
        </is>
      </c>
      <c r="B1285" s="10" t="inlineStr">
        <is>
          <t>300 mm wide.</t>
        </is>
      </c>
      <c r="C1285" s="11" t="n"/>
      <c r="D1285" s="11" t="n"/>
      <c r="E1285" s="11" t="n"/>
      <c r="F1285" s="11" t="n"/>
    </row>
    <row r="1286">
      <c r="A1286" s="12" t="inlineStr">
        <is>
          <t>Rate basis: per metre  (source: cost for 1 metre)</t>
        </is>
      </c>
    </row>
    <row r="1287">
      <c r="A1287" s="5" t="inlineStr">
        <is>
          <t>Code</t>
        </is>
      </c>
      <c r="B1287" s="5" t="inlineStr">
        <is>
          <t>Description</t>
        </is>
      </c>
      <c r="C1287" s="5" t="inlineStr">
        <is>
          <t>Unit</t>
        </is>
      </c>
      <c r="D1287" s="5" t="inlineStr">
        <is>
          <t>Quantity</t>
        </is>
      </c>
      <c r="E1287" s="5" t="inlineStr">
        <is>
          <t>Rate (Rs.)</t>
        </is>
      </c>
      <c r="F1287" s="5" t="inlineStr">
        <is>
          <t>Amount (Rs.)</t>
        </is>
      </c>
    </row>
    <row r="1288">
      <c r="A1288" s="13" t="inlineStr">
        <is>
          <t>2393</t>
        </is>
      </c>
      <c r="B1288" s="14" t="inlineStr">
        <is>
          <t>1 mm thick Stainless Steel Cover plate grade</t>
        </is>
      </c>
      <c r="C1288" s="13" t="inlineStr">
        <is>
          <t>304 kg</t>
        </is>
      </c>
      <c r="D1288" s="15" t="n">
        <v>2.4</v>
      </c>
      <c r="E1288" s="16" t="n">
        <v>275</v>
      </c>
      <c r="F1288" s="16">
        <f>D1288*E1288</f>
        <v/>
      </c>
    </row>
    <row r="1289">
      <c r="A1289" s="13" t="inlineStr">
        <is>
          <t>8647</t>
        </is>
      </c>
      <c r="B1289" s="14" t="inlineStr">
        <is>
          <t>Stainless steal screws 30mm x4mm.</t>
        </is>
      </c>
      <c r="C1289" s="13" t="inlineStr">
        <is>
          <t>100 nos</t>
        </is>
      </c>
      <c r="D1289" s="15" t="n">
        <v>0.06</v>
      </c>
      <c r="E1289" s="16" t="n">
        <v>32</v>
      </c>
      <c r="F1289" s="16">
        <f>D1289*E1289</f>
        <v/>
      </c>
    </row>
    <row r="1290">
      <c r="A1290" s="13" t="inlineStr">
        <is>
          <t>9977</t>
        </is>
      </c>
      <c r="B1290" s="14" t="inlineStr">
        <is>
          <t>Carriage of material</t>
        </is>
      </c>
      <c r="C1290" s="13" t="inlineStr">
        <is>
          <t>L.S.</t>
        </is>
      </c>
      <c r="D1290" s="15" t="n">
        <v>1.3</v>
      </c>
      <c r="E1290" s="16" t="n">
        <v>2</v>
      </c>
      <c r="F1290" s="16">
        <f>D1290*E1290</f>
        <v/>
      </c>
    </row>
    <row r="1291">
      <c r="A1291" s="13" t="inlineStr">
        <is>
          <t>0103</t>
        </is>
      </c>
      <c r="B1291" s="14" t="inlineStr">
        <is>
          <t>Blacksmith 2nd class</t>
        </is>
      </c>
      <c r="C1291" s="13" t="inlineStr">
        <is>
          <t>day</t>
        </is>
      </c>
      <c r="D1291" s="15" t="n">
        <v>0.067</v>
      </c>
      <c r="E1291" s="16" t="n">
        <v>679</v>
      </c>
      <c r="F1291" s="16">
        <f>D1291*E1291</f>
        <v/>
      </c>
    </row>
    <row r="1292">
      <c r="A1292" s="13" t="inlineStr">
        <is>
          <t>0114</t>
        </is>
      </c>
      <c r="B1292" s="14" t="inlineStr">
        <is>
          <t>Beldar</t>
        </is>
      </c>
      <c r="C1292" s="13" t="inlineStr">
        <is>
          <t>day</t>
        </is>
      </c>
      <c r="D1292" s="15" t="n">
        <v>0.067</v>
      </c>
      <c r="E1292" s="16" t="n">
        <v>558</v>
      </c>
      <c r="F1292" s="16">
        <f>D1292*E1292</f>
        <v/>
      </c>
    </row>
    <row r="1293">
      <c r="A1293" s="13" t="inlineStr">
        <is>
          <t>9999</t>
        </is>
      </c>
      <c r="B1293" s="14" t="inlineStr">
        <is>
          <t>Sundries</t>
        </is>
      </c>
      <c r="C1293" s="13" t="inlineStr">
        <is>
          <t>L.S.</t>
        </is>
      </c>
      <c r="D1293" s="15" t="n">
        <v>2.34</v>
      </c>
      <c r="E1293" s="16" t="n">
        <v>2</v>
      </c>
      <c r="F1293" s="16">
        <f>D1293*E1293</f>
        <v/>
      </c>
    </row>
    <row r="1294">
      <c r="A1294" s="17" t="inlineStr">
        <is>
          <t>Resource Total (Material + Labour + Machinery, as printed)</t>
        </is>
      </c>
      <c r="B1294" s="18" t="n"/>
      <c r="C1294" s="18" t="n"/>
      <c r="D1294" s="18" t="n"/>
      <c r="E1294" s="18" t="n"/>
      <c r="F1294" s="19">
        <f>SUM(F1288:F1293)</f>
        <v/>
      </c>
    </row>
    <row r="1295">
      <c r="A1295" s="20" t="inlineStr">
        <is>
          <t>SAY (Rs.) — final DAR rate</t>
        </is>
      </c>
      <c r="B1295" s="21" t="n"/>
      <c r="C1295" s="21" t="n"/>
      <c r="D1295" s="21" t="n"/>
      <c r="E1295" s="21" t="n"/>
      <c r="F1295" s="22" t="n">
        <v>1006.25</v>
      </c>
    </row>
    <row r="1297" ht="18" customHeight="1">
      <c r="A1297" s="9" t="inlineStr">
        <is>
          <t>5.44.1</t>
        </is>
      </c>
      <c r="B1297" s="10" t="inlineStr">
        <is>
          <t>Floor Joint of 100 mm gap</t>
        </is>
      </c>
      <c r="C1297" s="11" t="n"/>
      <c r="D1297" s="11" t="n"/>
      <c r="E1297" s="11" t="n"/>
      <c r="F1297" s="11" t="n"/>
    </row>
    <row r="1298">
      <c r="A1298" s="12" t="inlineStr">
        <is>
          <t>Rate basis: per metre  (source: cost for 1 metre)</t>
        </is>
      </c>
    </row>
    <row r="1299">
      <c r="A1299" s="5" t="inlineStr">
        <is>
          <t>Code</t>
        </is>
      </c>
      <c r="B1299" s="5" t="inlineStr">
        <is>
          <t>Description</t>
        </is>
      </c>
      <c r="C1299" s="5" t="inlineStr">
        <is>
          <t>Unit</t>
        </is>
      </c>
      <c r="D1299" s="5" t="inlineStr">
        <is>
          <t>Quantity</t>
        </is>
      </c>
      <c r="E1299" s="5" t="inlineStr">
        <is>
          <t>Rate (Rs.)</t>
        </is>
      </c>
      <c r="F1299" s="5" t="inlineStr">
        <is>
          <t>Amount (Rs.)</t>
        </is>
      </c>
    </row>
    <row r="1300">
      <c r="A1300" s="13" t="inlineStr">
        <is>
          <t>2403</t>
        </is>
      </c>
      <c r="B1300" s="14" t="inlineStr">
        <is>
          <t>Floor Joint of 100 mm</t>
        </is>
      </c>
      <c r="C1300" s="13" t="inlineStr">
        <is>
          <t>metre</t>
        </is>
      </c>
      <c r="D1300" s="15" t="n">
        <v>1</v>
      </c>
      <c r="E1300" s="16" t="n">
        <v>3100</v>
      </c>
      <c r="F1300" s="16">
        <f>D1300*E1300</f>
        <v/>
      </c>
    </row>
    <row r="1301">
      <c r="A1301" s="13" t="inlineStr">
        <is>
          <t>2402</t>
        </is>
      </c>
      <c r="B1301" s="14" t="inlineStr">
        <is>
          <t>Epoxy adhesive</t>
        </is>
      </c>
      <c r="C1301" s="13" t="inlineStr">
        <is>
          <t>kg</t>
        </is>
      </c>
      <c r="D1301" s="15" t="n">
        <v>4.25</v>
      </c>
      <c r="E1301" s="16" t="n">
        <v>150</v>
      </c>
      <c r="F1301" s="16">
        <f>D1301*E1301</f>
        <v/>
      </c>
    </row>
    <row r="1302">
      <c r="A1302" s="13" t="inlineStr">
        <is>
          <t>9977</t>
        </is>
      </c>
      <c r="B1302" s="14" t="inlineStr">
        <is>
          <t>Carriage</t>
        </is>
      </c>
      <c r="C1302" s="13" t="inlineStr">
        <is>
          <t>L.S.</t>
        </is>
      </c>
      <c r="D1302" s="15" t="n">
        <v>124.9</v>
      </c>
      <c r="E1302" s="16" t="n">
        <v>2</v>
      </c>
      <c r="F1302" s="16">
        <f>D1302*E1302</f>
        <v/>
      </c>
    </row>
    <row r="1303">
      <c r="A1303" s="13" t="inlineStr">
        <is>
          <t>0102</t>
        </is>
      </c>
      <c r="B1303" s="14" t="inlineStr">
        <is>
          <t>Blacksmith 1st class</t>
        </is>
      </c>
      <c r="C1303" s="13" t="inlineStr">
        <is>
          <t>day</t>
        </is>
      </c>
      <c r="D1303" s="15" t="n">
        <v>0.05</v>
      </c>
      <c r="E1303" s="16" t="n">
        <v>738</v>
      </c>
      <c r="F1303" s="16">
        <f>D1303*E1303</f>
        <v/>
      </c>
    </row>
    <row r="1304">
      <c r="A1304" s="13" t="inlineStr">
        <is>
          <t>0123</t>
        </is>
      </c>
      <c r="B1304" s="14" t="inlineStr">
        <is>
          <t>Mason (brick layer) 1st class</t>
        </is>
      </c>
      <c r="C1304" s="13" t="inlineStr">
        <is>
          <t>day</t>
        </is>
      </c>
      <c r="D1304" s="15" t="n">
        <v>0.1</v>
      </c>
      <c r="E1304" s="16" t="n">
        <v>738</v>
      </c>
      <c r="F1304" s="16">
        <f>D1304*E1304</f>
        <v/>
      </c>
    </row>
    <row r="1305">
      <c r="A1305" s="13" t="inlineStr">
        <is>
          <t>0114</t>
        </is>
      </c>
      <c r="B1305" s="14" t="inlineStr">
        <is>
          <t>Beldar</t>
        </is>
      </c>
      <c r="C1305" s="13" t="inlineStr">
        <is>
          <t>day</t>
        </is>
      </c>
      <c r="D1305" s="15" t="n">
        <v>0.15</v>
      </c>
      <c r="E1305" s="16" t="n">
        <v>558</v>
      </c>
      <c r="F1305" s="16">
        <f>D1305*E1305</f>
        <v/>
      </c>
    </row>
    <row r="1306">
      <c r="A1306" s="17" t="inlineStr">
        <is>
          <t>Resource Total (Material + Labour + Machinery, as printed)</t>
        </is>
      </c>
      <c r="B1306" s="18" t="n"/>
      <c r="C1306" s="18" t="n"/>
      <c r="D1306" s="18" t="n"/>
      <c r="E1306" s="18" t="n"/>
      <c r="F1306" s="19">
        <f>SUM(F1300:F1305)</f>
        <v/>
      </c>
    </row>
    <row r="1307">
      <c r="A1307" s="20" t="inlineStr">
        <is>
          <t>SAY (Rs.) — final DAR rate</t>
        </is>
      </c>
      <c r="B1307" s="21" t="n"/>
      <c r="C1307" s="21" t="n"/>
      <c r="D1307" s="21" t="n"/>
      <c r="E1307" s="21" t="n"/>
      <c r="F1307" s="22" t="n">
        <v>5594.85</v>
      </c>
    </row>
    <row r="1309" ht="18" customHeight="1">
      <c r="A1309" s="9" t="inlineStr">
        <is>
          <t>5.44.2</t>
        </is>
      </c>
      <c r="B1309" s="10" t="inlineStr">
        <is>
          <t>Floor Joint of 150 mm gap</t>
        </is>
      </c>
      <c r="C1309" s="11" t="n"/>
      <c r="D1309" s="11" t="n"/>
      <c r="E1309" s="11" t="n"/>
      <c r="F1309" s="11" t="n"/>
    </row>
    <row r="1310">
      <c r="A1310" s="12" t="inlineStr">
        <is>
          <t>Rate basis: per metre  (source: cost for 1 metre)</t>
        </is>
      </c>
    </row>
    <row r="1311">
      <c r="A1311" s="5" t="inlineStr">
        <is>
          <t>Code</t>
        </is>
      </c>
      <c r="B1311" s="5" t="inlineStr">
        <is>
          <t>Description</t>
        </is>
      </c>
      <c r="C1311" s="5" t="inlineStr">
        <is>
          <t>Unit</t>
        </is>
      </c>
      <c r="D1311" s="5" t="inlineStr">
        <is>
          <t>Quantity</t>
        </is>
      </c>
      <c r="E1311" s="5" t="inlineStr">
        <is>
          <t>Rate (Rs.)</t>
        </is>
      </c>
      <c r="F1311" s="5" t="inlineStr">
        <is>
          <t>Amount (Rs.)</t>
        </is>
      </c>
    </row>
    <row r="1312">
      <c r="A1312" s="13" t="inlineStr">
        <is>
          <t>2404</t>
        </is>
      </c>
      <c r="B1312" s="14" t="inlineStr">
        <is>
          <t>Floor Joint of 150 mm</t>
        </is>
      </c>
      <c r="C1312" s="13" t="inlineStr">
        <is>
          <t>metre</t>
        </is>
      </c>
      <c r="D1312" s="15" t="n">
        <v>1</v>
      </c>
      <c r="E1312" s="16" t="n">
        <v>4000</v>
      </c>
      <c r="F1312" s="16">
        <f>D1312*E1312</f>
        <v/>
      </c>
    </row>
    <row r="1313">
      <c r="A1313" s="13" t="inlineStr">
        <is>
          <t>2402</t>
        </is>
      </c>
      <c r="B1313" s="14" t="inlineStr">
        <is>
          <t>Epoxy adhesive</t>
        </is>
      </c>
      <c r="C1313" s="13" t="inlineStr">
        <is>
          <t>kg</t>
        </is>
      </c>
      <c r="D1313" s="15" t="n">
        <v>4.5</v>
      </c>
      <c r="E1313" s="16" t="n">
        <v>150</v>
      </c>
      <c r="F1313" s="16">
        <f>D1313*E1313</f>
        <v/>
      </c>
    </row>
    <row r="1314">
      <c r="A1314" s="13" t="inlineStr">
        <is>
          <t>9977</t>
        </is>
      </c>
      <c r="B1314" s="14" t="inlineStr">
        <is>
          <t>Carriage</t>
        </is>
      </c>
      <c r="C1314" s="13" t="inlineStr">
        <is>
          <t>L.S.</t>
        </is>
      </c>
      <c r="D1314" s="15" t="n">
        <v>124.9</v>
      </c>
      <c r="E1314" s="16" t="n">
        <v>2</v>
      </c>
      <c r="F1314" s="16">
        <f>D1314*E1314</f>
        <v/>
      </c>
    </row>
    <row r="1315">
      <c r="A1315" s="13" t="inlineStr">
        <is>
          <t>0102</t>
        </is>
      </c>
      <c r="B1315" s="14" t="inlineStr">
        <is>
          <t>Blacksmith 1st class</t>
        </is>
      </c>
      <c r="C1315" s="13" t="inlineStr">
        <is>
          <t>day</t>
        </is>
      </c>
      <c r="D1315" s="15" t="n">
        <v>0.05</v>
      </c>
      <c r="E1315" s="16" t="n">
        <v>738</v>
      </c>
      <c r="F1315" s="16">
        <f>D1315*E1315</f>
        <v/>
      </c>
    </row>
    <row r="1316">
      <c r="A1316" s="13" t="inlineStr">
        <is>
          <t>0123</t>
        </is>
      </c>
      <c r="B1316" s="14" t="inlineStr">
        <is>
          <t>Mason (brick layer) 1st class</t>
        </is>
      </c>
      <c r="C1316" s="13" t="inlineStr">
        <is>
          <t>day</t>
        </is>
      </c>
      <c r="D1316" s="15" t="n">
        <v>0.1</v>
      </c>
      <c r="E1316" s="16" t="n">
        <v>738</v>
      </c>
      <c r="F1316" s="16">
        <f>D1316*E1316</f>
        <v/>
      </c>
    </row>
    <row r="1317">
      <c r="A1317" s="13" t="inlineStr">
        <is>
          <t>0114</t>
        </is>
      </c>
      <c r="B1317" s="14" t="inlineStr">
        <is>
          <t>Beldar</t>
        </is>
      </c>
      <c r="C1317" s="13" t="inlineStr">
        <is>
          <t>day</t>
        </is>
      </c>
      <c r="D1317" s="15" t="n">
        <v>0.15</v>
      </c>
      <c r="E1317" s="16" t="n">
        <v>558</v>
      </c>
      <c r="F1317" s="16">
        <f>D1317*E1317</f>
        <v/>
      </c>
    </row>
    <row r="1318">
      <c r="A1318" s="17" t="inlineStr">
        <is>
          <t>Resource Total (Material + Labour + Machinery, as printed)</t>
        </is>
      </c>
      <c r="B1318" s="18" t="n"/>
      <c r="C1318" s="18" t="n"/>
      <c r="D1318" s="18" t="n"/>
      <c r="E1318" s="18" t="n"/>
      <c r="F1318" s="19">
        <f>SUM(F1312:F1317)</f>
        <v/>
      </c>
    </row>
    <row r="1319">
      <c r="A1319" s="20" t="inlineStr">
        <is>
          <t>SAY (Rs.) — final DAR rate</t>
        </is>
      </c>
      <c r="B1319" s="21" t="n"/>
      <c r="C1319" s="21" t="n"/>
      <c r="D1319" s="21" t="n"/>
      <c r="E1319" s="21" t="n"/>
      <c r="F1319" s="22" t="n">
        <v>6849.15</v>
      </c>
    </row>
    <row r="1321" ht="18" customHeight="1">
      <c r="A1321" s="9" t="inlineStr">
        <is>
          <t>5.44.3</t>
        </is>
      </c>
      <c r="B1321" s="10" t="inlineStr">
        <is>
          <t>Floor Joint of 200 mm gap</t>
        </is>
      </c>
      <c r="C1321" s="11" t="n"/>
      <c r="D1321" s="11" t="n"/>
      <c r="E1321" s="11" t="n"/>
      <c r="F1321" s="11" t="n"/>
    </row>
    <row r="1322">
      <c r="A1322" s="12" t="inlineStr">
        <is>
          <t>Rate basis: per metre  (source: cost for 1 metre)</t>
        </is>
      </c>
    </row>
    <row r="1323">
      <c r="A1323" s="5" t="inlineStr">
        <is>
          <t>Code</t>
        </is>
      </c>
      <c r="B1323" s="5" t="inlineStr">
        <is>
          <t>Description</t>
        </is>
      </c>
      <c r="C1323" s="5" t="inlineStr">
        <is>
          <t>Unit</t>
        </is>
      </c>
      <c r="D1323" s="5" t="inlineStr">
        <is>
          <t>Quantity</t>
        </is>
      </c>
      <c r="E1323" s="5" t="inlineStr">
        <is>
          <t>Rate (Rs.)</t>
        </is>
      </c>
      <c r="F1323" s="5" t="inlineStr">
        <is>
          <t>Amount (Rs.)</t>
        </is>
      </c>
    </row>
    <row r="1324">
      <c r="A1324" s="13" t="inlineStr">
        <is>
          <t>2405</t>
        </is>
      </c>
      <c r="B1324" s="14" t="inlineStr">
        <is>
          <t>Floor Joint of 200 mm</t>
        </is>
      </c>
      <c r="C1324" s="13" t="inlineStr">
        <is>
          <t>metre</t>
        </is>
      </c>
      <c r="D1324" s="15" t="n">
        <v>1</v>
      </c>
      <c r="E1324" s="16" t="n">
        <v>5400</v>
      </c>
      <c r="F1324" s="16">
        <f>D1324*E1324</f>
        <v/>
      </c>
    </row>
    <row r="1325">
      <c r="A1325" s="13" t="inlineStr">
        <is>
          <t>2402</t>
        </is>
      </c>
      <c r="B1325" s="14" t="inlineStr">
        <is>
          <t>Epoxy adhesive</t>
        </is>
      </c>
      <c r="C1325" s="13" t="inlineStr">
        <is>
          <t>kg</t>
        </is>
      </c>
      <c r="D1325" s="15" t="n">
        <v>4.75</v>
      </c>
      <c r="E1325" s="16" t="n">
        <v>150</v>
      </c>
      <c r="F1325" s="16">
        <f>D1325*E1325</f>
        <v/>
      </c>
    </row>
    <row r="1326">
      <c r="A1326" s="13" t="inlineStr">
        <is>
          <t>9977</t>
        </is>
      </c>
      <c r="B1326" s="14" t="inlineStr">
        <is>
          <t>Carriage</t>
        </is>
      </c>
      <c r="C1326" s="13" t="inlineStr">
        <is>
          <t>L.S.</t>
        </is>
      </c>
      <c r="D1326" s="15" t="n">
        <v>124.9</v>
      </c>
      <c r="E1326" s="16" t="n">
        <v>2</v>
      </c>
      <c r="F1326" s="16">
        <f>D1326*E1326</f>
        <v/>
      </c>
    </row>
    <row r="1327">
      <c r="A1327" s="13" t="inlineStr">
        <is>
          <t>0102</t>
        </is>
      </c>
      <c r="B1327" s="14" t="inlineStr">
        <is>
          <t>Blacksmith 1st class</t>
        </is>
      </c>
      <c r="C1327" s="13" t="inlineStr">
        <is>
          <t>day</t>
        </is>
      </c>
      <c r="D1327" s="15" t="n">
        <v>0.05</v>
      </c>
      <c r="E1327" s="16" t="n">
        <v>738</v>
      </c>
      <c r="F1327" s="16">
        <f>D1327*E1327</f>
        <v/>
      </c>
    </row>
    <row r="1328">
      <c r="A1328" s="13" t="inlineStr">
        <is>
          <t>0123</t>
        </is>
      </c>
      <c r="B1328" s="14" t="inlineStr">
        <is>
          <t>Mason (brick layer) 1st class</t>
        </is>
      </c>
      <c r="C1328" s="13" t="inlineStr">
        <is>
          <t>day</t>
        </is>
      </c>
      <c r="D1328" s="15" t="n">
        <v>0.1</v>
      </c>
      <c r="E1328" s="16" t="n">
        <v>738</v>
      </c>
      <c r="F1328" s="16">
        <f>D1328*E1328</f>
        <v/>
      </c>
    </row>
    <row r="1329">
      <c r="A1329" s="13" t="inlineStr">
        <is>
          <t>0114</t>
        </is>
      </c>
      <c r="B1329" s="14" t="inlineStr">
        <is>
          <t>Beldar</t>
        </is>
      </c>
      <c r="C1329" s="13" t="inlineStr">
        <is>
          <t>day</t>
        </is>
      </c>
      <c r="D1329" s="15" t="n">
        <v>0.15</v>
      </c>
      <c r="E1329" s="16" t="n">
        <v>558</v>
      </c>
      <c r="F1329" s="16">
        <f>D1329*E1329</f>
        <v/>
      </c>
    </row>
    <row r="1330">
      <c r="A1330" s="17" t="inlineStr">
        <is>
          <t>Resource Total (Material + Labour + Machinery, as printed)</t>
        </is>
      </c>
      <c r="B1330" s="18" t="n"/>
      <c r="C1330" s="18" t="n"/>
      <c r="D1330" s="18" t="n"/>
      <c r="E1330" s="18" t="n"/>
      <c r="F1330" s="19">
        <f>SUM(F1324:F1329)</f>
        <v/>
      </c>
    </row>
    <row r="1331">
      <c r="A1331" s="20" t="inlineStr">
        <is>
          <t>SAY (Rs.) — final DAR rate</t>
        </is>
      </c>
      <c r="B1331" s="21" t="n"/>
      <c r="C1331" s="21" t="n"/>
      <c r="D1331" s="21" t="n"/>
      <c r="E1331" s="21" t="n"/>
      <c r="F1331" s="22" t="n">
        <v>8772.450000000001</v>
      </c>
    </row>
    <row r="1333" ht="18" customHeight="1">
      <c r="A1333" s="9" t="inlineStr">
        <is>
          <t>5.45.1</t>
        </is>
      </c>
      <c r="B1333" s="10" t="inlineStr">
        <is>
          <t>Wall Joint of 100 mm gap</t>
        </is>
      </c>
      <c r="C1333" s="11" t="n"/>
      <c r="D1333" s="11" t="n"/>
      <c r="E1333" s="11" t="n"/>
      <c r="F1333" s="11" t="n"/>
    </row>
    <row r="1334">
      <c r="A1334" s="12" t="inlineStr">
        <is>
          <t>Rate basis: per metre  (source: cost for 1 metre)</t>
        </is>
      </c>
    </row>
    <row r="1335">
      <c r="A1335" s="5" t="inlineStr">
        <is>
          <t>Code</t>
        </is>
      </c>
      <c r="B1335" s="5" t="inlineStr">
        <is>
          <t>Description</t>
        </is>
      </c>
      <c r="C1335" s="5" t="inlineStr">
        <is>
          <t>Unit</t>
        </is>
      </c>
      <c r="D1335" s="5" t="inlineStr">
        <is>
          <t>Quantity</t>
        </is>
      </c>
      <c r="E1335" s="5" t="inlineStr">
        <is>
          <t>Rate (Rs.)</t>
        </is>
      </c>
      <c r="F1335" s="5" t="inlineStr">
        <is>
          <t>Amount (Rs.)</t>
        </is>
      </c>
    </row>
    <row r="1336">
      <c r="A1336" s="13" t="inlineStr">
        <is>
          <t>2409</t>
        </is>
      </c>
      <c r="B1336" s="14" t="inlineStr">
        <is>
          <t>Wall Joint of 100 mm</t>
        </is>
      </c>
      <c r="C1336" s="13" t="inlineStr">
        <is>
          <t>metre</t>
        </is>
      </c>
      <c r="D1336" s="15" t="n">
        <v>1</v>
      </c>
      <c r="E1336" s="16" t="n">
        <v>2400</v>
      </c>
      <c r="F1336" s="16">
        <f>D1336*E1336</f>
        <v/>
      </c>
    </row>
    <row r="1337">
      <c r="A1337" s="13" t="inlineStr">
        <is>
          <t>2402</t>
        </is>
      </c>
      <c r="B1337" s="14" t="inlineStr">
        <is>
          <t>Epoxy adhesive</t>
        </is>
      </c>
      <c r="C1337" s="13" t="inlineStr">
        <is>
          <t>kg</t>
        </is>
      </c>
      <c r="D1337" s="15" t="n">
        <v>4.25</v>
      </c>
      <c r="E1337" s="16" t="n">
        <v>150</v>
      </c>
      <c r="F1337" s="16">
        <f>D1337*E1337</f>
        <v/>
      </c>
    </row>
    <row r="1338">
      <c r="A1338" s="13" t="inlineStr">
        <is>
          <t>9977</t>
        </is>
      </c>
      <c r="B1338" s="14" t="inlineStr">
        <is>
          <t>Carriage</t>
        </is>
      </c>
      <c r="C1338" s="13" t="inlineStr">
        <is>
          <t>L.S.</t>
        </is>
      </c>
      <c r="D1338" s="15" t="n">
        <v>124.9</v>
      </c>
      <c r="E1338" s="16" t="n">
        <v>2</v>
      </c>
      <c r="F1338" s="16">
        <f>D1338*E1338</f>
        <v/>
      </c>
    </row>
    <row r="1339">
      <c r="A1339" s="13" t="inlineStr">
        <is>
          <t>0102</t>
        </is>
      </c>
      <c r="B1339" s="14" t="inlineStr">
        <is>
          <t>Blacksmith 1st class</t>
        </is>
      </c>
      <c r="C1339" s="13" t="inlineStr">
        <is>
          <t>day</t>
        </is>
      </c>
      <c r="D1339" s="15" t="n">
        <v>0.05</v>
      </c>
      <c r="E1339" s="16" t="n">
        <v>738</v>
      </c>
      <c r="F1339" s="16">
        <f>D1339*E1339</f>
        <v/>
      </c>
    </row>
    <row r="1340">
      <c r="A1340" s="13" t="inlineStr">
        <is>
          <t>0123</t>
        </is>
      </c>
      <c r="B1340" s="14" t="inlineStr">
        <is>
          <t>Mason (brick layer) 1st class</t>
        </is>
      </c>
      <c r="C1340" s="13" t="inlineStr">
        <is>
          <t>day</t>
        </is>
      </c>
      <c r="D1340" s="15" t="n">
        <v>0.1</v>
      </c>
      <c r="E1340" s="16" t="n">
        <v>738</v>
      </c>
      <c r="F1340" s="16">
        <f>D1340*E1340</f>
        <v/>
      </c>
    </row>
    <row r="1341">
      <c r="A1341" s="13" t="inlineStr">
        <is>
          <t>0114</t>
        </is>
      </c>
      <c r="B1341" s="14" t="inlineStr">
        <is>
          <t>Beldar</t>
        </is>
      </c>
      <c r="C1341" s="13" t="inlineStr">
        <is>
          <t>day</t>
        </is>
      </c>
      <c r="D1341" s="15" t="n">
        <v>0.15</v>
      </c>
      <c r="E1341" s="16" t="n">
        <v>558</v>
      </c>
      <c r="F1341" s="16">
        <f>D1341*E1341</f>
        <v/>
      </c>
    </row>
    <row r="1342">
      <c r="A1342" s="17" t="inlineStr">
        <is>
          <t>Resource Total (Material + Labour + Machinery, as printed)</t>
        </is>
      </c>
      <c r="B1342" s="18" t="n"/>
      <c r="C1342" s="18" t="n"/>
      <c r="D1342" s="18" t="n"/>
      <c r="E1342" s="18" t="n"/>
      <c r="F1342" s="19">
        <f>SUM(F1336:F1341)</f>
        <v/>
      </c>
    </row>
    <row r="1343">
      <c r="A1343" s="20" t="inlineStr">
        <is>
          <t>SAY (Rs.) — final DAR rate</t>
        </is>
      </c>
      <c r="B1343" s="21" t="n"/>
      <c r="C1343" s="21" t="n"/>
      <c r="D1343" s="21" t="n"/>
      <c r="E1343" s="21" t="n"/>
      <c r="F1343" s="22" t="n">
        <v>4658.3</v>
      </c>
    </row>
    <row r="1345" ht="18" customHeight="1">
      <c r="A1345" s="9" t="inlineStr">
        <is>
          <t>5.45.2</t>
        </is>
      </c>
      <c r="B1345" s="10" t="inlineStr">
        <is>
          <t>Wall Joint of 150 mm gap</t>
        </is>
      </c>
      <c r="C1345" s="11" t="n"/>
      <c r="D1345" s="11" t="n"/>
      <c r="E1345" s="11" t="n"/>
      <c r="F1345" s="11" t="n"/>
    </row>
    <row r="1346">
      <c r="A1346" s="12" t="inlineStr">
        <is>
          <t>Rate basis: per metre  (source: cost for 1 metre)</t>
        </is>
      </c>
    </row>
    <row r="1347">
      <c r="A1347" s="5" t="inlineStr">
        <is>
          <t>Code</t>
        </is>
      </c>
      <c r="B1347" s="5" t="inlineStr">
        <is>
          <t>Description</t>
        </is>
      </c>
      <c r="C1347" s="5" t="inlineStr">
        <is>
          <t>Unit</t>
        </is>
      </c>
      <c r="D1347" s="5" t="inlineStr">
        <is>
          <t>Quantity</t>
        </is>
      </c>
      <c r="E1347" s="5" t="inlineStr">
        <is>
          <t>Rate (Rs.)</t>
        </is>
      </c>
      <c r="F1347" s="5" t="inlineStr">
        <is>
          <t>Amount (Rs.)</t>
        </is>
      </c>
    </row>
    <row r="1348">
      <c r="A1348" s="13" t="inlineStr">
        <is>
          <t>2410</t>
        </is>
      </c>
      <c r="B1348" s="14" t="inlineStr">
        <is>
          <t>Wall Joint of 150 mm</t>
        </is>
      </c>
      <c r="C1348" s="13" t="inlineStr">
        <is>
          <t>metre</t>
        </is>
      </c>
      <c r="D1348" s="15" t="n">
        <v>1</v>
      </c>
      <c r="E1348" s="16" t="n">
        <v>2800</v>
      </c>
      <c r="F1348" s="16">
        <f>D1348*E1348</f>
        <v/>
      </c>
    </row>
    <row r="1349">
      <c r="A1349" s="13" t="inlineStr">
        <is>
          <t>2402</t>
        </is>
      </c>
      <c r="B1349" s="14" t="inlineStr">
        <is>
          <t>Epoxy adhesive</t>
        </is>
      </c>
      <c r="C1349" s="13" t="inlineStr">
        <is>
          <t>kg</t>
        </is>
      </c>
      <c r="D1349" s="15" t="n">
        <v>4.5</v>
      </c>
      <c r="E1349" s="16" t="n">
        <v>150</v>
      </c>
      <c r="F1349" s="16">
        <f>D1349*E1349</f>
        <v/>
      </c>
    </row>
    <row r="1350">
      <c r="A1350" s="13" t="inlineStr">
        <is>
          <t>9977</t>
        </is>
      </c>
      <c r="B1350" s="14" t="inlineStr">
        <is>
          <t>Carriage</t>
        </is>
      </c>
      <c r="C1350" s="13" t="inlineStr">
        <is>
          <t>L.S.</t>
        </is>
      </c>
      <c r="D1350" s="15" t="n">
        <v>124.9</v>
      </c>
      <c r="E1350" s="16" t="n">
        <v>2</v>
      </c>
      <c r="F1350" s="16">
        <f>D1350*E1350</f>
        <v/>
      </c>
    </row>
    <row r="1351">
      <c r="A1351" s="13" t="inlineStr">
        <is>
          <t>0102</t>
        </is>
      </c>
      <c r="B1351" s="14" t="inlineStr">
        <is>
          <t>Blacksmith 1st class</t>
        </is>
      </c>
      <c r="C1351" s="13" t="inlineStr">
        <is>
          <t>day</t>
        </is>
      </c>
      <c r="D1351" s="15" t="n">
        <v>0.05</v>
      </c>
      <c r="E1351" s="16" t="n">
        <v>738</v>
      </c>
      <c r="F1351" s="16">
        <f>D1351*E1351</f>
        <v/>
      </c>
    </row>
    <row r="1352">
      <c r="A1352" s="13" t="inlineStr">
        <is>
          <t>0123</t>
        </is>
      </c>
      <c r="B1352" s="14" t="inlineStr">
        <is>
          <t>Mason (brick layer) 1st class</t>
        </is>
      </c>
      <c r="C1352" s="13" t="inlineStr">
        <is>
          <t>day</t>
        </is>
      </c>
      <c r="D1352" s="15" t="n">
        <v>0.1</v>
      </c>
      <c r="E1352" s="16" t="n">
        <v>738</v>
      </c>
      <c r="F1352" s="16">
        <f>D1352*E1352</f>
        <v/>
      </c>
    </row>
    <row r="1353">
      <c r="A1353" s="13" t="inlineStr">
        <is>
          <t>0114</t>
        </is>
      </c>
      <c r="B1353" s="14" t="inlineStr">
        <is>
          <t>Beldar</t>
        </is>
      </c>
      <c r="C1353" s="13" t="inlineStr">
        <is>
          <t>day</t>
        </is>
      </c>
      <c r="D1353" s="15" t="n">
        <v>0.15</v>
      </c>
      <c r="E1353" s="16" t="n">
        <v>558</v>
      </c>
      <c r="F1353" s="16">
        <f>D1353*E1353</f>
        <v/>
      </c>
    </row>
    <row r="1354">
      <c r="A1354" s="17" t="inlineStr">
        <is>
          <t>Resource Total (Material + Labour + Machinery, as printed)</t>
        </is>
      </c>
      <c r="B1354" s="18" t="n"/>
      <c r="C1354" s="18" t="n"/>
      <c r="D1354" s="18" t="n"/>
      <c r="E1354" s="18" t="n"/>
      <c r="F1354" s="19">
        <f>SUM(F1348:F1353)</f>
        <v/>
      </c>
    </row>
    <row r="1355">
      <c r="A1355" s="20" t="inlineStr">
        <is>
          <t>SAY (Rs.) — final DAR rate</t>
        </is>
      </c>
      <c r="B1355" s="21" t="n"/>
      <c r="C1355" s="21" t="n"/>
      <c r="D1355" s="21" t="n"/>
      <c r="E1355" s="21" t="n"/>
      <c r="F1355" s="22" t="n">
        <v>5243.65</v>
      </c>
    </row>
    <row r="1357" ht="18" customHeight="1">
      <c r="A1357" s="9" t="inlineStr">
        <is>
          <t>5.45.3</t>
        </is>
      </c>
      <c r="B1357" s="10" t="inlineStr">
        <is>
          <t>Wall Joint of 200 mm gap</t>
        </is>
      </c>
      <c r="C1357" s="11" t="n"/>
      <c r="D1357" s="11" t="n"/>
      <c r="E1357" s="11" t="n"/>
      <c r="F1357" s="11" t="n"/>
    </row>
    <row r="1358">
      <c r="A1358" s="12" t="inlineStr">
        <is>
          <t>Rate basis: per metre  (source: cost for 1 metre)</t>
        </is>
      </c>
    </row>
    <row r="1359">
      <c r="A1359" s="5" t="inlineStr">
        <is>
          <t>Code</t>
        </is>
      </c>
      <c r="B1359" s="5" t="inlineStr">
        <is>
          <t>Description</t>
        </is>
      </c>
      <c r="C1359" s="5" t="inlineStr">
        <is>
          <t>Unit</t>
        </is>
      </c>
      <c r="D1359" s="5" t="inlineStr">
        <is>
          <t>Quantity</t>
        </is>
      </c>
      <c r="E1359" s="5" t="inlineStr">
        <is>
          <t>Rate (Rs.)</t>
        </is>
      </c>
      <c r="F1359" s="5" t="inlineStr">
        <is>
          <t>Amount (Rs.)</t>
        </is>
      </c>
    </row>
    <row r="1360">
      <c r="A1360" s="13" t="inlineStr">
        <is>
          <t>2411</t>
        </is>
      </c>
      <c r="B1360" s="14" t="inlineStr">
        <is>
          <t>Wall Joint of 200 mm</t>
        </is>
      </c>
      <c r="C1360" s="13" t="inlineStr">
        <is>
          <t>metre</t>
        </is>
      </c>
      <c r="D1360" s="15" t="n">
        <v>1</v>
      </c>
      <c r="E1360" s="16" t="n">
        <v>3400</v>
      </c>
      <c r="F1360" s="16">
        <f>D1360*E1360</f>
        <v/>
      </c>
    </row>
    <row r="1361">
      <c r="A1361" s="13" t="inlineStr">
        <is>
          <t>2402</t>
        </is>
      </c>
      <c r="B1361" s="14" t="inlineStr">
        <is>
          <t>Epoxy adhesive</t>
        </is>
      </c>
      <c r="C1361" s="13" t="inlineStr">
        <is>
          <t>kg</t>
        </is>
      </c>
      <c r="D1361" s="15" t="n">
        <v>4.75</v>
      </c>
      <c r="E1361" s="16" t="n">
        <v>150</v>
      </c>
      <c r="F1361" s="16">
        <f>D1361*E1361</f>
        <v/>
      </c>
    </row>
    <row r="1362">
      <c r="A1362" s="13" t="inlineStr">
        <is>
          <t>9977</t>
        </is>
      </c>
      <c r="B1362" s="14" t="inlineStr">
        <is>
          <t>Carriage</t>
        </is>
      </c>
      <c r="C1362" s="13" t="inlineStr">
        <is>
          <t>L.S.</t>
        </is>
      </c>
      <c r="D1362" s="15" t="n">
        <v>124.9</v>
      </c>
      <c r="E1362" s="16" t="n">
        <v>2</v>
      </c>
      <c r="F1362" s="16">
        <f>D1362*E1362</f>
        <v/>
      </c>
    </row>
    <row r="1363">
      <c r="A1363" s="13" t="inlineStr">
        <is>
          <t>0102</t>
        </is>
      </c>
      <c r="B1363" s="14" t="inlineStr">
        <is>
          <t>Blacksmith 1st class</t>
        </is>
      </c>
      <c r="C1363" s="13" t="inlineStr">
        <is>
          <t>day</t>
        </is>
      </c>
      <c r="D1363" s="15" t="n">
        <v>0.05</v>
      </c>
      <c r="E1363" s="16" t="n">
        <v>738</v>
      </c>
      <c r="F1363" s="16">
        <f>D1363*E1363</f>
        <v/>
      </c>
    </row>
    <row r="1364">
      <c r="A1364" s="13" t="inlineStr">
        <is>
          <t>0123</t>
        </is>
      </c>
      <c r="B1364" s="14" t="inlineStr">
        <is>
          <t>Mason (brick layer) 1st class</t>
        </is>
      </c>
      <c r="C1364" s="13" t="inlineStr">
        <is>
          <t>day</t>
        </is>
      </c>
      <c r="D1364" s="15" t="n">
        <v>0.1</v>
      </c>
      <c r="E1364" s="16" t="n">
        <v>738</v>
      </c>
      <c r="F1364" s="16">
        <f>D1364*E1364</f>
        <v/>
      </c>
    </row>
    <row r="1365">
      <c r="A1365" s="13" t="inlineStr">
        <is>
          <t>0114</t>
        </is>
      </c>
      <c r="B1365" s="14" t="inlineStr">
        <is>
          <t>Beldar</t>
        </is>
      </c>
      <c r="C1365" s="13" t="inlineStr">
        <is>
          <t>day</t>
        </is>
      </c>
      <c r="D1365" s="15" t="n">
        <v>0.15</v>
      </c>
      <c r="E1365" s="16" t="n">
        <v>558</v>
      </c>
      <c r="F1365" s="16">
        <f>D1365*E1365</f>
        <v/>
      </c>
    </row>
    <row r="1366">
      <c r="A1366" s="17" t="inlineStr">
        <is>
          <t>Resource Total (Material + Labour + Machinery, as printed)</t>
        </is>
      </c>
      <c r="B1366" s="18" t="n"/>
      <c r="C1366" s="18" t="n"/>
      <c r="D1366" s="18" t="n"/>
      <c r="E1366" s="18" t="n"/>
      <c r="F1366" s="19">
        <f>SUM(F1360:F1365)</f>
        <v/>
      </c>
    </row>
    <row r="1367">
      <c r="A1367" s="20" t="inlineStr">
        <is>
          <t>SAY (Rs.) — final DAR rate</t>
        </is>
      </c>
      <c r="B1367" s="21" t="n"/>
      <c r="C1367" s="21" t="n"/>
      <c r="D1367" s="21" t="n"/>
      <c r="E1367" s="21" t="n"/>
      <c r="F1367" s="22" t="n">
        <v>6096.6</v>
      </c>
    </row>
    <row r="1369" ht="18" customHeight="1">
      <c r="A1369" s="9" t="inlineStr">
        <is>
          <t>5.46.1</t>
        </is>
      </c>
      <c r="B1369" s="10" t="inlineStr">
        <is>
          <t>Roof Joint of 100 mm gap</t>
        </is>
      </c>
      <c r="C1369" s="11" t="n"/>
      <c r="D1369" s="11" t="n"/>
      <c r="E1369" s="11" t="n"/>
      <c r="F1369" s="11" t="n"/>
    </row>
    <row r="1370">
      <c r="A1370" s="12" t="inlineStr">
        <is>
          <t>Rate basis: per metre  (source: cost for 1 metre)</t>
        </is>
      </c>
    </row>
    <row r="1371">
      <c r="A1371" s="5" t="inlineStr">
        <is>
          <t>Code</t>
        </is>
      </c>
      <c r="B1371" s="5" t="inlineStr">
        <is>
          <t>Description</t>
        </is>
      </c>
      <c r="C1371" s="5" t="inlineStr">
        <is>
          <t>Unit</t>
        </is>
      </c>
      <c r="D1371" s="5" t="inlineStr">
        <is>
          <t>Quantity</t>
        </is>
      </c>
      <c r="E1371" s="5" t="inlineStr">
        <is>
          <t>Rate (Rs.)</t>
        </is>
      </c>
      <c r="F1371" s="5" t="inlineStr">
        <is>
          <t>Amount (Rs.)</t>
        </is>
      </c>
    </row>
    <row r="1372">
      <c r="A1372" s="13" t="inlineStr">
        <is>
          <t>2399</t>
        </is>
      </c>
      <c r="B1372" s="14" t="inlineStr">
        <is>
          <t>Complete Roof Joint of 100 mm</t>
        </is>
      </c>
      <c r="C1372" s="13" t="inlineStr">
        <is>
          <t>metre</t>
        </is>
      </c>
      <c r="D1372" s="15" t="n">
        <v>1</v>
      </c>
      <c r="E1372" s="16" t="n">
        <v>2800</v>
      </c>
      <c r="F1372" s="16">
        <f>D1372*E1372</f>
        <v/>
      </c>
    </row>
    <row r="1373">
      <c r="A1373" s="13" t="inlineStr">
        <is>
          <t>2402</t>
        </is>
      </c>
      <c r="B1373" s="14" t="inlineStr">
        <is>
          <t>Epoxy adhesive</t>
        </is>
      </c>
      <c r="C1373" s="13" t="inlineStr">
        <is>
          <t>kg</t>
        </is>
      </c>
      <c r="D1373" s="15" t="n">
        <v>4.25</v>
      </c>
      <c r="E1373" s="16" t="n">
        <v>150</v>
      </c>
      <c r="F1373" s="16">
        <f>D1373*E1373</f>
        <v/>
      </c>
    </row>
    <row r="1374">
      <c r="A1374" s="13" t="inlineStr">
        <is>
          <t>9977</t>
        </is>
      </c>
      <c r="B1374" s="14" t="inlineStr">
        <is>
          <t>Carriage</t>
        </is>
      </c>
      <c r="C1374" s="13" t="inlineStr">
        <is>
          <t>L.S.</t>
        </is>
      </c>
      <c r="D1374" s="15" t="n">
        <v>124.9</v>
      </c>
      <c r="E1374" s="16" t="n">
        <v>2</v>
      </c>
      <c r="F1374" s="16">
        <f>D1374*E1374</f>
        <v/>
      </c>
    </row>
    <row r="1375">
      <c r="A1375" s="13" t="inlineStr">
        <is>
          <t>0102</t>
        </is>
      </c>
      <c r="B1375" s="14" t="inlineStr">
        <is>
          <t>Blacksmith 1st class</t>
        </is>
      </c>
      <c r="C1375" s="13" t="inlineStr">
        <is>
          <t>day</t>
        </is>
      </c>
      <c r="D1375" s="15" t="n">
        <v>0.05</v>
      </c>
      <c r="E1375" s="16" t="n">
        <v>738</v>
      </c>
      <c r="F1375" s="16">
        <f>D1375*E1375</f>
        <v/>
      </c>
    </row>
    <row r="1376">
      <c r="A1376" s="13" t="inlineStr">
        <is>
          <t>0123</t>
        </is>
      </c>
      <c r="B1376" s="14" t="inlineStr">
        <is>
          <t>Mason (brick layer) 1st class</t>
        </is>
      </c>
      <c r="C1376" s="13" t="inlineStr">
        <is>
          <t>day</t>
        </is>
      </c>
      <c r="D1376" s="15" t="n">
        <v>0.1</v>
      </c>
      <c r="E1376" s="16" t="n">
        <v>738</v>
      </c>
      <c r="F1376" s="16">
        <f>D1376*E1376</f>
        <v/>
      </c>
    </row>
    <row r="1377">
      <c r="A1377" s="13" t="inlineStr">
        <is>
          <t>0114</t>
        </is>
      </c>
      <c r="B1377" s="14" t="inlineStr">
        <is>
          <t>Beldar</t>
        </is>
      </c>
      <c r="C1377" s="13" t="inlineStr">
        <is>
          <t>day</t>
        </is>
      </c>
      <c r="D1377" s="15" t="n">
        <v>0.15</v>
      </c>
      <c r="E1377" s="16" t="n">
        <v>558</v>
      </c>
      <c r="F1377" s="16">
        <f>D1377*E1377</f>
        <v/>
      </c>
    </row>
    <row r="1378">
      <c r="A1378" s="17" t="inlineStr">
        <is>
          <t>Resource Total (Material + Labour + Machinery, as printed)</t>
        </is>
      </c>
      <c r="B1378" s="18" t="n"/>
      <c r="C1378" s="18" t="n"/>
      <c r="D1378" s="18" t="n"/>
      <c r="E1378" s="18" t="n"/>
      <c r="F1378" s="19">
        <f>SUM(F1372:F1377)</f>
        <v/>
      </c>
    </row>
    <row r="1379">
      <c r="A1379" s="20" t="inlineStr">
        <is>
          <t>SAY (Rs.) — final DAR rate</t>
        </is>
      </c>
      <c r="B1379" s="21" t="n"/>
      <c r="C1379" s="21" t="n"/>
      <c r="D1379" s="21" t="n"/>
      <c r="E1379" s="21" t="n"/>
      <c r="F1379" s="22" t="n">
        <v>5193.45</v>
      </c>
    </row>
    <row r="1381" ht="18" customHeight="1">
      <c r="A1381" s="9" t="inlineStr">
        <is>
          <t>5.46.2</t>
        </is>
      </c>
      <c r="B1381" s="10" t="inlineStr">
        <is>
          <t>Roof Joint of 150 mm gap</t>
        </is>
      </c>
      <c r="C1381" s="11" t="n"/>
      <c r="D1381" s="11" t="n"/>
      <c r="E1381" s="11" t="n"/>
      <c r="F1381" s="11" t="n"/>
    </row>
    <row r="1382">
      <c r="A1382" s="12" t="inlineStr">
        <is>
          <t>Rate basis: per metre  (source: cost for 1 metre)</t>
        </is>
      </c>
    </row>
    <row r="1383">
      <c r="A1383" s="5" t="inlineStr">
        <is>
          <t>Code</t>
        </is>
      </c>
      <c r="B1383" s="5" t="inlineStr">
        <is>
          <t>Description</t>
        </is>
      </c>
      <c r="C1383" s="5" t="inlineStr">
        <is>
          <t>Unit</t>
        </is>
      </c>
      <c r="D1383" s="5" t="inlineStr">
        <is>
          <t>Quantity</t>
        </is>
      </c>
      <c r="E1383" s="5" t="inlineStr">
        <is>
          <t>Rate (Rs.)</t>
        </is>
      </c>
      <c r="F1383" s="5" t="inlineStr">
        <is>
          <t>Amount (Rs.)</t>
        </is>
      </c>
    </row>
    <row r="1384">
      <c r="A1384" s="13" t="inlineStr">
        <is>
          <t>2400</t>
        </is>
      </c>
      <c r="B1384" s="14" t="inlineStr">
        <is>
          <t>Complete Roof Joint of 150 mm</t>
        </is>
      </c>
      <c r="C1384" s="13" t="inlineStr">
        <is>
          <t>metre</t>
        </is>
      </c>
      <c r="D1384" s="15" t="n">
        <v>1</v>
      </c>
      <c r="E1384" s="16" t="n">
        <v>3200</v>
      </c>
      <c r="F1384" s="16">
        <f>D1384*E1384</f>
        <v/>
      </c>
    </row>
    <row r="1385">
      <c r="A1385" s="13" t="inlineStr">
        <is>
          <t>2402</t>
        </is>
      </c>
      <c r="B1385" s="14" t="inlineStr">
        <is>
          <t>Epoxy adhesive</t>
        </is>
      </c>
      <c r="C1385" s="13" t="inlineStr">
        <is>
          <t>kg</t>
        </is>
      </c>
      <c r="D1385" s="15" t="n">
        <v>4.5</v>
      </c>
      <c r="E1385" s="16" t="n">
        <v>150</v>
      </c>
      <c r="F1385" s="16">
        <f>D1385*E1385</f>
        <v/>
      </c>
    </row>
    <row r="1386">
      <c r="A1386" s="13" t="inlineStr">
        <is>
          <t>9977</t>
        </is>
      </c>
      <c r="B1386" s="14" t="inlineStr">
        <is>
          <t>Carriage</t>
        </is>
      </c>
      <c r="C1386" s="13" t="inlineStr">
        <is>
          <t>L.S.</t>
        </is>
      </c>
      <c r="D1386" s="15" t="n">
        <v>124.9</v>
      </c>
      <c r="E1386" s="16" t="n">
        <v>2</v>
      </c>
      <c r="F1386" s="16">
        <f>D1386*E1386</f>
        <v/>
      </c>
    </row>
    <row r="1387">
      <c r="A1387" s="13" t="inlineStr">
        <is>
          <t>0102</t>
        </is>
      </c>
      <c r="B1387" s="14" t="inlineStr">
        <is>
          <t>Blacksmith 1st class</t>
        </is>
      </c>
      <c r="C1387" s="13" t="inlineStr">
        <is>
          <t>day</t>
        </is>
      </c>
      <c r="D1387" s="15" t="n">
        <v>0.05</v>
      </c>
      <c r="E1387" s="16" t="n">
        <v>738</v>
      </c>
      <c r="F1387" s="16">
        <f>D1387*E1387</f>
        <v/>
      </c>
    </row>
    <row r="1388">
      <c r="A1388" s="13" t="inlineStr">
        <is>
          <t>0123</t>
        </is>
      </c>
      <c r="B1388" s="14" t="inlineStr">
        <is>
          <t>Mason (brick layer) 1st class</t>
        </is>
      </c>
      <c r="C1388" s="13" t="inlineStr">
        <is>
          <t>day</t>
        </is>
      </c>
      <c r="D1388" s="15" t="n">
        <v>0.1</v>
      </c>
      <c r="E1388" s="16" t="n">
        <v>738</v>
      </c>
      <c r="F1388" s="16">
        <f>D1388*E1388</f>
        <v/>
      </c>
    </row>
    <row r="1389">
      <c r="A1389" s="13" t="inlineStr">
        <is>
          <t>0114</t>
        </is>
      </c>
      <c r="B1389" s="14" t="inlineStr">
        <is>
          <t>Beldar</t>
        </is>
      </c>
      <c r="C1389" s="13" t="inlineStr">
        <is>
          <t>day</t>
        </is>
      </c>
      <c r="D1389" s="15" t="n">
        <v>0.15</v>
      </c>
      <c r="E1389" s="16" t="n">
        <v>558</v>
      </c>
      <c r="F1389" s="16">
        <f>D1389*E1389</f>
        <v/>
      </c>
    </row>
    <row r="1390">
      <c r="A1390" s="17" t="inlineStr">
        <is>
          <t>Resource Total (Material + Labour + Machinery, as printed)</t>
        </is>
      </c>
      <c r="B1390" s="18" t="n"/>
      <c r="C1390" s="18" t="n"/>
      <c r="D1390" s="18" t="n"/>
      <c r="E1390" s="18" t="n"/>
      <c r="F1390" s="19">
        <f>SUM(F1384:F1389)</f>
        <v/>
      </c>
    </row>
    <row r="1391">
      <c r="A1391" s="20" t="inlineStr">
        <is>
          <t>SAY (Rs.) — final DAR rate</t>
        </is>
      </c>
      <c r="B1391" s="21" t="n"/>
      <c r="C1391" s="21" t="n"/>
      <c r="D1391" s="21" t="n"/>
      <c r="E1391" s="21" t="n"/>
      <c r="F1391" s="22" t="n">
        <v>5778.8</v>
      </c>
    </row>
    <row r="1393" ht="18" customHeight="1">
      <c r="A1393" s="9" t="inlineStr">
        <is>
          <t>5.46.3</t>
        </is>
      </c>
      <c r="B1393" s="10" t="inlineStr">
        <is>
          <t>Roof Joint of 200 mm gap</t>
        </is>
      </c>
      <c r="C1393" s="11" t="n"/>
      <c r="D1393" s="11" t="n"/>
      <c r="E1393" s="11" t="n"/>
      <c r="F1393" s="11" t="n"/>
    </row>
    <row r="1394">
      <c r="A1394" s="12" t="inlineStr">
        <is>
          <t>Rate basis: per metre  (source: cost for 1 metre)</t>
        </is>
      </c>
    </row>
    <row r="1395">
      <c r="A1395" s="5" t="inlineStr">
        <is>
          <t>Code</t>
        </is>
      </c>
      <c r="B1395" s="5" t="inlineStr">
        <is>
          <t>Description</t>
        </is>
      </c>
      <c r="C1395" s="5" t="inlineStr">
        <is>
          <t>Unit</t>
        </is>
      </c>
      <c r="D1395" s="5" t="inlineStr">
        <is>
          <t>Quantity</t>
        </is>
      </c>
      <c r="E1395" s="5" t="inlineStr">
        <is>
          <t>Rate (Rs.)</t>
        </is>
      </c>
      <c r="F1395" s="5" t="inlineStr">
        <is>
          <t>Amount (Rs.)</t>
        </is>
      </c>
    </row>
    <row r="1396">
      <c r="A1396" s="13" t="inlineStr">
        <is>
          <t>2401</t>
        </is>
      </c>
      <c r="B1396" s="14" t="inlineStr">
        <is>
          <t>Complete Roof Joint of 200 mm</t>
        </is>
      </c>
      <c r="C1396" s="13" t="inlineStr">
        <is>
          <t>metre</t>
        </is>
      </c>
      <c r="D1396" s="15" t="n">
        <v>1</v>
      </c>
      <c r="E1396" s="16" t="n">
        <v>4000</v>
      </c>
      <c r="F1396" s="16">
        <f>D1396*E1396</f>
        <v/>
      </c>
    </row>
    <row r="1397">
      <c r="A1397" s="13" t="inlineStr">
        <is>
          <t>2402</t>
        </is>
      </c>
      <c r="B1397" s="14" t="inlineStr">
        <is>
          <t>Epoxy adhesive</t>
        </is>
      </c>
      <c r="C1397" s="13" t="inlineStr">
        <is>
          <t>kg</t>
        </is>
      </c>
      <c r="D1397" s="15" t="n">
        <v>4.75</v>
      </c>
      <c r="E1397" s="16" t="n">
        <v>150</v>
      </c>
      <c r="F1397" s="16">
        <f>D1397*E1397</f>
        <v/>
      </c>
    </row>
    <row r="1398">
      <c r="A1398" s="13" t="inlineStr">
        <is>
          <t>9977</t>
        </is>
      </c>
      <c r="B1398" s="14" t="inlineStr">
        <is>
          <t>Carriage</t>
        </is>
      </c>
      <c r="C1398" s="13" t="inlineStr">
        <is>
          <t>L.S.</t>
        </is>
      </c>
      <c r="D1398" s="15" t="n">
        <v>124.9</v>
      </c>
      <c r="E1398" s="16" t="n">
        <v>1.73</v>
      </c>
      <c r="F1398" s="16">
        <f>D1398*E1398</f>
        <v/>
      </c>
    </row>
    <row r="1399">
      <c r="A1399" s="13" t="inlineStr">
        <is>
          <t>0102</t>
        </is>
      </c>
      <c r="B1399" s="14" t="inlineStr">
        <is>
          <t>Blacksmith 1st class</t>
        </is>
      </c>
      <c r="C1399" s="13" t="inlineStr">
        <is>
          <t>day</t>
        </is>
      </c>
      <c r="D1399" s="15" t="n">
        <v>0.05</v>
      </c>
      <c r="E1399" s="16" t="n">
        <v>738</v>
      </c>
      <c r="F1399" s="16">
        <f>D1399*E1399</f>
        <v/>
      </c>
    </row>
    <row r="1400">
      <c r="A1400" s="13" t="inlineStr">
        <is>
          <t>0123</t>
        </is>
      </c>
      <c r="B1400" s="14" t="inlineStr">
        <is>
          <t>Mason (brick layer) 1st class</t>
        </is>
      </c>
      <c r="C1400" s="13" t="inlineStr">
        <is>
          <t>day</t>
        </is>
      </c>
      <c r="D1400" s="15" t="n">
        <v>0.1</v>
      </c>
      <c r="E1400" s="16" t="n">
        <v>738</v>
      </c>
      <c r="F1400" s="16">
        <f>D1400*E1400</f>
        <v/>
      </c>
    </row>
    <row r="1401">
      <c r="A1401" s="13" t="inlineStr">
        <is>
          <t>0114</t>
        </is>
      </c>
      <c r="B1401" s="14" t="inlineStr">
        <is>
          <t>Beldar</t>
        </is>
      </c>
      <c r="C1401" s="13" t="inlineStr">
        <is>
          <t>day</t>
        </is>
      </c>
      <c r="D1401" s="15" t="n">
        <v>0.15</v>
      </c>
      <c r="E1401" s="16" t="n">
        <v>558</v>
      </c>
      <c r="F1401" s="16">
        <f>D1401*E1401</f>
        <v/>
      </c>
    </row>
    <row r="1402">
      <c r="A1402" s="17" t="inlineStr">
        <is>
          <t>Resource Total (Material + Labour + Machinery, as printed)</t>
        </is>
      </c>
      <c r="B1402" s="18" t="n"/>
      <c r="C1402" s="18" t="n"/>
      <c r="D1402" s="18" t="n"/>
      <c r="E1402" s="18" t="n"/>
      <c r="F1402" s="19">
        <f>SUM(F1396:F1401)</f>
        <v/>
      </c>
    </row>
    <row r="1403">
      <c r="A1403" s="20" t="inlineStr">
        <is>
          <t>SAY (Rs.) — final DAR rate</t>
        </is>
      </c>
      <c r="B1403" s="21" t="n"/>
      <c r="C1403" s="21" t="n"/>
      <c r="D1403" s="21" t="n"/>
      <c r="E1403" s="21" t="n"/>
      <c r="F1403" s="22" t="n">
        <v>6854.2</v>
      </c>
    </row>
    <row r="1405" ht="18" customHeight="1">
      <c r="A1405" s="9" t="inlineStr">
        <is>
          <t>5.47.1</t>
        </is>
      </c>
      <c r="B1405" s="10" t="inlineStr">
        <is>
          <t>Door frame 125 mmx 60 mm</t>
        </is>
      </c>
      <c r="C1405" s="11" t="n"/>
      <c r="D1405" s="11" t="n"/>
      <c r="E1405" s="11" t="n"/>
      <c r="F1405" s="11" t="n"/>
    </row>
    <row r="1406">
      <c r="A1406" s="12" t="inlineStr">
        <is>
          <t>Rate basis: per metre  (source: cost for 5.2 metre)</t>
        </is>
      </c>
    </row>
    <row r="1407">
      <c r="A1407" s="5" t="inlineStr">
        <is>
          <t>Code</t>
        </is>
      </c>
      <c r="B1407" s="5" t="inlineStr">
        <is>
          <t>Description</t>
        </is>
      </c>
      <c r="C1407" s="5" t="inlineStr">
        <is>
          <t>Unit</t>
        </is>
      </c>
      <c r="D1407" s="5" t="inlineStr">
        <is>
          <t>Quantity</t>
        </is>
      </c>
      <c r="E1407" s="5" t="inlineStr">
        <is>
          <t>Rate (Rs.)</t>
        </is>
      </c>
      <c r="F1407" s="5" t="inlineStr">
        <is>
          <t>Amount (Rs.)</t>
        </is>
      </c>
    </row>
    <row r="1408">
      <c r="A1408" s="13" t="inlineStr">
        <is>
          <t>5.33.1</t>
        </is>
      </c>
      <c r="B1408" s="14" t="inlineStr">
        <is>
          <t>Rate as per SH: 5.33.1</t>
        </is>
      </c>
      <c r="C1408" s="13" t="inlineStr">
        <is>
          <t>cum</t>
        </is>
      </c>
      <c r="D1408" s="15" t="n">
        <v>0.039</v>
      </c>
      <c r="E1408" s="16" t="n">
        <v>7997.3</v>
      </c>
      <c r="F1408" s="16">
        <f>D1408*E1408</f>
        <v/>
      </c>
    </row>
    <row r="1409">
      <c r="A1409" s="13" t="inlineStr">
        <is>
          <t>5.34.3</t>
        </is>
      </c>
      <c r="B1409" s="14" t="inlineStr">
        <is>
          <t>Rate as per SH: 5.34.3</t>
        </is>
      </c>
      <c r="C1409" s="13" t="inlineStr">
        <is>
          <t>cum</t>
        </is>
      </c>
      <c r="D1409" s="15" t="n">
        <v>0.039</v>
      </c>
      <c r="E1409" s="16" t="n">
        <v>209.2</v>
      </c>
      <c r="F1409" s="16">
        <f>D1409*E1409</f>
        <v/>
      </c>
    </row>
    <row r="1410">
      <c r="A1410" s="13" t="inlineStr">
        <is>
          <t>4.3.3</t>
        </is>
      </c>
      <c r="B1410" s="14" t="inlineStr">
        <is>
          <t>Rate as per SH: 4.3.3</t>
        </is>
      </c>
      <c r="C1410" s="13" t="inlineStr">
        <is>
          <t>sqm</t>
        </is>
      </c>
      <c r="D1410" s="15" t="n">
        <v>1.27</v>
      </c>
      <c r="E1410" s="16" t="n">
        <v>733.7</v>
      </c>
      <c r="F1410" s="16">
        <f>D1410*E1410</f>
        <v/>
      </c>
    </row>
    <row r="1411">
      <c r="A1411" s="13" t="inlineStr">
        <is>
          <t>14.2.1</t>
        </is>
      </c>
      <c r="B1411" s="14" t="inlineStr">
        <is>
          <t>Rate as per SH: 14.2.1</t>
        </is>
      </c>
      <c r="C1411" s="13" t="inlineStr">
        <is>
          <t>each</t>
        </is>
      </c>
      <c r="D1411" s="15" t="n">
        <v>1</v>
      </c>
      <c r="E1411" s="16" t="n">
        <v>1366.85</v>
      </c>
      <c r="F1411" s="16">
        <f>D1411*E1411</f>
        <v/>
      </c>
    </row>
    <row r="1412">
      <c r="A1412" s="13" t="inlineStr">
        <is>
          <t>13.48.2</t>
        </is>
      </c>
      <c r="B1412" s="14" t="inlineStr">
        <is>
          <t>Rate as per SH: 13.48.2</t>
        </is>
      </c>
      <c r="C1412" s="13" t="inlineStr">
        <is>
          <t>sqm</t>
        </is>
      </c>
      <c r="D1412" s="15" t="n">
        <v>1.27</v>
      </c>
      <c r="E1412" s="16" t="n">
        <v>130.25</v>
      </c>
      <c r="F1412" s="16">
        <f>D1412*E1412</f>
        <v/>
      </c>
    </row>
    <row r="1413">
      <c r="A1413" s="13" t="inlineStr">
        <is>
          <t>1005</t>
        </is>
      </c>
      <c r="B1413" s="14" t="inlineStr">
        <is>
          <t>Twisted steel/ deformed bars</t>
        </is>
      </c>
      <c r="C1413" s="13" t="inlineStr">
        <is>
          <t>quintal</t>
        </is>
      </c>
      <c r="D1413" s="15" t="n">
        <v>0.0468</v>
      </c>
      <c r="E1413" s="16" t="n">
        <v>4600</v>
      </c>
      <c r="F1413" s="16">
        <f>D1413*E1413</f>
        <v/>
      </c>
    </row>
    <row r="1414">
      <c r="A1414" s="13" t="inlineStr">
        <is>
          <t>0596</t>
        </is>
      </c>
      <c r="B1414" s="14" t="inlineStr">
        <is>
          <t>Bright finished or black enameled mild steel butt hinges 75x47x 1.70 mm</t>
        </is>
      </c>
      <c r="C1414" s="13" t="inlineStr">
        <is>
          <t>10 Nos</t>
        </is>
      </c>
      <c r="D1414" s="15" t="n">
        <v>0.6</v>
      </c>
      <c r="E1414" s="16" t="n">
        <v>56</v>
      </c>
      <c r="F1414" s="16">
        <f>D1414*E1414</f>
        <v/>
      </c>
    </row>
    <row r="1415">
      <c r="A1415" s="13" t="inlineStr">
        <is>
          <t>9999</t>
        </is>
      </c>
      <c r="B1415" s="14" t="inlineStr">
        <is>
          <t>Sundries</t>
        </is>
      </c>
      <c r="C1415" s="13" t="inlineStr">
        <is>
          <t>L.S.</t>
        </is>
      </c>
      <c r="D1415" s="15" t="n">
        <v>100.67</v>
      </c>
      <c r="E1415" s="16" t="n">
        <v>2</v>
      </c>
      <c r="F1415" s="16">
        <f>D1415*E1415</f>
        <v/>
      </c>
    </row>
    <row r="1416">
      <c r="A1416" s="17" t="inlineStr">
        <is>
          <t>Resource Total (Material + Labour + Machinery, as printed)</t>
        </is>
      </c>
      <c r="B1416" s="18" t="n"/>
      <c r="C1416" s="18" t="n"/>
      <c r="D1416" s="18" t="n"/>
      <c r="E1416" s="18" t="n"/>
      <c r="F1416" s="19">
        <f>SUM(F1408:F1415)</f>
        <v/>
      </c>
    </row>
    <row r="1417">
      <c r="A1417" s="20" t="inlineStr">
        <is>
          <t>SAY (Rs.) — final DAR rate</t>
        </is>
      </c>
      <c r="B1417" s="21" t="n"/>
      <c r="C1417" s="21" t="n"/>
      <c r="D1417" s="21" t="n"/>
      <c r="E1417" s="21" t="n"/>
      <c r="F1417" s="22" t="n">
        <v>666.65</v>
      </c>
    </row>
    <row r="1419" ht="18" customHeight="1">
      <c r="A1419" s="9" t="inlineStr">
        <is>
          <t>5.47.2</t>
        </is>
      </c>
      <c r="B1419" s="10" t="inlineStr">
        <is>
          <t>Door frame 100 mmx 60 mm</t>
        </is>
      </c>
      <c r="C1419" s="11" t="n"/>
      <c r="D1419" s="11" t="n"/>
      <c r="E1419" s="11" t="n"/>
      <c r="F1419" s="11" t="n"/>
    </row>
    <row r="1420">
      <c r="A1420" s="12" t="inlineStr">
        <is>
          <t>Rate basis: per metre  (source: cost for 5.2 metre)</t>
        </is>
      </c>
    </row>
    <row r="1421">
      <c r="A1421" s="5" t="inlineStr">
        <is>
          <t>Code</t>
        </is>
      </c>
      <c r="B1421" s="5" t="inlineStr">
        <is>
          <t>Description</t>
        </is>
      </c>
      <c r="C1421" s="5" t="inlineStr">
        <is>
          <t>Unit</t>
        </is>
      </c>
      <c r="D1421" s="5" t="inlineStr">
        <is>
          <t>Quantity</t>
        </is>
      </c>
      <c r="E1421" s="5" t="inlineStr">
        <is>
          <t>Rate (Rs.)</t>
        </is>
      </c>
      <c r="F1421" s="5" t="inlineStr">
        <is>
          <t>Amount (Rs.)</t>
        </is>
      </c>
    </row>
    <row r="1422">
      <c r="A1422" s="13" t="inlineStr">
        <is>
          <t>5.33.1</t>
        </is>
      </c>
      <c r="B1422" s="14" t="inlineStr">
        <is>
          <t>Rate as per SH: 5.33.1</t>
        </is>
      </c>
      <c r="C1422" s="13" t="inlineStr">
        <is>
          <t>cum</t>
        </is>
      </c>
      <c r="D1422" s="15" t="n">
        <v>0.031</v>
      </c>
      <c r="E1422" s="16" t="n">
        <v>7997.3</v>
      </c>
      <c r="F1422" s="16">
        <f>D1422*E1422</f>
        <v/>
      </c>
    </row>
    <row r="1423">
      <c r="A1423" s="13" t="inlineStr">
        <is>
          <t>5.34.3</t>
        </is>
      </c>
      <c r="B1423" s="14" t="inlineStr">
        <is>
          <t>Rate as per SH: 5.34.3</t>
        </is>
      </c>
      <c r="C1423" s="13" t="inlineStr">
        <is>
          <t>cum</t>
        </is>
      </c>
      <c r="D1423" s="15" t="n">
        <v>0.031</v>
      </c>
      <c r="E1423" s="16" t="n">
        <v>209.2</v>
      </c>
      <c r="F1423" s="16">
        <f>D1423*E1423</f>
        <v/>
      </c>
    </row>
    <row r="1424">
      <c r="A1424" s="13" t="inlineStr">
        <is>
          <t>4.3.3</t>
        </is>
      </c>
      <c r="B1424" s="14" t="inlineStr">
        <is>
          <t>Rate as per SH: 4.3.3</t>
        </is>
      </c>
      <c r="C1424" s="13" t="inlineStr">
        <is>
          <t>sqm</t>
        </is>
      </c>
      <c r="D1424" s="15" t="n">
        <v>1.14</v>
      </c>
      <c r="E1424" s="16" t="n">
        <v>733.7</v>
      </c>
      <c r="F1424" s="16">
        <f>D1424*E1424</f>
        <v/>
      </c>
    </row>
    <row r="1425">
      <c r="A1425" s="13" t="inlineStr">
        <is>
          <t>14.2.1</t>
        </is>
      </c>
      <c r="B1425" s="14" t="inlineStr">
        <is>
          <t>Rate as per SH: 14.2.1</t>
        </is>
      </c>
      <c r="C1425" s="13" t="inlineStr">
        <is>
          <t>each</t>
        </is>
      </c>
      <c r="D1425" s="15" t="n">
        <v>1</v>
      </c>
      <c r="E1425" s="16" t="n">
        <v>1366.85</v>
      </c>
      <c r="F1425" s="16">
        <f>D1425*E1425</f>
        <v/>
      </c>
    </row>
    <row r="1426">
      <c r="A1426" s="13" t="inlineStr">
        <is>
          <t>13.48.2</t>
        </is>
      </c>
      <c r="B1426" s="14" t="inlineStr">
        <is>
          <t>Rate as per SH: 13.48.2</t>
        </is>
      </c>
      <c r="C1426" s="13" t="inlineStr">
        <is>
          <t>sqm</t>
        </is>
      </c>
      <c r="D1426" s="15" t="n">
        <v>1.14</v>
      </c>
      <c r="E1426" s="16" t="n">
        <v>130.25</v>
      </c>
      <c r="F1426" s="16">
        <f>D1426*E1426</f>
        <v/>
      </c>
    </row>
    <row r="1427">
      <c r="A1427" s="13" t="inlineStr">
        <is>
          <t>1005</t>
        </is>
      </c>
      <c r="B1427" s="14" t="inlineStr">
        <is>
          <t>Twisted steel/ deformed bars</t>
        </is>
      </c>
      <c r="C1427" s="13" t="inlineStr">
        <is>
          <t>quintal</t>
        </is>
      </c>
      <c r="D1427" s="15" t="n">
        <v>0.0372</v>
      </c>
      <c r="E1427" s="16" t="n">
        <v>4600</v>
      </c>
      <c r="F1427" s="16">
        <f>D1427*E1427</f>
        <v/>
      </c>
    </row>
    <row r="1428">
      <c r="A1428" s="13" t="inlineStr">
        <is>
          <t>0596</t>
        </is>
      </c>
      <c r="B1428" s="14" t="inlineStr">
        <is>
          <t>Bright finished or black enameled mild steel butt hinges 75x47x1.70 mm</t>
        </is>
      </c>
      <c r="C1428" s="13" t="inlineStr">
        <is>
          <t>10 Nos</t>
        </is>
      </c>
      <c r="D1428" s="15" t="n">
        <v>0.6</v>
      </c>
      <c r="E1428" s="16" t="n">
        <v>56</v>
      </c>
      <c r="F1428" s="16">
        <f>D1428*E1428</f>
        <v/>
      </c>
    </row>
    <row r="1429">
      <c r="A1429" s="13" t="inlineStr">
        <is>
          <t>9999</t>
        </is>
      </c>
      <c r="B1429" s="14" t="inlineStr">
        <is>
          <t>Sundries</t>
        </is>
      </c>
      <c r="C1429" s="13" t="inlineStr">
        <is>
          <t>L.S.</t>
        </is>
      </c>
      <c r="D1429" s="15" t="n">
        <v>100.67</v>
      </c>
      <c r="E1429" s="16" t="n">
        <v>2</v>
      </c>
      <c r="F1429" s="16">
        <f>D1429*E1429</f>
        <v/>
      </c>
    </row>
    <row r="1430">
      <c r="A1430" s="17" t="inlineStr">
        <is>
          <t>Resource Total (Material + Labour + Machinery, as printed)</t>
        </is>
      </c>
      <c r="B1430" s="18" t="n"/>
      <c r="C1430" s="18" t="n"/>
      <c r="D1430" s="18" t="n"/>
      <c r="E1430" s="18" t="n"/>
      <c r="F1430" s="19">
        <f>SUM(F1422:F1429)</f>
        <v/>
      </c>
    </row>
    <row r="1431">
      <c r="A1431" s="20" t="inlineStr">
        <is>
          <t>SAY (Rs.) — final DAR rate</t>
        </is>
      </c>
      <c r="B1431" s="21" t="n"/>
      <c r="C1431" s="21" t="n"/>
      <c r="D1431" s="21" t="n"/>
      <c r="E1431" s="21" t="n"/>
      <c r="F1431" s="22" t="n">
        <v>617.9</v>
      </c>
    </row>
    <row r="1433" ht="18" customHeight="1">
      <c r="A1433" s="9" t="inlineStr">
        <is>
          <t>5.47.3</t>
        </is>
      </c>
      <c r="B1433" s="10" t="inlineStr">
        <is>
          <t>Door frame 85 mmx60 mm</t>
        </is>
      </c>
      <c r="C1433" s="11" t="n"/>
      <c r="D1433" s="11" t="n"/>
      <c r="E1433" s="11" t="n"/>
      <c r="F1433" s="11" t="n"/>
    </row>
    <row r="1434">
      <c r="A1434" s="12" t="inlineStr">
        <is>
          <t>Rate basis: per metre  (source: cost for 5.2 metre)</t>
        </is>
      </c>
    </row>
    <row r="1435">
      <c r="A1435" s="5" t="inlineStr">
        <is>
          <t>Code</t>
        </is>
      </c>
      <c r="B1435" s="5" t="inlineStr">
        <is>
          <t>Description</t>
        </is>
      </c>
      <c r="C1435" s="5" t="inlineStr">
        <is>
          <t>Unit</t>
        </is>
      </c>
      <c r="D1435" s="5" t="inlineStr">
        <is>
          <t>Quantity</t>
        </is>
      </c>
      <c r="E1435" s="5" t="inlineStr">
        <is>
          <t>Rate (Rs.)</t>
        </is>
      </c>
      <c r="F1435" s="5" t="inlineStr">
        <is>
          <t>Amount (Rs.)</t>
        </is>
      </c>
    </row>
    <row r="1436">
      <c r="A1436" s="13" t="inlineStr">
        <is>
          <t>5.33.1</t>
        </is>
      </c>
      <c r="B1436" s="14" t="inlineStr">
        <is>
          <t>Rate as per SH: 5.33.1</t>
        </is>
      </c>
      <c r="C1436" s="13" t="inlineStr">
        <is>
          <t>cum</t>
        </is>
      </c>
      <c r="D1436" s="15" t="n">
        <v>0.027</v>
      </c>
      <c r="E1436" s="16" t="n">
        <v>7997.3</v>
      </c>
      <c r="F1436" s="16">
        <f>D1436*E1436</f>
        <v/>
      </c>
    </row>
    <row r="1437">
      <c r="A1437" s="13" t="inlineStr">
        <is>
          <t>5.34.2</t>
        </is>
      </c>
      <c r="B1437" s="14" t="inlineStr">
        <is>
          <t>Rate as per SH: 5.34.2</t>
        </is>
      </c>
      <c r="C1437" s="13" t="inlineStr">
        <is>
          <t>cum</t>
        </is>
      </c>
      <c r="D1437" s="15" t="n">
        <v>0.027</v>
      </c>
      <c r="E1437" s="16" t="n">
        <v>139.45</v>
      </c>
      <c r="F1437" s="16">
        <f>D1437*E1437</f>
        <v/>
      </c>
    </row>
    <row r="1438">
      <c r="A1438" s="13" t="inlineStr">
        <is>
          <t>4.3.3</t>
        </is>
      </c>
      <c r="B1438" s="14" t="inlineStr">
        <is>
          <t>Rate as per SH: 4.3.3</t>
        </is>
      </c>
      <c r="C1438" s="13" t="inlineStr">
        <is>
          <t>sqm</t>
        </is>
      </c>
      <c r="D1438" s="15" t="n">
        <v>1.07</v>
      </c>
      <c r="E1438" s="16" t="n">
        <v>733.7</v>
      </c>
      <c r="F1438" s="16">
        <f>D1438*E1438</f>
        <v/>
      </c>
    </row>
    <row r="1439">
      <c r="A1439" s="13" t="inlineStr">
        <is>
          <t>14.2.1</t>
        </is>
      </c>
      <c r="B1439" s="14" t="inlineStr">
        <is>
          <t>Rate as per SH: 14.2.1</t>
        </is>
      </c>
      <c r="C1439" s="13" t="inlineStr">
        <is>
          <t>each</t>
        </is>
      </c>
      <c r="D1439" s="15" t="n">
        <v>1</v>
      </c>
      <c r="E1439" s="16" t="n">
        <v>1366.85</v>
      </c>
      <c r="F1439" s="16">
        <f>D1439*E1439</f>
        <v/>
      </c>
    </row>
    <row r="1440">
      <c r="A1440" s="13" t="inlineStr">
        <is>
          <t>13.48.2</t>
        </is>
      </c>
      <c r="B1440" s="14" t="inlineStr">
        <is>
          <t>Rate as per SH: 13.48.2</t>
        </is>
      </c>
      <c r="C1440" s="13" t="inlineStr">
        <is>
          <t>sqm</t>
        </is>
      </c>
      <c r="D1440" s="15" t="n">
        <v>1.07</v>
      </c>
      <c r="E1440" s="16" t="n">
        <v>130.25</v>
      </c>
      <c r="F1440" s="16">
        <f>D1440*E1440</f>
        <v/>
      </c>
    </row>
    <row r="1441">
      <c r="A1441" s="13" t="inlineStr">
        <is>
          <t>1005</t>
        </is>
      </c>
      <c r="B1441" s="14" t="inlineStr">
        <is>
          <t>Twisted steel/ deformed bars</t>
        </is>
      </c>
      <c r="C1441" s="13" t="inlineStr">
        <is>
          <t>quintal</t>
        </is>
      </c>
      <c r="D1441" s="15" t="n">
        <v>0.0324</v>
      </c>
      <c r="E1441" s="16" t="n">
        <v>4600</v>
      </c>
      <c r="F1441" s="16">
        <f>D1441*E1441</f>
        <v/>
      </c>
    </row>
    <row r="1442">
      <c r="A1442" s="13" t="inlineStr">
        <is>
          <t>0596</t>
        </is>
      </c>
      <c r="B1442" s="14" t="inlineStr">
        <is>
          <t>Bright finished or black enameled mild steel butt hinges 75x47x 1.70 mm</t>
        </is>
      </c>
      <c r="C1442" s="13" t="inlineStr">
        <is>
          <t>10 Nos</t>
        </is>
      </c>
      <c r="D1442" s="15" t="n">
        <v>0.6</v>
      </c>
      <c r="E1442" s="16" t="n">
        <v>56</v>
      </c>
      <c r="F1442" s="16">
        <f>D1442*E1442</f>
        <v/>
      </c>
    </row>
    <row r="1443">
      <c r="A1443" s="13" t="inlineStr">
        <is>
          <t>9999</t>
        </is>
      </c>
      <c r="B1443" s="14" t="inlineStr">
        <is>
          <t>Sundries</t>
        </is>
      </c>
      <c r="C1443" s="13" t="inlineStr">
        <is>
          <t>L.S.</t>
        </is>
      </c>
      <c r="D1443" s="15" t="n">
        <v>100.67</v>
      </c>
      <c r="E1443" s="16" t="n">
        <v>2</v>
      </c>
      <c r="F1443" s="16">
        <f>D1443*E1443</f>
        <v/>
      </c>
    </row>
    <row r="1444">
      <c r="A1444" s="17" t="inlineStr">
        <is>
          <t>Resource Total (Material + Labour + Machinery, as printed)</t>
        </is>
      </c>
      <c r="B1444" s="18" t="n"/>
      <c r="C1444" s="18" t="n"/>
      <c r="D1444" s="18" t="n"/>
      <c r="E1444" s="18" t="n"/>
      <c r="F1444" s="19">
        <f>SUM(F1436:F1443)</f>
        <v/>
      </c>
    </row>
    <row r="1445">
      <c r="A1445" s="20" t="inlineStr">
        <is>
          <t>SAY (Rs.) — final DAR rate</t>
        </is>
      </c>
      <c r="B1445" s="21" t="n"/>
      <c r="C1445" s="21" t="n"/>
      <c r="D1445" s="21" t="n"/>
      <c r="E1445" s="21" t="n"/>
      <c r="F1445" s="22" t="n">
        <v>592.25</v>
      </c>
    </row>
    <row r="1447" ht="18" customHeight="1">
      <c r="A1447" s="9" t="inlineStr">
        <is>
          <t>5.48.1</t>
        </is>
      </c>
      <c r="B1447" s="10" t="inlineStr">
        <is>
          <t>Reinforced Cement Concrete -M-50</t>
        </is>
      </c>
      <c r="C1447" s="11" t="n"/>
      <c r="D1447" s="11" t="n"/>
      <c r="E1447" s="11" t="n"/>
      <c r="F1447" s="11" t="n"/>
    </row>
    <row r="1448">
      <c r="A1448" s="12" t="inlineStr">
        <is>
          <t>Rate basis: per cum  (source: cost for 120 cum)</t>
        </is>
      </c>
    </row>
    <row r="1449">
      <c r="A1449" s="5" t="inlineStr">
        <is>
          <t>Code</t>
        </is>
      </c>
      <c r="B1449" s="5" t="inlineStr">
        <is>
          <t>Description</t>
        </is>
      </c>
      <c r="C1449" s="5" t="inlineStr">
        <is>
          <t>Unit</t>
        </is>
      </c>
      <c r="D1449" s="5" t="inlineStr">
        <is>
          <t>Quantity</t>
        </is>
      </c>
      <c r="E1449" s="5" t="inlineStr">
        <is>
          <t>Rate (Rs.)</t>
        </is>
      </c>
      <c r="F1449" s="5" t="inlineStr">
        <is>
          <t>Amount (Rs.)</t>
        </is>
      </c>
    </row>
    <row r="1450">
      <c r="A1450" s="13" t="inlineStr">
        <is>
          <t>5.48X</t>
        </is>
      </c>
      <c r="B1450" s="14" t="inlineStr">
        <is>
          <t>Sub-analysis annexure: 5.48X</t>
        </is>
      </c>
      <c r="C1450" s="13" t="inlineStr">
        <is>
          <t>each</t>
        </is>
      </c>
      <c r="D1450" s="15" t="n">
        <v>1</v>
      </c>
      <c r="E1450" s="16" t="n">
        <v>592482.2</v>
      </c>
      <c r="F1450" s="16">
        <f>D1450*E1450</f>
        <v/>
      </c>
    </row>
    <row r="1451">
      <c r="A1451" s="17" t="inlineStr">
        <is>
          <t>Resource Total (Material + Labour + Machinery, as printed)</t>
        </is>
      </c>
      <c r="B1451" s="18" t="n"/>
      <c r="C1451" s="18" t="n"/>
      <c r="D1451" s="18" t="n"/>
      <c r="E1451" s="18" t="n"/>
      <c r="F1451" s="19">
        <f>SUM(F1450:F1450)</f>
        <v/>
      </c>
    </row>
    <row r="1452">
      <c r="A1452" s="20" t="inlineStr">
        <is>
          <t>SAY (Rs.) — final DAR rate</t>
        </is>
      </c>
      <c r="B1452" s="21" t="n"/>
      <c r="C1452" s="21" t="n"/>
      <c r="D1452" s="21" t="n"/>
      <c r="E1452" s="21" t="n"/>
      <c r="F1452" s="22" t="n">
        <v>7425</v>
      </c>
    </row>
    <row r="1454" ht="18" customHeight="1">
      <c r="A1454" s="9" t="inlineStr">
        <is>
          <t>5.48.2</t>
        </is>
      </c>
      <c r="B1454" s="10" t="inlineStr">
        <is>
          <t>Reinforced Cement Concrete -M-60</t>
        </is>
      </c>
      <c r="C1454" s="11" t="n"/>
      <c r="D1454" s="11" t="n"/>
      <c r="E1454" s="11" t="n"/>
      <c r="F1454" s="11" t="n"/>
    </row>
    <row r="1455">
      <c r="A1455" s="12" t="inlineStr">
        <is>
          <t>Rate basis: per cum  (source: cost for 120 cum)</t>
        </is>
      </c>
    </row>
    <row r="1456">
      <c r="A1456" s="5" t="inlineStr">
        <is>
          <t>Code</t>
        </is>
      </c>
      <c r="B1456" s="5" t="inlineStr">
        <is>
          <t>Description</t>
        </is>
      </c>
      <c r="C1456" s="5" t="inlineStr">
        <is>
          <t>Unit</t>
        </is>
      </c>
      <c r="D1456" s="5" t="inlineStr">
        <is>
          <t>Quantity</t>
        </is>
      </c>
      <c r="E1456" s="5" t="inlineStr">
        <is>
          <t>Rate (Rs.)</t>
        </is>
      </c>
      <c r="F1456" s="5" t="inlineStr">
        <is>
          <t>Amount (Rs.)</t>
        </is>
      </c>
    </row>
    <row r="1457">
      <c r="A1457" s="13" t="inlineStr">
        <is>
          <t>5.48Y</t>
        </is>
      </c>
      <c r="B1457" s="14" t="inlineStr">
        <is>
          <t>Sub-analysis annexure: 5.48Y</t>
        </is>
      </c>
      <c r="C1457" s="13" t="inlineStr">
        <is>
          <t>each</t>
        </is>
      </c>
      <c r="D1457" s="15" t="n">
        <v>1</v>
      </c>
      <c r="E1457" s="16" t="n">
        <v>692740.4</v>
      </c>
      <c r="F1457" s="16">
        <f>D1457*E1457</f>
        <v/>
      </c>
    </row>
    <row r="1458">
      <c r="A1458" s="17" t="inlineStr">
        <is>
          <t>Resource Total (Material + Labour + Machinery, as printed)</t>
        </is>
      </c>
      <c r="B1458" s="18" t="n"/>
      <c r="C1458" s="18" t="n"/>
      <c r="D1458" s="18" t="n"/>
      <c r="E1458" s="18" t="n"/>
      <c r="F1458" s="19">
        <f>SUM(F1457:F1457)</f>
        <v/>
      </c>
    </row>
    <row r="1459">
      <c r="A1459" s="20" t="inlineStr">
        <is>
          <t>SAY (Rs.) — final DAR rate</t>
        </is>
      </c>
      <c r="B1459" s="21" t="n"/>
      <c r="C1459" s="21" t="n"/>
      <c r="D1459" s="21" t="n"/>
      <c r="E1459" s="21" t="n"/>
      <c r="F1459" s="22" t="n">
        <v>8681.450000000001</v>
      </c>
    </row>
    <row r="1461" ht="18" customHeight="1">
      <c r="A1461" s="9" t="inlineStr">
        <is>
          <t>5.48.3</t>
        </is>
      </c>
      <c r="B1461" s="10" t="inlineStr">
        <is>
          <t>Extra for using M-50/ M-60 Grade Self-compacting Cement Concrete</t>
        </is>
      </c>
      <c r="C1461" s="11" t="n"/>
      <c r="D1461" s="11" t="n"/>
      <c r="E1461" s="11" t="n"/>
      <c r="F1461" s="11" t="n"/>
    </row>
    <row r="1462">
      <c r="A1462" s="12" t="inlineStr">
        <is>
          <t>Rate basis: per cum  (source: cost for 1 cum)</t>
        </is>
      </c>
    </row>
    <row r="1463">
      <c r="A1463" s="5" t="inlineStr">
        <is>
          <t>Code</t>
        </is>
      </c>
      <c r="B1463" s="5" t="inlineStr">
        <is>
          <t>Description</t>
        </is>
      </c>
      <c r="C1463" s="5" t="inlineStr">
        <is>
          <t>Unit</t>
        </is>
      </c>
      <c r="D1463" s="5" t="inlineStr">
        <is>
          <t>Quantity</t>
        </is>
      </c>
      <c r="E1463" s="5" t="inlineStr">
        <is>
          <t>Rate (Rs.)</t>
        </is>
      </c>
      <c r="F1463" s="5" t="inlineStr">
        <is>
          <t>Amount (Rs.)</t>
        </is>
      </c>
    </row>
    <row r="1464">
      <c r="A1464" s="13" t="inlineStr">
        <is>
          <t>5.48X</t>
        </is>
      </c>
      <c r="B1464" s="14" t="inlineStr">
        <is>
          <t>Sub-analysis annexure: 5.48X</t>
        </is>
      </c>
      <c r="C1464" s="13" t="inlineStr">
        <is>
          <t>each</t>
        </is>
      </c>
      <c r="D1464" s="15" t="n">
        <v>1</v>
      </c>
      <c r="E1464" s="16" t="n">
        <v>9430.049999999999</v>
      </c>
      <c r="F1464" s="16">
        <f>D1464*E1464</f>
        <v/>
      </c>
    </row>
    <row r="1465">
      <c r="A1465" s="17" t="inlineStr">
        <is>
          <t>Resource Total (Material + Labour + Machinery, as printed)</t>
        </is>
      </c>
      <c r="B1465" s="18" t="n"/>
      <c r="C1465" s="18" t="n"/>
      <c r="D1465" s="18" t="n"/>
      <c r="E1465" s="18" t="n"/>
      <c r="F1465" s="19">
        <f>SUM(F1464:F1464)</f>
        <v/>
      </c>
    </row>
    <row r="1466">
      <c r="A1466" s="20" t="inlineStr">
        <is>
          <t>SAY (Rs.) — final DAR rate</t>
        </is>
      </c>
      <c r="B1466" s="21" t="n"/>
      <c r="C1466" s="21" t="n"/>
      <c r="D1466" s="21" t="n"/>
      <c r="E1466" s="21" t="n"/>
      <c r="F1466" s="22" t="n">
        <v>748.6</v>
      </c>
    </row>
    <row r="1468" ht="18" customHeight="1">
      <c r="A1468" s="9" t="inlineStr">
        <is>
          <t>5.48.3X</t>
        </is>
      </c>
      <c r="B1468" s="10" t="inlineStr">
        <is>
          <t>M 60 grade Self-compacting Reinforced Cement Concrete</t>
        </is>
      </c>
      <c r="C1468" s="11" t="n"/>
      <c r="D1468" s="11" t="n"/>
      <c r="E1468" s="11" t="n"/>
      <c r="F1468" s="11" t="n"/>
    </row>
    <row r="1469">
      <c r="A1469" s="12" t="inlineStr">
        <is>
          <t>Rate basis: per cum  (source: cost for 120 cum)</t>
        </is>
      </c>
    </row>
    <row r="1470">
      <c r="A1470" s="5" t="inlineStr">
        <is>
          <t>Code</t>
        </is>
      </c>
      <c r="B1470" s="5" t="inlineStr">
        <is>
          <t>Description</t>
        </is>
      </c>
      <c r="C1470" s="5" t="inlineStr">
        <is>
          <t>Unit</t>
        </is>
      </c>
      <c r="D1470" s="5" t="inlineStr">
        <is>
          <t>Quantity</t>
        </is>
      </c>
      <c r="E1470" s="5" t="inlineStr">
        <is>
          <t>Rate (Rs.)</t>
        </is>
      </c>
      <c r="F1470" s="5" t="inlineStr">
        <is>
          <t>Amount (Rs.)</t>
        </is>
      </c>
    </row>
    <row r="1471">
      <c r="A1471" s="13" t="inlineStr">
        <is>
          <t>5.48Z</t>
        </is>
      </c>
      <c r="B1471" s="14" t="inlineStr">
        <is>
          <t>Sub-analysis annexure: 5.48Z</t>
        </is>
      </c>
      <c r="C1471" s="13" t="inlineStr">
        <is>
          <t>each</t>
        </is>
      </c>
      <c r="D1471" s="15" t="n">
        <v>1</v>
      </c>
      <c r="E1471" s="16" t="n">
        <v>752474.7</v>
      </c>
      <c r="F1471" s="16">
        <f>D1471*E1471</f>
        <v/>
      </c>
    </row>
    <row r="1472">
      <c r="A1472" s="17" t="inlineStr">
        <is>
          <t>Resource Total (Material + Labour + Machinery, as printed)</t>
        </is>
      </c>
      <c r="B1472" s="18" t="n"/>
      <c r="C1472" s="18" t="n"/>
      <c r="D1472" s="18" t="n"/>
      <c r="E1472" s="18" t="n"/>
      <c r="F1472" s="19">
        <f>SUM(F1471:F1471)</f>
        <v/>
      </c>
    </row>
    <row r="1473">
      <c r="A1473" s="20" t="inlineStr">
        <is>
          <t>SAY (Rs.) — final DAR rate</t>
        </is>
      </c>
      <c r="B1473" s="21" t="n"/>
      <c r="C1473" s="21" t="n"/>
      <c r="D1473" s="21" t="n"/>
      <c r="E1473" s="21" t="n"/>
      <c r="F1473" s="22" t="n">
        <v>9430.049999999999</v>
      </c>
    </row>
    <row r="1475" ht="28" customHeight="1">
      <c r="A1475" s="9" t="inlineStr">
        <is>
          <t>5.48X</t>
        </is>
      </c>
      <c r="B1475" s="10" t="inlineStr">
        <is>
          <t>Annexure for item 5.48.1, Providing M50 grade Reinforced Cement Concrete data for 120.00 cum Sub Analysis for use in Item no 5.48.1</t>
        </is>
      </c>
      <c r="C1475" s="11" t="n"/>
      <c r="D1475" s="11" t="n"/>
      <c r="E1475" s="11" t="n"/>
      <c r="F1475" s="11" t="n"/>
    </row>
    <row r="1476">
      <c r="A1476" s="12" t="inlineStr">
        <is>
          <t>Rate basis: per cum  (source: cost for 1 cum)</t>
        </is>
      </c>
    </row>
    <row r="1477">
      <c r="A1477" s="5" t="inlineStr">
        <is>
          <t>Code</t>
        </is>
      </c>
      <c r="B1477" s="5" t="inlineStr">
        <is>
          <t>Description</t>
        </is>
      </c>
      <c r="C1477" s="5" t="inlineStr">
        <is>
          <t>Unit</t>
        </is>
      </c>
      <c r="D1477" s="5" t="inlineStr">
        <is>
          <t>Quantity</t>
        </is>
      </c>
      <c r="E1477" s="5" t="inlineStr">
        <is>
          <t>Rate (Rs.)</t>
        </is>
      </c>
      <c r="F1477" s="5" t="inlineStr">
        <is>
          <t>Amount (Rs.)</t>
        </is>
      </c>
    </row>
    <row r="1478">
      <c r="A1478" s="13" t="inlineStr">
        <is>
          <t>0367</t>
        </is>
      </c>
      <c r="B1478" s="14" t="inlineStr">
        <is>
          <t>Portland Cement</t>
        </is>
      </c>
      <c r="C1478" s="13" t="inlineStr">
        <is>
          <t>tonne</t>
        </is>
      </c>
      <c r="D1478" s="15" t="n">
        <v>57.6</v>
      </c>
      <c r="E1478" s="16" t="n">
        <v>4940</v>
      </c>
      <c r="F1478" s="16">
        <f>D1478*E1478</f>
        <v/>
      </c>
    </row>
    <row r="1479">
      <c r="A1479" s="13" t="inlineStr">
        <is>
          <t>0982</t>
        </is>
      </c>
      <c r="B1479" s="14" t="inlineStr">
        <is>
          <t>Coarse sand (zone III)</t>
        </is>
      </c>
      <c r="C1479" s="13" t="inlineStr">
        <is>
          <t>cum</t>
        </is>
      </c>
      <c r="D1479" s="15" t="n">
        <v>54</v>
      </c>
      <c r="E1479" s="16" t="n">
        <v>1350</v>
      </c>
      <c r="F1479" s="16">
        <f>D1479*E1479</f>
        <v/>
      </c>
    </row>
    <row r="1480">
      <c r="A1480" s="13" t="inlineStr">
        <is>
          <t>0295</t>
        </is>
      </c>
      <c r="B1480" s="14" t="inlineStr">
        <is>
          <t>Stone Aggregate (Single size) : 20 mm nominal size</t>
        </is>
      </c>
      <c r="C1480" s="13" t="inlineStr">
        <is>
          <t>cum</t>
        </is>
      </c>
      <c r="D1480" s="15" t="n">
        <v>64.8</v>
      </c>
      <c r="E1480" s="16" t="n">
        <v>1350</v>
      </c>
      <c r="F1480" s="16">
        <f>D1480*E1480</f>
        <v/>
      </c>
    </row>
    <row r="1481">
      <c r="A1481" s="13" t="inlineStr">
        <is>
          <t>0297</t>
        </is>
      </c>
      <c r="B1481" s="14" t="inlineStr">
        <is>
          <t>Stone Aggregate (Single size) : 10 mm nominal size</t>
        </is>
      </c>
      <c r="C1481" s="13" t="inlineStr">
        <is>
          <t>cum</t>
        </is>
      </c>
      <c r="D1481" s="15" t="n">
        <v>43.2</v>
      </c>
      <c r="E1481" s="16" t="n">
        <v>1350</v>
      </c>
      <c r="F1481" s="16">
        <f>D1481*E1481</f>
        <v/>
      </c>
    </row>
    <row r="1482">
      <c r="A1482" s="13" t="inlineStr">
        <is>
          <t>7318</t>
        </is>
      </c>
      <c r="B1482" s="14" t="inlineStr">
        <is>
          <t>Plasticizer / super plasticizer</t>
        </is>
      </c>
      <c r="C1482" s="13" t="inlineStr">
        <is>
          <t>kilogram</t>
        </is>
      </c>
      <c r="D1482" s="15" t="n">
        <v>223.2</v>
      </c>
      <c r="E1482" s="16" t="n">
        <v>36</v>
      </c>
      <c r="F1482" s="16">
        <f>D1482*E1482</f>
        <v/>
      </c>
    </row>
    <row r="1483">
      <c r="A1483" s="13" t="inlineStr">
        <is>
          <t>0128</t>
        </is>
      </c>
      <c r="B1483" s="14" t="inlineStr">
        <is>
          <t>Mate</t>
        </is>
      </c>
      <c r="C1483" s="13" t="inlineStr">
        <is>
          <t>day</t>
        </is>
      </c>
      <c r="D1483" s="15" t="n">
        <v>0.9399999999999999</v>
      </c>
      <c r="E1483" s="16" t="n">
        <v>617</v>
      </c>
      <c r="F1483" s="16">
        <f>D1483*E1483</f>
        <v/>
      </c>
    </row>
    <row r="1484">
      <c r="A1484" s="13" t="inlineStr">
        <is>
          <t>0123</t>
        </is>
      </c>
      <c r="B1484" s="14" t="inlineStr">
        <is>
          <t>Mason (brick layer) 1 st class</t>
        </is>
      </c>
      <c r="C1484" s="13" t="inlineStr">
        <is>
          <t>day</t>
        </is>
      </c>
      <c r="D1484" s="15" t="n">
        <v>3.5</v>
      </c>
      <c r="E1484" s="16" t="n">
        <v>738</v>
      </c>
      <c r="F1484" s="16">
        <f>D1484*E1484</f>
        <v/>
      </c>
    </row>
    <row r="1485">
      <c r="A1485" s="13" t="inlineStr">
        <is>
          <t>0114</t>
        </is>
      </c>
      <c r="B1485" s="14" t="inlineStr">
        <is>
          <t>Beldar</t>
        </is>
      </c>
      <c r="C1485" s="13" t="inlineStr">
        <is>
          <t>day</t>
        </is>
      </c>
      <c r="D1485" s="15" t="n">
        <v>20</v>
      </c>
      <c r="E1485" s="16" t="n">
        <v>558</v>
      </c>
      <c r="F1485" s="16">
        <f>D1485*E1485</f>
        <v/>
      </c>
    </row>
    <row r="1486">
      <c r="A1486" s="13" t="inlineStr">
        <is>
          <t>0009</t>
        </is>
      </c>
      <c r="B1486" s="14" t="inlineStr">
        <is>
          <t>Pumping charges of concrete including Hire charges of pump, piping work &amp; accessories etc.</t>
        </is>
      </c>
      <c r="C1486" s="13" t="inlineStr">
        <is>
          <t>cum</t>
        </is>
      </c>
      <c r="D1486" s="15" t="n">
        <v>120</v>
      </c>
      <c r="E1486" s="16" t="n">
        <v>210</v>
      </c>
      <c r="F1486" s="16">
        <f>D1486*E1486</f>
        <v/>
      </c>
    </row>
    <row r="1487">
      <c r="A1487" s="17" t="inlineStr">
        <is>
          <t>Resource Total (Material + Labour + Machinery, as printed)</t>
        </is>
      </c>
      <c r="B1487" s="18" t="n"/>
      <c r="C1487" s="18" t="n"/>
      <c r="D1487" s="18" t="n"/>
      <c r="E1487" s="18" t="n"/>
      <c r="F1487" s="19">
        <f>SUM(F1478:F1486)</f>
        <v/>
      </c>
    </row>
    <row r="1488">
      <c r="A1488" s="20" t="inlineStr">
        <is>
          <t>SAY (Rs.) — final DAR rate</t>
        </is>
      </c>
      <c r="B1488" s="21" t="n"/>
      <c r="C1488" s="21" t="n"/>
      <c r="D1488" s="21" t="n"/>
      <c r="E1488" s="21" t="n"/>
      <c r="F1488" s="22" t="n">
        <v>592482.2</v>
      </c>
    </row>
    <row r="1490" ht="28" customHeight="1">
      <c r="A1490" s="9" t="inlineStr">
        <is>
          <t>5.48Y</t>
        </is>
      </c>
      <c r="B1490" s="10" t="inlineStr">
        <is>
          <t>Annexure for items 5.48.2 for using M 60 grade Self Compacting Reinforced cement concrete data for 120.00 cum Sub Analysis for use in Item n</t>
        </is>
      </c>
      <c r="C1490" s="11" t="n"/>
      <c r="D1490" s="11" t="n"/>
      <c r="E1490" s="11" t="n"/>
      <c r="F1490" s="11" t="n"/>
    </row>
    <row r="1491">
      <c r="A1491" s="12" t="inlineStr">
        <is>
          <t>Rate basis: per cum  (source: cost for 1 cum)</t>
        </is>
      </c>
    </row>
    <row r="1492">
      <c r="A1492" s="5" t="inlineStr">
        <is>
          <t>Code</t>
        </is>
      </c>
      <c r="B1492" s="5" t="inlineStr">
        <is>
          <t>Description</t>
        </is>
      </c>
      <c r="C1492" s="5" t="inlineStr">
        <is>
          <t>Unit</t>
        </is>
      </c>
      <c r="D1492" s="5" t="inlineStr">
        <is>
          <t>Quantity</t>
        </is>
      </c>
      <c r="E1492" s="5" t="inlineStr">
        <is>
          <t>Rate (Rs.)</t>
        </is>
      </c>
      <c r="F1492" s="5" t="inlineStr">
        <is>
          <t>Amount (Rs.)</t>
        </is>
      </c>
    </row>
    <row r="1493">
      <c r="A1493" s="13" t="inlineStr">
        <is>
          <t>0367</t>
        </is>
      </c>
      <c r="B1493" s="14" t="inlineStr">
        <is>
          <t>Portland Cement</t>
        </is>
      </c>
      <c r="C1493" s="13" t="inlineStr">
        <is>
          <t>tonne</t>
        </is>
      </c>
      <c r="D1493" s="15" t="n">
        <v>57.6</v>
      </c>
      <c r="E1493" s="16" t="n">
        <v>4940</v>
      </c>
      <c r="F1493" s="16">
        <f>D1493*E1493</f>
        <v/>
      </c>
    </row>
    <row r="1494">
      <c r="A1494" s="13" t="inlineStr">
        <is>
          <t>0982</t>
        </is>
      </c>
      <c r="B1494" s="14" t="inlineStr">
        <is>
          <t>Coarse sand (zone III)</t>
        </is>
      </c>
      <c r="C1494" s="13" t="inlineStr">
        <is>
          <t>cum</t>
        </is>
      </c>
      <c r="D1494" s="15" t="n">
        <v>54.98</v>
      </c>
      <c r="E1494" s="16" t="n">
        <v>1350</v>
      </c>
      <c r="F1494" s="16">
        <f>D1494*E1494</f>
        <v/>
      </c>
    </row>
    <row r="1495">
      <c r="A1495" s="13" t="inlineStr">
        <is>
          <t>0295</t>
        </is>
      </c>
      <c r="B1495" s="14" t="inlineStr">
        <is>
          <t>Stone Aggregate (Single size) : 20 mm nominal size</t>
        </is>
      </c>
      <c r="C1495" s="13" t="inlineStr">
        <is>
          <t>cum</t>
        </is>
      </c>
      <c r="D1495" s="15" t="n">
        <v>57.54</v>
      </c>
      <c r="E1495" s="16" t="n">
        <v>1350</v>
      </c>
      <c r="F1495" s="16">
        <f>D1495*E1495</f>
        <v/>
      </c>
    </row>
    <row r="1496">
      <c r="A1496" s="13" t="inlineStr">
        <is>
          <t>0297</t>
        </is>
      </c>
      <c r="B1496" s="14" t="inlineStr">
        <is>
          <t>Stone Aggregate (Single size) : 10 mm nominal size</t>
        </is>
      </c>
      <c r="C1496" s="13" t="inlineStr">
        <is>
          <t>cum</t>
        </is>
      </c>
      <c r="D1496" s="15" t="n">
        <v>38.22</v>
      </c>
      <c r="E1496" s="16" t="n">
        <v>1350</v>
      </c>
      <c r="F1496" s="16">
        <f>D1496*E1496</f>
        <v/>
      </c>
    </row>
    <row r="1497">
      <c r="A1497" s="13" t="inlineStr">
        <is>
          <t>7318</t>
        </is>
      </c>
      <c r="B1497" s="14" t="inlineStr">
        <is>
          <t>Plasticizer / super plasticizer</t>
        </is>
      </c>
      <c r="C1497" s="13" t="inlineStr">
        <is>
          <t>kilogram</t>
        </is>
      </c>
      <c r="D1497" s="15" t="n">
        <v>230.4</v>
      </c>
      <c r="E1497" s="16" t="n">
        <v>36</v>
      </c>
      <c r="F1497" s="16">
        <f>D1497*E1497</f>
        <v/>
      </c>
    </row>
    <row r="1498">
      <c r="A1498" s="13" t="inlineStr">
        <is>
          <t>8953</t>
        </is>
      </c>
      <c r="B1498" s="14" t="inlineStr">
        <is>
          <t>Micro Silica</t>
        </is>
      </c>
      <c r="C1498" s="13" t="inlineStr">
        <is>
          <t>kg</t>
        </is>
      </c>
      <c r="D1498" s="15" t="n">
        <v>3600</v>
      </c>
      <c r="E1498" s="16" t="n">
        <v>32</v>
      </c>
      <c r="F1498" s="16">
        <f>D1498*E1498</f>
        <v/>
      </c>
    </row>
    <row r="1499">
      <c r="A1499" s="13" t="inlineStr">
        <is>
          <t>0128</t>
        </is>
      </c>
      <c r="B1499" s="14" t="inlineStr">
        <is>
          <t>Mate</t>
        </is>
      </c>
      <c r="C1499" s="13" t="inlineStr">
        <is>
          <t>day</t>
        </is>
      </c>
      <c r="D1499" s="15" t="n">
        <v>0.9399999999999999</v>
      </c>
      <c r="E1499" s="16" t="n">
        <v>617</v>
      </c>
      <c r="F1499" s="16">
        <f>D1499*E1499</f>
        <v/>
      </c>
    </row>
    <row r="1500">
      <c r="A1500" s="13" t="inlineStr">
        <is>
          <t>0123</t>
        </is>
      </c>
      <c r="B1500" s="14" t="inlineStr">
        <is>
          <t>Mason (brick layer) 1 st class</t>
        </is>
      </c>
      <c r="C1500" s="13" t="inlineStr">
        <is>
          <t>day</t>
        </is>
      </c>
      <c r="D1500" s="15" t="n">
        <v>3.5</v>
      </c>
      <c r="E1500" s="16" t="n">
        <v>738</v>
      </c>
      <c r="F1500" s="16">
        <f>D1500*E1500</f>
        <v/>
      </c>
    </row>
    <row r="1501">
      <c r="A1501" s="13" t="inlineStr">
        <is>
          <t>0114</t>
        </is>
      </c>
      <c r="B1501" s="14" t="inlineStr">
        <is>
          <t>Beldar</t>
        </is>
      </c>
      <c r="C1501" s="13" t="inlineStr">
        <is>
          <t>day</t>
        </is>
      </c>
      <c r="D1501" s="15" t="n">
        <v>20</v>
      </c>
      <c r="E1501" s="16" t="n">
        <v>558</v>
      </c>
      <c r="F1501" s="16">
        <f>D1501*E1501</f>
        <v/>
      </c>
    </row>
    <row r="1502">
      <c r="A1502" s="13" t="inlineStr">
        <is>
          <t>0009</t>
        </is>
      </c>
      <c r="B1502" s="14" t="inlineStr">
        <is>
          <t>Pumping charges of concrete including Hire charges of pump, piping work &amp; accessories etc.</t>
        </is>
      </c>
      <c r="C1502" s="13" t="inlineStr">
        <is>
          <t>cum</t>
        </is>
      </c>
      <c r="D1502" s="15" t="n">
        <v>120</v>
      </c>
      <c r="E1502" s="16" t="n">
        <v>210</v>
      </c>
      <c r="F1502" s="16">
        <f>D1502*E1502</f>
        <v/>
      </c>
    </row>
    <row r="1503">
      <c r="A1503" s="17" t="inlineStr">
        <is>
          <t>Resource Total (Material + Labour + Machinery, as printed)</t>
        </is>
      </c>
      <c r="B1503" s="18" t="n"/>
      <c r="C1503" s="18" t="n"/>
      <c r="D1503" s="18" t="n"/>
      <c r="E1503" s="18" t="n"/>
      <c r="F1503" s="19">
        <f>SUM(F1493:F1502)</f>
        <v/>
      </c>
    </row>
    <row r="1504">
      <c r="A1504" s="20" t="inlineStr">
        <is>
          <t>SAY (Rs.) — final DAR rate</t>
        </is>
      </c>
      <c r="B1504" s="21" t="n"/>
      <c r="C1504" s="21" t="n"/>
      <c r="D1504" s="21" t="n"/>
      <c r="E1504" s="21" t="n"/>
      <c r="F1504" s="22" t="n">
        <v>692740.4</v>
      </c>
    </row>
    <row r="1506" ht="28" customHeight="1">
      <c r="A1506" s="9" t="inlineStr">
        <is>
          <t>5.48Z</t>
        </is>
      </c>
      <c r="B1506" s="10" t="inlineStr">
        <is>
          <t>Annexure for items 5.48.3. Extra for using M 60 grade Self Compacting Reinforced cement concrete data for 120.00 cum Sub Analysis for use in</t>
        </is>
      </c>
      <c r="C1506" s="11" t="n"/>
      <c r="D1506" s="11" t="n"/>
      <c r="E1506" s="11" t="n"/>
      <c r="F1506" s="11" t="n"/>
    </row>
    <row r="1507">
      <c r="A1507" s="12" t="inlineStr">
        <is>
          <t>Rate basis: per cum  (source: cost for 1 cum)</t>
        </is>
      </c>
    </row>
    <row r="1508">
      <c r="A1508" s="5" t="inlineStr">
        <is>
          <t>Code</t>
        </is>
      </c>
      <c r="B1508" s="5" t="inlineStr">
        <is>
          <t>Description</t>
        </is>
      </c>
      <c r="C1508" s="5" t="inlineStr">
        <is>
          <t>Unit</t>
        </is>
      </c>
      <c r="D1508" s="5" t="inlineStr">
        <is>
          <t>Quantity</t>
        </is>
      </c>
      <c r="E1508" s="5" t="inlineStr">
        <is>
          <t>Rate (Rs.)</t>
        </is>
      </c>
      <c r="F1508" s="5" t="inlineStr">
        <is>
          <t>Amount (Rs.)</t>
        </is>
      </c>
    </row>
    <row r="1509">
      <c r="A1509" s="13" t="inlineStr">
        <is>
          <t>0367</t>
        </is>
      </c>
      <c r="B1509" s="14" t="inlineStr">
        <is>
          <t>Portland Cement</t>
        </is>
      </c>
      <c r="C1509" s="13" t="inlineStr">
        <is>
          <t>tonne</t>
        </is>
      </c>
      <c r="D1509" s="15" t="n">
        <v>57.6</v>
      </c>
      <c r="E1509" s="16" t="n">
        <v>4940</v>
      </c>
      <c r="F1509" s="16">
        <f>D1509*E1509</f>
        <v/>
      </c>
    </row>
    <row r="1510">
      <c r="A1510" s="13" t="inlineStr">
        <is>
          <t>0982</t>
        </is>
      </c>
      <c r="B1510" s="14" t="inlineStr">
        <is>
          <t>Coarse sand (zone III)</t>
        </is>
      </c>
      <c r="C1510" s="13" t="inlineStr">
        <is>
          <t>cum</t>
        </is>
      </c>
      <c r="D1510" s="15" t="n">
        <v>54</v>
      </c>
      <c r="E1510" s="16" t="n">
        <v>1350</v>
      </c>
      <c r="F1510" s="16">
        <f>D1510*E1510</f>
        <v/>
      </c>
    </row>
    <row r="1511">
      <c r="A1511" s="13" t="inlineStr">
        <is>
          <t>0295</t>
        </is>
      </c>
      <c r="B1511" s="14" t="inlineStr">
        <is>
          <t>Stone Aggregate (Single size) : 20 mm nominal size</t>
        </is>
      </c>
      <c r="C1511" s="13" t="inlineStr">
        <is>
          <t>cum</t>
        </is>
      </c>
      <c r="D1511" s="15" t="n">
        <v>64.8</v>
      </c>
      <c r="E1511" s="16" t="n">
        <v>1350</v>
      </c>
      <c r="F1511" s="16">
        <f>D1511*E1511</f>
        <v/>
      </c>
    </row>
    <row r="1512">
      <c r="A1512" s="13" t="inlineStr">
        <is>
          <t>0297</t>
        </is>
      </c>
      <c r="B1512" s="14" t="inlineStr">
        <is>
          <t>Stone Aggregate (Single size) : 10 mm nominal size</t>
        </is>
      </c>
      <c r="C1512" s="13" t="inlineStr">
        <is>
          <t>cum</t>
        </is>
      </c>
      <c r="D1512" s="15" t="n">
        <v>43.2</v>
      </c>
      <c r="E1512" s="16" t="n">
        <v>1350</v>
      </c>
      <c r="F1512" s="16">
        <f>D1512*E1512</f>
        <v/>
      </c>
    </row>
    <row r="1513">
      <c r="A1513" s="13" t="inlineStr">
        <is>
          <t>7318</t>
        </is>
      </c>
      <c r="B1513" s="14" t="inlineStr">
        <is>
          <t>Plasticizer / super plasticizer</t>
        </is>
      </c>
      <c r="C1513" s="13" t="inlineStr">
        <is>
          <t>kilogram</t>
        </is>
      </c>
      <c r="D1513" s="15" t="n">
        <v>230.4</v>
      </c>
      <c r="E1513" s="16" t="n">
        <v>36</v>
      </c>
      <c r="F1513" s="16">
        <f>D1513*E1513</f>
        <v/>
      </c>
    </row>
    <row r="1514">
      <c r="A1514" s="13" t="inlineStr">
        <is>
          <t>8953</t>
        </is>
      </c>
      <c r="B1514" s="14" t="inlineStr">
        <is>
          <t>Micro Silica</t>
        </is>
      </c>
      <c r="C1514" s="13" t="inlineStr">
        <is>
          <t>kg</t>
        </is>
      </c>
      <c r="D1514" s="15" t="n">
        <v>5040</v>
      </c>
      <c r="E1514" s="16" t="n">
        <v>32</v>
      </c>
      <c r="F1514" s="16">
        <f>D1514*E1514</f>
        <v/>
      </c>
    </row>
    <row r="1515">
      <c r="A1515" s="13" t="inlineStr">
        <is>
          <t>0128</t>
        </is>
      </c>
      <c r="B1515" s="14" t="inlineStr">
        <is>
          <t>Mate</t>
        </is>
      </c>
      <c r="C1515" s="13" t="inlineStr">
        <is>
          <t>day</t>
        </is>
      </c>
      <c r="D1515" s="15" t="n">
        <v>0.84</v>
      </c>
      <c r="E1515" s="16" t="n">
        <v>617</v>
      </c>
      <c r="F1515" s="16">
        <f>D1515*E1515</f>
        <v/>
      </c>
    </row>
    <row r="1516">
      <c r="A1516" s="13" t="inlineStr">
        <is>
          <t>0123</t>
        </is>
      </c>
      <c r="B1516" s="14" t="inlineStr">
        <is>
          <t>Mason (brick layer) 1 st class</t>
        </is>
      </c>
      <c r="C1516" s="13" t="inlineStr">
        <is>
          <t>day</t>
        </is>
      </c>
      <c r="D1516" s="15" t="n">
        <v>3</v>
      </c>
      <c r="E1516" s="16" t="n">
        <v>738</v>
      </c>
      <c r="F1516" s="16">
        <f>D1516*E1516</f>
        <v/>
      </c>
    </row>
    <row r="1517">
      <c r="A1517" s="13" t="inlineStr">
        <is>
          <t>0114</t>
        </is>
      </c>
      <c r="B1517" s="14" t="inlineStr">
        <is>
          <t>Beldar</t>
        </is>
      </c>
      <c r="C1517" s="13" t="inlineStr">
        <is>
          <t>day</t>
        </is>
      </c>
      <c r="D1517" s="15" t="n">
        <v>18</v>
      </c>
      <c r="E1517" s="16" t="n">
        <v>558</v>
      </c>
      <c r="F1517" s="16">
        <f>D1517*E1517</f>
        <v/>
      </c>
    </row>
    <row r="1518">
      <c r="A1518" s="13" t="inlineStr">
        <is>
          <t>0009</t>
        </is>
      </c>
      <c r="B1518" s="14" t="inlineStr">
        <is>
          <t>Pumping charges of concrete including Hire charges of pump, piping work &amp; accessories etc.</t>
        </is>
      </c>
      <c r="C1518" s="13" t="inlineStr">
        <is>
          <t>cum</t>
        </is>
      </c>
      <c r="D1518" s="15" t="n">
        <v>120</v>
      </c>
      <c r="E1518" s="16" t="n">
        <v>210</v>
      </c>
      <c r="F1518" s="16">
        <f>D1518*E1518</f>
        <v/>
      </c>
    </row>
    <row r="1519">
      <c r="A1519" s="17" t="inlineStr">
        <is>
          <t>Resource Total (Material + Labour + Machinery, as printed)</t>
        </is>
      </c>
      <c r="B1519" s="18" t="n"/>
      <c r="C1519" s="18" t="n"/>
      <c r="D1519" s="18" t="n"/>
      <c r="E1519" s="18" t="n"/>
      <c r="F1519" s="19">
        <f>SUM(F1509:F1518)</f>
        <v/>
      </c>
    </row>
    <row r="1520">
      <c r="A1520" s="20" t="inlineStr">
        <is>
          <t>SAY (Rs.) — final DAR rate</t>
        </is>
      </c>
      <c r="B1520" s="21" t="n"/>
      <c r="C1520" s="21" t="n"/>
      <c r="D1520" s="21" t="n"/>
      <c r="E1520" s="21" t="n"/>
      <c r="F1520" s="22" t="n">
        <v>752474.7</v>
      </c>
    </row>
    <row r="1522" ht="28" customHeight="1">
      <c r="A1522" s="9" t="inlineStr">
        <is>
          <t>5.49</t>
        </is>
      </c>
      <c r="B1522" s="10" t="inlineStr">
        <is>
          <t>Constructing cast-in situ RCC diaphragm wall by providing and laying machine batched, machine mixed, self compacting, ready mix reinforced c</t>
        </is>
      </c>
      <c r="C1522" s="11" t="n"/>
      <c r="D1522" s="11" t="n"/>
      <c r="E1522" s="11" t="n"/>
      <c r="F1522" s="11" t="n"/>
    </row>
    <row r="1523">
      <c r="A1523" s="12" t="inlineStr">
        <is>
          <t>Rate basis: per cum  (source: cost for 144 cum)</t>
        </is>
      </c>
    </row>
    <row r="1524">
      <c r="A1524" s="5" t="inlineStr">
        <is>
          <t>Code</t>
        </is>
      </c>
      <c r="B1524" s="5" t="inlineStr">
        <is>
          <t>Description</t>
        </is>
      </c>
      <c r="C1524" s="5" t="inlineStr">
        <is>
          <t>Unit</t>
        </is>
      </c>
      <c r="D1524" s="5" t="inlineStr">
        <is>
          <t>Quantity</t>
        </is>
      </c>
      <c r="E1524" s="5" t="inlineStr">
        <is>
          <t>Rate (Rs.)</t>
        </is>
      </c>
      <c r="F1524" s="5" t="inlineStr">
        <is>
          <t>Amount (Rs.)</t>
        </is>
      </c>
    </row>
    <row r="1525">
      <c r="A1525" s="13" t="inlineStr">
        <is>
          <t>5.1.3</t>
        </is>
      </c>
      <c r="B1525" s="14" t="inlineStr">
        <is>
          <t>Rate as per SH: 5.1.3</t>
        </is>
      </c>
      <c r="C1525" s="13" t="inlineStr">
        <is>
          <t>cum</t>
        </is>
      </c>
      <c r="D1525" s="15" t="n">
        <v>11.7</v>
      </c>
      <c r="E1525" s="16" t="n">
        <v>7296.35</v>
      </c>
      <c r="F1525" s="16">
        <f>D1525*E1525</f>
        <v/>
      </c>
    </row>
    <row r="1526">
      <c r="A1526" s="13" t="inlineStr">
        <is>
          <t>5.22.6</t>
        </is>
      </c>
      <c r="B1526" s="14" t="inlineStr">
        <is>
          <t>Rate as per SH: 5.22.6</t>
        </is>
      </c>
      <c r="C1526" s="13" t="inlineStr">
        <is>
          <t>kilogram</t>
        </is>
      </c>
      <c r="D1526" s="15" t="n">
        <v>819</v>
      </c>
      <c r="E1526" s="16" t="n">
        <v>83.5</v>
      </c>
      <c r="F1526" s="16">
        <f>D1526*E1526</f>
        <v/>
      </c>
    </row>
    <row r="1527">
      <c r="A1527" s="13" t="inlineStr">
        <is>
          <t>5.33.1</t>
        </is>
      </c>
      <c r="B1527" s="14" t="inlineStr">
        <is>
          <t>Rate as per SH: 5.33.1</t>
        </is>
      </c>
      <c r="C1527" s="13" t="inlineStr">
        <is>
          <t>cum</t>
        </is>
      </c>
      <c r="D1527" s="15" t="n">
        <v>164.4</v>
      </c>
      <c r="E1527" s="16" t="n">
        <v>7997.3</v>
      </c>
      <c r="F1527" s="16">
        <f>D1527*E1527</f>
        <v/>
      </c>
    </row>
    <row r="1528">
      <c r="A1528" s="13" t="inlineStr">
        <is>
          <t>5.34.1</t>
        </is>
      </c>
      <c r="B1528" s="14" t="inlineStr">
        <is>
          <t>Rate as per SH: 5.34.1</t>
        </is>
      </c>
      <c r="C1528" s="13" t="inlineStr">
        <is>
          <t>cum</t>
        </is>
      </c>
      <c r="D1528" s="15" t="n">
        <v>164.4</v>
      </c>
      <c r="E1528" s="16" t="n">
        <v>69.75</v>
      </c>
      <c r="F1528" s="16">
        <f>D1528*E1528</f>
        <v/>
      </c>
    </row>
    <row r="1529">
      <c r="A1529" s="13" t="inlineStr">
        <is>
          <t>10.22</t>
        </is>
      </c>
      <c r="B1529" s="14" t="inlineStr">
        <is>
          <t>Rate as per SH: 10.22</t>
        </is>
      </c>
      <c r="C1529" s="13" t="inlineStr">
        <is>
          <t>cm</t>
        </is>
      </c>
      <c r="D1529" s="15" t="n">
        <v>6161</v>
      </c>
      <c r="E1529" s="16" t="n">
        <v>3.35</v>
      </c>
      <c r="F1529" s="16">
        <f>D1529*E1529</f>
        <v/>
      </c>
    </row>
    <row r="1530">
      <c r="A1530" s="13" t="inlineStr">
        <is>
          <t>15.60</t>
        </is>
      </c>
      <c r="B1530" s="14" t="inlineStr">
        <is>
          <t>Rate as per SH: 15.60</t>
        </is>
      </c>
      <c r="C1530" s="13" t="inlineStr">
        <is>
          <t>cum</t>
        </is>
      </c>
      <c r="D1530" s="15" t="n">
        <v>193.32</v>
      </c>
      <c r="E1530" s="16" t="n">
        <v>138.85</v>
      </c>
      <c r="F1530" s="16">
        <f>D1530*E1530</f>
        <v/>
      </c>
    </row>
    <row r="1531">
      <c r="A1531" s="13" t="inlineStr">
        <is>
          <t>15.3</t>
        </is>
      </c>
      <c r="B1531" s="14" t="inlineStr">
        <is>
          <t>Rate as per SH: 15.3</t>
        </is>
      </c>
      <c r="C1531" s="13" t="inlineStr">
        <is>
          <t>cum</t>
        </is>
      </c>
      <c r="D1531" s="15" t="n">
        <v>20.4</v>
      </c>
      <c r="E1531" s="16" t="n">
        <v>2534.7</v>
      </c>
      <c r="F1531" s="16">
        <f>D1531*E1531</f>
        <v/>
      </c>
    </row>
    <row r="1532">
      <c r="A1532" s="13" t="inlineStr">
        <is>
          <t>0082</t>
        </is>
      </c>
      <c r="B1532" s="14" t="inlineStr">
        <is>
          <t>Excavation of Diaphragm wall by Mechanical Grab</t>
        </is>
      </c>
      <c r="C1532" s="13" t="inlineStr">
        <is>
          <t>sqm</t>
        </is>
      </c>
      <c r="D1532" s="15" t="n">
        <v>240</v>
      </c>
      <c r="E1532" s="16" t="n">
        <v>1300</v>
      </c>
      <c r="F1532" s="16">
        <f>D1532*E1532</f>
        <v/>
      </c>
    </row>
    <row r="1533">
      <c r="A1533" s="13" t="inlineStr">
        <is>
          <t>7183</t>
        </is>
      </c>
      <c r="B1533" s="14" t="inlineStr">
        <is>
          <t>Bentonite</t>
        </is>
      </c>
      <c r="C1533" s="13" t="inlineStr">
        <is>
          <t>tonne</t>
        </is>
      </c>
      <c r="D1533" s="15" t="n">
        <v>13.81</v>
      </c>
      <c r="E1533" s="16" t="n">
        <v>2960</v>
      </c>
      <c r="F1533" s="16">
        <f>D1533*E1533</f>
        <v/>
      </c>
    </row>
    <row r="1534">
      <c r="A1534" s="13" t="inlineStr">
        <is>
          <t>0367</t>
        </is>
      </c>
      <c r="B1534" s="14" t="inlineStr">
        <is>
          <t>Portland Cement</t>
        </is>
      </c>
      <c r="C1534" s="13" t="inlineStr">
        <is>
          <t>tonne</t>
        </is>
      </c>
      <c r="D1534" s="15" t="n">
        <v>6.9</v>
      </c>
      <c r="E1534" s="16" t="n">
        <v>4940</v>
      </c>
      <c r="F1534" s="16">
        <f>D1534*E1534</f>
        <v/>
      </c>
    </row>
    <row r="1535">
      <c r="A1535" s="13" t="inlineStr">
        <is>
          <t>0367</t>
        </is>
      </c>
      <c r="B1535" s="14" t="inlineStr">
        <is>
          <t>Portland Cement</t>
        </is>
      </c>
      <c r="C1535" s="13" t="inlineStr">
        <is>
          <t>tonne</t>
        </is>
      </c>
      <c r="D1535" s="15" t="n">
        <v>2.4</v>
      </c>
      <c r="E1535" s="16" t="n">
        <v>4940</v>
      </c>
      <c r="F1535" s="16">
        <f>D1535*E1535</f>
        <v/>
      </c>
    </row>
    <row r="1536">
      <c r="A1536" s="13" t="inlineStr">
        <is>
          <t>2209</t>
        </is>
      </c>
      <c r="B1536" s="14" t="inlineStr">
        <is>
          <t>Carriage of Cement</t>
        </is>
      </c>
      <c r="C1536" s="13" t="inlineStr">
        <is>
          <t>tonne</t>
        </is>
      </c>
      <c r="D1536" s="15" t="n">
        <v>2.4</v>
      </c>
      <c r="E1536" s="16" t="n">
        <v>92.23999999999999</v>
      </c>
      <c r="F1536" s="16">
        <f>D1536*E1536</f>
        <v/>
      </c>
    </row>
    <row r="1537">
      <c r="A1537" s="13" t="inlineStr">
        <is>
          <t>0025</t>
        </is>
      </c>
      <c r="B1537" s="14" t="inlineStr">
        <is>
          <t>Hire and running charges of light crane</t>
        </is>
      </c>
      <c r="C1537" s="13" t="inlineStr">
        <is>
          <t>day</t>
        </is>
      </c>
      <c r="D1537" s="15" t="n">
        <v>1</v>
      </c>
      <c r="E1537" s="16" t="n">
        <v>3000</v>
      </c>
      <c r="F1537" s="16">
        <f>D1537*E1537</f>
        <v/>
      </c>
    </row>
    <row r="1538">
      <c r="A1538" s="13" t="inlineStr">
        <is>
          <t>1005</t>
        </is>
      </c>
      <c r="B1538" s="14" t="inlineStr">
        <is>
          <t>Twisted steel/ deformed bars</t>
        </is>
      </c>
      <c r="C1538" s="13" t="inlineStr">
        <is>
          <t>quintal</t>
        </is>
      </c>
      <c r="D1538" s="15" t="n">
        <v>18.084</v>
      </c>
      <c r="E1538" s="16" t="n">
        <v>4600</v>
      </c>
      <c r="F1538" s="16">
        <f>D1538*E1538</f>
        <v/>
      </c>
    </row>
    <row r="1539">
      <c r="A1539" s="13" t="inlineStr">
        <is>
          <t>9999</t>
        </is>
      </c>
      <c r="B1539" s="14" t="inlineStr">
        <is>
          <t>Labour for grouting diaphragm wall under pressure i/c fixing nozzle etc</t>
        </is>
      </c>
      <c r="C1539" s="13" t="inlineStr">
        <is>
          <t>L.S.</t>
        </is>
      </c>
      <c r="D1539" s="15" t="n">
        <v>23530</v>
      </c>
      <c r="E1539" s="16" t="n">
        <v>2</v>
      </c>
      <c r="F1539" s="16">
        <f>D1539*E1539</f>
        <v/>
      </c>
    </row>
    <row r="1540">
      <c r="A1540" s="13" t="inlineStr">
        <is>
          <t>7318</t>
        </is>
      </c>
      <c r="B1540" s="14" t="inlineStr">
        <is>
          <t>Plasticizer / super plasticizer</t>
        </is>
      </c>
      <c r="C1540" s="13" t="inlineStr">
        <is>
          <t>kilogram</t>
        </is>
      </c>
      <c r="D1540" s="15" t="n">
        <v>276.19</v>
      </c>
      <c r="E1540" s="16" t="n">
        <v>36</v>
      </c>
      <c r="F1540" s="16">
        <f>D1540*E1540</f>
        <v/>
      </c>
    </row>
    <row r="1541">
      <c r="A1541" s="13" t="inlineStr">
        <is>
          <t>8954</t>
        </is>
      </c>
      <c r="B1541" s="14" t="inlineStr">
        <is>
          <t>Stop end tubes for diaphragmwall 600 mm dia.</t>
        </is>
      </c>
      <c r="C1541" s="13" t="inlineStr">
        <is>
          <t>sqm</t>
        </is>
      </c>
      <c r="D1541" s="15" t="n">
        <v>240</v>
      </c>
      <c r="E1541" s="16" t="n">
        <v>4.5</v>
      </c>
      <c r="F1541" s="16">
        <f>D1541*E1541</f>
        <v/>
      </c>
    </row>
    <row r="1542">
      <c r="A1542" s="13" t="inlineStr">
        <is>
          <t>8955</t>
        </is>
      </c>
      <c r="B1542" s="14" t="inlineStr">
        <is>
          <t>Driving end tubes for diaphragm wall 600 mm dia.</t>
        </is>
      </c>
      <c r="C1542" s="13" t="inlineStr">
        <is>
          <t>sqm</t>
        </is>
      </c>
      <c r="D1542" s="15" t="n">
        <v>240</v>
      </c>
      <c r="E1542" s="16" t="n">
        <v>72</v>
      </c>
      <c r="F1542" s="16">
        <f>D1542*E1542</f>
        <v/>
      </c>
    </row>
    <row r="1543">
      <c r="A1543" s="13" t="inlineStr">
        <is>
          <t>0026</t>
        </is>
      </c>
      <c r="B1543" s="14" t="inlineStr">
        <is>
          <t>Hire and running charges of bentonite pump</t>
        </is>
      </c>
      <c r="C1543" s="13" t="inlineStr">
        <is>
          <t>day</t>
        </is>
      </c>
      <c r="D1543" s="15" t="n">
        <v>2</v>
      </c>
      <c r="E1543" s="16" t="n">
        <v>3500</v>
      </c>
      <c r="F1543" s="16">
        <f>D1543*E1543</f>
        <v/>
      </c>
    </row>
    <row r="1544">
      <c r="A1544" s="13" t="inlineStr">
        <is>
          <t>9999</t>
        </is>
      </c>
      <c r="B1544" s="14" t="inlineStr">
        <is>
          <t>Sundries (Extra for concreting by Trimme)</t>
        </is>
      </c>
      <c r="C1544" s="13" t="inlineStr">
        <is>
          <t>L.S.</t>
        </is>
      </c>
      <c r="D1544" s="15" t="n">
        <v>1177</v>
      </c>
      <c r="E1544" s="16" t="n">
        <v>2</v>
      </c>
      <c r="F1544" s="16">
        <f>D1544*E1544</f>
        <v/>
      </c>
    </row>
    <row r="1545">
      <c r="A1545" s="13" t="inlineStr">
        <is>
          <t>9999</t>
        </is>
      </c>
      <c r="B1545" s="14" t="inlineStr">
        <is>
          <t>Sundries ( Design Charges)</t>
        </is>
      </c>
      <c r="C1545" s="13" t="inlineStr">
        <is>
          <t>L.S.</t>
        </is>
      </c>
      <c r="D1545" s="15" t="n">
        <v>19200</v>
      </c>
      <c r="E1545" s="16" t="n">
        <v>2</v>
      </c>
      <c r="F1545" s="16">
        <f>D1545*E1545</f>
        <v/>
      </c>
    </row>
    <row r="1546">
      <c r="A1546" s="17" t="inlineStr">
        <is>
          <t>Resource Total (Material + Labour + Machinery, as printed)</t>
        </is>
      </c>
      <c r="B1546" s="18" t="n"/>
      <c r="C1546" s="18" t="n"/>
      <c r="D1546" s="18" t="n"/>
      <c r="E1546" s="18" t="n"/>
      <c r="F1546" s="19">
        <f>SUM(F1525:F1545)</f>
        <v/>
      </c>
    </row>
    <row r="1547">
      <c r="A1547" s="20" t="inlineStr">
        <is>
          <t>SAY (Rs.) — final DAR rate</t>
        </is>
      </c>
      <c r="B1547" s="21" t="n"/>
      <c r="C1547" s="21" t="n"/>
      <c r="D1547" s="21" t="n"/>
      <c r="E1547" s="21" t="n"/>
      <c r="F1547" s="22" t="n">
        <v>16618.7</v>
      </c>
    </row>
  </sheetData>
  <mergeCells count="466">
    <mergeCell ref="A1080:E1080"/>
    <mergeCell ref="B939:F939"/>
    <mergeCell ref="B122:F122"/>
    <mergeCell ref="B1246:F1246"/>
    <mergeCell ref="B1264:F1264"/>
    <mergeCell ref="B1506:F1506"/>
    <mergeCell ref="A748:F748"/>
    <mergeCell ref="A1455:F1455"/>
    <mergeCell ref="A1390:E1390"/>
    <mergeCell ref="B1012:F1012"/>
    <mergeCell ref="B794:F794"/>
    <mergeCell ref="A871:E871"/>
    <mergeCell ref="B1475:F1475"/>
    <mergeCell ref="B342:F342"/>
    <mergeCell ref="A1367:E1367"/>
    <mergeCell ref="A1294:E1294"/>
    <mergeCell ref="A1465:E1465"/>
    <mergeCell ref="A1002:E1002"/>
    <mergeCell ref="A1075:F1075"/>
    <mergeCell ref="A1244:E1244"/>
    <mergeCell ref="A1133:E1133"/>
    <mergeCell ref="A483:E483"/>
    <mergeCell ref="A1431:E1431"/>
    <mergeCell ref="A783:F783"/>
    <mergeCell ref="A605:F605"/>
    <mergeCell ref="A1225:E1225"/>
    <mergeCell ref="A768:E768"/>
    <mergeCell ref="A1310:F1310"/>
    <mergeCell ref="B723:F723"/>
    <mergeCell ref="A536:F536"/>
    <mergeCell ref="A1247:F1247"/>
    <mergeCell ref="A63:E63"/>
    <mergeCell ref="B896:F896"/>
    <mergeCell ref="A584:E584"/>
    <mergeCell ref="B433:F433"/>
    <mergeCell ref="B370:F370"/>
    <mergeCell ref="A430:E430"/>
    <mergeCell ref="A1378:E1378"/>
    <mergeCell ref="A119:E119"/>
    <mergeCell ref="A982:E982"/>
    <mergeCell ref="A367:E367"/>
    <mergeCell ref="A1215:E1215"/>
    <mergeCell ref="A625:E625"/>
    <mergeCell ref="A1451:E1451"/>
    <mergeCell ref="A1167:F1167"/>
    <mergeCell ref="A1023:F1023"/>
    <mergeCell ref="B1191:F1191"/>
    <mergeCell ref="A1081:E1081"/>
    <mergeCell ref="A262:F262"/>
    <mergeCell ref="A1265:F1265"/>
    <mergeCell ref="A198:E198"/>
    <mergeCell ref="B688:F688"/>
    <mergeCell ref="B510:F510"/>
    <mergeCell ref="A1098:E1098"/>
    <mergeCell ref="B844:F844"/>
    <mergeCell ref="A451:E451"/>
    <mergeCell ref="B604:F604"/>
    <mergeCell ref="A1010:E1010"/>
    <mergeCell ref="B85:F85"/>
    <mergeCell ref="A972:E972"/>
    <mergeCell ref="B1405:F1405"/>
    <mergeCell ref="A1270:E1270"/>
    <mergeCell ref="A40:E40"/>
    <mergeCell ref="A732:E732"/>
    <mergeCell ref="A82:E82"/>
    <mergeCell ref="A1546:E1546"/>
    <mergeCell ref="A340:E340"/>
    <mergeCell ref="A1382:F1382"/>
    <mergeCell ref="A857:F857"/>
    <mergeCell ref="B272:F272"/>
    <mergeCell ref="A1476:F1476"/>
    <mergeCell ref="B962:F962"/>
    <mergeCell ref="A131:F131"/>
    <mergeCell ref="A959:E959"/>
    <mergeCell ref="B770:F770"/>
    <mergeCell ref="A295:F295"/>
    <mergeCell ref="A135:E135"/>
    <mergeCell ref="A377:E377"/>
    <mergeCell ref="A1394:F1394"/>
    <mergeCell ref="A1452:E1452"/>
    <mergeCell ref="A662:E662"/>
    <mergeCell ref="A960:E960"/>
    <mergeCell ref="A1:F1"/>
    <mergeCell ref="A1160:F1160"/>
    <mergeCell ref="A791:E791"/>
    <mergeCell ref="A1089:E1089"/>
    <mergeCell ref="A273:F273"/>
    <mergeCell ref="A807:F807"/>
    <mergeCell ref="B391:F391"/>
    <mergeCell ref="B676:F676"/>
    <mergeCell ref="B1083:F1083"/>
    <mergeCell ref="B1381:F1381"/>
    <mergeCell ref="A674:E674"/>
    <mergeCell ref="A212:E212"/>
    <mergeCell ref="A388:E388"/>
    <mergeCell ref="A519:E519"/>
    <mergeCell ref="A804:E804"/>
    <mergeCell ref="A1044:F1044"/>
    <mergeCell ref="A1547:E1547"/>
    <mergeCell ref="A454:F454"/>
    <mergeCell ref="A883:F883"/>
    <mergeCell ref="A1448:F1448"/>
    <mergeCell ref="A650:E650"/>
    <mergeCell ref="A1402:E1402"/>
    <mergeCell ref="A1192:F1192"/>
    <mergeCell ref="B1065:F1065"/>
    <mergeCell ref="A893:E893"/>
    <mergeCell ref="A1256:F1256"/>
    <mergeCell ref="A1379:E1379"/>
    <mergeCell ref="B873:F873"/>
    <mergeCell ref="A86:F86"/>
    <mergeCell ref="A532:E532"/>
    <mergeCell ref="A1097:E1097"/>
    <mergeCell ref="A1262:E1262"/>
    <mergeCell ref="A507:E507"/>
    <mergeCell ref="A940:F940"/>
    <mergeCell ref="A792:E792"/>
    <mergeCell ref="A1274:F1274"/>
    <mergeCell ref="A1334:F1334"/>
    <mergeCell ref="A1434:F1434"/>
    <mergeCell ref="B1345:F1345"/>
    <mergeCell ref="B628:F628"/>
    <mergeCell ref="B1454:F1454"/>
    <mergeCell ref="B699:F699"/>
    <mergeCell ref="B555:F555"/>
    <mergeCell ref="B984:F984"/>
    <mergeCell ref="A1188:E1188"/>
    <mergeCell ref="A389:E389"/>
    <mergeCell ref="A760:F760"/>
    <mergeCell ref="B486:F486"/>
    <mergeCell ref="B928:F928"/>
    <mergeCell ref="A696:E696"/>
    <mergeCell ref="A1473:E1473"/>
    <mergeCell ref="A981:E981"/>
    <mergeCell ref="A1041:E1041"/>
    <mergeCell ref="A99:F99"/>
    <mergeCell ref="A1218:F1218"/>
    <mergeCell ref="A912:E912"/>
    <mergeCell ref="A328:E328"/>
    <mergeCell ref="A1354:E1354"/>
    <mergeCell ref="A520:E520"/>
    <mergeCell ref="B1309:F1309"/>
    <mergeCell ref="B475:F475"/>
    <mergeCell ref="A465:F465"/>
    <mergeCell ref="A2:F2"/>
    <mergeCell ref="A1072:E1072"/>
    <mergeCell ref="A1243:E1243"/>
    <mergeCell ref="A602:E602"/>
    <mergeCell ref="A392:F392"/>
    <mergeCell ref="A767:E767"/>
    <mergeCell ref="A1009:E1009"/>
    <mergeCell ref="A1307:E1307"/>
    <mergeCell ref="A533:E533"/>
    <mergeCell ref="A321:E321"/>
    <mergeCell ref="A508:E508"/>
    <mergeCell ref="A1469:F1469"/>
    <mergeCell ref="A744:E744"/>
    <mergeCell ref="A815:E815"/>
    <mergeCell ref="A216:F216"/>
    <mergeCell ref="A476:F476"/>
    <mergeCell ref="A712:F712"/>
    <mergeCell ref="B4:F4"/>
    <mergeCell ref="B1297:F1297"/>
    <mergeCell ref="A282:F282"/>
    <mergeCell ref="A462:E462"/>
    <mergeCell ref="A1062:E1062"/>
    <mergeCell ref="A1189:E1189"/>
    <mergeCell ref="B571:F571"/>
    <mergeCell ref="A1487:E1487"/>
    <mergeCell ref="A228:E228"/>
    <mergeCell ref="A399:E399"/>
    <mergeCell ref="A697:E697"/>
    <mergeCell ref="B856:F856"/>
    <mergeCell ref="A897:F897"/>
    <mergeCell ref="B1092:F1092"/>
    <mergeCell ref="B1285:F1285"/>
    <mergeCell ref="A292:E292"/>
    <mergeCell ref="A641:F641"/>
    <mergeCell ref="A1005:F1005"/>
    <mergeCell ref="A1283:E1283"/>
    <mergeCell ref="A626:E626"/>
    <mergeCell ref="A371:F371"/>
    <mergeCell ref="A231:F231"/>
    <mergeCell ref="A700:F700"/>
    <mergeCell ref="A1282:E1282"/>
    <mergeCell ref="A771:F771"/>
    <mergeCell ref="A308:F308"/>
    <mergeCell ref="A828:E828"/>
    <mergeCell ref="B818:F818"/>
    <mergeCell ref="B413:F413"/>
    <mergeCell ref="A166:F166"/>
    <mergeCell ref="B65:F65"/>
    <mergeCell ref="A20:E20"/>
    <mergeCell ref="B1468:F1468"/>
    <mergeCell ref="A127:E127"/>
    <mergeCell ref="A1444:E1444"/>
    <mergeCell ref="A854:E854"/>
    <mergeCell ref="A841:E841"/>
    <mergeCell ref="A816:E816"/>
    <mergeCell ref="A1420:F1420"/>
    <mergeCell ref="A1358:F1358"/>
    <mergeCell ref="A870:E870"/>
    <mergeCell ref="B1136:F1136"/>
    <mergeCell ref="A1229:F1229"/>
    <mergeCell ref="A947:E947"/>
    <mergeCell ref="B831:F831"/>
    <mergeCell ref="A995:F995"/>
    <mergeCell ref="B1369:F1369"/>
    <mergeCell ref="A617:F617"/>
    <mergeCell ref="A242:E242"/>
    <mergeCell ref="B1100:F1100"/>
    <mergeCell ref="A269:E269"/>
    <mergeCell ref="B1237:F1237"/>
    <mergeCell ref="A62:E62"/>
    <mergeCell ref="A1355:E1355"/>
    <mergeCell ref="A123:F123"/>
    <mergeCell ref="A1063:E1063"/>
    <mergeCell ref="A1234:E1234"/>
    <mergeCell ref="B1166:F1166"/>
    <mergeCell ref="A829:E829"/>
    <mergeCell ref="A929:F929"/>
    <mergeCell ref="A39:E39"/>
    <mergeCell ref="A1298:F1298"/>
    <mergeCell ref="B200:F200"/>
    <mergeCell ref="A1137:F1137"/>
    <mergeCell ref="A487:F487"/>
    <mergeCell ref="A339:E339"/>
    <mergeCell ref="B307:F307"/>
    <mergeCell ref="B1255:F1255"/>
    <mergeCell ref="B665:F665"/>
    <mergeCell ref="B294:F294"/>
    <mergeCell ref="B950:F950"/>
    <mergeCell ref="A128:E128"/>
    <mergeCell ref="B1490:F1490"/>
    <mergeCell ref="A1318:E1318"/>
    <mergeCell ref="A1252:E1252"/>
    <mergeCell ref="A1445:E1445"/>
    <mergeCell ref="A484:E484"/>
    <mergeCell ref="A720:E720"/>
    <mergeCell ref="A136:E136"/>
    <mergeCell ref="A21:E21"/>
    <mergeCell ref="A842:E842"/>
    <mergeCell ref="B747:F747"/>
    <mergeCell ref="A1084:F1084"/>
    <mergeCell ref="A1253:E1253"/>
    <mergeCell ref="A1020:E1020"/>
    <mergeCell ref="A736:F736"/>
    <mergeCell ref="A181:E181"/>
    <mergeCell ref="A24:F24"/>
    <mergeCell ref="A629:F629"/>
    <mergeCell ref="A494:E494"/>
    <mergeCell ref="B1114:F1114"/>
    <mergeCell ref="A1346:F1346"/>
    <mergeCell ref="B1228:F1228"/>
    <mergeCell ref="A83:E83"/>
    <mergeCell ref="A270:E270"/>
    <mergeCell ref="A568:E568"/>
    <mergeCell ref="A368:E368"/>
    <mergeCell ref="A1071:E1071"/>
    <mergeCell ref="A689:F689"/>
    <mergeCell ref="B882:F882"/>
    <mergeCell ref="A1331:E1331"/>
    <mergeCell ref="A434:F434"/>
    <mergeCell ref="A1458:E1458"/>
    <mergeCell ref="A1306:E1306"/>
    <mergeCell ref="B994:F994"/>
    <mergeCell ref="A1235:E1235"/>
    <mergeCell ref="A378:E378"/>
    <mergeCell ref="A951:F951"/>
    <mergeCell ref="A724:F724"/>
    <mergeCell ref="B1321:F1321"/>
    <mergeCell ref="B1419:F1419"/>
    <mergeCell ref="B360:F360"/>
    <mergeCell ref="B1022:F1022"/>
    <mergeCell ref="A721:E721"/>
    <mergeCell ref="A1163:E1163"/>
    <mergeCell ref="A1019:E1019"/>
    <mergeCell ref="A1090:E1090"/>
    <mergeCell ref="A1261:E1261"/>
    <mergeCell ref="A258:E258"/>
    <mergeCell ref="A329:E329"/>
    <mergeCell ref="A963:F963"/>
    <mergeCell ref="A572:F572"/>
    <mergeCell ref="A1319:E1319"/>
    <mergeCell ref="A431:E431"/>
    <mergeCell ref="A358:E358"/>
    <mergeCell ref="B215:F215"/>
    <mergeCell ref="A1093:F1093"/>
    <mergeCell ref="A139:F139"/>
    <mergeCell ref="A381:F381"/>
    <mergeCell ref="A197:E197"/>
    <mergeCell ref="A666:F666"/>
    <mergeCell ref="B1447:F1447"/>
    <mergeCell ref="A361:F361"/>
    <mergeCell ref="B735:F735"/>
    <mergeCell ref="B23:F23"/>
    <mergeCell ref="A1466:E1466"/>
    <mergeCell ref="A553:E553"/>
    <mergeCell ref="A213:E213"/>
    <mergeCell ref="B245:F245"/>
    <mergeCell ref="A1403:E1403"/>
    <mergeCell ref="A1111:E1111"/>
    <mergeCell ref="A411:E411"/>
    <mergeCell ref="A853:E853"/>
    <mergeCell ref="A819:F819"/>
    <mergeCell ref="A880:E880"/>
    <mergeCell ref="A343:F343"/>
    <mergeCell ref="A450:E450"/>
    <mergeCell ref="A523:F523"/>
    <mergeCell ref="A1472:E1472"/>
    <mergeCell ref="A686:E686"/>
    <mergeCell ref="A677:F677"/>
    <mergeCell ref="A498:F498"/>
    <mergeCell ref="A673:E673"/>
    <mergeCell ref="A971:E971"/>
    <mergeCell ref="B138:F138"/>
    <mergeCell ref="B380:F380"/>
    <mergeCell ref="B1433:F1433"/>
    <mergeCell ref="B165:F165"/>
    <mergeCell ref="A291:E291"/>
    <mergeCell ref="A654:F654"/>
    <mergeCell ref="B1074:F1074"/>
    <mergeCell ref="A1462:F1462"/>
    <mergeCell ref="A305:E305"/>
    <mergeCell ref="A1156:E1156"/>
    <mergeCell ref="A243:E243"/>
    <mergeCell ref="B402:F402"/>
    <mergeCell ref="A1416:E1416"/>
    <mergeCell ref="A1406:F1406"/>
    <mergeCell ref="A184:F184"/>
    <mergeCell ref="A1391:E1391"/>
    <mergeCell ref="A1491:F1491"/>
    <mergeCell ref="A163:E163"/>
    <mergeCell ref="A874:F874"/>
    <mergeCell ref="A1157:E1157"/>
    <mergeCell ref="A1520:E1520"/>
    <mergeCell ref="A803:E803"/>
    <mergeCell ref="A1101:F1101"/>
    <mergeCell ref="A511:F511"/>
    <mergeCell ref="B1043:F1043"/>
    <mergeCell ref="B331:F331"/>
    <mergeCell ref="B453:F453"/>
    <mergeCell ref="B616:F616"/>
    <mergeCell ref="B914:F914"/>
    <mergeCell ref="B974:F974"/>
    <mergeCell ref="B324:F324"/>
    <mergeCell ref="A1040:E1040"/>
    <mergeCell ref="A279:E279"/>
    <mergeCell ref="A66:F66"/>
    <mergeCell ref="A757:E757"/>
    <mergeCell ref="A879:E879"/>
    <mergeCell ref="B261:F261"/>
    <mergeCell ref="A1164:E1164"/>
    <mergeCell ref="A585:E585"/>
    <mergeCell ref="A756:E756"/>
    <mergeCell ref="B782:F782"/>
    <mergeCell ref="A992:E992"/>
    <mergeCell ref="A1271:E1271"/>
    <mergeCell ref="A1342:E1342"/>
    <mergeCell ref="A5:F5"/>
    <mergeCell ref="B42:F42"/>
    <mergeCell ref="A985:F985"/>
    <mergeCell ref="A1488:E1488"/>
    <mergeCell ref="A588:F588"/>
    <mergeCell ref="B464:F464"/>
    <mergeCell ref="B1461:F1461"/>
    <mergeCell ref="A332:F332"/>
    <mergeCell ref="B535:F535"/>
    <mergeCell ref="B230:F230"/>
    <mergeCell ref="A1366:E1366"/>
    <mergeCell ref="B1273:F1273"/>
    <mergeCell ref="B281:F281"/>
    <mergeCell ref="A926:E926"/>
    <mergeCell ref="A613:E613"/>
    <mergeCell ref="A911:E911"/>
    <mergeCell ref="A1295:E1295"/>
    <mergeCell ref="B497:F497"/>
    <mergeCell ref="A1330:E1330"/>
    <mergeCell ref="A1134:E1134"/>
    <mergeCell ref="A569:E569"/>
    <mergeCell ref="A400:E400"/>
    <mergeCell ref="A1226:E1226"/>
    <mergeCell ref="A1013:F1013"/>
    <mergeCell ref="A1507:F1507"/>
    <mergeCell ref="B1333:F1333"/>
    <mergeCell ref="A1459:E1459"/>
    <mergeCell ref="A1115:F1115"/>
    <mergeCell ref="B759:F759"/>
    <mergeCell ref="A733:E733"/>
    <mergeCell ref="B1357:F1357"/>
    <mergeCell ref="B98:F98"/>
    <mergeCell ref="B1393:F1393"/>
    <mergeCell ref="A975:F975"/>
    <mergeCell ref="A1519:E1519"/>
    <mergeCell ref="A120:E120"/>
    <mergeCell ref="A685:E685"/>
    <mergeCell ref="B1159:F1159"/>
    <mergeCell ref="A745:E745"/>
    <mergeCell ref="A95:E95"/>
    <mergeCell ref="B1522:F1522"/>
    <mergeCell ref="A651:E651"/>
    <mergeCell ref="A1066:F1066"/>
    <mergeCell ref="A1370:F1370"/>
    <mergeCell ref="B1217:F1217"/>
    <mergeCell ref="A403:F403"/>
    <mergeCell ref="A601:E601"/>
    <mergeCell ref="A1343:E1343"/>
    <mergeCell ref="A832:F832"/>
    <mergeCell ref="A96:E96"/>
    <mergeCell ref="B806:F806"/>
    <mergeCell ref="A1286:F1286"/>
    <mergeCell ref="B522:F522"/>
    <mergeCell ref="B587:F587"/>
    <mergeCell ref="A1503:E1503"/>
    <mergeCell ref="A556:F556"/>
    <mergeCell ref="A614:E614"/>
    <mergeCell ref="A552:E552"/>
    <mergeCell ref="B711:F711"/>
    <mergeCell ref="A473:E473"/>
    <mergeCell ref="A948:E948"/>
    <mergeCell ref="A414:F414"/>
    <mergeCell ref="A472:E472"/>
    <mergeCell ref="A410:E410"/>
    <mergeCell ref="A708:E708"/>
    <mergeCell ref="A1417:E1417"/>
    <mergeCell ref="A1112:E1112"/>
    <mergeCell ref="A845:F845"/>
    <mergeCell ref="A278:E278"/>
    <mergeCell ref="B640:F640"/>
    <mergeCell ref="B183:F183"/>
    <mergeCell ref="A637:E637"/>
    <mergeCell ref="A357:E357"/>
    <mergeCell ref="B1004:F1004"/>
    <mergeCell ref="A894:E894"/>
    <mergeCell ref="A246:F246"/>
    <mergeCell ref="A937:E937"/>
    <mergeCell ref="A304:E304"/>
    <mergeCell ref="A663:E663"/>
    <mergeCell ref="A638:E638"/>
    <mergeCell ref="A461:E461"/>
    <mergeCell ref="A936:E936"/>
    <mergeCell ref="A1001:E1001"/>
    <mergeCell ref="A162:E162"/>
    <mergeCell ref="A1430:E1430"/>
    <mergeCell ref="B130:F130"/>
    <mergeCell ref="A227:E227"/>
    <mergeCell ref="A1238:F1238"/>
    <mergeCell ref="A925:E925"/>
    <mergeCell ref="A1523:F1523"/>
    <mergeCell ref="A43:F43"/>
    <mergeCell ref="A1504:E1504"/>
    <mergeCell ref="B653:F653"/>
    <mergeCell ref="A779:E779"/>
    <mergeCell ref="A322:E322"/>
    <mergeCell ref="A201:F201"/>
    <mergeCell ref="A1214:E1214"/>
    <mergeCell ref="A259:E259"/>
    <mergeCell ref="A495:E495"/>
    <mergeCell ref="A180:E180"/>
    <mergeCell ref="A795:F795"/>
    <mergeCell ref="A709:E709"/>
    <mergeCell ref="A915:F915"/>
    <mergeCell ref="A780:E780"/>
    <mergeCell ref="A325:F325"/>
    <mergeCell ref="A1322:F1322"/>
    <mergeCell ref="A991:E99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17"/>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06: MASONRY WORK</t>
        </is>
      </c>
    </row>
    <row r="2" ht="28" customHeight="1">
      <c r="A2" s="8" t="inlineStr">
        <is>
          <t>58 priced items. Amount and SAY are live Excel formulas computed from the Quantity x Rate figures below - edit any Quantity or Rate and the item's rate recalculates.</t>
        </is>
      </c>
    </row>
    <row r="4" ht="18" customHeight="1">
      <c r="A4" s="9" t="inlineStr">
        <is>
          <t>6.1.1</t>
        </is>
      </c>
      <c r="B4" s="10" t="inlineStr">
        <is>
          <t>Cement mortar 1:4 (1 cement : 4 coarse sand)</t>
        </is>
      </c>
      <c r="C4" s="11" t="n"/>
      <c r="D4" s="11" t="n"/>
      <c r="E4" s="11" t="n"/>
      <c r="F4" s="11" t="n"/>
    </row>
    <row r="5">
      <c r="A5" s="12" t="inlineStr">
        <is>
          <t>Rate basis: per cum  (source: cost for 1 cum)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3.9</t>
        </is>
      </c>
      <c r="B7" s="14" t="inlineStr">
        <is>
          <t>Rate as per SH: 3.9</t>
        </is>
      </c>
      <c r="C7" s="13" t="inlineStr">
        <is>
          <t>cum</t>
        </is>
      </c>
      <c r="D7" s="15" t="n">
        <v>0.25</v>
      </c>
      <c r="E7" s="16" t="n">
        <v>4010.35</v>
      </c>
      <c r="F7" s="16">
        <f>D7*E7</f>
        <v/>
      </c>
    </row>
    <row r="8">
      <c r="A8" s="13" t="inlineStr">
        <is>
          <t>2602</t>
        </is>
      </c>
      <c r="B8" s="14" t="inlineStr">
        <is>
          <t>Common burnt clay F.P.S. (non modular) bricks class designation 7.5</t>
        </is>
      </c>
      <c r="C8" s="13" t="inlineStr">
        <is>
          <t>1000 Nos</t>
        </is>
      </c>
      <c r="D8" s="15" t="n">
        <v>0.494</v>
      </c>
      <c r="E8" s="16" t="n">
        <v>4500</v>
      </c>
      <c r="F8" s="16">
        <f>D8*E8</f>
        <v/>
      </c>
    </row>
    <row r="9">
      <c r="A9" s="13" t="inlineStr">
        <is>
          <t>2201</t>
        </is>
      </c>
      <c r="B9" s="14" t="inlineStr">
        <is>
          <t>Carriage of Bricks</t>
        </is>
      </c>
      <c r="C9" s="13" t="inlineStr">
        <is>
          <t>1000 Nos</t>
        </is>
      </c>
      <c r="D9" s="15" t="n">
        <v>0.494</v>
      </c>
      <c r="E9" s="16" t="n">
        <v>276.72</v>
      </c>
      <c r="F9" s="16">
        <f>D9*E9</f>
        <v/>
      </c>
    </row>
    <row r="10">
      <c r="A10" s="13" t="inlineStr">
        <is>
          <t>9999</t>
        </is>
      </c>
      <c r="B10" s="14" t="inlineStr">
        <is>
          <t>Sundries</t>
        </is>
      </c>
      <c r="C10" s="13" t="inlineStr">
        <is>
          <t>L.S.</t>
        </is>
      </c>
      <c r="D10" s="15" t="n">
        <v>2.73</v>
      </c>
      <c r="E10" s="16" t="n">
        <v>2</v>
      </c>
      <c r="F10" s="16">
        <f>D10*E10</f>
        <v/>
      </c>
    </row>
    <row r="11">
      <c r="A11" s="13" t="inlineStr">
        <is>
          <t>0123</t>
        </is>
      </c>
      <c r="B11" s="14" t="inlineStr">
        <is>
          <t>Mason (brick layer) 1st class</t>
        </is>
      </c>
      <c r="C11" s="13" t="inlineStr">
        <is>
          <t>day</t>
        </is>
      </c>
      <c r="D11" s="15" t="n">
        <v>0.36</v>
      </c>
      <c r="E11" s="16" t="n">
        <v>738</v>
      </c>
      <c r="F11" s="16">
        <f>D11*E11</f>
        <v/>
      </c>
    </row>
    <row r="12">
      <c r="A12" s="13" t="inlineStr">
        <is>
          <t>0124</t>
        </is>
      </c>
      <c r="B12" s="14" t="inlineStr">
        <is>
          <t>Mason (brick layer) 2nd class</t>
        </is>
      </c>
      <c r="C12" s="13" t="inlineStr">
        <is>
          <t>day</t>
        </is>
      </c>
      <c r="D12" s="15" t="n">
        <v>0.36</v>
      </c>
      <c r="E12" s="16" t="n">
        <v>679</v>
      </c>
      <c r="F12" s="16">
        <f>D12*E12</f>
        <v/>
      </c>
    </row>
    <row r="13">
      <c r="A13" s="13" t="inlineStr">
        <is>
          <t>0115</t>
        </is>
      </c>
      <c r="B13" s="14" t="inlineStr">
        <is>
          <t>Coolie</t>
        </is>
      </c>
      <c r="C13" s="13" t="inlineStr">
        <is>
          <t>day</t>
        </is>
      </c>
      <c r="D13" s="15" t="n">
        <v>1.37</v>
      </c>
      <c r="E13" s="16" t="n">
        <v>558</v>
      </c>
      <c r="F13" s="16">
        <f>D13*E13</f>
        <v/>
      </c>
    </row>
    <row r="14">
      <c r="A14" s="13" t="inlineStr">
        <is>
          <t>0101</t>
        </is>
      </c>
      <c r="B14" s="14" t="inlineStr">
        <is>
          <t>Bhisti</t>
        </is>
      </c>
      <c r="C14" s="13" t="inlineStr">
        <is>
          <t>day</t>
        </is>
      </c>
      <c r="D14" s="15" t="n">
        <v>0.2</v>
      </c>
      <c r="E14" s="16" t="n">
        <v>617</v>
      </c>
      <c r="F14" s="16">
        <f>D14*E14</f>
        <v/>
      </c>
    </row>
    <row r="15">
      <c r="A15" s="17" t="inlineStr">
        <is>
          <t>Resource Total (Material + Labour + Machinery, as printed)</t>
        </is>
      </c>
      <c r="B15" s="18" t="n"/>
      <c r="C15" s="18" t="n"/>
      <c r="D15" s="18" t="n"/>
      <c r="E15" s="18" t="n"/>
      <c r="F15" s="19">
        <f>SUM(F7:F14)</f>
        <v/>
      </c>
    </row>
    <row r="16">
      <c r="A16" s="20" t="inlineStr">
        <is>
          <t>SAY (Rs.) — final DAR rate</t>
        </is>
      </c>
      <c r="B16" s="21" t="n"/>
      <c r="C16" s="21" t="n"/>
      <c r="D16" s="21" t="n"/>
      <c r="E16" s="21" t="n"/>
      <c r="F16" s="22" t="n">
        <v>6376.25</v>
      </c>
    </row>
    <row r="18" ht="18" customHeight="1">
      <c r="A18" s="9" t="inlineStr">
        <is>
          <t>6.1.2</t>
        </is>
      </c>
      <c r="B18" s="10" t="inlineStr">
        <is>
          <t>Cement mortar 1:6 (1 cement : 6 coarse sand)</t>
        </is>
      </c>
      <c r="C18" s="11" t="n"/>
      <c r="D18" s="11" t="n"/>
      <c r="E18" s="11" t="n"/>
      <c r="F18" s="11" t="n"/>
    </row>
    <row r="19">
      <c r="A19" s="12" t="inlineStr">
        <is>
          <t>Rate basis: per cum  (source: cost for 1 cum)</t>
        </is>
      </c>
    </row>
    <row r="20">
      <c r="A20" s="5" t="inlineStr">
        <is>
          <t>Code</t>
        </is>
      </c>
      <c r="B20" s="5" t="inlineStr">
        <is>
          <t>Description</t>
        </is>
      </c>
      <c r="C20" s="5" t="inlineStr">
        <is>
          <t>Unit</t>
        </is>
      </c>
      <c r="D20" s="5" t="inlineStr">
        <is>
          <t>Quantity</t>
        </is>
      </c>
      <c r="E20" s="5" t="inlineStr">
        <is>
          <t>Rate (Rs.)</t>
        </is>
      </c>
      <c r="F20" s="5" t="inlineStr">
        <is>
          <t>Amount (Rs.)</t>
        </is>
      </c>
    </row>
    <row r="21">
      <c r="A21" s="13" t="inlineStr">
        <is>
          <t>3.11</t>
        </is>
      </c>
      <c r="B21" s="14" t="inlineStr">
        <is>
          <t>Rate as per SH: 3.11</t>
        </is>
      </c>
      <c r="C21" s="13" t="inlineStr">
        <is>
          <t>cum</t>
        </is>
      </c>
      <c r="D21" s="15" t="n">
        <v>0.25</v>
      </c>
      <c r="E21" s="16" t="n">
        <v>3356.15</v>
      </c>
      <c r="F21" s="16">
        <f>D21*E21</f>
        <v/>
      </c>
    </row>
    <row r="22">
      <c r="A22" s="13" t="inlineStr">
        <is>
          <t>2602</t>
        </is>
      </c>
      <c r="B22" s="14" t="inlineStr">
        <is>
          <t>Common burnt clay F.P.S. (non modular) bricks class designation 7.5</t>
        </is>
      </c>
      <c r="C22" s="13" t="inlineStr">
        <is>
          <t>1000 Nos</t>
        </is>
      </c>
      <c r="D22" s="15" t="n">
        <v>0.494</v>
      </c>
      <c r="E22" s="16" t="n">
        <v>4500</v>
      </c>
      <c r="F22" s="16">
        <f>D22*E22</f>
        <v/>
      </c>
    </row>
    <row r="23">
      <c r="A23" s="13" t="inlineStr">
        <is>
          <t>2201</t>
        </is>
      </c>
      <c r="B23" s="14" t="inlineStr">
        <is>
          <t>Carriage of Bricks</t>
        </is>
      </c>
      <c r="C23" s="13" t="inlineStr">
        <is>
          <t>1000 Nos</t>
        </is>
      </c>
      <c r="D23" s="15" t="n">
        <v>0.494</v>
      </c>
      <c r="E23" s="16" t="n">
        <v>276.72</v>
      </c>
      <c r="F23" s="16">
        <f>D23*E23</f>
        <v/>
      </c>
    </row>
    <row r="24">
      <c r="A24" s="13" t="inlineStr">
        <is>
          <t>9999</t>
        </is>
      </c>
      <c r="B24" s="14" t="inlineStr">
        <is>
          <t>Sundries</t>
        </is>
      </c>
      <c r="C24" s="13" t="inlineStr">
        <is>
          <t>L.S.</t>
        </is>
      </c>
      <c r="D24" s="15" t="n">
        <v>2.73</v>
      </c>
      <c r="E24" s="16" t="n">
        <v>2</v>
      </c>
      <c r="F24" s="16">
        <f>D24*E24</f>
        <v/>
      </c>
    </row>
    <row r="25">
      <c r="A25" s="13" t="inlineStr">
        <is>
          <t>0123</t>
        </is>
      </c>
      <c r="B25" s="14" t="inlineStr">
        <is>
          <t>Mason (brick layer) 1st class</t>
        </is>
      </c>
      <c r="C25" s="13" t="inlineStr">
        <is>
          <t>day</t>
        </is>
      </c>
      <c r="D25" s="15" t="n">
        <v>0.36</v>
      </c>
      <c r="E25" s="16" t="n">
        <v>738</v>
      </c>
      <c r="F25" s="16">
        <f>D25*E25</f>
        <v/>
      </c>
    </row>
    <row r="26">
      <c r="A26" s="13" t="inlineStr">
        <is>
          <t>0124</t>
        </is>
      </c>
      <c r="B26" s="14" t="inlineStr">
        <is>
          <t>Mason (brick layer) 2nd class</t>
        </is>
      </c>
      <c r="C26" s="13" t="inlineStr">
        <is>
          <t>day</t>
        </is>
      </c>
      <c r="D26" s="15" t="n">
        <v>0.36</v>
      </c>
      <c r="E26" s="16" t="n">
        <v>679</v>
      </c>
      <c r="F26" s="16">
        <f>D26*E26</f>
        <v/>
      </c>
    </row>
    <row r="27">
      <c r="A27" s="13" t="inlineStr">
        <is>
          <t>0115</t>
        </is>
      </c>
      <c r="B27" s="14" t="inlineStr">
        <is>
          <t>Coolie</t>
        </is>
      </c>
      <c r="C27" s="13" t="inlineStr">
        <is>
          <t>day</t>
        </is>
      </c>
      <c r="D27" s="15" t="n">
        <v>1.37</v>
      </c>
      <c r="E27" s="16" t="n">
        <v>558</v>
      </c>
      <c r="F27" s="16">
        <f>D27*E27</f>
        <v/>
      </c>
    </row>
    <row r="28">
      <c r="A28" s="13" t="inlineStr">
        <is>
          <t>0101</t>
        </is>
      </c>
      <c r="B28" s="14" t="inlineStr">
        <is>
          <t>Bhisti</t>
        </is>
      </c>
      <c r="C28" s="13" t="inlineStr">
        <is>
          <t>day</t>
        </is>
      </c>
      <c r="D28" s="15" t="n">
        <v>0.2</v>
      </c>
      <c r="E28" s="16" t="n">
        <v>617</v>
      </c>
      <c r="F28" s="16">
        <f>D28*E28</f>
        <v/>
      </c>
    </row>
    <row r="29">
      <c r="A29" s="17" t="inlineStr">
        <is>
          <t>Resource Total (Material + Labour + Machinery, as printed)</t>
        </is>
      </c>
      <c r="B29" s="18" t="n"/>
      <c r="C29" s="18" t="n"/>
      <c r="D29" s="18" t="n"/>
      <c r="E29" s="18" t="n"/>
      <c r="F29" s="19">
        <f>SUM(F21:F28)</f>
        <v/>
      </c>
    </row>
    <row r="30">
      <c r="A30" s="20" t="inlineStr">
        <is>
          <t>SAY (Rs.) — final DAR rate</t>
        </is>
      </c>
      <c r="B30" s="21" t="n"/>
      <c r="C30" s="21" t="n"/>
      <c r="D30" s="21" t="n"/>
      <c r="E30" s="21" t="n"/>
      <c r="F30" s="22" t="n">
        <v>6157.45</v>
      </c>
    </row>
    <row r="32" ht="18" customHeight="1">
      <c r="A32" s="9" t="inlineStr">
        <is>
          <t>6.2.1</t>
        </is>
      </c>
      <c r="B32" s="10" t="inlineStr">
        <is>
          <t>Cement mortar 1:4 (1 cement : 4 coarse sand)</t>
        </is>
      </c>
      <c r="C32" s="11" t="n"/>
      <c r="D32" s="11" t="n"/>
      <c r="E32" s="11" t="n"/>
      <c r="F32" s="11" t="n"/>
    </row>
    <row r="33">
      <c r="A33" s="12" t="inlineStr">
        <is>
          <t>Rate basis: per cum  (source: cost for 1 cum)</t>
        </is>
      </c>
    </row>
    <row r="34">
      <c r="A34" s="5" t="inlineStr">
        <is>
          <t>Code</t>
        </is>
      </c>
      <c r="B34" s="5" t="inlineStr">
        <is>
          <t>Description</t>
        </is>
      </c>
      <c r="C34" s="5" t="inlineStr">
        <is>
          <t>Unit</t>
        </is>
      </c>
      <c r="D34" s="5" t="inlineStr">
        <is>
          <t>Quantity</t>
        </is>
      </c>
      <c r="E34" s="5" t="inlineStr">
        <is>
          <t>Rate (Rs.)</t>
        </is>
      </c>
      <c r="F34" s="5" t="inlineStr">
        <is>
          <t>Amount (Rs.)</t>
        </is>
      </c>
    </row>
    <row r="35">
      <c r="A35" s="13" t="inlineStr">
        <is>
          <t>3.9</t>
        </is>
      </c>
      <c r="B35" s="14" t="inlineStr">
        <is>
          <t>Rate as per SH: 3.9</t>
        </is>
      </c>
      <c r="C35" s="13" t="inlineStr">
        <is>
          <t>cum</t>
        </is>
      </c>
      <c r="D35" s="15" t="n">
        <v>0.22</v>
      </c>
      <c r="E35" s="16" t="n">
        <v>4010.35</v>
      </c>
      <c r="F35" s="16">
        <f>D35*E35</f>
        <v/>
      </c>
    </row>
    <row r="36">
      <c r="A36" s="13" t="inlineStr">
        <is>
          <t>7900</t>
        </is>
      </c>
      <c r="B36" s="14" t="inlineStr">
        <is>
          <t>Modular common burnt clay bricks of class designation 7.5</t>
        </is>
      </c>
      <c r="C36" s="13" t="inlineStr">
        <is>
          <t>1000 Nos</t>
        </is>
      </c>
      <c r="D36" s="15" t="n">
        <v>0.487</v>
      </c>
      <c r="E36" s="16" t="n">
        <v>4000</v>
      </c>
      <c r="F36" s="16">
        <f>D36*E36</f>
        <v/>
      </c>
    </row>
    <row r="37">
      <c r="A37" s="13" t="inlineStr">
        <is>
          <t>2201</t>
        </is>
      </c>
      <c r="B37" s="14" t="inlineStr">
        <is>
          <t>Carriage of Bricks</t>
        </is>
      </c>
      <c r="C37" s="13" t="inlineStr">
        <is>
          <t>1000 Nos</t>
        </is>
      </c>
      <c r="D37" s="15" t="n">
        <v>0.487</v>
      </c>
      <c r="E37" s="16" t="n">
        <v>276.72</v>
      </c>
      <c r="F37" s="16">
        <f>D37*E37</f>
        <v/>
      </c>
    </row>
    <row r="38">
      <c r="A38" s="13" t="inlineStr">
        <is>
          <t>9999</t>
        </is>
      </c>
      <c r="B38" s="14" t="inlineStr">
        <is>
          <t>Sundries</t>
        </is>
      </c>
      <c r="C38" s="13" t="inlineStr">
        <is>
          <t>L.S.</t>
        </is>
      </c>
      <c r="D38" s="15" t="n">
        <v>2.73</v>
      </c>
      <c r="E38" s="16" t="n">
        <v>2</v>
      </c>
      <c r="F38" s="16">
        <f>D38*E38</f>
        <v/>
      </c>
    </row>
    <row r="39">
      <c r="A39" s="13" t="inlineStr">
        <is>
          <t>0123</t>
        </is>
      </c>
      <c r="B39" s="14" t="inlineStr">
        <is>
          <t>Mason (brick layer) 1st class</t>
        </is>
      </c>
      <c r="C39" s="13" t="inlineStr">
        <is>
          <t>day</t>
        </is>
      </c>
      <c r="D39" s="15" t="n">
        <v>0.33</v>
      </c>
      <c r="E39" s="16" t="n">
        <v>738</v>
      </c>
      <c r="F39" s="16">
        <f>D39*E39</f>
        <v/>
      </c>
    </row>
    <row r="40">
      <c r="A40" s="13" t="inlineStr">
        <is>
          <t>0124</t>
        </is>
      </c>
      <c r="B40" s="14" t="inlineStr">
        <is>
          <t>Mason (brick layer) 2nd class</t>
        </is>
      </c>
      <c r="C40" s="13" t="inlineStr">
        <is>
          <t>day</t>
        </is>
      </c>
      <c r="D40" s="15" t="n">
        <v>0.33</v>
      </c>
      <c r="E40" s="16" t="n">
        <v>679</v>
      </c>
      <c r="F40" s="16">
        <f>D40*E40</f>
        <v/>
      </c>
    </row>
    <row r="41">
      <c r="A41" s="13" t="inlineStr">
        <is>
          <t>0115</t>
        </is>
      </c>
      <c r="B41" s="14" t="inlineStr">
        <is>
          <t>Coolie</t>
        </is>
      </c>
      <c r="C41" s="13" t="inlineStr">
        <is>
          <t>day</t>
        </is>
      </c>
      <c r="D41" s="15" t="n">
        <v>1</v>
      </c>
      <c r="E41" s="16" t="n">
        <v>558</v>
      </c>
      <c r="F41" s="16">
        <f>D41*E41</f>
        <v/>
      </c>
    </row>
    <row r="42">
      <c r="A42" s="13" t="inlineStr">
        <is>
          <t>0101</t>
        </is>
      </c>
      <c r="B42" s="14" t="inlineStr">
        <is>
          <t>Bhisti</t>
        </is>
      </c>
      <c r="C42" s="13" t="inlineStr">
        <is>
          <t>day</t>
        </is>
      </c>
      <c r="D42" s="15" t="n">
        <v>0.18</v>
      </c>
      <c r="E42" s="16" t="n">
        <v>617</v>
      </c>
      <c r="F42" s="16">
        <f>D42*E42</f>
        <v/>
      </c>
    </row>
    <row r="43">
      <c r="A43" s="17" t="inlineStr">
        <is>
          <t>Resource Total (Material + Labour + Machinery, as printed)</t>
        </is>
      </c>
      <c r="B43" s="18" t="n"/>
      <c r="C43" s="18" t="n"/>
      <c r="D43" s="18" t="n"/>
      <c r="E43" s="18" t="n"/>
      <c r="F43" s="19">
        <f>SUM(F35:F42)</f>
        <v/>
      </c>
    </row>
    <row r="44">
      <c r="A44" s="20" t="inlineStr">
        <is>
          <t>SAY (Rs.) — final DAR rate</t>
        </is>
      </c>
      <c r="B44" s="21" t="n"/>
      <c r="C44" s="21" t="n"/>
      <c r="D44" s="21" t="n"/>
      <c r="E44" s="21" t="n"/>
      <c r="F44" s="22" t="n">
        <v>5495.15</v>
      </c>
    </row>
    <row r="46" ht="18" customHeight="1">
      <c r="A46" s="9" t="inlineStr">
        <is>
          <t>6.2.2</t>
        </is>
      </c>
      <c r="B46" s="10" t="inlineStr">
        <is>
          <t>Cement Mortar 1:6 (1 cement : 6 coarse sand).</t>
        </is>
      </c>
      <c r="C46" s="11" t="n"/>
      <c r="D46" s="11" t="n"/>
      <c r="E46" s="11" t="n"/>
      <c r="F46" s="11" t="n"/>
    </row>
    <row r="47">
      <c r="A47" s="12" t="inlineStr">
        <is>
          <t>Rate basis: per cum  (source: cost for 1 cum)</t>
        </is>
      </c>
    </row>
    <row r="48">
      <c r="A48" s="5" t="inlineStr">
        <is>
          <t>Code</t>
        </is>
      </c>
      <c r="B48" s="5" t="inlineStr">
        <is>
          <t>Description</t>
        </is>
      </c>
      <c r="C48" s="5" t="inlineStr">
        <is>
          <t>Unit</t>
        </is>
      </c>
      <c r="D48" s="5" t="inlineStr">
        <is>
          <t>Quantity</t>
        </is>
      </c>
      <c r="E48" s="5" t="inlineStr">
        <is>
          <t>Rate (Rs.)</t>
        </is>
      </c>
      <c r="F48" s="5" t="inlineStr">
        <is>
          <t>Amount (Rs.)</t>
        </is>
      </c>
    </row>
    <row r="49">
      <c r="A49" s="13" t="inlineStr">
        <is>
          <t>3.11</t>
        </is>
      </c>
      <c r="B49" s="14" t="inlineStr">
        <is>
          <t>Rate as per SH: 3.11</t>
        </is>
      </c>
      <c r="C49" s="13" t="inlineStr">
        <is>
          <t>cum</t>
        </is>
      </c>
      <c r="D49" s="15" t="n">
        <v>0.22</v>
      </c>
      <c r="E49" s="16" t="n">
        <v>3356.15</v>
      </c>
      <c r="F49" s="16">
        <f>D49*E49</f>
        <v/>
      </c>
    </row>
    <row r="50">
      <c r="A50" s="13" t="inlineStr">
        <is>
          <t>7900</t>
        </is>
      </c>
      <c r="B50" s="14" t="inlineStr">
        <is>
          <t>Modular common burnt clay bricks of class designation 7.5</t>
        </is>
      </c>
      <c r="C50" s="13" t="inlineStr">
        <is>
          <t>1000 Nos</t>
        </is>
      </c>
      <c r="D50" s="15" t="n">
        <v>0.487</v>
      </c>
      <c r="E50" s="16" t="n">
        <v>4000</v>
      </c>
      <c r="F50" s="16">
        <f>D50*E50</f>
        <v/>
      </c>
    </row>
    <row r="51">
      <c r="A51" s="13" t="inlineStr">
        <is>
          <t>2201</t>
        </is>
      </c>
      <c r="B51" s="14" t="inlineStr">
        <is>
          <t>Carriage of Bricks</t>
        </is>
      </c>
      <c r="C51" s="13" t="inlineStr">
        <is>
          <t>1000 Nos</t>
        </is>
      </c>
      <c r="D51" s="15" t="n">
        <v>0.487</v>
      </c>
      <c r="E51" s="16" t="n">
        <v>276.72</v>
      </c>
      <c r="F51" s="16">
        <f>D51*E51</f>
        <v/>
      </c>
    </row>
    <row r="52">
      <c r="A52" s="13" t="inlineStr">
        <is>
          <t>9999</t>
        </is>
      </c>
      <c r="B52" s="14" t="inlineStr">
        <is>
          <t>Sundries</t>
        </is>
      </c>
      <c r="C52" s="13" t="inlineStr">
        <is>
          <t>L.S.</t>
        </is>
      </c>
      <c r="D52" s="15" t="n">
        <v>2.73</v>
      </c>
      <c r="E52" s="16" t="n">
        <v>2</v>
      </c>
      <c r="F52" s="16">
        <f>D52*E52</f>
        <v/>
      </c>
    </row>
    <row r="53">
      <c r="A53" s="13" t="inlineStr">
        <is>
          <t>0123</t>
        </is>
      </c>
      <c r="B53" s="14" t="inlineStr">
        <is>
          <t>Mason (brick layer) 1st class</t>
        </is>
      </c>
      <c r="C53" s="13" t="inlineStr">
        <is>
          <t>day</t>
        </is>
      </c>
      <c r="D53" s="15" t="n">
        <v>0.33</v>
      </c>
      <c r="E53" s="16" t="n">
        <v>738</v>
      </c>
      <c r="F53" s="16">
        <f>D53*E53</f>
        <v/>
      </c>
    </row>
    <row r="54">
      <c r="A54" s="13" t="inlineStr">
        <is>
          <t>0124</t>
        </is>
      </c>
      <c r="B54" s="14" t="inlineStr">
        <is>
          <t>Mason (brick layer) 2nd class</t>
        </is>
      </c>
      <c r="C54" s="13" t="inlineStr">
        <is>
          <t>day</t>
        </is>
      </c>
      <c r="D54" s="15" t="n">
        <v>0.33</v>
      </c>
      <c r="E54" s="16" t="n">
        <v>679</v>
      </c>
      <c r="F54" s="16">
        <f>D54*E54</f>
        <v/>
      </c>
    </row>
    <row r="55">
      <c r="A55" s="13" t="inlineStr">
        <is>
          <t>0115</t>
        </is>
      </c>
      <c r="B55" s="14" t="inlineStr">
        <is>
          <t>Coolie</t>
        </is>
      </c>
      <c r="C55" s="13" t="inlineStr">
        <is>
          <t>day</t>
        </is>
      </c>
      <c r="D55" s="15" t="n">
        <v>1</v>
      </c>
      <c r="E55" s="16" t="n">
        <v>558</v>
      </c>
      <c r="F55" s="16">
        <f>D55*E55</f>
        <v/>
      </c>
    </row>
    <row r="56">
      <c r="A56" s="13" t="inlineStr">
        <is>
          <t>0101</t>
        </is>
      </c>
      <c r="B56" s="14" t="inlineStr">
        <is>
          <t>Bhisti</t>
        </is>
      </c>
      <c r="C56" s="13" t="inlineStr">
        <is>
          <t>day</t>
        </is>
      </c>
      <c r="D56" s="15" t="n">
        <v>0.18</v>
      </c>
      <c r="E56" s="16" t="n">
        <v>617</v>
      </c>
      <c r="F56" s="16">
        <f>D56*E56</f>
        <v/>
      </c>
    </row>
    <row r="57">
      <c r="A57" s="17" t="inlineStr">
        <is>
          <t>Resource Total (Material + Labour + Machinery, as printed)</t>
        </is>
      </c>
      <c r="B57" s="18" t="n"/>
      <c r="C57" s="18" t="n"/>
      <c r="D57" s="18" t="n"/>
      <c r="E57" s="18" t="n"/>
      <c r="F57" s="19">
        <f>SUM(F49:F56)</f>
        <v/>
      </c>
    </row>
    <row r="58">
      <c r="A58" s="20" t="inlineStr">
        <is>
          <t>SAY (Rs.) — final DAR rate</t>
        </is>
      </c>
      <c r="B58" s="21" t="n"/>
      <c r="C58" s="21" t="n"/>
      <c r="D58" s="21" t="n"/>
      <c r="E58" s="21" t="n"/>
      <c r="F58" s="22" t="n">
        <v>5302.6</v>
      </c>
    </row>
    <row r="60" ht="18" customHeight="1">
      <c r="A60" s="9" t="inlineStr">
        <is>
          <t>6.3.1</t>
        </is>
      </c>
      <c r="B60" s="10" t="inlineStr">
        <is>
          <t>With F.P.S.(non modular) bricks</t>
        </is>
      </c>
      <c r="C60" s="11" t="n"/>
      <c r="D60" s="11" t="n"/>
      <c r="E60" s="11" t="n"/>
      <c r="F60" s="11" t="n"/>
    </row>
    <row r="61">
      <c r="A61" s="12" t="inlineStr">
        <is>
          <t>Rate basis: per cum  (source: cost for 1 cum)</t>
        </is>
      </c>
    </row>
    <row r="62">
      <c r="A62" s="5" t="inlineStr">
        <is>
          <t>Code</t>
        </is>
      </c>
      <c r="B62" s="5" t="inlineStr">
        <is>
          <t>Description</t>
        </is>
      </c>
      <c r="C62" s="5" t="inlineStr">
        <is>
          <t>Unit</t>
        </is>
      </c>
      <c r="D62" s="5" t="inlineStr">
        <is>
          <t>Quantity</t>
        </is>
      </c>
      <c r="E62" s="5" t="inlineStr">
        <is>
          <t>Rate (Rs.)</t>
        </is>
      </c>
      <c r="F62" s="5" t="inlineStr">
        <is>
          <t>Amount (Rs.)</t>
        </is>
      </c>
    </row>
    <row r="63">
      <c r="A63" s="13" t="inlineStr">
        <is>
          <t>3.11</t>
        </is>
      </c>
      <c r="B63" s="14" t="inlineStr">
        <is>
          <t>Rate as per SH: 3.11</t>
        </is>
      </c>
      <c r="C63" s="13" t="inlineStr">
        <is>
          <t>cum</t>
        </is>
      </c>
      <c r="D63" s="15" t="n">
        <v>0.25</v>
      </c>
      <c r="E63" s="16" t="n">
        <v>3356.15</v>
      </c>
      <c r="F63" s="16">
        <f>D63*E63</f>
        <v/>
      </c>
    </row>
    <row r="64">
      <c r="A64" s="13" t="inlineStr">
        <is>
          <t>7901</t>
        </is>
      </c>
      <c r="B64" s="14" t="inlineStr">
        <is>
          <t>Machine moulded perforated common burnt clay FPS (non modular) bricks of class designation 12.5</t>
        </is>
      </c>
      <c r="C64" s="13" t="inlineStr">
        <is>
          <t>1000 Nos</t>
        </is>
      </c>
      <c r="D64" s="15" t="n">
        <v>0.494</v>
      </c>
      <c r="E64" s="16" t="n">
        <v>4700</v>
      </c>
      <c r="F64" s="16">
        <f>D64*E64</f>
        <v/>
      </c>
    </row>
    <row r="65">
      <c r="A65" s="13" t="inlineStr">
        <is>
          <t>2201</t>
        </is>
      </c>
      <c r="B65" s="14" t="inlineStr">
        <is>
          <t>Carriage of Bricks</t>
        </is>
      </c>
      <c r="C65" s="13" t="inlineStr">
        <is>
          <t>1000 Nos</t>
        </is>
      </c>
      <c r="D65" s="15" t="n">
        <v>0.494</v>
      </c>
      <c r="E65" s="16" t="n">
        <v>276.72</v>
      </c>
      <c r="F65" s="16">
        <f>D65*E65</f>
        <v/>
      </c>
    </row>
    <row r="66">
      <c r="A66" s="13" t="inlineStr">
        <is>
          <t>9999</t>
        </is>
      </c>
      <c r="B66" s="14" t="inlineStr">
        <is>
          <t>Sundries</t>
        </is>
      </c>
      <c r="C66" s="13" t="inlineStr">
        <is>
          <t>L.S.</t>
        </is>
      </c>
      <c r="D66" s="15" t="n">
        <v>2.73</v>
      </c>
      <c r="E66" s="16" t="n">
        <v>2</v>
      </c>
      <c r="F66" s="16">
        <f>D66*E66</f>
        <v/>
      </c>
    </row>
    <row r="67">
      <c r="A67" s="13" t="inlineStr">
        <is>
          <t>0123</t>
        </is>
      </c>
      <c r="B67" s="14" t="inlineStr">
        <is>
          <t>Mason (brick layer) 1st class</t>
        </is>
      </c>
      <c r="C67" s="13" t="inlineStr">
        <is>
          <t>day</t>
        </is>
      </c>
      <c r="D67" s="15" t="n">
        <v>0.47</v>
      </c>
      <c r="E67" s="16" t="n">
        <v>738</v>
      </c>
      <c r="F67" s="16">
        <f>D67*E67</f>
        <v/>
      </c>
    </row>
    <row r="68">
      <c r="A68" s="13" t="inlineStr">
        <is>
          <t>0124</t>
        </is>
      </c>
      <c r="B68" s="14" t="inlineStr">
        <is>
          <t>Mason (brick layer) 2nd class</t>
        </is>
      </c>
      <c r="C68" s="13" t="inlineStr">
        <is>
          <t>day</t>
        </is>
      </c>
      <c r="D68" s="15" t="n">
        <v>0.47</v>
      </c>
      <c r="E68" s="16" t="n">
        <v>679</v>
      </c>
      <c r="F68" s="16">
        <f>D68*E68</f>
        <v/>
      </c>
    </row>
    <row r="69">
      <c r="A69" s="13" t="inlineStr">
        <is>
          <t>0115</t>
        </is>
      </c>
      <c r="B69" s="14" t="inlineStr">
        <is>
          <t>Coolie</t>
        </is>
      </c>
      <c r="C69" s="13" t="inlineStr">
        <is>
          <t>day</t>
        </is>
      </c>
      <c r="D69" s="15" t="n">
        <v>1.8</v>
      </c>
      <c r="E69" s="16" t="n">
        <v>558</v>
      </c>
      <c r="F69" s="16">
        <f>D69*E69</f>
        <v/>
      </c>
    </row>
    <row r="70">
      <c r="A70" s="13" t="inlineStr">
        <is>
          <t>0101</t>
        </is>
      </c>
      <c r="B70" s="14" t="inlineStr">
        <is>
          <t>Bhisti</t>
        </is>
      </c>
      <c r="C70" s="13" t="inlineStr">
        <is>
          <t>day</t>
        </is>
      </c>
      <c r="D70" s="15" t="n">
        <v>0.2</v>
      </c>
      <c r="E70" s="16" t="n">
        <v>617</v>
      </c>
      <c r="F70" s="16">
        <f>D70*E70</f>
        <v/>
      </c>
    </row>
    <row r="71">
      <c r="A71" s="13" t="inlineStr">
        <is>
          <t>9999</t>
        </is>
      </c>
      <c r="B71" s="14" t="inlineStr">
        <is>
          <t>Scaffolding</t>
        </is>
      </c>
      <c r="C71" s="13" t="inlineStr">
        <is>
          <t>L.S.</t>
        </is>
      </c>
      <c r="D71" s="15" t="n">
        <v>22.36</v>
      </c>
      <c r="E71" s="16" t="n">
        <v>2</v>
      </c>
      <c r="F71" s="16">
        <f>D71*E71</f>
        <v/>
      </c>
    </row>
    <row r="72">
      <c r="A72" s="13" t="inlineStr">
        <is>
          <t>0115</t>
        </is>
      </c>
      <c r="B72" s="14" t="inlineStr">
        <is>
          <t>Coolie</t>
        </is>
      </c>
      <c r="C72" s="13" t="inlineStr">
        <is>
          <t>day</t>
        </is>
      </c>
      <c r="D72" s="15" t="n">
        <v>1.13</v>
      </c>
      <c r="E72" s="16" t="n">
        <v>558</v>
      </c>
      <c r="F72" s="16">
        <f>D72*E72</f>
        <v/>
      </c>
    </row>
    <row r="73">
      <c r="A73" s="17" t="inlineStr">
        <is>
          <t>Resource Total (Material + Labour + Machinery, as printed)</t>
        </is>
      </c>
      <c r="B73" s="18" t="n"/>
      <c r="C73" s="18" t="n"/>
      <c r="D73" s="18" t="n"/>
      <c r="E73" s="18" t="n"/>
      <c r="F73" s="19">
        <f>SUM(F63:F72)</f>
        <v/>
      </c>
    </row>
    <row r="74">
      <c r="A74" s="20" t="inlineStr">
        <is>
          <t>SAY (Rs.) — final DAR rate</t>
        </is>
      </c>
      <c r="B74" s="21" t="n"/>
      <c r="C74" s="21" t="n"/>
      <c r="D74" s="21" t="n"/>
      <c r="E74" s="21" t="n"/>
      <c r="F74" s="22" t="n">
        <v>7722.65</v>
      </c>
    </row>
    <row r="76" ht="18" customHeight="1">
      <c r="A76" s="9" t="inlineStr">
        <is>
          <t>6.3.2</t>
        </is>
      </c>
      <c r="B76" s="10" t="inlineStr">
        <is>
          <t>With Modular bricks</t>
        </is>
      </c>
      <c r="C76" s="11" t="n"/>
      <c r="D76" s="11" t="n"/>
      <c r="E76" s="11" t="n"/>
      <c r="F76" s="11" t="n"/>
    </row>
    <row r="77">
      <c r="A77" s="12" t="inlineStr">
        <is>
          <t>Rate basis: per cum  (source: cost for 1 cum)</t>
        </is>
      </c>
    </row>
    <row r="78">
      <c r="A78" s="5" t="inlineStr">
        <is>
          <t>Code</t>
        </is>
      </c>
      <c r="B78" s="5" t="inlineStr">
        <is>
          <t>Description</t>
        </is>
      </c>
      <c r="C78" s="5" t="inlineStr">
        <is>
          <t>Unit</t>
        </is>
      </c>
      <c r="D78" s="5" t="inlineStr">
        <is>
          <t>Quantity</t>
        </is>
      </c>
      <c r="E78" s="5" t="inlineStr">
        <is>
          <t>Rate (Rs.)</t>
        </is>
      </c>
      <c r="F78" s="5" t="inlineStr">
        <is>
          <t>Amount (Rs.)</t>
        </is>
      </c>
    </row>
    <row r="79">
      <c r="A79" s="13" t="inlineStr">
        <is>
          <t>3.11</t>
        </is>
      </c>
      <c r="B79" s="14" t="inlineStr">
        <is>
          <t>Rate as per SH: 3.11</t>
        </is>
      </c>
      <c r="C79" s="13" t="inlineStr">
        <is>
          <t>cum</t>
        </is>
      </c>
      <c r="D79" s="15" t="n">
        <v>0.22</v>
      </c>
      <c r="E79" s="16" t="n">
        <v>3356.15</v>
      </c>
      <c r="F79" s="16">
        <f>D79*E79</f>
        <v/>
      </c>
    </row>
    <row r="80">
      <c r="A80" s="13" t="inlineStr">
        <is>
          <t>7902</t>
        </is>
      </c>
      <c r="B80" s="14" t="inlineStr">
        <is>
          <t>Machine moulded common burnt clay modular perforated bricks of class designation 12.5</t>
        </is>
      </c>
      <c r="C80" s="13" t="inlineStr">
        <is>
          <t>1000 Nos</t>
        </is>
      </c>
      <c r="D80" s="15" t="n">
        <v>0.487</v>
      </c>
      <c r="E80" s="16" t="n">
        <v>5200</v>
      </c>
      <c r="F80" s="16">
        <f>D80*E80</f>
        <v/>
      </c>
    </row>
    <row r="81">
      <c r="A81" s="13" t="inlineStr">
        <is>
          <t>2201</t>
        </is>
      </c>
      <c r="B81" s="14" t="inlineStr">
        <is>
          <t>Carriage of Bricks</t>
        </is>
      </c>
      <c r="C81" s="13" t="inlineStr">
        <is>
          <t>1000 Nos</t>
        </is>
      </c>
      <c r="D81" s="15" t="n">
        <v>0.487</v>
      </c>
      <c r="E81" s="16" t="n">
        <v>276.72</v>
      </c>
      <c r="F81" s="16">
        <f>D81*E81</f>
        <v/>
      </c>
    </row>
    <row r="82">
      <c r="A82" s="13" t="inlineStr">
        <is>
          <t>9999</t>
        </is>
      </c>
      <c r="B82" s="14" t="inlineStr">
        <is>
          <t>Sundries</t>
        </is>
      </c>
      <c r="C82" s="13" t="inlineStr">
        <is>
          <t>L.S.</t>
        </is>
      </c>
      <c r="D82" s="15" t="n">
        <v>2.73</v>
      </c>
      <c r="E82" s="16" t="n">
        <v>2</v>
      </c>
      <c r="F82" s="16">
        <f>D82*E82</f>
        <v/>
      </c>
    </row>
    <row r="83">
      <c r="A83" s="13" t="inlineStr">
        <is>
          <t>0123</t>
        </is>
      </c>
      <c r="B83" s="14" t="inlineStr">
        <is>
          <t>Mason (brick layer) 1st class</t>
        </is>
      </c>
      <c r="C83" s="13" t="inlineStr">
        <is>
          <t>day</t>
        </is>
      </c>
      <c r="D83" s="15" t="n">
        <v>0.44</v>
      </c>
      <c r="E83" s="16" t="n">
        <v>738</v>
      </c>
      <c r="F83" s="16">
        <f>D83*E83</f>
        <v/>
      </c>
    </row>
    <row r="84">
      <c r="A84" s="13" t="inlineStr">
        <is>
          <t>0124</t>
        </is>
      </c>
      <c r="B84" s="14" t="inlineStr">
        <is>
          <t>Mason (brick layer) 2nd class</t>
        </is>
      </c>
      <c r="C84" s="13" t="inlineStr">
        <is>
          <t>day</t>
        </is>
      </c>
      <c r="D84" s="15" t="n">
        <v>0.44</v>
      </c>
      <c r="E84" s="16" t="n">
        <v>679</v>
      </c>
      <c r="F84" s="16">
        <f>D84*E84</f>
        <v/>
      </c>
    </row>
    <row r="85">
      <c r="A85" s="13" t="inlineStr">
        <is>
          <t>0115</t>
        </is>
      </c>
      <c r="B85" s="14" t="inlineStr">
        <is>
          <t>Coolie</t>
        </is>
      </c>
      <c r="C85" s="13" t="inlineStr">
        <is>
          <t>day</t>
        </is>
      </c>
      <c r="D85" s="15" t="n">
        <v>1.43</v>
      </c>
      <c r="E85" s="16" t="n">
        <v>558</v>
      </c>
      <c r="F85" s="16">
        <f>D85*E85</f>
        <v/>
      </c>
    </row>
    <row r="86">
      <c r="A86" s="13" t="inlineStr">
        <is>
          <t>0101</t>
        </is>
      </c>
      <c r="B86" s="14" t="inlineStr">
        <is>
          <t>Bhisti</t>
        </is>
      </c>
      <c r="C86" s="13" t="inlineStr">
        <is>
          <t>day</t>
        </is>
      </c>
      <c r="D86" s="15" t="n">
        <v>0.18</v>
      </c>
      <c r="E86" s="16" t="n">
        <v>617</v>
      </c>
      <c r="F86" s="16">
        <f>D86*E86</f>
        <v/>
      </c>
    </row>
    <row r="87">
      <c r="A87" s="13" t="inlineStr">
        <is>
          <t>9999</t>
        </is>
      </c>
      <c r="B87" s="14" t="inlineStr">
        <is>
          <t>Scaffolding</t>
        </is>
      </c>
      <c r="C87" s="13" t="inlineStr">
        <is>
          <t>L.S.</t>
        </is>
      </c>
      <c r="D87" s="15" t="n">
        <v>16.38</v>
      </c>
      <c r="E87" s="16" t="n">
        <v>2</v>
      </c>
      <c r="F87" s="16">
        <f>D87*E87</f>
        <v/>
      </c>
    </row>
    <row r="88">
      <c r="A88" s="13" t="inlineStr">
        <is>
          <t>0115</t>
        </is>
      </c>
      <c r="B88" s="14" t="inlineStr">
        <is>
          <t>Coolie</t>
        </is>
      </c>
      <c r="C88" s="13" t="inlineStr">
        <is>
          <t>day</t>
        </is>
      </c>
      <c r="D88" s="15" t="n">
        <v>1.13</v>
      </c>
      <c r="E88" s="16" t="n">
        <v>558</v>
      </c>
      <c r="F88" s="16">
        <f>D88*E88</f>
        <v/>
      </c>
    </row>
    <row r="89">
      <c r="A89" s="17" t="inlineStr">
        <is>
          <t>Resource Total (Material + Labour + Machinery, as printed)</t>
        </is>
      </c>
      <c r="B89" s="18" t="n"/>
      <c r="C89" s="18" t="n"/>
      <c r="D89" s="18" t="n"/>
      <c r="E89" s="18" t="n"/>
      <c r="F89" s="19">
        <f>SUM(F79:F88)</f>
        <v/>
      </c>
    </row>
    <row r="90">
      <c r="A90" s="20" t="inlineStr">
        <is>
          <t>SAY (Rs.) — final DAR rate</t>
        </is>
      </c>
      <c r="B90" s="21" t="n"/>
      <c r="C90" s="21" t="n"/>
      <c r="D90" s="21" t="n"/>
      <c r="E90" s="21" t="n"/>
      <c r="F90" s="22" t="n">
        <v>7501.5</v>
      </c>
    </row>
    <row r="92" ht="18" customHeight="1">
      <c r="A92" s="9" t="inlineStr">
        <is>
          <t>6.4.1</t>
        </is>
      </c>
      <c r="B92" s="10" t="inlineStr">
        <is>
          <t>Cement mortar 1:4 (1 cement : 4 coarse sand)</t>
        </is>
      </c>
      <c r="C92" s="11" t="n"/>
      <c r="D92" s="11" t="n"/>
      <c r="E92" s="11" t="n"/>
      <c r="F92" s="11" t="n"/>
    </row>
    <row r="93">
      <c r="A93" s="12" t="inlineStr">
        <is>
          <t>Rate basis: per cum  (source: cost for 1 cum)</t>
        </is>
      </c>
    </row>
    <row r="94">
      <c r="A94" s="5" t="inlineStr">
        <is>
          <t>Code</t>
        </is>
      </c>
      <c r="B94" s="5" t="inlineStr">
        <is>
          <t>Description</t>
        </is>
      </c>
      <c r="C94" s="5" t="inlineStr">
        <is>
          <t>Unit</t>
        </is>
      </c>
      <c r="D94" s="5" t="inlineStr">
        <is>
          <t>Quantity</t>
        </is>
      </c>
      <c r="E94" s="5" t="inlineStr">
        <is>
          <t>Rate (Rs.)</t>
        </is>
      </c>
      <c r="F94" s="5" t="inlineStr">
        <is>
          <t>Amount (Rs.)</t>
        </is>
      </c>
    </row>
    <row r="95">
      <c r="A95" s="13" t="inlineStr">
        <is>
          <t>3.9</t>
        </is>
      </c>
      <c r="B95" s="14" t="inlineStr">
        <is>
          <t>Rate as per SH: 3.9</t>
        </is>
      </c>
      <c r="C95" s="13" t="inlineStr">
        <is>
          <t>cum</t>
        </is>
      </c>
      <c r="D95" s="15" t="n">
        <v>0.25</v>
      </c>
      <c r="E95" s="16" t="n">
        <v>4010.35</v>
      </c>
      <c r="F95" s="16">
        <f>D95*E95</f>
        <v/>
      </c>
    </row>
    <row r="96">
      <c r="A96" s="13" t="inlineStr">
        <is>
          <t>2602</t>
        </is>
      </c>
      <c r="B96" s="14" t="inlineStr">
        <is>
          <t>Common burnt clay F.P.S. (non modular) bricks class designation 7.5</t>
        </is>
      </c>
      <c r="C96" s="13" t="inlineStr">
        <is>
          <t>1000 Nos</t>
        </is>
      </c>
      <c r="D96" s="15" t="n">
        <v>0.494</v>
      </c>
      <c r="E96" s="16" t="n">
        <v>4500</v>
      </c>
      <c r="F96" s="16">
        <f>D96*E96</f>
        <v/>
      </c>
    </row>
    <row r="97">
      <c r="A97" s="13" t="inlineStr">
        <is>
          <t>2201</t>
        </is>
      </c>
      <c r="B97" s="14" t="inlineStr">
        <is>
          <t>Carriage of Bricks</t>
        </is>
      </c>
      <c r="C97" s="13" t="inlineStr">
        <is>
          <t>1000 Nos</t>
        </is>
      </c>
      <c r="D97" s="15" t="n">
        <v>0.494</v>
      </c>
      <c r="E97" s="16" t="n">
        <v>276.72</v>
      </c>
      <c r="F97" s="16">
        <f>D97*E97</f>
        <v/>
      </c>
    </row>
    <row r="98">
      <c r="A98" s="13" t="inlineStr">
        <is>
          <t>9999</t>
        </is>
      </c>
      <c r="B98" s="14" t="inlineStr">
        <is>
          <t>Sundries</t>
        </is>
      </c>
      <c r="C98" s="13" t="inlineStr">
        <is>
          <t>L.S.</t>
        </is>
      </c>
      <c r="D98" s="15" t="n">
        <v>2.73</v>
      </c>
      <c r="E98" s="16" t="n">
        <v>2</v>
      </c>
      <c r="F98" s="16">
        <f>D98*E98</f>
        <v/>
      </c>
    </row>
    <row r="99">
      <c r="A99" s="13" t="inlineStr">
        <is>
          <t>0123</t>
        </is>
      </c>
      <c r="B99" s="14" t="inlineStr">
        <is>
          <t>Mason (brick layer) 1st class</t>
        </is>
      </c>
      <c r="C99" s="13" t="inlineStr">
        <is>
          <t>day</t>
        </is>
      </c>
      <c r="D99" s="15" t="n">
        <v>0.47</v>
      </c>
      <c r="E99" s="16" t="n">
        <v>738</v>
      </c>
      <c r="F99" s="16">
        <f>D99*E99</f>
        <v/>
      </c>
    </row>
    <row r="100">
      <c r="A100" s="13" t="inlineStr">
        <is>
          <t>0124</t>
        </is>
      </c>
      <c r="B100" s="14" t="inlineStr">
        <is>
          <t>Mason (brick layer) 2nd class</t>
        </is>
      </c>
      <c r="C100" s="13" t="inlineStr">
        <is>
          <t>day</t>
        </is>
      </c>
      <c r="D100" s="15" t="n">
        <v>0.47</v>
      </c>
      <c r="E100" s="16" t="n">
        <v>679</v>
      </c>
      <c r="F100" s="16">
        <f>D100*E100</f>
        <v/>
      </c>
    </row>
    <row r="101">
      <c r="A101" s="13" t="inlineStr">
        <is>
          <t>0115</t>
        </is>
      </c>
      <c r="B101" s="14" t="inlineStr">
        <is>
          <t>Coolie</t>
        </is>
      </c>
      <c r="C101" s="13" t="inlineStr">
        <is>
          <t>day</t>
        </is>
      </c>
      <c r="D101" s="15" t="n">
        <v>1.8</v>
      </c>
      <c r="E101" s="16" t="n">
        <v>558</v>
      </c>
      <c r="F101" s="16">
        <f>D101*E101</f>
        <v/>
      </c>
    </row>
    <row r="102">
      <c r="A102" s="13" t="inlineStr">
        <is>
          <t>0101</t>
        </is>
      </c>
      <c r="B102" s="14" t="inlineStr">
        <is>
          <t>Bhisti</t>
        </is>
      </c>
      <c r="C102" s="13" t="inlineStr">
        <is>
          <t>day</t>
        </is>
      </c>
      <c r="D102" s="15" t="n">
        <v>0.2</v>
      </c>
      <c r="E102" s="16" t="n">
        <v>617</v>
      </c>
      <c r="F102" s="16">
        <f>D102*E102</f>
        <v/>
      </c>
    </row>
    <row r="103">
      <c r="A103" s="13" t="inlineStr">
        <is>
          <t>9999</t>
        </is>
      </c>
      <c r="B103" s="14" t="inlineStr">
        <is>
          <t>Scaffolding</t>
        </is>
      </c>
      <c r="C103" s="13" t="inlineStr">
        <is>
          <t>L.S.</t>
        </is>
      </c>
      <c r="D103" s="15" t="n">
        <v>22.36</v>
      </c>
      <c r="E103" s="16" t="n">
        <v>2</v>
      </c>
      <c r="F103" s="16">
        <f>D103*E103</f>
        <v/>
      </c>
    </row>
    <row r="104">
      <c r="A104" s="13" t="inlineStr">
        <is>
          <t>0115</t>
        </is>
      </c>
      <c r="B104" s="14" t="inlineStr">
        <is>
          <t>Coolie</t>
        </is>
      </c>
      <c r="C104" s="13" t="inlineStr">
        <is>
          <t>day</t>
        </is>
      </c>
      <c r="D104" s="15" t="n">
        <v>1.13</v>
      </c>
      <c r="E104" s="16" t="n">
        <v>558</v>
      </c>
      <c r="F104" s="16">
        <f>D104*E104</f>
        <v/>
      </c>
    </row>
    <row r="105">
      <c r="A105" s="17" t="inlineStr">
        <is>
          <t>Resource Total (Material + Labour + Machinery, as printed)</t>
        </is>
      </c>
      <c r="B105" s="18" t="n"/>
      <c r="C105" s="18" t="n"/>
      <c r="D105" s="18" t="n"/>
      <c r="E105" s="18" t="n"/>
      <c r="F105" s="19">
        <f>SUM(F95:F104)</f>
        <v/>
      </c>
    </row>
    <row r="106">
      <c r="A106" s="20" t="inlineStr">
        <is>
          <t>SAY (Rs.) — final DAR rate</t>
        </is>
      </c>
      <c r="B106" s="21" t="n"/>
      <c r="C106" s="21" t="n"/>
      <c r="D106" s="21" t="n"/>
      <c r="E106" s="21" t="n"/>
      <c r="F106" s="22" t="n">
        <v>7809.25</v>
      </c>
    </row>
    <row r="108" ht="18" customHeight="1">
      <c r="A108" s="9" t="inlineStr">
        <is>
          <t>6.4.2</t>
        </is>
      </c>
      <c r="B108" s="10" t="inlineStr">
        <is>
          <t>Cement mortar 1:6 (1 cement : 6 coarse sand)</t>
        </is>
      </c>
      <c r="C108" s="11" t="n"/>
      <c r="D108" s="11" t="n"/>
      <c r="E108" s="11" t="n"/>
      <c r="F108" s="11" t="n"/>
    </row>
    <row r="109">
      <c r="A109" s="12" t="inlineStr">
        <is>
          <t>Rate basis: per cum  (source: cost for 1 cum)</t>
        </is>
      </c>
    </row>
    <row r="110">
      <c r="A110" s="5" t="inlineStr">
        <is>
          <t>Code</t>
        </is>
      </c>
      <c r="B110" s="5" t="inlineStr">
        <is>
          <t>Description</t>
        </is>
      </c>
      <c r="C110" s="5" t="inlineStr">
        <is>
          <t>Unit</t>
        </is>
      </c>
      <c r="D110" s="5" t="inlineStr">
        <is>
          <t>Quantity</t>
        </is>
      </c>
      <c r="E110" s="5" t="inlineStr">
        <is>
          <t>Rate (Rs.)</t>
        </is>
      </c>
      <c r="F110" s="5" t="inlineStr">
        <is>
          <t>Amount (Rs.)</t>
        </is>
      </c>
    </row>
    <row r="111">
      <c r="A111" s="13" t="inlineStr">
        <is>
          <t>3.11</t>
        </is>
      </c>
      <c r="B111" s="14" t="inlineStr">
        <is>
          <t>Rate as per SH: 3.11</t>
        </is>
      </c>
      <c r="C111" s="13" t="inlineStr">
        <is>
          <t>cum</t>
        </is>
      </c>
      <c r="D111" s="15" t="n">
        <v>0.25</v>
      </c>
      <c r="E111" s="16" t="n">
        <v>3356.15</v>
      </c>
      <c r="F111" s="16">
        <f>D111*E111</f>
        <v/>
      </c>
    </row>
    <row r="112">
      <c r="A112" s="13" t="inlineStr">
        <is>
          <t>2602</t>
        </is>
      </c>
      <c r="B112" s="14" t="inlineStr">
        <is>
          <t>Common burnt clay F.P.S. (non modular) bricks class designation 7.5</t>
        </is>
      </c>
      <c r="C112" s="13" t="inlineStr">
        <is>
          <t>1000 Nos</t>
        </is>
      </c>
      <c r="D112" s="15" t="n">
        <v>0.494</v>
      </c>
      <c r="E112" s="16" t="n">
        <v>4500</v>
      </c>
      <c r="F112" s="16">
        <f>D112*E112</f>
        <v/>
      </c>
    </row>
    <row r="113">
      <c r="A113" s="13" t="inlineStr">
        <is>
          <t>2201</t>
        </is>
      </c>
      <c r="B113" s="14" t="inlineStr">
        <is>
          <t>Carriage of Bricks</t>
        </is>
      </c>
      <c r="C113" s="13" t="inlineStr">
        <is>
          <t>1000 Nos</t>
        </is>
      </c>
      <c r="D113" s="15" t="n">
        <v>0.494</v>
      </c>
      <c r="E113" s="16" t="n">
        <v>276.72</v>
      </c>
      <c r="F113" s="16">
        <f>D113*E113</f>
        <v/>
      </c>
    </row>
    <row r="114">
      <c r="A114" s="13" t="inlineStr">
        <is>
          <t>9999</t>
        </is>
      </c>
      <c r="B114" s="14" t="inlineStr">
        <is>
          <t>Sundries</t>
        </is>
      </c>
      <c r="C114" s="13" t="inlineStr">
        <is>
          <t>L.S.</t>
        </is>
      </c>
      <c r="D114" s="15" t="n">
        <v>2.73</v>
      </c>
      <c r="E114" s="16" t="n">
        <v>2</v>
      </c>
      <c r="F114" s="16">
        <f>D114*E114</f>
        <v/>
      </c>
    </row>
    <row r="115">
      <c r="A115" s="13" t="inlineStr">
        <is>
          <t>0123</t>
        </is>
      </c>
      <c r="B115" s="14" t="inlineStr">
        <is>
          <t>Mason (brick layer) 1st class</t>
        </is>
      </c>
      <c r="C115" s="13" t="inlineStr">
        <is>
          <t>day</t>
        </is>
      </c>
      <c r="D115" s="15" t="n">
        <v>0.47</v>
      </c>
      <c r="E115" s="16" t="n">
        <v>738</v>
      </c>
      <c r="F115" s="16">
        <f>D115*E115</f>
        <v/>
      </c>
    </row>
    <row r="116">
      <c r="A116" s="13" t="inlineStr">
        <is>
          <t>0124</t>
        </is>
      </c>
      <c r="B116" s="14" t="inlineStr">
        <is>
          <t>Mason (brick layer) 2nd class</t>
        </is>
      </c>
      <c r="C116" s="13" t="inlineStr">
        <is>
          <t>day</t>
        </is>
      </c>
      <c r="D116" s="15" t="n">
        <v>0.47</v>
      </c>
      <c r="E116" s="16" t="n">
        <v>679</v>
      </c>
      <c r="F116" s="16">
        <f>D116*E116</f>
        <v/>
      </c>
    </row>
    <row r="117">
      <c r="A117" s="13" t="inlineStr">
        <is>
          <t>0115</t>
        </is>
      </c>
      <c r="B117" s="14" t="inlineStr">
        <is>
          <t>Coolie</t>
        </is>
      </c>
      <c r="C117" s="13" t="inlineStr">
        <is>
          <t>day</t>
        </is>
      </c>
      <c r="D117" s="15" t="n">
        <v>1.8</v>
      </c>
      <c r="E117" s="16" t="n">
        <v>558</v>
      </c>
      <c r="F117" s="16">
        <f>D117*E117</f>
        <v/>
      </c>
    </row>
    <row r="118">
      <c r="A118" s="13" t="inlineStr">
        <is>
          <t>0101</t>
        </is>
      </c>
      <c r="B118" s="14" t="inlineStr">
        <is>
          <t>Bhisti</t>
        </is>
      </c>
      <c r="C118" s="13" t="inlineStr">
        <is>
          <t>day</t>
        </is>
      </c>
      <c r="D118" s="15" t="n">
        <v>0.2</v>
      </c>
      <c r="E118" s="16" t="n">
        <v>617</v>
      </c>
      <c r="F118" s="16">
        <f>D118*E118</f>
        <v/>
      </c>
    </row>
    <row r="119">
      <c r="A119" s="13" t="inlineStr">
        <is>
          <t>9999</t>
        </is>
      </c>
      <c r="B119" s="14" t="inlineStr">
        <is>
          <t>Scaffolding</t>
        </is>
      </c>
      <c r="C119" s="13" t="inlineStr">
        <is>
          <t>L.S.</t>
        </is>
      </c>
      <c r="D119" s="15" t="n">
        <v>22.36</v>
      </c>
      <c r="E119" s="16" t="n">
        <v>2</v>
      </c>
      <c r="F119" s="16">
        <f>D119*E119</f>
        <v/>
      </c>
    </row>
    <row r="120">
      <c r="A120" s="13" t="inlineStr">
        <is>
          <t>0115</t>
        </is>
      </c>
      <c r="B120" s="14" t="inlineStr">
        <is>
          <t>Coolie</t>
        </is>
      </c>
      <c r="C120" s="13" t="inlineStr">
        <is>
          <t>day</t>
        </is>
      </c>
      <c r="D120" s="15" t="n">
        <v>1.13</v>
      </c>
      <c r="E120" s="16" t="n">
        <v>558</v>
      </c>
      <c r="F120" s="16">
        <f>D120*E120</f>
        <v/>
      </c>
    </row>
    <row r="121">
      <c r="A121" s="17" t="inlineStr">
        <is>
          <t>Resource Total (Material + Labour + Machinery, as printed)</t>
        </is>
      </c>
      <c r="B121" s="18" t="n"/>
      <c r="C121" s="18" t="n"/>
      <c r="D121" s="18" t="n"/>
      <c r="E121" s="18" t="n"/>
      <c r="F121" s="19">
        <f>SUM(F111:F120)</f>
        <v/>
      </c>
    </row>
    <row r="122">
      <c r="A122" s="20" t="inlineStr">
        <is>
          <t>SAY (Rs.) — final DAR rate</t>
        </is>
      </c>
      <c r="B122" s="21" t="n"/>
      <c r="C122" s="21" t="n"/>
      <c r="D122" s="21" t="n"/>
      <c r="E122" s="21" t="n"/>
      <c r="F122" s="22" t="n">
        <v>7590.45</v>
      </c>
    </row>
    <row r="124" ht="28" customHeight="1">
      <c r="A124" s="9" t="inlineStr">
        <is>
          <t>6.5</t>
        </is>
      </c>
      <c r="B124" s="10" t="inlineStr">
        <is>
          <t>Extra for brick work / AAC block masonry / Tile brick masonry in superstructure above floor V level, for each four floors or part thereof by</t>
        </is>
      </c>
      <c r="C124" s="11" t="n"/>
      <c r="D124" s="11" t="n"/>
      <c r="E124" s="11" t="n"/>
      <c r="F124" s="11" t="n"/>
    </row>
    <row r="125">
      <c r="A125" s="12" t="inlineStr">
        <is>
          <t>Rate basis: per cum  (source: cost for 5.3 cum)</t>
        </is>
      </c>
    </row>
    <row r="126">
      <c r="A126" s="5" t="inlineStr">
        <is>
          <t>Code</t>
        </is>
      </c>
      <c r="B126" s="5" t="inlineStr">
        <is>
          <t>Description</t>
        </is>
      </c>
      <c r="C126" s="5" t="inlineStr">
        <is>
          <t>Unit</t>
        </is>
      </c>
      <c r="D126" s="5" t="inlineStr">
        <is>
          <t>Quantity</t>
        </is>
      </c>
      <c r="E126" s="5" t="inlineStr">
        <is>
          <t>Rate (Rs.)</t>
        </is>
      </c>
      <c r="F126" s="5" t="inlineStr">
        <is>
          <t>Amount (Rs.)</t>
        </is>
      </c>
    </row>
    <row r="127">
      <c r="A127" s="13" t="inlineStr">
        <is>
          <t>0037</t>
        </is>
      </c>
      <c r="B127" s="14" t="inlineStr">
        <is>
          <t>Mobile crane</t>
        </is>
      </c>
      <c r="C127" s="13" t="inlineStr">
        <is>
          <t>day</t>
        </is>
      </c>
      <c r="D127" s="15" t="n">
        <v>0.125</v>
      </c>
      <c r="E127" s="16" t="n">
        <v>7500</v>
      </c>
      <c r="F127" s="16">
        <f>D127*E127</f>
        <v/>
      </c>
    </row>
    <row r="128">
      <c r="A128" s="17" t="inlineStr">
        <is>
          <t>Resource Total (Material + Labour + Machinery, as printed)</t>
        </is>
      </c>
      <c r="B128" s="18" t="n"/>
      <c r="C128" s="18" t="n"/>
      <c r="D128" s="18" t="n"/>
      <c r="E128" s="18" t="n"/>
      <c r="F128" s="19">
        <f>SUM(F127:F127)</f>
        <v/>
      </c>
    </row>
    <row r="129">
      <c r="A129" s="20" t="inlineStr">
        <is>
          <t>SAY (Rs.) — final DAR rate</t>
        </is>
      </c>
      <c r="B129" s="21" t="n"/>
      <c r="C129" s="21" t="n"/>
      <c r="D129" s="21" t="n"/>
      <c r="E129" s="21" t="n"/>
      <c r="F129" s="22" t="n">
        <v>236.65</v>
      </c>
    </row>
    <row r="131" ht="28" customHeight="1">
      <c r="A131" s="9" t="inlineStr">
        <is>
          <t>6.6</t>
        </is>
      </c>
      <c r="B131" s="10" t="inlineStr">
        <is>
          <t>Extra for forming cavity 5 cm to 11.5 cm wide in cavity walls with necessary weep and vent holes including use of cores and cost of providin</t>
        </is>
      </c>
      <c r="C131" s="11" t="n"/>
      <c r="D131" s="11" t="n"/>
      <c r="E131" s="11" t="n"/>
      <c r="F131" s="11" t="n"/>
    </row>
    <row r="132">
      <c r="A132" s="12" t="inlineStr">
        <is>
          <t>Rate basis: per sqm  (source: cost for 10 sqm)</t>
        </is>
      </c>
    </row>
    <row r="133">
      <c r="A133" s="5" t="inlineStr">
        <is>
          <t>Code</t>
        </is>
      </c>
      <c r="B133" s="5" t="inlineStr">
        <is>
          <t>Description</t>
        </is>
      </c>
      <c r="C133" s="5" t="inlineStr">
        <is>
          <t>Unit</t>
        </is>
      </c>
      <c r="D133" s="5" t="inlineStr">
        <is>
          <t>Quantity</t>
        </is>
      </c>
      <c r="E133" s="5" t="inlineStr">
        <is>
          <t>Rate (Rs.)</t>
        </is>
      </c>
      <c r="F133" s="5" t="inlineStr">
        <is>
          <t>Amount (Rs.)</t>
        </is>
      </c>
    </row>
    <row r="134">
      <c r="A134" s="13" t="inlineStr">
        <is>
          <t>1008</t>
        </is>
      </c>
      <c r="B134" s="14" t="inlineStr">
        <is>
          <t>Flats upto 10 mm in thickness</t>
        </is>
      </c>
      <c r="C134" s="13" t="inlineStr">
        <is>
          <t>quintal</t>
        </is>
      </c>
      <c r="D134" s="15" t="n">
        <v>0.054</v>
      </c>
      <c r="E134" s="16" t="n">
        <v>4500</v>
      </c>
      <c r="F134" s="16">
        <f>D134*E134</f>
        <v/>
      </c>
    </row>
    <row r="135">
      <c r="A135" s="13" t="inlineStr">
        <is>
          <t>9999</t>
        </is>
      </c>
      <c r="B135" s="14" t="inlineStr">
        <is>
          <t>Painting the steel Bitumen</t>
        </is>
      </c>
      <c r="C135" s="13" t="inlineStr">
        <is>
          <t>L.S.</t>
        </is>
      </c>
      <c r="D135" s="15" t="n">
        <v>13.52</v>
      </c>
      <c r="E135" s="16" t="n">
        <v>2</v>
      </c>
      <c r="F135" s="16">
        <f>D135*E135</f>
        <v/>
      </c>
    </row>
    <row r="136">
      <c r="A136" s="13" t="inlineStr">
        <is>
          <t>2205</t>
        </is>
      </c>
      <c r="B136" s="14" t="inlineStr">
        <is>
          <t>Carriage of Steel</t>
        </is>
      </c>
      <c r="C136" s="13" t="inlineStr">
        <is>
          <t>tonne</t>
        </is>
      </c>
      <c r="D136" s="15" t="n">
        <v>0.005</v>
      </c>
      <c r="E136" s="16" t="n">
        <v>92.23999999999999</v>
      </c>
      <c r="F136" s="16">
        <f>D136*E136</f>
        <v/>
      </c>
    </row>
    <row r="137">
      <c r="A137" s="13" t="inlineStr">
        <is>
          <t>0123</t>
        </is>
      </c>
      <c r="B137" s="14" t="inlineStr">
        <is>
          <t>Mason (brick layer) 1st class</t>
        </is>
      </c>
      <c r="C137" s="13" t="inlineStr">
        <is>
          <t>day</t>
        </is>
      </c>
      <c r="D137" s="15" t="n">
        <v>0.37</v>
      </c>
      <c r="E137" s="16" t="n">
        <v>738</v>
      </c>
      <c r="F137" s="16">
        <f>D137*E137</f>
        <v/>
      </c>
    </row>
    <row r="138">
      <c r="A138" s="13" t="inlineStr">
        <is>
          <t>0124</t>
        </is>
      </c>
      <c r="B138" s="14" t="inlineStr">
        <is>
          <t>Mason (brick layer) 2nd class</t>
        </is>
      </c>
      <c r="C138" s="13" t="inlineStr">
        <is>
          <t>day</t>
        </is>
      </c>
      <c r="D138" s="15" t="n">
        <v>0.37</v>
      </c>
      <c r="E138" s="16" t="n">
        <v>679</v>
      </c>
      <c r="F138" s="16">
        <f>D138*E138</f>
        <v/>
      </c>
    </row>
    <row r="139">
      <c r="A139" s="13" t="inlineStr">
        <is>
          <t>0114</t>
        </is>
      </c>
      <c r="B139" s="14" t="inlineStr">
        <is>
          <t>Beldar</t>
        </is>
      </c>
      <c r="C139" s="13" t="inlineStr">
        <is>
          <t>day</t>
        </is>
      </c>
      <c r="D139" s="15" t="n">
        <v>0.92</v>
      </c>
      <c r="E139" s="16" t="n">
        <v>558</v>
      </c>
      <c r="F139" s="16">
        <f>D139*E139</f>
        <v/>
      </c>
    </row>
    <row r="140">
      <c r="A140" s="13" t="inlineStr">
        <is>
          <t>9999</t>
        </is>
      </c>
      <c r="B140" s="14" t="inlineStr">
        <is>
          <t>Add for use of Core</t>
        </is>
      </c>
      <c r="C140" s="13" t="inlineStr">
        <is>
          <t>L.S.</t>
        </is>
      </c>
      <c r="D140" s="15" t="n">
        <v>4.55</v>
      </c>
      <c r="E140" s="16" t="n">
        <v>2</v>
      </c>
      <c r="F140" s="16">
        <f>D140*E140</f>
        <v/>
      </c>
    </row>
    <row r="141">
      <c r="A141" s="17" t="inlineStr">
        <is>
          <t>Resource Total (Material + Labour + Machinery, as printed)</t>
        </is>
      </c>
      <c r="B141" s="18" t="n"/>
      <c r="C141" s="18" t="n"/>
      <c r="D141" s="18" t="n"/>
      <c r="E141" s="18" t="n"/>
      <c r="F141" s="19">
        <f>SUM(F134:F140)</f>
        <v/>
      </c>
    </row>
    <row r="142">
      <c r="A142" s="20" t="inlineStr">
        <is>
          <t>SAY (Rs.) — final DAR rate</t>
        </is>
      </c>
      <c r="B142" s="21" t="n"/>
      <c r="C142" s="21" t="n"/>
      <c r="D142" s="21" t="n"/>
      <c r="E142" s="21" t="n"/>
      <c r="F142" s="22" t="n">
        <v>176.25</v>
      </c>
    </row>
    <row r="144" ht="28" customHeight="1">
      <c r="A144" s="9" t="inlineStr">
        <is>
          <t>6.7</t>
        </is>
      </c>
      <c r="B144" s="10" t="inlineStr">
        <is>
          <t xml:space="preserve">Providing half brick masonry with common burnt clay F.P.S. (non modular) bricks of class designation 7.5 in cement mortar 1:3 (1 Cement : 3 </t>
        </is>
      </c>
      <c r="C144" s="11" t="n"/>
      <c r="D144" s="11" t="n"/>
      <c r="E144" s="11" t="n"/>
      <c r="F144" s="11" t="n"/>
    </row>
    <row r="145">
      <c r="A145" s="12" t="inlineStr">
        <is>
          <t>Rate basis: per m  (source: cost for 10 m)</t>
        </is>
      </c>
    </row>
    <row r="146">
      <c r="A146" s="5" t="inlineStr">
        <is>
          <t>Code</t>
        </is>
      </c>
      <c r="B146" s="5" t="inlineStr">
        <is>
          <t>Description</t>
        </is>
      </c>
      <c r="C146" s="5" t="inlineStr">
        <is>
          <t>Unit</t>
        </is>
      </c>
      <c r="D146" s="5" t="inlineStr">
        <is>
          <t>Quantity</t>
        </is>
      </c>
      <c r="E146" s="5" t="inlineStr">
        <is>
          <t>Rate (Rs.)</t>
        </is>
      </c>
      <c r="F146" s="5" t="inlineStr">
        <is>
          <t>Amount (Rs.)</t>
        </is>
      </c>
    </row>
    <row r="147">
      <c r="A147" s="13" t="inlineStr">
        <is>
          <t>6.12.1</t>
        </is>
      </c>
      <c r="B147" s="14" t="inlineStr">
        <is>
          <t>Rate as per SH: 6.12.1</t>
        </is>
      </c>
      <c r="C147" s="13" t="inlineStr">
        <is>
          <t>sqm</t>
        </is>
      </c>
      <c r="D147" s="15" t="n">
        <v>2.7</v>
      </c>
      <c r="E147" s="16" t="n">
        <v>798.25</v>
      </c>
      <c r="F147" s="16">
        <f>D147*E147</f>
        <v/>
      </c>
    </row>
    <row r="148">
      <c r="A148" s="13" t="inlineStr">
        <is>
          <t>0322</t>
        </is>
      </c>
      <c r="B148" s="14" t="inlineStr">
        <is>
          <t>Bitumen felt :Type 3 grade</t>
        </is>
      </c>
      <c r="C148" s="13" t="inlineStr">
        <is>
          <t>1 sqm</t>
        </is>
      </c>
      <c r="D148" s="15" t="n">
        <v>1.2</v>
      </c>
      <c r="E148" s="16" t="n">
        <v>70</v>
      </c>
      <c r="F148" s="16">
        <f>D148*E148</f>
        <v/>
      </c>
    </row>
    <row r="149">
      <c r="A149" s="13" t="inlineStr">
        <is>
          <t>0123</t>
        </is>
      </c>
      <c r="B149" s="14" t="inlineStr">
        <is>
          <t>Mason (brick layer) 1st class</t>
        </is>
      </c>
      <c r="C149" s="13" t="inlineStr">
        <is>
          <t>day</t>
        </is>
      </c>
      <c r="D149" s="15" t="n">
        <v>0.12</v>
      </c>
      <c r="E149" s="16" t="n">
        <v>738</v>
      </c>
      <c r="F149" s="16">
        <f>D149*E149</f>
        <v/>
      </c>
    </row>
    <row r="150">
      <c r="A150" s="13" t="inlineStr">
        <is>
          <t>0124</t>
        </is>
      </c>
      <c r="B150" s="14" t="inlineStr">
        <is>
          <t>Mason (brick layer) 2nd class</t>
        </is>
      </c>
      <c r="C150" s="13" t="inlineStr">
        <is>
          <t>day</t>
        </is>
      </c>
      <c r="D150" s="15" t="n">
        <v>0.12</v>
      </c>
      <c r="E150" s="16" t="n">
        <v>679</v>
      </c>
      <c r="F150" s="16">
        <f>D150*E150</f>
        <v/>
      </c>
    </row>
    <row r="151">
      <c r="A151" s="13" t="inlineStr">
        <is>
          <t>0114</t>
        </is>
      </c>
      <c r="B151" s="14" t="inlineStr">
        <is>
          <t>Beldar</t>
        </is>
      </c>
      <c r="C151" s="13" t="inlineStr">
        <is>
          <t>day</t>
        </is>
      </c>
      <c r="D151" s="15" t="n">
        <v>0.06</v>
      </c>
      <c r="E151" s="16" t="n">
        <v>558</v>
      </c>
      <c r="F151" s="16">
        <f>D151*E151</f>
        <v/>
      </c>
    </row>
    <row r="152">
      <c r="A152" s="17" t="inlineStr">
        <is>
          <t>Resource Total (Material + Labour + Machinery, as printed)</t>
        </is>
      </c>
      <c r="B152" s="18" t="n"/>
      <c r="C152" s="18" t="n"/>
      <c r="D152" s="18" t="n"/>
      <c r="E152" s="18" t="n"/>
      <c r="F152" s="19">
        <f>SUM(F147:F151)</f>
        <v/>
      </c>
    </row>
    <row r="153">
      <c r="A153" s="20" t="inlineStr">
        <is>
          <t>SAY (Rs.) — final DAR rate</t>
        </is>
      </c>
      <c r="B153" s="21" t="n"/>
      <c r="C153" s="21" t="n"/>
      <c r="D153" s="21" t="n"/>
      <c r="E153" s="21" t="n"/>
      <c r="F153" s="22" t="n">
        <v>254</v>
      </c>
    </row>
    <row r="155" ht="28" customHeight="1">
      <c r="A155" s="9" t="inlineStr">
        <is>
          <t>6.8</t>
        </is>
      </c>
      <c r="B155" s="10" t="inlineStr">
        <is>
          <t>Brick work 7 cm thick with common burnt clay F.P.S. (non modular) brick of class designation 7.5 in cement mortar 1:3 (1 cement : 3 coarse s</t>
        </is>
      </c>
      <c r="C155" s="11" t="n"/>
      <c r="D155" s="11" t="n"/>
      <c r="E155" s="11" t="n"/>
      <c r="F155" s="11" t="n"/>
    </row>
    <row r="156">
      <c r="A156" s="12" t="inlineStr">
        <is>
          <t>Rate basis: per sqm  (source: cost for 10 sqm)</t>
        </is>
      </c>
    </row>
    <row r="157">
      <c r="A157" s="5" t="inlineStr">
        <is>
          <t>Code</t>
        </is>
      </c>
      <c r="B157" s="5" t="inlineStr">
        <is>
          <t>Description</t>
        </is>
      </c>
      <c r="C157" s="5" t="inlineStr">
        <is>
          <t>Unit</t>
        </is>
      </c>
      <c r="D157" s="5" t="inlineStr">
        <is>
          <t>Quantity</t>
        </is>
      </c>
      <c r="E157" s="5" t="inlineStr">
        <is>
          <t>Rate (Rs.)</t>
        </is>
      </c>
      <c r="F157" s="5" t="inlineStr">
        <is>
          <t>Amount (Rs.)</t>
        </is>
      </c>
    </row>
    <row r="158">
      <c r="A158" s="13" t="inlineStr">
        <is>
          <t>3.8</t>
        </is>
      </c>
      <c r="B158" s="14" t="inlineStr">
        <is>
          <t>Rate as per SH: 3.8</t>
        </is>
      </c>
      <c r="C158" s="13" t="inlineStr">
        <is>
          <t>cum</t>
        </is>
      </c>
      <c r="D158" s="15" t="n">
        <v>0.181</v>
      </c>
      <c r="E158" s="16" t="n">
        <v>4664.55</v>
      </c>
      <c r="F158" s="16">
        <f>D158*E158</f>
        <v/>
      </c>
    </row>
    <row r="159">
      <c r="A159" s="13" t="inlineStr">
        <is>
          <t>2602</t>
        </is>
      </c>
      <c r="B159" s="14" t="inlineStr">
        <is>
          <t>Common burnt clay F.P.S. (non modular) bricks class designation 7.5</t>
        </is>
      </c>
      <c r="C159" s="13" t="inlineStr">
        <is>
          <t>1000 Nos</t>
        </is>
      </c>
      <c r="D159" s="15" t="n">
        <v>0.377</v>
      </c>
      <c r="E159" s="16" t="n">
        <v>4500</v>
      </c>
      <c r="F159" s="16">
        <f>D159*E159</f>
        <v/>
      </c>
    </row>
    <row r="160">
      <c r="A160" s="13" t="inlineStr">
        <is>
          <t>2201</t>
        </is>
      </c>
      <c r="B160" s="14" t="inlineStr">
        <is>
          <t>Carriage of Bricks</t>
        </is>
      </c>
      <c r="C160" s="13" t="inlineStr">
        <is>
          <t>1000 Nos</t>
        </is>
      </c>
      <c r="D160" s="15" t="n">
        <v>0.377</v>
      </c>
      <c r="E160" s="16" t="n">
        <v>276.72</v>
      </c>
      <c r="F160" s="16">
        <f>D160*E160</f>
        <v/>
      </c>
    </row>
    <row r="161">
      <c r="A161" s="13" t="inlineStr">
        <is>
          <t>0123</t>
        </is>
      </c>
      <c r="B161" s="14" t="inlineStr">
        <is>
          <t>Mason (brick layer) 1st class</t>
        </is>
      </c>
      <c r="C161" s="13" t="inlineStr">
        <is>
          <t>day</t>
        </is>
      </c>
      <c r="D161" s="15" t="n">
        <v>0.72</v>
      </c>
      <c r="E161" s="16" t="n">
        <v>738</v>
      </c>
      <c r="F161" s="16">
        <f>D161*E161</f>
        <v/>
      </c>
    </row>
    <row r="162">
      <c r="A162" s="13" t="inlineStr">
        <is>
          <t>0124</t>
        </is>
      </c>
      <c r="B162" s="14" t="inlineStr">
        <is>
          <t>Mason (brick layer) 2nd class</t>
        </is>
      </c>
      <c r="C162" s="13" t="inlineStr">
        <is>
          <t>day</t>
        </is>
      </c>
      <c r="D162" s="15" t="n">
        <v>0.72</v>
      </c>
      <c r="E162" s="16" t="n">
        <v>679</v>
      </c>
      <c r="F162" s="16">
        <f>D162*E162</f>
        <v/>
      </c>
    </row>
    <row r="163">
      <c r="A163" s="13" t="inlineStr">
        <is>
          <t>0115</t>
        </is>
      </c>
      <c r="B163" s="14" t="inlineStr">
        <is>
          <t>Coolie</t>
        </is>
      </c>
      <c r="C163" s="13" t="inlineStr">
        <is>
          <t>day</t>
        </is>
      </c>
      <c r="D163" s="15" t="n">
        <v>1.76</v>
      </c>
      <c r="E163" s="16" t="n">
        <v>558</v>
      </c>
      <c r="F163" s="16">
        <f>D163*E163</f>
        <v/>
      </c>
    </row>
    <row r="164">
      <c r="A164" s="13" t="inlineStr">
        <is>
          <t>0101</t>
        </is>
      </c>
      <c r="B164" s="14" t="inlineStr">
        <is>
          <t>Bhisti</t>
        </is>
      </c>
      <c r="C164" s="13" t="inlineStr">
        <is>
          <t>day</t>
        </is>
      </c>
      <c r="D164" s="15" t="n">
        <v>0.36</v>
      </c>
      <c r="E164" s="16" t="n">
        <v>617</v>
      </c>
      <c r="F164" s="16">
        <f>D164*E164</f>
        <v/>
      </c>
    </row>
    <row r="165">
      <c r="A165" s="13" t="inlineStr">
        <is>
          <t>9999</t>
        </is>
      </c>
      <c r="B165" s="14" t="inlineStr">
        <is>
          <t>Sundries and scaffolding</t>
        </is>
      </c>
      <c r="C165" s="13" t="inlineStr">
        <is>
          <t>L.S.</t>
        </is>
      </c>
      <c r="D165" s="15" t="n">
        <v>7.15</v>
      </c>
      <c r="E165" s="16" t="n">
        <v>2</v>
      </c>
      <c r="F165" s="16">
        <f>D165*E165</f>
        <v/>
      </c>
    </row>
    <row r="166">
      <c r="A166" s="13" t="inlineStr">
        <is>
          <t>0115</t>
        </is>
      </c>
      <c r="B166" s="14" t="inlineStr">
        <is>
          <t>Coolie</t>
        </is>
      </c>
      <c r="C166" s="13" t="inlineStr">
        <is>
          <t>day</t>
        </is>
      </c>
      <c r="D166" s="15" t="n">
        <v>1.29</v>
      </c>
      <c r="E166" s="16" t="n">
        <v>558</v>
      </c>
      <c r="F166" s="16">
        <f>D166*E166</f>
        <v/>
      </c>
    </row>
    <row r="167">
      <c r="A167" s="17" t="inlineStr">
        <is>
          <t>Resource Total (Material + Labour + Machinery, as printed)</t>
        </is>
      </c>
      <c r="B167" s="18" t="n"/>
      <c r="C167" s="18" t="n"/>
      <c r="D167" s="18" t="n"/>
      <c r="E167" s="18" t="n"/>
      <c r="F167" s="19">
        <f>SUM(F158:F166)</f>
        <v/>
      </c>
    </row>
    <row r="168">
      <c r="A168" s="20" t="inlineStr">
        <is>
          <t>SAY (Rs.) — final DAR rate</t>
        </is>
      </c>
      <c r="B168" s="21" t="n"/>
      <c r="C168" s="21" t="n"/>
      <c r="D168" s="21" t="n"/>
      <c r="E168" s="21" t="n"/>
      <c r="F168" s="22" t="n">
        <v>749.75</v>
      </c>
    </row>
    <row r="170" ht="28" customHeight="1">
      <c r="A170" s="9" t="inlineStr">
        <is>
          <t>6.9</t>
        </is>
      </c>
      <c r="B170" s="10" t="inlineStr">
        <is>
          <t>Brick work in plain arches in superstructure above plinth level and upto floor five level including centering and shuttering complete for sp</t>
        </is>
      </c>
      <c r="C170" s="11" t="n"/>
      <c r="D170" s="11" t="n"/>
      <c r="E170" s="11" t="n"/>
      <c r="F170" s="11" t="n"/>
    </row>
    <row r="171">
      <c r="A171" s="12" t="inlineStr">
        <is>
          <t>Rate basis: per cum  (source: cost for 1 cum)</t>
        </is>
      </c>
    </row>
    <row r="172">
      <c r="A172" s="5" t="inlineStr">
        <is>
          <t>Code</t>
        </is>
      </c>
      <c r="B172" s="5" t="inlineStr">
        <is>
          <t>Description</t>
        </is>
      </c>
      <c r="C172" s="5" t="inlineStr">
        <is>
          <t>Unit</t>
        </is>
      </c>
      <c r="D172" s="5" t="inlineStr">
        <is>
          <t>Quantity</t>
        </is>
      </c>
      <c r="E172" s="5" t="inlineStr">
        <is>
          <t>Rate (Rs.)</t>
        </is>
      </c>
      <c r="F172" s="5" t="inlineStr">
        <is>
          <t>Amount (Rs.)</t>
        </is>
      </c>
    </row>
    <row r="173">
      <c r="A173" s="13" t="inlineStr">
        <is>
          <t>3.8</t>
        </is>
      </c>
      <c r="B173" s="14" t="inlineStr">
        <is>
          <t>Rate as per SH: 3.8</t>
        </is>
      </c>
      <c r="C173" s="13" t="inlineStr">
        <is>
          <t>cum</t>
        </is>
      </c>
      <c r="D173" s="15" t="n">
        <v>0.25</v>
      </c>
      <c r="E173" s="16" t="n">
        <v>4664.55</v>
      </c>
      <c r="F173" s="16">
        <f>D173*E173</f>
        <v/>
      </c>
    </row>
    <row r="174">
      <c r="A174" s="13" t="inlineStr">
        <is>
          <t>5.9.9</t>
        </is>
      </c>
      <c r="B174" s="14" t="inlineStr">
        <is>
          <t>Rate as per SH: 5.9.9</t>
        </is>
      </c>
      <c r="C174" s="13" t="inlineStr">
        <is>
          <t>sqm</t>
        </is>
      </c>
      <c r="D174" s="15" t="n">
        <v>2.25</v>
      </c>
      <c r="E174" s="16" t="n">
        <v>1713.2</v>
      </c>
      <c r="F174" s="16">
        <f>D174*E174</f>
        <v/>
      </c>
    </row>
    <row r="175">
      <c r="A175" s="13" t="inlineStr">
        <is>
          <t>2602</t>
        </is>
      </c>
      <c r="B175" s="14" t="inlineStr">
        <is>
          <t>Common burnt clay F.P.S. (non modular) bricks class designation 7.5</t>
        </is>
      </c>
      <c r="C175" s="13" t="inlineStr">
        <is>
          <t>1000 Nos</t>
        </is>
      </c>
      <c r="D175" s="15" t="n">
        <v>0.494</v>
      </c>
      <c r="E175" s="16" t="n">
        <v>4500</v>
      </c>
      <c r="F175" s="16">
        <f>D175*E175</f>
        <v/>
      </c>
    </row>
    <row r="176">
      <c r="A176" s="13" t="inlineStr">
        <is>
          <t>2201</t>
        </is>
      </c>
      <c r="B176" s="14" t="inlineStr">
        <is>
          <t>Carriage of Bricks</t>
        </is>
      </c>
      <c r="C176" s="13" t="inlineStr">
        <is>
          <t>1000 Nos</t>
        </is>
      </c>
      <c r="D176" s="15" t="n">
        <v>0.494</v>
      </c>
      <c r="E176" s="16" t="n">
        <v>276.72</v>
      </c>
      <c r="F176" s="16">
        <f>D176*E176</f>
        <v/>
      </c>
    </row>
    <row r="177">
      <c r="A177" s="13" t="inlineStr">
        <is>
          <t>9999</t>
        </is>
      </c>
      <c r="B177" s="14" t="inlineStr">
        <is>
          <t>Sundries</t>
        </is>
      </c>
      <c r="C177" s="13" t="inlineStr">
        <is>
          <t>L.S.</t>
        </is>
      </c>
      <c r="D177" s="15" t="n">
        <v>2.73</v>
      </c>
      <c r="E177" s="16" t="n">
        <v>2</v>
      </c>
      <c r="F177" s="16">
        <f>D177*E177</f>
        <v/>
      </c>
    </row>
    <row r="178">
      <c r="A178" s="13" t="inlineStr">
        <is>
          <t>9999</t>
        </is>
      </c>
      <c r="B178" s="14" t="inlineStr">
        <is>
          <t>Scaffolding</t>
        </is>
      </c>
      <c r="C178" s="13" t="inlineStr">
        <is>
          <t>L.S.</t>
        </is>
      </c>
      <c r="D178" s="15" t="n">
        <v>18.85</v>
      </c>
      <c r="E178" s="16" t="n">
        <v>2</v>
      </c>
      <c r="F178" s="16">
        <f>D178*E178</f>
        <v/>
      </c>
    </row>
    <row r="179">
      <c r="A179" s="13" t="inlineStr">
        <is>
          <t>0123</t>
        </is>
      </c>
      <c r="B179" s="14" t="inlineStr">
        <is>
          <t>Mason (brick layer) 1st class</t>
        </is>
      </c>
      <c r="C179" s="13" t="inlineStr">
        <is>
          <t>day</t>
        </is>
      </c>
      <c r="D179" s="15" t="n">
        <v>0.53</v>
      </c>
      <c r="E179" s="16" t="n">
        <v>738</v>
      </c>
      <c r="F179" s="16">
        <f>D179*E179</f>
        <v/>
      </c>
    </row>
    <row r="180">
      <c r="A180" s="13" t="inlineStr">
        <is>
          <t>0124</t>
        </is>
      </c>
      <c r="B180" s="14" t="inlineStr">
        <is>
          <t>Mason (brick layer) 2nd class</t>
        </is>
      </c>
      <c r="C180" s="13" t="inlineStr">
        <is>
          <t>day</t>
        </is>
      </c>
      <c r="D180" s="15" t="n">
        <v>0.53</v>
      </c>
      <c r="E180" s="16" t="n">
        <v>679</v>
      </c>
      <c r="F180" s="16">
        <f>D180*E180</f>
        <v/>
      </c>
    </row>
    <row r="181">
      <c r="A181" s="13" t="inlineStr">
        <is>
          <t>0115</t>
        </is>
      </c>
      <c r="B181" s="14" t="inlineStr">
        <is>
          <t>Coolie</t>
        </is>
      </c>
      <c r="C181" s="13" t="inlineStr">
        <is>
          <t>day</t>
        </is>
      </c>
      <c r="D181" s="15" t="n">
        <v>2.29</v>
      </c>
      <c r="E181" s="16" t="n">
        <v>558</v>
      </c>
      <c r="F181" s="16">
        <f>D181*E181</f>
        <v/>
      </c>
    </row>
    <row r="182">
      <c r="A182" s="13" t="inlineStr">
        <is>
          <t>0101</t>
        </is>
      </c>
      <c r="B182" s="14" t="inlineStr">
        <is>
          <t>Bhisti</t>
        </is>
      </c>
      <c r="C182" s="13" t="inlineStr">
        <is>
          <t>day</t>
        </is>
      </c>
      <c r="D182" s="15" t="n">
        <v>0.2</v>
      </c>
      <c r="E182" s="16" t="n">
        <v>617</v>
      </c>
      <c r="F182" s="16">
        <f>D182*E182</f>
        <v/>
      </c>
    </row>
    <row r="183">
      <c r="A183" s="13" t="inlineStr">
        <is>
          <t>0115</t>
        </is>
      </c>
      <c r="B183" s="14" t="inlineStr">
        <is>
          <t>Coolie</t>
        </is>
      </c>
      <c r="C183" s="13" t="inlineStr">
        <is>
          <t>day</t>
        </is>
      </c>
      <c r="D183" s="15" t="n">
        <v>1.13</v>
      </c>
      <c r="E183" s="16" t="n">
        <v>558</v>
      </c>
      <c r="F183" s="16">
        <f>D183*E183</f>
        <v/>
      </c>
    </row>
    <row r="184">
      <c r="A184" s="17" t="inlineStr">
        <is>
          <t>Resource Total (Material + Labour + Machinery, as printed)</t>
        </is>
      </c>
      <c r="B184" s="18" t="n"/>
      <c r="C184" s="18" t="n"/>
      <c r="D184" s="18" t="n"/>
      <c r="E184" s="18" t="n"/>
      <c r="F184" s="19">
        <f>SUM(F173:F183)</f>
        <v/>
      </c>
    </row>
    <row r="185">
      <c r="A185" s="20" t="inlineStr">
        <is>
          <t>SAY (Rs.) — final DAR rate</t>
        </is>
      </c>
      <c r="B185" s="21" t="n"/>
      <c r="C185" s="21" t="n"/>
      <c r="D185" s="21" t="n"/>
      <c r="E185" s="21" t="n"/>
      <c r="F185" s="22" t="n">
        <v>12352.95</v>
      </c>
    </row>
    <row r="187" ht="28" customHeight="1">
      <c r="A187" s="9" t="inlineStr">
        <is>
          <t>6.10</t>
        </is>
      </c>
      <c r="B187" s="10" t="inlineStr">
        <is>
          <t>Brick work in gauged arches in superstructure above plinth level and upto floor five level in cement mortar 1:3 (1 cement : 3 coarse sand) i</t>
        </is>
      </c>
      <c r="C187" s="11" t="n"/>
      <c r="D187" s="11" t="n"/>
      <c r="E187" s="11" t="n"/>
      <c r="F187" s="11" t="n"/>
    </row>
    <row r="188">
      <c r="A188" s="12" t="inlineStr">
        <is>
          <t>Rate basis: per cum  (source: cost for 1 cum)</t>
        </is>
      </c>
    </row>
    <row r="189">
      <c r="A189" s="5" t="inlineStr">
        <is>
          <t>Code</t>
        </is>
      </c>
      <c r="B189" s="5" t="inlineStr">
        <is>
          <t>Description</t>
        </is>
      </c>
      <c r="C189" s="5" t="inlineStr">
        <is>
          <t>Unit</t>
        </is>
      </c>
      <c r="D189" s="5" t="inlineStr">
        <is>
          <t>Quantity</t>
        </is>
      </c>
      <c r="E189" s="5" t="inlineStr">
        <is>
          <t>Rate (Rs.)</t>
        </is>
      </c>
      <c r="F189" s="5" t="inlineStr">
        <is>
          <t>Amount (Rs.)</t>
        </is>
      </c>
    </row>
    <row r="190">
      <c r="A190" s="13" t="inlineStr">
        <is>
          <t>3.8</t>
        </is>
      </c>
      <c r="B190" s="14" t="inlineStr">
        <is>
          <t>Rate as per SH: 3.8</t>
        </is>
      </c>
      <c r="C190" s="13" t="inlineStr">
        <is>
          <t>cum</t>
        </is>
      </c>
      <c r="D190" s="15" t="n">
        <v>0.25</v>
      </c>
      <c r="E190" s="16" t="n">
        <v>4664.55</v>
      </c>
      <c r="F190" s="16">
        <f>D190*E190</f>
        <v/>
      </c>
    </row>
    <row r="191">
      <c r="A191" s="13" t="inlineStr">
        <is>
          <t>5.9.9</t>
        </is>
      </c>
      <c r="B191" s="14" t="inlineStr">
        <is>
          <t>Rate as per SH: 5.9.9</t>
        </is>
      </c>
      <c r="C191" s="13" t="inlineStr">
        <is>
          <t>sqm</t>
        </is>
      </c>
      <c r="D191" s="15" t="n">
        <v>2.25</v>
      </c>
      <c r="E191" s="16" t="n">
        <v>1713.2</v>
      </c>
      <c r="F191" s="16">
        <f>D191*E191</f>
        <v/>
      </c>
    </row>
    <row r="192">
      <c r="A192" s="13" t="inlineStr">
        <is>
          <t>2602</t>
        </is>
      </c>
      <c r="B192" s="14" t="inlineStr">
        <is>
          <t>Common burnt clay F.P.S. (non modular) bricks class designation 7.5</t>
        </is>
      </c>
      <c r="C192" s="13" t="inlineStr">
        <is>
          <t>1000 Nos</t>
        </is>
      </c>
      <c r="D192" s="15" t="n">
        <v>0.538</v>
      </c>
      <c r="E192" s="16" t="n">
        <v>4500</v>
      </c>
      <c r="F192" s="16">
        <f>D192*E192</f>
        <v/>
      </c>
    </row>
    <row r="193">
      <c r="A193" s="13" t="inlineStr">
        <is>
          <t>2201</t>
        </is>
      </c>
      <c r="B193" s="14" t="inlineStr">
        <is>
          <t>Carriage of Bricks</t>
        </is>
      </c>
      <c r="C193" s="13" t="inlineStr">
        <is>
          <t>1000 Nos</t>
        </is>
      </c>
      <c r="D193" s="15" t="n">
        <v>0.538</v>
      </c>
      <c r="E193" s="16" t="n">
        <v>276.72</v>
      </c>
      <c r="F193" s="16">
        <f>D193*E193</f>
        <v/>
      </c>
    </row>
    <row r="194">
      <c r="A194" s="13" t="inlineStr">
        <is>
          <t>9999</t>
        </is>
      </c>
      <c r="B194" s="14" t="inlineStr">
        <is>
          <t>Sundries</t>
        </is>
      </c>
      <c r="C194" s="13" t="inlineStr">
        <is>
          <t>L.S.</t>
        </is>
      </c>
      <c r="D194" s="15" t="n">
        <v>2.73</v>
      </c>
      <c r="E194" s="16" t="n">
        <v>2</v>
      </c>
      <c r="F194" s="16">
        <f>D194*E194</f>
        <v/>
      </c>
    </row>
    <row r="195">
      <c r="A195" s="13" t="inlineStr">
        <is>
          <t>9999</t>
        </is>
      </c>
      <c r="B195" s="14" t="inlineStr">
        <is>
          <t>Scaffolding</t>
        </is>
      </c>
      <c r="C195" s="13" t="inlineStr">
        <is>
          <t>L.S.</t>
        </is>
      </c>
      <c r="D195" s="15" t="n">
        <v>18.85</v>
      </c>
      <c r="E195" s="16" t="n">
        <v>2</v>
      </c>
      <c r="F195" s="16">
        <f>D195*E195</f>
        <v/>
      </c>
    </row>
    <row r="196">
      <c r="A196" s="13" t="inlineStr">
        <is>
          <t>0123</t>
        </is>
      </c>
      <c r="B196" s="14" t="inlineStr">
        <is>
          <t>Mason (brick layer) 1st class</t>
        </is>
      </c>
      <c r="C196" s="13" t="inlineStr">
        <is>
          <t>day</t>
        </is>
      </c>
      <c r="D196" s="15" t="n">
        <v>1.13</v>
      </c>
      <c r="E196" s="16" t="n">
        <v>738</v>
      </c>
      <c r="F196" s="16">
        <f>D196*E196</f>
        <v/>
      </c>
    </row>
    <row r="197">
      <c r="A197" s="13" t="inlineStr">
        <is>
          <t>0124</t>
        </is>
      </c>
      <c r="B197" s="14" t="inlineStr">
        <is>
          <t>Mason (brick layer) 2nd class</t>
        </is>
      </c>
      <c r="C197" s="13" t="inlineStr">
        <is>
          <t>day</t>
        </is>
      </c>
      <c r="D197" s="15" t="n">
        <v>1.13</v>
      </c>
      <c r="E197" s="16" t="n">
        <v>679</v>
      </c>
      <c r="F197" s="16">
        <f>D197*E197</f>
        <v/>
      </c>
    </row>
    <row r="198">
      <c r="A198" s="13" t="inlineStr">
        <is>
          <t>0115</t>
        </is>
      </c>
      <c r="B198" s="14" t="inlineStr">
        <is>
          <t>Coolie</t>
        </is>
      </c>
      <c r="C198" s="13" t="inlineStr">
        <is>
          <t>day</t>
        </is>
      </c>
      <c r="D198" s="15" t="n">
        <v>4.42</v>
      </c>
      <c r="E198" s="16" t="n">
        <v>558</v>
      </c>
      <c r="F198" s="16">
        <f>D198*E198</f>
        <v/>
      </c>
    </row>
    <row r="199">
      <c r="A199" s="13" t="inlineStr">
        <is>
          <t>0101</t>
        </is>
      </c>
      <c r="B199" s="14" t="inlineStr">
        <is>
          <t>Bhisti</t>
        </is>
      </c>
      <c r="C199" s="13" t="inlineStr">
        <is>
          <t>day</t>
        </is>
      </c>
      <c r="D199" s="15" t="n">
        <v>0.2</v>
      </c>
      <c r="E199" s="16" t="n">
        <v>617</v>
      </c>
      <c r="F199" s="16">
        <f>D199*E199</f>
        <v/>
      </c>
    </row>
    <row r="200">
      <c r="A200" s="13" t="inlineStr">
        <is>
          <t>0115</t>
        </is>
      </c>
      <c r="B200" s="14" t="inlineStr">
        <is>
          <t>Coolie</t>
        </is>
      </c>
      <c r="C200" s="13" t="inlineStr">
        <is>
          <t>day</t>
        </is>
      </c>
      <c r="D200" s="15" t="n">
        <v>1.13</v>
      </c>
      <c r="E200" s="16" t="n">
        <v>558</v>
      </c>
      <c r="F200" s="16">
        <f>D200*E200</f>
        <v/>
      </c>
    </row>
    <row r="201">
      <c r="A201" s="17" t="inlineStr">
        <is>
          <t>Resource Total (Material + Labour + Machinery, as printed)</t>
        </is>
      </c>
      <c r="B201" s="18" t="n"/>
      <c r="C201" s="18" t="n"/>
      <c r="D201" s="18" t="n"/>
      <c r="E201" s="18" t="n"/>
      <c r="F201" s="19">
        <f>SUM(F190:F200)</f>
        <v/>
      </c>
    </row>
    <row r="202">
      <c r="A202" s="20" t="inlineStr">
        <is>
          <t>SAY (Rs.) — final DAR rate</t>
        </is>
      </c>
      <c r="B202" s="21" t="n"/>
      <c r="C202" s="21" t="n"/>
      <c r="D202" s="21" t="n"/>
      <c r="E202" s="21" t="n"/>
      <c r="F202" s="22" t="n">
        <v>15361.9</v>
      </c>
    </row>
    <row r="204" ht="28" customHeight="1">
      <c r="A204" s="9" t="inlineStr">
        <is>
          <t>6.11</t>
        </is>
      </c>
      <c r="B204" s="10" t="inlineStr">
        <is>
          <t>Extra for additional cost of centering for arches exceeding 6m span including all shuttering, bolting, wedging and removal (Area of the soff</t>
        </is>
      </c>
      <c r="C204" s="11" t="n"/>
      <c r="D204" s="11" t="n"/>
      <c r="E204" s="11" t="n"/>
      <c r="F204" s="11" t="n"/>
    </row>
    <row r="205">
      <c r="A205" s="12" t="inlineStr">
        <is>
          <t>Rate basis: per sqm  (source: cost for 33.31 sqm)</t>
        </is>
      </c>
    </row>
    <row r="206">
      <c r="A206" s="5" t="inlineStr">
        <is>
          <t>Code</t>
        </is>
      </c>
      <c r="B206" s="5" t="inlineStr">
        <is>
          <t>Description</t>
        </is>
      </c>
      <c r="C206" s="5" t="inlineStr">
        <is>
          <t>Unit</t>
        </is>
      </c>
      <c r="D206" s="5" t="inlineStr">
        <is>
          <t>Quantity</t>
        </is>
      </c>
      <c r="E206" s="5" t="inlineStr">
        <is>
          <t>Rate (Rs.)</t>
        </is>
      </c>
      <c r="F206" s="5" t="inlineStr">
        <is>
          <t>Amount (Rs.)</t>
        </is>
      </c>
    </row>
    <row r="207">
      <c r="A207" s="13" t="inlineStr">
        <is>
          <t>2204</t>
        </is>
      </c>
      <c r="B207" s="14" t="inlineStr">
        <is>
          <t>Carriage of Timber</t>
        </is>
      </c>
      <c r="C207" s="13" t="inlineStr">
        <is>
          <t>cum</t>
        </is>
      </c>
      <c r="D207" s="15" t="n">
        <v>0.8879</v>
      </c>
      <c r="E207" s="16" t="n">
        <v>118.59</v>
      </c>
      <c r="F207" s="16">
        <f>D207*E207</f>
        <v/>
      </c>
    </row>
    <row r="208">
      <c r="A208" s="13" t="inlineStr">
        <is>
          <t>1225</t>
        </is>
      </c>
      <c r="B208" s="14" t="inlineStr">
        <is>
          <t>Mild steel flat strap fitting</t>
        </is>
      </c>
      <c r="C208" s="13" t="inlineStr">
        <is>
          <t>quintal</t>
        </is>
      </c>
      <c r="D208" s="15" t="n">
        <v>0.0878</v>
      </c>
      <c r="E208" s="16" t="n">
        <v>4120</v>
      </c>
      <c r="F208" s="16">
        <f>D208*E208</f>
        <v/>
      </c>
    </row>
    <row r="209">
      <c r="A209" s="13" t="inlineStr">
        <is>
          <t>1034</t>
        </is>
      </c>
      <c r="B209" s="14" t="inlineStr">
        <is>
          <t>Bolts and nuts upto 300 mm in length</t>
        </is>
      </c>
      <c r="C209" s="13" t="inlineStr">
        <is>
          <t>quintal</t>
        </is>
      </c>
      <c r="D209" s="15" t="n">
        <v>0.08</v>
      </c>
      <c r="E209" s="16" t="n">
        <v>4800</v>
      </c>
      <c r="F209" s="16">
        <f>D209*E209</f>
        <v/>
      </c>
    </row>
    <row r="210">
      <c r="A210" s="13" t="inlineStr">
        <is>
          <t>2302</t>
        </is>
      </c>
      <c r="B210" s="14" t="inlineStr">
        <is>
          <t>Carriage of G.I.sheet and accessories</t>
        </is>
      </c>
      <c r="C210" s="13" t="inlineStr">
        <is>
          <t>tonne</t>
        </is>
      </c>
      <c r="D210" s="15" t="n">
        <v>0.0168</v>
      </c>
      <c r="E210" s="16" t="n">
        <v>92.23999999999999</v>
      </c>
      <c r="F210" s="16">
        <f>D210*E210</f>
        <v/>
      </c>
    </row>
    <row r="211">
      <c r="A211" s="13" t="inlineStr">
        <is>
          <t>0112</t>
        </is>
      </c>
      <c r="B211" s="14" t="inlineStr">
        <is>
          <t>Carpenter 2nd class</t>
        </is>
      </c>
      <c r="C211" s="13" t="inlineStr">
        <is>
          <t>day</t>
        </is>
      </c>
      <c r="D211" s="15" t="n">
        <v>28</v>
      </c>
      <c r="E211" s="16" t="n">
        <v>679</v>
      </c>
      <c r="F211" s="16">
        <f>D211*E211</f>
        <v/>
      </c>
    </row>
    <row r="212">
      <c r="A212" s="13" t="inlineStr">
        <is>
          <t>0114</t>
        </is>
      </c>
      <c r="B212" s="14" t="inlineStr">
        <is>
          <t>Beldar</t>
        </is>
      </c>
      <c r="C212" s="13" t="inlineStr">
        <is>
          <t>day</t>
        </is>
      </c>
      <c r="D212" s="15" t="n">
        <v>24</v>
      </c>
      <c r="E212" s="16" t="n">
        <v>558</v>
      </c>
      <c r="F212" s="16">
        <f>D212*E212</f>
        <v/>
      </c>
    </row>
    <row r="213">
      <c r="A213" s="13" t="inlineStr">
        <is>
          <t>9999</t>
        </is>
      </c>
      <c r="B213" s="14" t="inlineStr">
        <is>
          <t>Sundries</t>
        </is>
      </c>
      <c r="C213" s="13" t="inlineStr">
        <is>
          <t>L.S.</t>
        </is>
      </c>
      <c r="D213" s="15" t="n">
        <v>134.55</v>
      </c>
      <c r="E213" s="16" t="n">
        <v>2</v>
      </c>
      <c r="F213" s="16">
        <f>D213*E213</f>
        <v/>
      </c>
    </row>
    <row r="214">
      <c r="A214" s="17" t="inlineStr">
        <is>
          <t>Resource Total (Material + Labour + Machinery, as printed)</t>
        </is>
      </c>
      <c r="B214" s="18" t="n"/>
      <c r="C214" s="18" t="n"/>
      <c r="D214" s="18" t="n"/>
      <c r="E214" s="18" t="n"/>
      <c r="F214" s="19">
        <f>SUM(F207:F213)</f>
        <v/>
      </c>
    </row>
    <row r="215">
      <c r="A215" s="20" t="inlineStr">
        <is>
          <t>SAY (Rs.) — final DAR rate</t>
        </is>
      </c>
      <c r="B215" s="21" t="n"/>
      <c r="C215" s="21" t="n"/>
      <c r="D215" s="21" t="n"/>
      <c r="E215" s="21" t="n"/>
      <c r="F215" s="22" t="n">
        <v>560.65</v>
      </c>
    </row>
    <row r="217" ht="18" customHeight="1">
      <c r="A217" s="9" t="inlineStr">
        <is>
          <t>6.12.1</t>
        </is>
      </c>
      <c r="B217" s="10" t="inlineStr">
        <is>
          <t>Cement mortar 1:3 (1 cement : 3 coarse sand)</t>
        </is>
      </c>
      <c r="C217" s="11" t="n"/>
      <c r="D217" s="11" t="n"/>
      <c r="E217" s="11" t="n"/>
      <c r="F217" s="11" t="n"/>
    </row>
    <row r="218">
      <c r="A218" s="12" t="inlineStr">
        <is>
          <t>Rate basis: per sqm  (source: cost for 10 sqm)</t>
        </is>
      </c>
    </row>
    <row r="219">
      <c r="A219" s="5" t="inlineStr">
        <is>
          <t>Code</t>
        </is>
      </c>
      <c r="B219" s="5" t="inlineStr">
        <is>
          <t>Description</t>
        </is>
      </c>
      <c r="C219" s="5" t="inlineStr">
        <is>
          <t>Unit</t>
        </is>
      </c>
      <c r="D219" s="5" t="inlineStr">
        <is>
          <t>Quantity</t>
        </is>
      </c>
      <c r="E219" s="5" t="inlineStr">
        <is>
          <t>Rate (Rs.)</t>
        </is>
      </c>
      <c r="F219" s="5" t="inlineStr">
        <is>
          <t>Amount (Rs.)</t>
        </is>
      </c>
    </row>
    <row r="220">
      <c r="A220" s="13" t="inlineStr">
        <is>
          <t>2602</t>
        </is>
      </c>
      <c r="B220" s="14" t="inlineStr">
        <is>
          <t>Common burnt clay F.P.S. (non modular) bricks class designation 7.5</t>
        </is>
      </c>
      <c r="C220" s="13" t="inlineStr">
        <is>
          <t>1000 Nos</t>
        </is>
      </c>
      <c r="D220" s="15" t="n">
        <v>0.5649999999999999</v>
      </c>
      <c r="E220" s="16" t="n">
        <v>4500</v>
      </c>
      <c r="F220" s="16">
        <f>D220*E220</f>
        <v/>
      </c>
    </row>
    <row r="221">
      <c r="A221" s="13" t="inlineStr">
        <is>
          <t>2201</t>
        </is>
      </c>
      <c r="B221" s="14" t="inlineStr">
        <is>
          <t>Carriage of Bricks</t>
        </is>
      </c>
      <c r="C221" s="13" t="inlineStr">
        <is>
          <t>1000 Nos</t>
        </is>
      </c>
      <c r="D221" s="15" t="n">
        <v>0.5649999999999999</v>
      </c>
      <c r="E221" s="16" t="n">
        <v>276.72</v>
      </c>
      <c r="F221" s="16">
        <f>D221*E221</f>
        <v/>
      </c>
    </row>
    <row r="222">
      <c r="A222" s="13" t="inlineStr">
        <is>
          <t>9999</t>
        </is>
      </c>
      <c r="B222" s="14" t="inlineStr">
        <is>
          <t>Sundries &amp; Scaffolding</t>
        </is>
      </c>
      <c r="C222" s="13" t="inlineStr">
        <is>
          <t>L.S.</t>
        </is>
      </c>
      <c r="D222" s="15" t="n">
        <v>13.52</v>
      </c>
      <c r="E222" s="16" t="n">
        <v>2</v>
      </c>
      <c r="F222" s="16">
        <f>D222*E222</f>
        <v/>
      </c>
    </row>
    <row r="223">
      <c r="A223" s="13" t="inlineStr">
        <is>
          <t>0123</t>
        </is>
      </c>
      <c r="B223" s="14" t="inlineStr">
        <is>
          <t>Mason (brick layer) 1st class</t>
        </is>
      </c>
      <c r="C223" s="13" t="inlineStr">
        <is>
          <t>day</t>
        </is>
      </c>
      <c r="D223" s="15" t="n">
        <v>0.45</v>
      </c>
      <c r="E223" s="16" t="n">
        <v>738</v>
      </c>
      <c r="F223" s="16">
        <f>D223*E223</f>
        <v/>
      </c>
    </row>
    <row r="224">
      <c r="A224" s="13" t="inlineStr">
        <is>
          <t>0124</t>
        </is>
      </c>
      <c r="B224" s="14" t="inlineStr">
        <is>
          <t>Mason (brick layer) 2nd class</t>
        </is>
      </c>
      <c r="C224" s="13" t="inlineStr">
        <is>
          <t>day</t>
        </is>
      </c>
      <c r="D224" s="15" t="n">
        <v>0.45</v>
      </c>
      <c r="E224" s="16" t="n">
        <v>679</v>
      </c>
      <c r="F224" s="16">
        <f>D224*E224</f>
        <v/>
      </c>
    </row>
    <row r="225">
      <c r="A225" s="13" t="inlineStr">
        <is>
          <t>0115</t>
        </is>
      </c>
      <c r="B225" s="14" t="inlineStr">
        <is>
          <t>Coolie</t>
        </is>
      </c>
      <c r="C225" s="13" t="inlineStr">
        <is>
          <t>day</t>
        </is>
      </c>
      <c r="D225" s="15" t="n">
        <v>1.55</v>
      </c>
      <c r="E225" s="16" t="n">
        <v>558</v>
      </c>
      <c r="F225" s="16">
        <f>D225*E225</f>
        <v/>
      </c>
    </row>
    <row r="226">
      <c r="A226" s="13" t="inlineStr">
        <is>
          <t>0101</t>
        </is>
      </c>
      <c r="B226" s="14" t="inlineStr">
        <is>
          <t>Bhisti</t>
        </is>
      </c>
      <c r="C226" s="13" t="inlineStr">
        <is>
          <t>day</t>
        </is>
      </c>
      <c r="D226" s="15" t="n">
        <v>0.7</v>
      </c>
      <c r="E226" s="16" t="n">
        <v>617</v>
      </c>
      <c r="F226" s="16">
        <f>D226*E226</f>
        <v/>
      </c>
    </row>
    <row r="227">
      <c r="A227" s="17" t="inlineStr">
        <is>
          <t>Resource Total (Material + Labour + Machinery, as printed)</t>
        </is>
      </c>
      <c r="B227" s="18" t="n"/>
      <c r="C227" s="18" t="n"/>
      <c r="D227" s="18" t="n"/>
      <c r="E227" s="18" t="n"/>
      <c r="F227" s="19">
        <f>SUM(F220:F226)</f>
        <v/>
      </c>
    </row>
    <row r="228">
      <c r="A228" s="20" t="inlineStr">
        <is>
          <t>SAY (Rs.) — final DAR rate</t>
        </is>
      </c>
      <c r="B228" s="21" t="n"/>
      <c r="C228" s="21" t="n"/>
      <c r="D228" s="21" t="n"/>
      <c r="E228" s="21" t="n"/>
      <c r="F228" s="22" t="n">
        <v>798.25</v>
      </c>
    </row>
    <row r="230" ht="18" customHeight="1">
      <c r="A230" s="9" t="inlineStr">
        <is>
          <t>6.12.2</t>
        </is>
      </c>
      <c r="B230" s="10" t="inlineStr">
        <is>
          <t>cement mortar 1:4 (1 cement : 4 coarse sand)</t>
        </is>
      </c>
      <c r="C230" s="11" t="n"/>
      <c r="D230" s="11" t="n"/>
      <c r="E230" s="11" t="n"/>
      <c r="F230" s="11" t="n"/>
    </row>
    <row r="231">
      <c r="A231" s="12" t="inlineStr">
        <is>
          <t>Rate basis: per sqm  (source: cost for 10 sqm)</t>
        </is>
      </c>
    </row>
    <row r="232">
      <c r="A232" s="5" t="inlineStr">
        <is>
          <t>Code</t>
        </is>
      </c>
      <c r="B232" s="5" t="inlineStr">
        <is>
          <t>Description</t>
        </is>
      </c>
      <c r="C232" s="5" t="inlineStr">
        <is>
          <t>Unit</t>
        </is>
      </c>
      <c r="D232" s="5" t="inlineStr">
        <is>
          <t>Quantity</t>
        </is>
      </c>
      <c r="E232" s="5" t="inlineStr">
        <is>
          <t>Rate (Rs.)</t>
        </is>
      </c>
      <c r="F232" s="5" t="inlineStr">
        <is>
          <t>Amount (Rs.)</t>
        </is>
      </c>
    </row>
    <row r="233">
      <c r="A233" s="13" t="inlineStr">
        <is>
          <t>2602</t>
        </is>
      </c>
      <c r="B233" s="14" t="inlineStr">
        <is>
          <t>Common burnt clay F.P.S. (non modular) bricks class designation 7.5</t>
        </is>
      </c>
      <c r="C233" s="13" t="inlineStr">
        <is>
          <t>1000 Nos</t>
        </is>
      </c>
      <c r="D233" s="15" t="n">
        <v>0.5649999999999999</v>
      </c>
      <c r="E233" s="16" t="n">
        <v>4500</v>
      </c>
      <c r="F233" s="16">
        <f>D233*E233</f>
        <v/>
      </c>
    </row>
    <row r="234">
      <c r="A234" s="13" t="inlineStr">
        <is>
          <t>2201</t>
        </is>
      </c>
      <c r="B234" s="14" t="inlineStr">
        <is>
          <t>Carriage of Bricks</t>
        </is>
      </c>
      <c r="C234" s="13" t="inlineStr">
        <is>
          <t>1000 Nos</t>
        </is>
      </c>
      <c r="D234" s="15" t="n">
        <v>0.5649999999999999</v>
      </c>
      <c r="E234" s="16" t="n">
        <v>276.72</v>
      </c>
      <c r="F234" s="16">
        <f>D234*E234</f>
        <v/>
      </c>
    </row>
    <row r="235">
      <c r="A235" s="13" t="inlineStr">
        <is>
          <t>9999</t>
        </is>
      </c>
      <c r="B235" s="14" t="inlineStr">
        <is>
          <t>Sundries &amp; Scaffolding</t>
        </is>
      </c>
      <c r="C235" s="13" t="inlineStr">
        <is>
          <t>L.S.</t>
        </is>
      </c>
      <c r="D235" s="15" t="n">
        <v>13.52</v>
      </c>
      <c r="E235" s="16" t="n">
        <v>2</v>
      </c>
      <c r="F235" s="16">
        <f>D235*E235</f>
        <v/>
      </c>
    </row>
    <row r="236">
      <c r="A236" s="13" t="inlineStr">
        <is>
          <t>0123</t>
        </is>
      </c>
      <c r="B236" s="14" t="inlineStr">
        <is>
          <t>Mason (brick layer) 1st class</t>
        </is>
      </c>
      <c r="C236" s="13" t="inlineStr">
        <is>
          <t>day</t>
        </is>
      </c>
      <c r="D236" s="15" t="n">
        <v>0.45</v>
      </c>
      <c r="E236" s="16" t="n">
        <v>738</v>
      </c>
      <c r="F236" s="16">
        <f>D236*E236</f>
        <v/>
      </c>
    </row>
    <row r="237">
      <c r="A237" s="13" t="inlineStr">
        <is>
          <t>0124</t>
        </is>
      </c>
      <c r="B237" s="14" t="inlineStr">
        <is>
          <t>Mason (brick layer) 2nd class</t>
        </is>
      </c>
      <c r="C237" s="13" t="inlineStr">
        <is>
          <t>day</t>
        </is>
      </c>
      <c r="D237" s="15" t="n">
        <v>0.45</v>
      </c>
      <c r="E237" s="16" t="n">
        <v>679</v>
      </c>
      <c r="F237" s="16">
        <f>D237*E237</f>
        <v/>
      </c>
    </row>
    <row r="238">
      <c r="A238" s="13" t="inlineStr">
        <is>
          <t>0115</t>
        </is>
      </c>
      <c r="B238" s="14" t="inlineStr">
        <is>
          <t>Coolie</t>
        </is>
      </c>
      <c r="C238" s="13" t="inlineStr">
        <is>
          <t>day</t>
        </is>
      </c>
      <c r="D238" s="15" t="n">
        <v>1.55</v>
      </c>
      <c r="E238" s="16" t="n">
        <v>558</v>
      </c>
      <c r="F238" s="16">
        <f>D238*E238</f>
        <v/>
      </c>
    </row>
    <row r="239">
      <c r="A239" s="13" t="inlineStr">
        <is>
          <t>0101</t>
        </is>
      </c>
      <c r="B239" s="14" t="inlineStr">
        <is>
          <t>Bhisti</t>
        </is>
      </c>
      <c r="C239" s="13" t="inlineStr">
        <is>
          <t>day</t>
        </is>
      </c>
      <c r="D239" s="15" t="n">
        <v>0.7</v>
      </c>
      <c r="E239" s="16" t="n">
        <v>617</v>
      </c>
      <c r="F239" s="16">
        <f>D239*E239</f>
        <v/>
      </c>
    </row>
    <row r="240">
      <c r="A240" s="17" t="inlineStr">
        <is>
          <t>Resource Total (Material + Labour + Machinery, as printed)</t>
        </is>
      </c>
      <c r="B240" s="18" t="n"/>
      <c r="C240" s="18" t="n"/>
      <c r="D240" s="18" t="n"/>
      <c r="E240" s="18" t="n"/>
      <c r="F240" s="19">
        <f>SUM(F233:F239)</f>
        <v/>
      </c>
    </row>
    <row r="241">
      <c r="A241" s="20" t="inlineStr">
        <is>
          <t>SAY (Rs.) — final DAR rate</t>
        </is>
      </c>
      <c r="B241" s="21" t="n"/>
      <c r="C241" s="21" t="n"/>
      <c r="D241" s="21" t="n"/>
      <c r="E241" s="21" t="n"/>
      <c r="F241" s="22" t="n">
        <v>773.75</v>
      </c>
    </row>
    <row r="243" ht="18" customHeight="1">
      <c r="A243" s="9" t="inlineStr">
        <is>
          <t>6.13.1</t>
        </is>
      </c>
      <c r="B243" s="10" t="inlineStr">
        <is>
          <t>Cement mortar 1:3 (1 cement :3 coarse sand)</t>
        </is>
      </c>
      <c r="C243" s="11" t="n"/>
      <c r="D243" s="11" t="n"/>
      <c r="E243" s="11" t="n"/>
      <c r="F243" s="11" t="n"/>
    </row>
    <row r="244">
      <c r="A244" s="12" t="inlineStr">
        <is>
          <t>Rate basis: per sqm  (source: cost for 10 sqm)</t>
        </is>
      </c>
    </row>
    <row r="245">
      <c r="A245" s="5" t="inlineStr">
        <is>
          <t>Code</t>
        </is>
      </c>
      <c r="B245" s="5" t="inlineStr">
        <is>
          <t>Description</t>
        </is>
      </c>
      <c r="C245" s="5" t="inlineStr">
        <is>
          <t>Unit</t>
        </is>
      </c>
      <c r="D245" s="5" t="inlineStr">
        <is>
          <t>Quantity</t>
        </is>
      </c>
      <c r="E245" s="5" t="inlineStr">
        <is>
          <t>Rate (Rs.)</t>
        </is>
      </c>
      <c r="F245" s="5" t="inlineStr">
        <is>
          <t>Amount (Rs.)</t>
        </is>
      </c>
    </row>
    <row r="246">
      <c r="A246" s="13" t="inlineStr">
        <is>
          <t>3.8</t>
        </is>
      </c>
      <c r="B246" s="14" t="inlineStr">
        <is>
          <t>Rate as per SH: 3.8</t>
        </is>
      </c>
      <c r="C246" s="13" t="inlineStr">
        <is>
          <t>cum</t>
        </is>
      </c>
      <c r="D246" s="15" t="n">
        <v>0.28</v>
      </c>
      <c r="E246" s="16" t="n">
        <v>4664.55</v>
      </c>
      <c r="F246" s="16">
        <f>D246*E246</f>
        <v/>
      </c>
    </row>
    <row r="247">
      <c r="A247" s="13" t="inlineStr">
        <is>
          <t>2602</t>
        </is>
      </c>
      <c r="B247" s="14" t="inlineStr">
        <is>
          <t>Common burnt clay F.P.S. (non modular) bricks class designation 7.5</t>
        </is>
      </c>
      <c r="C247" s="13" t="inlineStr">
        <is>
          <t>1000 Nos</t>
        </is>
      </c>
      <c r="D247" s="15" t="n">
        <v>0.5649999999999999</v>
      </c>
      <c r="E247" s="16" t="n">
        <v>4500</v>
      </c>
      <c r="F247" s="16">
        <f>D247*E247</f>
        <v/>
      </c>
    </row>
    <row r="248">
      <c r="A248" s="13" t="inlineStr">
        <is>
          <t>2201</t>
        </is>
      </c>
      <c r="B248" s="14" t="inlineStr">
        <is>
          <t>Carriage of Bricks</t>
        </is>
      </c>
      <c r="C248" s="13" t="inlineStr">
        <is>
          <t>1000 Nos</t>
        </is>
      </c>
      <c r="D248" s="15" t="n">
        <v>0.5649999999999999</v>
      </c>
      <c r="E248" s="16" t="n">
        <v>276.72</v>
      </c>
      <c r="F248" s="16">
        <f>D248*E248</f>
        <v/>
      </c>
    </row>
    <row r="249">
      <c r="A249" s="13" t="inlineStr">
        <is>
          <t>9999</t>
        </is>
      </c>
      <c r="B249" s="14" t="inlineStr">
        <is>
          <t>Sundries &amp; Scaffolding</t>
        </is>
      </c>
      <c r="C249" s="13" t="inlineStr">
        <is>
          <t>L.S.</t>
        </is>
      </c>
      <c r="D249" s="15" t="n">
        <v>13.52</v>
      </c>
      <c r="E249" s="16" t="n">
        <v>2</v>
      </c>
      <c r="F249" s="16">
        <f>D249*E249</f>
        <v/>
      </c>
    </row>
    <row r="250">
      <c r="A250" s="13" t="inlineStr">
        <is>
          <t>0123</t>
        </is>
      </c>
      <c r="B250" s="14" t="inlineStr">
        <is>
          <t>Mason (brick layer) 1st class</t>
        </is>
      </c>
      <c r="C250" s="13" t="inlineStr">
        <is>
          <t>day</t>
        </is>
      </c>
      <c r="D250" s="15" t="n">
        <v>0.6</v>
      </c>
      <c r="E250" s="16" t="n">
        <v>738</v>
      </c>
      <c r="F250" s="16">
        <f>D250*E250</f>
        <v/>
      </c>
    </row>
    <row r="251">
      <c r="A251" s="13" t="inlineStr">
        <is>
          <t>0124</t>
        </is>
      </c>
      <c r="B251" s="14" t="inlineStr">
        <is>
          <t>Mason (brick layer) 2nd class</t>
        </is>
      </c>
      <c r="C251" s="13" t="inlineStr">
        <is>
          <t>day</t>
        </is>
      </c>
      <c r="D251" s="15" t="n">
        <v>0.6</v>
      </c>
      <c r="E251" s="16" t="n">
        <v>679</v>
      </c>
      <c r="F251" s="16">
        <f>D251*E251</f>
        <v/>
      </c>
    </row>
    <row r="252">
      <c r="A252" s="13" t="inlineStr">
        <is>
          <t>0115</t>
        </is>
      </c>
      <c r="B252" s="14" t="inlineStr">
        <is>
          <t>Coolie</t>
        </is>
      </c>
      <c r="C252" s="13" t="inlineStr">
        <is>
          <t>day</t>
        </is>
      </c>
      <c r="D252" s="15" t="n">
        <v>2</v>
      </c>
      <c r="E252" s="16" t="n">
        <v>558</v>
      </c>
      <c r="F252" s="16">
        <f>D252*E252</f>
        <v/>
      </c>
    </row>
    <row r="253">
      <c r="A253" s="13" t="inlineStr">
        <is>
          <t>0101</t>
        </is>
      </c>
      <c r="B253" s="14" t="inlineStr">
        <is>
          <t>Bhisti</t>
        </is>
      </c>
      <c r="C253" s="13" t="inlineStr">
        <is>
          <t>day</t>
        </is>
      </c>
      <c r="D253" s="15" t="n">
        <v>0.7</v>
      </c>
      <c r="E253" s="16" t="n">
        <v>617</v>
      </c>
      <c r="F253" s="16">
        <f>D253*E253</f>
        <v/>
      </c>
    </row>
    <row r="254">
      <c r="A254" s="13" t="inlineStr">
        <is>
          <t>0115</t>
        </is>
      </c>
      <c r="B254" s="14" t="inlineStr">
        <is>
          <t>Coolie</t>
        </is>
      </c>
      <c r="C254" s="13" t="inlineStr">
        <is>
          <t>day</t>
        </is>
      </c>
      <c r="D254" s="15" t="n">
        <v>1.29</v>
      </c>
      <c r="E254" s="16" t="n">
        <v>558</v>
      </c>
      <c r="F254" s="16">
        <f>D254*E254</f>
        <v/>
      </c>
    </row>
    <row r="255">
      <c r="A255" s="17" t="inlineStr">
        <is>
          <t>Resource Total (Material + Labour + Machinery, as printed)</t>
        </is>
      </c>
      <c r="B255" s="18" t="n"/>
      <c r="C255" s="18" t="n"/>
      <c r="D255" s="18" t="n"/>
      <c r="E255" s="18" t="n"/>
      <c r="F255" s="19">
        <f>SUM(F246:F254)</f>
        <v/>
      </c>
    </row>
    <row r="256">
      <c r="A256" s="20" t="inlineStr">
        <is>
          <t>SAY (Rs.) — final DAR rate</t>
        </is>
      </c>
      <c r="B256" s="21" t="n"/>
      <c r="C256" s="21" t="n"/>
      <c r="D256" s="21" t="n"/>
      <c r="E256" s="21" t="n"/>
      <c r="F256" s="22" t="n">
        <v>956.6</v>
      </c>
    </row>
    <row r="258" ht="18" customHeight="1">
      <c r="A258" s="9" t="inlineStr">
        <is>
          <t>6.13.2</t>
        </is>
      </c>
      <c r="B258" s="10" t="inlineStr">
        <is>
          <t>Cement mortar 1:4 (1 cement :4 coarse sand)</t>
        </is>
      </c>
      <c r="C258" s="11" t="n"/>
      <c r="D258" s="11" t="n"/>
      <c r="E258" s="11" t="n"/>
      <c r="F258" s="11" t="n"/>
    </row>
    <row r="259">
      <c r="A259" s="12" t="inlineStr">
        <is>
          <t>Rate basis: per sqm  (source: cost for 10 sqm)</t>
        </is>
      </c>
    </row>
    <row r="260">
      <c r="A260" s="5" t="inlineStr">
        <is>
          <t>Code</t>
        </is>
      </c>
      <c r="B260" s="5" t="inlineStr">
        <is>
          <t>Description</t>
        </is>
      </c>
      <c r="C260" s="5" t="inlineStr">
        <is>
          <t>Unit</t>
        </is>
      </c>
      <c r="D260" s="5" t="inlineStr">
        <is>
          <t>Quantity</t>
        </is>
      </c>
      <c r="E260" s="5" t="inlineStr">
        <is>
          <t>Rate (Rs.)</t>
        </is>
      </c>
      <c r="F260" s="5" t="inlineStr">
        <is>
          <t>Amount (Rs.)</t>
        </is>
      </c>
    </row>
    <row r="261">
      <c r="A261" s="13" t="inlineStr">
        <is>
          <t>3.9</t>
        </is>
      </c>
      <c r="B261" s="14" t="inlineStr">
        <is>
          <t>Rate as per SH: 3.9</t>
        </is>
      </c>
      <c r="C261" s="13" t="inlineStr">
        <is>
          <t>cum</t>
        </is>
      </c>
      <c r="D261" s="15" t="n">
        <v>0.28</v>
      </c>
      <c r="E261" s="16" t="n">
        <v>4010.35</v>
      </c>
      <c r="F261" s="16">
        <f>D261*E261</f>
        <v/>
      </c>
    </row>
    <row r="262">
      <c r="A262" s="13" t="inlineStr">
        <is>
          <t>2602</t>
        </is>
      </c>
      <c r="B262" s="14" t="inlineStr">
        <is>
          <t>Common burnt clay F.P.S. (non modular) bricks class designation 7.5</t>
        </is>
      </c>
      <c r="C262" s="13" t="inlineStr">
        <is>
          <t>1000 Nos</t>
        </is>
      </c>
      <c r="D262" s="15" t="n">
        <v>0.5649999999999999</v>
      </c>
      <c r="E262" s="16" t="n">
        <v>4500</v>
      </c>
      <c r="F262" s="16">
        <f>D262*E262</f>
        <v/>
      </c>
    </row>
    <row r="263">
      <c r="A263" s="13" t="inlineStr">
        <is>
          <t>2201</t>
        </is>
      </c>
      <c r="B263" s="14" t="inlineStr">
        <is>
          <t>Carriage of Bricks</t>
        </is>
      </c>
      <c r="C263" s="13" t="inlineStr">
        <is>
          <t>1000 Nos</t>
        </is>
      </c>
      <c r="D263" s="15" t="n">
        <v>0.5649999999999999</v>
      </c>
      <c r="E263" s="16" t="n">
        <v>276.72</v>
      </c>
      <c r="F263" s="16">
        <f>D263*E263</f>
        <v/>
      </c>
    </row>
    <row r="264">
      <c r="A264" s="13" t="inlineStr">
        <is>
          <t>9999</t>
        </is>
      </c>
      <c r="B264" s="14" t="inlineStr">
        <is>
          <t>Sundries &amp; Scaffolding</t>
        </is>
      </c>
      <c r="C264" s="13" t="inlineStr">
        <is>
          <t>L.S.</t>
        </is>
      </c>
      <c r="D264" s="15" t="n">
        <v>13.52</v>
      </c>
      <c r="E264" s="16" t="n">
        <v>2</v>
      </c>
      <c r="F264" s="16">
        <f>D264*E264</f>
        <v/>
      </c>
    </row>
    <row r="265">
      <c r="A265" s="13" t="inlineStr">
        <is>
          <t>0123</t>
        </is>
      </c>
      <c r="B265" s="14" t="inlineStr">
        <is>
          <t>Mason (brick layer) 1st class</t>
        </is>
      </c>
      <c r="C265" s="13" t="inlineStr">
        <is>
          <t>day</t>
        </is>
      </c>
      <c r="D265" s="15" t="n">
        <v>0.6</v>
      </c>
      <c r="E265" s="16" t="n">
        <v>738</v>
      </c>
      <c r="F265" s="16">
        <f>D265*E265</f>
        <v/>
      </c>
    </row>
    <row r="266">
      <c r="A266" s="13" t="inlineStr">
        <is>
          <t>0124</t>
        </is>
      </c>
      <c r="B266" s="14" t="inlineStr">
        <is>
          <t>Mason (brick layer) 2nd class</t>
        </is>
      </c>
      <c r="C266" s="13" t="inlineStr">
        <is>
          <t>day</t>
        </is>
      </c>
      <c r="D266" s="15" t="n">
        <v>0.6</v>
      </c>
      <c r="E266" s="16" t="n">
        <v>679</v>
      </c>
      <c r="F266" s="16">
        <f>D266*E266</f>
        <v/>
      </c>
    </row>
    <row r="267">
      <c r="A267" s="13" t="inlineStr">
        <is>
          <t>0115</t>
        </is>
      </c>
      <c r="B267" s="14" t="inlineStr">
        <is>
          <t>Coolie</t>
        </is>
      </c>
      <c r="C267" s="13" t="inlineStr">
        <is>
          <t>day</t>
        </is>
      </c>
      <c r="D267" s="15" t="n">
        <v>2</v>
      </c>
      <c r="E267" s="16" t="n">
        <v>558</v>
      </c>
      <c r="F267" s="16">
        <f>D267*E267</f>
        <v/>
      </c>
    </row>
    <row r="268">
      <c r="A268" s="13" t="inlineStr">
        <is>
          <t>0101</t>
        </is>
      </c>
      <c r="B268" s="14" t="inlineStr">
        <is>
          <t>Bhisti</t>
        </is>
      </c>
      <c r="C268" s="13" t="inlineStr">
        <is>
          <t>day</t>
        </is>
      </c>
      <c r="D268" s="15" t="n">
        <v>0.7</v>
      </c>
      <c r="E268" s="16" t="n">
        <v>617</v>
      </c>
      <c r="F268" s="16">
        <f>D268*E268</f>
        <v/>
      </c>
    </row>
    <row r="269">
      <c r="A269" s="13" t="inlineStr">
        <is>
          <t>0115</t>
        </is>
      </c>
      <c r="B269" s="14" t="inlineStr">
        <is>
          <t>Coolie</t>
        </is>
      </c>
      <c r="C269" s="13" t="inlineStr">
        <is>
          <t>day</t>
        </is>
      </c>
      <c r="D269" s="15" t="n">
        <v>1.29</v>
      </c>
      <c r="E269" s="16" t="n">
        <v>558</v>
      </c>
      <c r="F269" s="16">
        <f>D269*E269</f>
        <v/>
      </c>
    </row>
    <row r="270">
      <c r="A270" s="17" t="inlineStr">
        <is>
          <t>Resource Total (Material + Labour + Machinery, as printed)</t>
        </is>
      </c>
      <c r="B270" s="18" t="n"/>
      <c r="C270" s="18" t="n"/>
      <c r="D270" s="18" t="n"/>
      <c r="E270" s="18" t="n"/>
      <c r="F270" s="19">
        <f>SUM(F261:F269)</f>
        <v/>
      </c>
    </row>
    <row r="271">
      <c r="A271" s="20" t="inlineStr">
        <is>
          <t>SAY (Rs.) — final DAR rate</t>
        </is>
      </c>
      <c r="B271" s="21" t="n"/>
      <c r="C271" s="21" t="n"/>
      <c r="D271" s="21" t="n"/>
      <c r="E271" s="21" t="n"/>
      <c r="F271" s="22" t="n">
        <v>932.1</v>
      </c>
    </row>
    <row r="273" ht="28" customHeight="1">
      <c r="A273" s="9" t="inlineStr">
        <is>
          <t>6.14</t>
        </is>
      </c>
      <c r="B273" s="10" t="inlineStr">
        <is>
          <t>Extra for half brick masonry in superstructure, above floor V level for every four floors or part thereof by mechanical means.</t>
        </is>
      </c>
      <c r="C273" s="11" t="n"/>
      <c r="D273" s="11" t="n"/>
      <c r="E273" s="11" t="n"/>
      <c r="F273" s="11" t="n"/>
    </row>
    <row r="274">
      <c r="A274" s="12" t="inlineStr">
        <is>
          <t>Rate basis: per sqm  (source: cost for 59.83 sqm)</t>
        </is>
      </c>
    </row>
    <row r="275">
      <c r="A275" s="5" t="inlineStr">
        <is>
          <t>Code</t>
        </is>
      </c>
      <c r="B275" s="5" t="inlineStr">
        <is>
          <t>Description</t>
        </is>
      </c>
      <c r="C275" s="5" t="inlineStr">
        <is>
          <t>Unit</t>
        </is>
      </c>
      <c r="D275" s="5" t="inlineStr">
        <is>
          <t>Quantity</t>
        </is>
      </c>
      <c r="E275" s="5" t="inlineStr">
        <is>
          <t>Rate (Rs.)</t>
        </is>
      </c>
      <c r="F275" s="5" t="inlineStr">
        <is>
          <t>Amount (Rs.)</t>
        </is>
      </c>
    </row>
    <row r="276">
      <c r="A276" s="13" t="inlineStr">
        <is>
          <t>0037</t>
        </is>
      </c>
      <c r="B276" s="14" t="inlineStr">
        <is>
          <t>Mobile crane</t>
        </is>
      </c>
      <c r="C276" s="13" t="inlineStr">
        <is>
          <t>day</t>
        </is>
      </c>
      <c r="D276" s="15" t="n">
        <v>0.125</v>
      </c>
      <c r="E276" s="16" t="n">
        <v>7500</v>
      </c>
      <c r="F276" s="16">
        <f>D276*E276</f>
        <v/>
      </c>
    </row>
    <row r="277">
      <c r="A277" s="17" t="inlineStr">
        <is>
          <t>Resource Total (Material + Labour + Machinery, as printed)</t>
        </is>
      </c>
      <c r="B277" s="18" t="n"/>
      <c r="C277" s="18" t="n"/>
      <c r="D277" s="18" t="n"/>
      <c r="E277" s="18" t="n"/>
      <c r="F277" s="19">
        <f>SUM(F276:F276)</f>
        <v/>
      </c>
    </row>
    <row r="278">
      <c r="A278" s="20" t="inlineStr">
        <is>
          <t>SAY (Rs.) — final DAR rate</t>
        </is>
      </c>
      <c r="B278" s="21" t="n"/>
      <c r="C278" s="21" t="n"/>
      <c r="D278" s="21" t="n"/>
      <c r="E278" s="21" t="n"/>
      <c r="F278" s="22" t="n">
        <v>20.95</v>
      </c>
    </row>
    <row r="280" ht="28" customHeight="1">
      <c r="A280" s="9" t="inlineStr">
        <is>
          <t>6.15</t>
        </is>
      </c>
      <c r="B280" s="10" t="inlineStr">
        <is>
          <t>Extra for providing and placing in position 2 Nos 6mm dia. M.S. bars at every third course of half brick masonry.</t>
        </is>
      </c>
      <c r="C280" s="11" t="n"/>
      <c r="D280" s="11" t="n"/>
      <c r="E280" s="11" t="n"/>
      <c r="F280" s="11" t="n"/>
    </row>
    <row r="281">
      <c r="A281" s="12" t="inlineStr">
        <is>
          <t>Rate basis: per sqm  (source: cost for 10 sqm)</t>
        </is>
      </c>
    </row>
    <row r="282">
      <c r="A282" s="5" t="inlineStr">
        <is>
          <t>Code</t>
        </is>
      </c>
      <c r="B282" s="5" t="inlineStr">
        <is>
          <t>Description</t>
        </is>
      </c>
      <c r="C282" s="5" t="inlineStr">
        <is>
          <t>Unit</t>
        </is>
      </c>
      <c r="D282" s="5" t="inlineStr">
        <is>
          <t>Quantity</t>
        </is>
      </c>
      <c r="E282" s="5" t="inlineStr">
        <is>
          <t>Rate (Rs.)</t>
        </is>
      </c>
      <c r="F282" s="5" t="inlineStr">
        <is>
          <t>Amount (Rs.)</t>
        </is>
      </c>
    </row>
    <row r="283">
      <c r="A283" s="13" t="inlineStr">
        <is>
          <t>1002</t>
        </is>
      </c>
      <c r="B283" s="14" t="inlineStr">
        <is>
          <t>Mild steel round bar 6 mm dia</t>
        </is>
      </c>
      <c r="C283" s="13" t="inlineStr">
        <is>
          <t>quintal</t>
        </is>
      </c>
      <c r="D283" s="15" t="n">
        <v>0.132</v>
      </c>
      <c r="E283" s="16" t="n">
        <v>4500</v>
      </c>
      <c r="F283" s="16">
        <f>D283*E283</f>
        <v/>
      </c>
    </row>
    <row r="284">
      <c r="A284" s="13" t="inlineStr">
        <is>
          <t>2205</t>
        </is>
      </c>
      <c r="B284" s="14" t="inlineStr">
        <is>
          <t>Carriage of Steel</t>
        </is>
      </c>
      <c r="C284" s="13" t="inlineStr">
        <is>
          <t>tonne</t>
        </is>
      </c>
      <c r="D284" s="15" t="n">
        <v>0.0132</v>
      </c>
      <c r="E284" s="16" t="n">
        <v>92.23999999999999</v>
      </c>
      <c r="F284" s="16">
        <f>D284*E284</f>
        <v/>
      </c>
    </row>
    <row r="285">
      <c r="A285" s="13" t="inlineStr">
        <is>
          <t>9999</t>
        </is>
      </c>
      <c r="B285" s="14" t="inlineStr">
        <is>
          <t>Sundries</t>
        </is>
      </c>
      <c r="C285" s="13" t="inlineStr">
        <is>
          <t>L.S.</t>
        </is>
      </c>
      <c r="D285" s="15" t="n">
        <v>1.82</v>
      </c>
      <c r="E285" s="16" t="n">
        <v>2</v>
      </c>
      <c r="F285" s="16">
        <f>D285*E285</f>
        <v/>
      </c>
    </row>
    <row r="286">
      <c r="A286" s="17" t="inlineStr">
        <is>
          <t>Resource Total (Material + Labour + Machinery, as printed)</t>
        </is>
      </c>
      <c r="B286" s="18" t="n"/>
      <c r="C286" s="18" t="n"/>
      <c r="D286" s="18" t="n"/>
      <c r="E286" s="18" t="n"/>
      <c r="F286" s="19">
        <f>SUM(F283:F285)</f>
        <v/>
      </c>
    </row>
    <row r="287">
      <c r="A287" s="20" t="inlineStr">
        <is>
          <t>SAY (Rs.) — final DAR rate</t>
        </is>
      </c>
      <c r="B287" s="21" t="n"/>
      <c r="C287" s="21" t="n"/>
      <c r="D287" s="21" t="n"/>
      <c r="E287" s="21" t="n"/>
      <c r="F287" s="22" t="n">
        <v>80.09999999999999</v>
      </c>
    </row>
    <row r="289" ht="18" customHeight="1">
      <c r="A289" s="9" t="inlineStr">
        <is>
          <t>6.16.1</t>
        </is>
      </c>
      <c r="B289" s="10" t="inlineStr">
        <is>
          <t>Cement mortar 1:4 (1 cement : 4 coarse sand)</t>
        </is>
      </c>
      <c r="C289" s="11" t="n"/>
      <c r="D289" s="11" t="n"/>
      <c r="E289" s="11" t="n"/>
      <c r="F289" s="11" t="n"/>
    </row>
    <row r="290">
      <c r="A290" s="12" t="inlineStr">
        <is>
          <t>Rate basis: per cum  (source: cost for 1 cum)</t>
        </is>
      </c>
    </row>
    <row r="291">
      <c r="A291" s="5" t="inlineStr">
        <is>
          <t>Code</t>
        </is>
      </c>
      <c r="B291" s="5" t="inlineStr">
        <is>
          <t>Description</t>
        </is>
      </c>
      <c r="C291" s="5" t="inlineStr">
        <is>
          <t>Unit</t>
        </is>
      </c>
      <c r="D291" s="5" t="inlineStr">
        <is>
          <t>Quantity</t>
        </is>
      </c>
      <c r="E291" s="5" t="inlineStr">
        <is>
          <t>Rate (Rs.)</t>
        </is>
      </c>
      <c r="F291" s="5" t="inlineStr">
        <is>
          <t>Amount (Rs.)</t>
        </is>
      </c>
    </row>
    <row r="292">
      <c r="A292" s="13" t="inlineStr">
        <is>
          <t>3.9</t>
        </is>
      </c>
      <c r="B292" s="14" t="inlineStr">
        <is>
          <t>Rate as per SH: 3.9</t>
        </is>
      </c>
      <c r="C292" s="13" t="inlineStr">
        <is>
          <t>cum</t>
        </is>
      </c>
      <c r="D292" s="15" t="n">
        <v>0.4</v>
      </c>
      <c r="E292" s="16" t="n">
        <v>4010.35</v>
      </c>
      <c r="F292" s="16">
        <f>D292*E292</f>
        <v/>
      </c>
    </row>
    <row r="293">
      <c r="A293" s="13" t="inlineStr">
        <is>
          <t>1984</t>
        </is>
      </c>
      <c r="B293" s="14" t="inlineStr">
        <is>
          <t>Common burnt clay F.P.S. (non modular) bricks tile class designation 10</t>
        </is>
      </c>
      <c r="C293" s="13" t="inlineStr">
        <is>
          <t>1000 Nos</t>
        </is>
      </c>
      <c r="D293" s="15" t="n">
        <v>0.777</v>
      </c>
      <c r="E293" s="16" t="n">
        <v>4500</v>
      </c>
      <c r="F293" s="16">
        <f>D293*E293</f>
        <v/>
      </c>
    </row>
    <row r="294">
      <c r="A294" s="13" t="inlineStr">
        <is>
          <t>2207</t>
        </is>
      </c>
      <c r="B294" s="14" t="inlineStr">
        <is>
          <t>Carriage of Brick tiles</t>
        </is>
      </c>
      <c r="C294" s="13" t="inlineStr">
        <is>
          <t>1000 Nos</t>
        </is>
      </c>
      <c r="D294" s="15" t="n">
        <v>0.777</v>
      </c>
      <c r="E294" s="16" t="n">
        <v>166.03</v>
      </c>
      <c r="F294" s="16">
        <f>D294*E294</f>
        <v/>
      </c>
    </row>
    <row r="295">
      <c r="A295" s="13" t="inlineStr">
        <is>
          <t>9999</t>
        </is>
      </c>
      <c r="B295" s="14" t="inlineStr">
        <is>
          <t>Sundries</t>
        </is>
      </c>
      <c r="C295" s="13" t="inlineStr">
        <is>
          <t>L.S.</t>
        </is>
      </c>
      <c r="D295" s="15" t="n">
        <v>4.55</v>
      </c>
      <c r="E295" s="16" t="n">
        <v>2</v>
      </c>
      <c r="F295" s="16">
        <f>D295*E295</f>
        <v/>
      </c>
    </row>
    <row r="296">
      <c r="A296" s="13" t="inlineStr">
        <is>
          <t>0123</t>
        </is>
      </c>
      <c r="B296" s="14" t="inlineStr">
        <is>
          <t>Mason (brick layer) 1st class</t>
        </is>
      </c>
      <c r="C296" s="13" t="inlineStr">
        <is>
          <t>day</t>
        </is>
      </c>
      <c r="D296" s="15" t="n">
        <v>0.7</v>
      </c>
      <c r="E296" s="16" t="n">
        <v>738</v>
      </c>
      <c r="F296" s="16">
        <f>D296*E296</f>
        <v/>
      </c>
    </row>
    <row r="297">
      <c r="A297" s="13" t="inlineStr">
        <is>
          <t>0124</t>
        </is>
      </c>
      <c r="B297" s="14" t="inlineStr">
        <is>
          <t>Mason (brick layer) 2nd class</t>
        </is>
      </c>
      <c r="C297" s="13" t="inlineStr">
        <is>
          <t>day</t>
        </is>
      </c>
      <c r="D297" s="15" t="n">
        <v>0.7</v>
      </c>
      <c r="E297" s="16" t="n">
        <v>679</v>
      </c>
      <c r="F297" s="16">
        <f>D297*E297</f>
        <v/>
      </c>
    </row>
    <row r="298">
      <c r="A298" s="13" t="inlineStr">
        <is>
          <t>0115</t>
        </is>
      </c>
      <c r="B298" s="14" t="inlineStr">
        <is>
          <t>Coolie</t>
        </is>
      </c>
      <c r="C298" s="13" t="inlineStr">
        <is>
          <t>day</t>
        </is>
      </c>
      <c r="D298" s="15" t="n">
        <v>1.54</v>
      </c>
      <c r="E298" s="16" t="n">
        <v>558</v>
      </c>
      <c r="F298" s="16">
        <f>D298*E298</f>
        <v/>
      </c>
    </row>
    <row r="299">
      <c r="A299" s="13" t="inlineStr">
        <is>
          <t>0101</t>
        </is>
      </c>
      <c r="B299" s="14" t="inlineStr">
        <is>
          <t>Bhisti</t>
        </is>
      </c>
      <c r="C299" s="13" t="inlineStr">
        <is>
          <t>day</t>
        </is>
      </c>
      <c r="D299" s="15" t="n">
        <v>0.2</v>
      </c>
      <c r="E299" s="16" t="n">
        <v>617</v>
      </c>
      <c r="F299" s="16">
        <f>D299*E299</f>
        <v/>
      </c>
    </row>
    <row r="300">
      <c r="A300" s="17" t="inlineStr">
        <is>
          <t>Resource Total (Material + Labour + Machinery, as printed)</t>
        </is>
      </c>
      <c r="B300" s="18" t="n"/>
      <c r="C300" s="18" t="n"/>
      <c r="D300" s="18" t="n"/>
      <c r="E300" s="18" t="n"/>
      <c r="F300" s="19">
        <f>SUM(F292:F299)</f>
        <v/>
      </c>
    </row>
    <row r="301">
      <c r="A301" s="20" t="inlineStr">
        <is>
          <t>SAY (Rs.) — final DAR rate</t>
        </is>
      </c>
      <c r="B301" s="21" t="n"/>
      <c r="C301" s="21" t="n"/>
      <c r="D301" s="21" t="n"/>
      <c r="E301" s="21" t="n"/>
      <c r="F301" s="22" t="n">
        <v>9651.049999999999</v>
      </c>
    </row>
    <row r="303" ht="18" customHeight="1">
      <c r="A303" s="9" t="inlineStr">
        <is>
          <t>6.16.2</t>
        </is>
      </c>
      <c r="B303" s="10" t="inlineStr">
        <is>
          <t>Cement mortar 1:6 (1 cement : 6 coarse sand)</t>
        </is>
      </c>
      <c r="C303" s="11" t="n"/>
      <c r="D303" s="11" t="n"/>
      <c r="E303" s="11" t="n"/>
      <c r="F303" s="11" t="n"/>
    </row>
    <row r="304">
      <c r="A304" s="12" t="inlineStr">
        <is>
          <t>Rate basis: per cum  (source: cost for 1 cum)</t>
        </is>
      </c>
    </row>
    <row r="305">
      <c r="A305" s="5" t="inlineStr">
        <is>
          <t>Code</t>
        </is>
      </c>
      <c r="B305" s="5" t="inlineStr">
        <is>
          <t>Description</t>
        </is>
      </c>
      <c r="C305" s="5" t="inlineStr">
        <is>
          <t>Unit</t>
        </is>
      </c>
      <c r="D305" s="5" t="inlineStr">
        <is>
          <t>Quantity</t>
        </is>
      </c>
      <c r="E305" s="5" t="inlineStr">
        <is>
          <t>Rate (Rs.)</t>
        </is>
      </c>
      <c r="F305" s="5" t="inlineStr">
        <is>
          <t>Amount (Rs.)</t>
        </is>
      </c>
    </row>
    <row r="306">
      <c r="A306" s="13" t="inlineStr">
        <is>
          <t>3.11</t>
        </is>
      </c>
      <c r="B306" s="14" t="inlineStr">
        <is>
          <t>Rate as per SH: 3.11</t>
        </is>
      </c>
      <c r="C306" s="13" t="inlineStr">
        <is>
          <t>cum</t>
        </is>
      </c>
      <c r="D306" s="15" t="n">
        <v>0.4</v>
      </c>
      <c r="E306" s="16" t="n">
        <v>3356.15</v>
      </c>
      <c r="F306" s="16">
        <f>D306*E306</f>
        <v/>
      </c>
    </row>
    <row r="307">
      <c r="A307" s="13" t="inlineStr">
        <is>
          <t>1984</t>
        </is>
      </c>
      <c r="B307" s="14" t="inlineStr">
        <is>
          <t>Common burnt clay F.P.S. (non modular) bricks tile class designation 10</t>
        </is>
      </c>
      <c r="C307" s="13" t="inlineStr">
        <is>
          <t>1000 Nos</t>
        </is>
      </c>
      <c r="D307" s="15" t="n">
        <v>0.777</v>
      </c>
      <c r="E307" s="16" t="n">
        <v>4500</v>
      </c>
      <c r="F307" s="16">
        <f>D307*E307</f>
        <v/>
      </c>
    </row>
    <row r="308">
      <c r="A308" s="13" t="inlineStr">
        <is>
          <t>2207</t>
        </is>
      </c>
      <c r="B308" s="14" t="inlineStr">
        <is>
          <t>Carriage of Brick tiles</t>
        </is>
      </c>
      <c r="C308" s="13" t="inlineStr">
        <is>
          <t>1000 Nos</t>
        </is>
      </c>
      <c r="D308" s="15" t="n">
        <v>0.777</v>
      </c>
      <c r="E308" s="16" t="n">
        <v>166.03</v>
      </c>
      <c r="F308" s="16">
        <f>D308*E308</f>
        <v/>
      </c>
    </row>
    <row r="309">
      <c r="A309" s="13" t="inlineStr">
        <is>
          <t>9999</t>
        </is>
      </c>
      <c r="B309" s="14" t="inlineStr">
        <is>
          <t>Sundries</t>
        </is>
      </c>
      <c r="C309" s="13" t="inlineStr">
        <is>
          <t>L.S.</t>
        </is>
      </c>
      <c r="D309" s="15" t="n">
        <v>4.55</v>
      </c>
      <c r="E309" s="16" t="n">
        <v>2</v>
      </c>
      <c r="F309" s="16">
        <f>D309*E309</f>
        <v/>
      </c>
    </row>
    <row r="310">
      <c r="A310" s="13" t="inlineStr">
        <is>
          <t>0123</t>
        </is>
      </c>
      <c r="B310" s="14" t="inlineStr">
        <is>
          <t>Mason (brick layer) 1st class</t>
        </is>
      </c>
      <c r="C310" s="13" t="inlineStr">
        <is>
          <t>day</t>
        </is>
      </c>
      <c r="D310" s="15" t="n">
        <v>0.7</v>
      </c>
      <c r="E310" s="16" t="n">
        <v>738</v>
      </c>
      <c r="F310" s="16">
        <f>D310*E310</f>
        <v/>
      </c>
    </row>
    <row r="311">
      <c r="A311" s="13" t="inlineStr">
        <is>
          <t>0124</t>
        </is>
      </c>
      <c r="B311" s="14" t="inlineStr">
        <is>
          <t>Mason (brick layer) 2nd class</t>
        </is>
      </c>
      <c r="C311" s="13" t="inlineStr">
        <is>
          <t>day</t>
        </is>
      </c>
      <c r="D311" s="15" t="n">
        <v>0.7</v>
      </c>
      <c r="E311" s="16" t="n">
        <v>679</v>
      </c>
      <c r="F311" s="16">
        <f>D311*E311</f>
        <v/>
      </c>
    </row>
    <row r="312">
      <c r="A312" s="13" t="inlineStr">
        <is>
          <t>0115</t>
        </is>
      </c>
      <c r="B312" s="14" t="inlineStr">
        <is>
          <t>Coolie</t>
        </is>
      </c>
      <c r="C312" s="13" t="inlineStr">
        <is>
          <t>day</t>
        </is>
      </c>
      <c r="D312" s="15" t="n">
        <v>1.54</v>
      </c>
      <c r="E312" s="16" t="n">
        <v>558</v>
      </c>
      <c r="F312" s="16">
        <f>D312*E312</f>
        <v/>
      </c>
    </row>
    <row r="313">
      <c r="A313" s="13" t="inlineStr">
        <is>
          <t>0101</t>
        </is>
      </c>
      <c r="B313" s="14" t="inlineStr">
        <is>
          <t>Bhisti</t>
        </is>
      </c>
      <c r="C313" s="13" t="inlineStr">
        <is>
          <t>day</t>
        </is>
      </c>
      <c r="D313" s="15" t="n">
        <v>0.2</v>
      </c>
      <c r="E313" s="16" t="n">
        <v>617</v>
      </c>
      <c r="F313" s="16">
        <f>D313*E313</f>
        <v/>
      </c>
    </row>
    <row r="314">
      <c r="A314" s="17" t="inlineStr">
        <is>
          <t>Resource Total (Material + Labour + Machinery, as printed)</t>
        </is>
      </c>
      <c r="B314" s="18" t="n"/>
      <c r="C314" s="18" t="n"/>
      <c r="D314" s="18" t="n"/>
      <c r="E314" s="18" t="n"/>
      <c r="F314" s="19">
        <f>SUM(F306:F313)</f>
        <v/>
      </c>
    </row>
    <row r="315">
      <c r="A315" s="20" t="inlineStr">
        <is>
          <t>SAY (Rs.) — final DAR rate</t>
        </is>
      </c>
      <c r="B315" s="21" t="n"/>
      <c r="C315" s="21" t="n"/>
      <c r="D315" s="21" t="n"/>
      <c r="E315" s="21" t="n"/>
      <c r="F315" s="22" t="n">
        <v>9300.9</v>
      </c>
    </row>
    <row r="317" ht="28" customHeight="1">
      <c r="A317" s="9" t="inlineStr">
        <is>
          <t>6.17</t>
        </is>
      </c>
      <c r="B317" s="10" t="inlineStr">
        <is>
          <t>Tile brick masonry with common burnt clay machine moulded tile bricks of class designation 12.5 conforming to IS : 2690 (Part I) in foundati</t>
        </is>
      </c>
      <c r="C317" s="11" t="n"/>
      <c r="D317" s="11" t="n"/>
      <c r="E317" s="11" t="n"/>
      <c r="F317" s="11" t="n"/>
    </row>
    <row r="318">
      <c r="A318" s="12" t="inlineStr">
        <is>
          <t>Rate basis: per cum  (source: cost for 1 cum)</t>
        </is>
      </c>
    </row>
    <row r="319">
      <c r="A319" s="5" t="inlineStr">
        <is>
          <t>Code</t>
        </is>
      </c>
      <c r="B319" s="5" t="inlineStr">
        <is>
          <t>Description</t>
        </is>
      </c>
      <c r="C319" s="5" t="inlineStr">
        <is>
          <t>Unit</t>
        </is>
      </c>
      <c r="D319" s="5" t="inlineStr">
        <is>
          <t>Quantity</t>
        </is>
      </c>
      <c r="E319" s="5" t="inlineStr">
        <is>
          <t>Rate (Rs.)</t>
        </is>
      </c>
      <c r="F319" s="5" t="inlineStr">
        <is>
          <t>Amount (Rs.)</t>
        </is>
      </c>
    </row>
    <row r="320">
      <c r="A320" s="13" t="inlineStr">
        <is>
          <t>3.11</t>
        </is>
      </c>
      <c r="B320" s="14" t="inlineStr">
        <is>
          <t>Rate as per SH: 3.11</t>
        </is>
      </c>
      <c r="C320" s="13" t="inlineStr">
        <is>
          <t>cum</t>
        </is>
      </c>
      <c r="D320" s="15" t="n">
        <v>0.4</v>
      </c>
      <c r="E320" s="16" t="n">
        <v>3356.15</v>
      </c>
      <c r="F320" s="16">
        <f>D320*E320</f>
        <v/>
      </c>
    </row>
    <row r="321">
      <c r="A321" s="13" t="inlineStr">
        <is>
          <t>7904</t>
        </is>
      </c>
      <c r="B321" s="14" t="inlineStr">
        <is>
          <t>Machine moulded common burnt clay tile bricks of class designation 12.5</t>
        </is>
      </c>
      <c r="C321" s="13" t="inlineStr">
        <is>
          <t>1000 Nos</t>
        </is>
      </c>
      <c r="D321" s="15" t="n">
        <v>0.777</v>
      </c>
      <c r="E321" s="16" t="n">
        <v>4900</v>
      </c>
      <c r="F321" s="16">
        <f>D321*E321</f>
        <v/>
      </c>
    </row>
    <row r="322">
      <c r="A322" s="13" t="inlineStr">
        <is>
          <t>2207</t>
        </is>
      </c>
      <c r="B322" s="14" t="inlineStr">
        <is>
          <t>Carriage of Brick tiles</t>
        </is>
      </c>
      <c r="C322" s="13" t="inlineStr">
        <is>
          <t>1000 Nos</t>
        </is>
      </c>
      <c r="D322" s="15" t="n">
        <v>0.777</v>
      </c>
      <c r="E322" s="16" t="n">
        <v>166.03</v>
      </c>
      <c r="F322" s="16">
        <f>D322*E322</f>
        <v/>
      </c>
    </row>
    <row r="323">
      <c r="A323" s="13" t="inlineStr">
        <is>
          <t>9999</t>
        </is>
      </c>
      <c r="B323" s="14" t="inlineStr">
        <is>
          <t>Sundries</t>
        </is>
      </c>
      <c r="C323" s="13" t="inlineStr">
        <is>
          <t>L.S.</t>
        </is>
      </c>
      <c r="D323" s="15" t="n">
        <v>4.55</v>
      </c>
      <c r="E323" s="16" t="n">
        <v>2</v>
      </c>
      <c r="F323" s="16">
        <f>D323*E323</f>
        <v/>
      </c>
    </row>
    <row r="324">
      <c r="A324" s="13" t="inlineStr">
        <is>
          <t>0123</t>
        </is>
      </c>
      <c r="B324" s="14" t="inlineStr">
        <is>
          <t>Mason (brick layer) 1st class</t>
        </is>
      </c>
      <c r="C324" s="13" t="inlineStr">
        <is>
          <t>day</t>
        </is>
      </c>
      <c r="D324" s="15" t="n">
        <v>0.7</v>
      </c>
      <c r="E324" s="16" t="n">
        <v>738</v>
      </c>
      <c r="F324" s="16">
        <f>D324*E324</f>
        <v/>
      </c>
    </row>
    <row r="325">
      <c r="A325" s="13" t="inlineStr">
        <is>
          <t>0124</t>
        </is>
      </c>
      <c r="B325" s="14" t="inlineStr">
        <is>
          <t>Mason (brick layer) 2nd class</t>
        </is>
      </c>
      <c r="C325" s="13" t="inlineStr">
        <is>
          <t>day</t>
        </is>
      </c>
      <c r="D325" s="15" t="n">
        <v>0.7</v>
      </c>
      <c r="E325" s="16" t="n">
        <v>679</v>
      </c>
      <c r="F325" s="16">
        <f>D325*E325</f>
        <v/>
      </c>
    </row>
    <row r="326">
      <c r="A326" s="13" t="inlineStr">
        <is>
          <t>0115</t>
        </is>
      </c>
      <c r="B326" s="14" t="inlineStr">
        <is>
          <t>Coolie</t>
        </is>
      </c>
      <c r="C326" s="13" t="inlineStr">
        <is>
          <t>day</t>
        </is>
      </c>
      <c r="D326" s="15" t="n">
        <v>1.54</v>
      </c>
      <c r="E326" s="16" t="n">
        <v>558</v>
      </c>
      <c r="F326" s="16">
        <f>D326*E326</f>
        <v/>
      </c>
    </row>
    <row r="327">
      <c r="A327" s="13" t="inlineStr">
        <is>
          <t>0101</t>
        </is>
      </c>
      <c r="B327" s="14" t="inlineStr">
        <is>
          <t>Bhisti</t>
        </is>
      </c>
      <c r="C327" s="13" t="inlineStr">
        <is>
          <t>day</t>
        </is>
      </c>
      <c r="D327" s="15" t="n">
        <v>0.2</v>
      </c>
      <c r="E327" s="16" t="n">
        <v>617</v>
      </c>
      <c r="F327" s="16">
        <f>D327*E327</f>
        <v/>
      </c>
    </row>
    <row r="328">
      <c r="A328" s="17" t="inlineStr">
        <is>
          <t>Resource Total (Material + Labour + Machinery, as printed)</t>
        </is>
      </c>
      <c r="B328" s="18" t="n"/>
      <c r="C328" s="18" t="n"/>
      <c r="D328" s="18" t="n"/>
      <c r="E328" s="18" t="n"/>
      <c r="F328" s="19">
        <f>SUM(F320:F327)</f>
        <v/>
      </c>
    </row>
    <row r="329">
      <c r="A329" s="20" t="inlineStr">
        <is>
          <t>SAY (Rs.) — final DAR rate</t>
        </is>
      </c>
      <c r="B329" s="21" t="n"/>
      <c r="C329" s="21" t="n"/>
      <c r="D329" s="21" t="n"/>
      <c r="E329" s="21" t="n"/>
      <c r="F329" s="22" t="n">
        <v>9716.75</v>
      </c>
    </row>
    <row r="331" ht="28" customHeight="1">
      <c r="A331" s="9" t="inlineStr">
        <is>
          <t>6.18</t>
        </is>
      </c>
      <c r="B331" s="10" t="inlineStr">
        <is>
          <t>Tile brick masonry with common burnt clay F.P.S. (non modular) tile bricks of class designation 10 in superstructure above plinth level up t</t>
        </is>
      </c>
      <c r="C331" s="11" t="n"/>
      <c r="D331" s="11" t="n"/>
      <c r="E331" s="11" t="n"/>
      <c r="F331" s="11" t="n"/>
    </row>
    <row r="332">
      <c r="A332" s="12" t="inlineStr">
        <is>
          <t>Rate basis: per cum  (source: cost for 1 cum)</t>
        </is>
      </c>
    </row>
    <row r="333">
      <c r="A333" s="5" t="inlineStr">
        <is>
          <t>Code</t>
        </is>
      </c>
      <c r="B333" s="5" t="inlineStr">
        <is>
          <t>Description</t>
        </is>
      </c>
      <c r="C333" s="5" t="inlineStr">
        <is>
          <t>Unit</t>
        </is>
      </c>
      <c r="D333" s="5" t="inlineStr">
        <is>
          <t>Quantity</t>
        </is>
      </c>
      <c r="E333" s="5" t="inlineStr">
        <is>
          <t>Rate (Rs.)</t>
        </is>
      </c>
      <c r="F333" s="5" t="inlineStr">
        <is>
          <t>Amount (Rs.)</t>
        </is>
      </c>
    </row>
    <row r="334">
      <c r="A334" s="13" t="inlineStr">
        <is>
          <t>3.11</t>
        </is>
      </c>
      <c r="B334" s="14" t="inlineStr">
        <is>
          <t>Rate as per SH: 3.11</t>
        </is>
      </c>
      <c r="C334" s="13" t="inlineStr">
        <is>
          <t>cum</t>
        </is>
      </c>
      <c r="D334" s="15" t="n">
        <v>0.4</v>
      </c>
      <c r="E334" s="16" t="n">
        <v>3356.15</v>
      </c>
      <c r="F334" s="16">
        <f>D334*E334</f>
        <v/>
      </c>
    </row>
    <row r="335">
      <c r="A335" s="13" t="inlineStr">
        <is>
          <t>1984</t>
        </is>
      </c>
      <c r="B335" s="14" t="inlineStr">
        <is>
          <t>Common burnt clay F.P.S. (non modular) bricks tile class designation 10</t>
        </is>
      </c>
      <c r="C335" s="13" t="inlineStr">
        <is>
          <t>1000 Nos</t>
        </is>
      </c>
      <c r="D335" s="15" t="n">
        <v>0.777</v>
      </c>
      <c r="E335" s="16" t="n">
        <v>4500</v>
      </c>
      <c r="F335" s="16">
        <f>D335*E335</f>
        <v/>
      </c>
    </row>
    <row r="336">
      <c r="A336" s="13" t="inlineStr">
        <is>
          <t>2207</t>
        </is>
      </c>
      <c r="B336" s="14" t="inlineStr">
        <is>
          <t>Carriage of Brick tiles</t>
        </is>
      </c>
      <c r="C336" s="13" t="inlineStr">
        <is>
          <t>1000 Nos</t>
        </is>
      </c>
      <c r="D336" s="15" t="n">
        <v>0.777</v>
      </c>
      <c r="E336" s="16" t="n">
        <v>166.03</v>
      </c>
      <c r="F336" s="16">
        <f>D336*E336</f>
        <v/>
      </c>
    </row>
    <row r="337">
      <c r="A337" s="13" t="inlineStr">
        <is>
          <t>9999</t>
        </is>
      </c>
      <c r="B337" s="14" t="inlineStr">
        <is>
          <t>Sundries</t>
        </is>
      </c>
      <c r="C337" s="13" t="inlineStr">
        <is>
          <t>L.S.</t>
        </is>
      </c>
      <c r="D337" s="15" t="n">
        <v>4.55</v>
      </c>
      <c r="E337" s="16" t="n">
        <v>2</v>
      </c>
      <c r="F337" s="16">
        <f>D337*E337</f>
        <v/>
      </c>
    </row>
    <row r="338">
      <c r="A338" s="13" t="inlineStr">
        <is>
          <t>0123</t>
        </is>
      </c>
      <c r="B338" s="14" t="inlineStr">
        <is>
          <t>Mason (brick layer) 1st class</t>
        </is>
      </c>
      <c r="C338" s="13" t="inlineStr">
        <is>
          <t>day</t>
        </is>
      </c>
      <c r="D338" s="15" t="n">
        <v>0.9</v>
      </c>
      <c r="E338" s="16" t="n">
        <v>738</v>
      </c>
      <c r="F338" s="16">
        <f>D338*E338</f>
        <v/>
      </c>
    </row>
    <row r="339">
      <c r="A339" s="13" t="inlineStr">
        <is>
          <t>0124</t>
        </is>
      </c>
      <c r="B339" s="14" t="inlineStr">
        <is>
          <t>Mason (brick layer) 2nd class</t>
        </is>
      </c>
      <c r="C339" s="13" t="inlineStr">
        <is>
          <t>day</t>
        </is>
      </c>
      <c r="D339" s="15" t="n">
        <v>0.9</v>
      </c>
      <c r="E339" s="16" t="n">
        <v>679</v>
      </c>
      <c r="F339" s="16">
        <f>D339*E339</f>
        <v/>
      </c>
    </row>
    <row r="340">
      <c r="A340" s="13" t="inlineStr">
        <is>
          <t>0115</t>
        </is>
      </c>
      <c r="B340" s="14" t="inlineStr">
        <is>
          <t>Coolie</t>
        </is>
      </c>
      <c r="C340" s="13" t="inlineStr">
        <is>
          <t>day</t>
        </is>
      </c>
      <c r="D340" s="15" t="n">
        <v>1.8</v>
      </c>
      <c r="E340" s="16" t="n">
        <v>558</v>
      </c>
      <c r="F340" s="16">
        <f>D340*E340</f>
        <v/>
      </c>
    </row>
    <row r="341">
      <c r="A341" s="13" t="inlineStr">
        <is>
          <t>0101</t>
        </is>
      </c>
      <c r="B341" s="14" t="inlineStr">
        <is>
          <t>Bhisti</t>
        </is>
      </c>
      <c r="C341" s="13" t="inlineStr">
        <is>
          <t>day</t>
        </is>
      </c>
      <c r="D341" s="15" t="n">
        <v>0.2</v>
      </c>
      <c r="E341" s="16" t="n">
        <v>617</v>
      </c>
      <c r="F341" s="16">
        <f>D341*E341</f>
        <v/>
      </c>
    </row>
    <row r="342">
      <c r="A342" s="13" t="inlineStr">
        <is>
          <t>0115</t>
        </is>
      </c>
      <c r="B342" s="14" t="inlineStr">
        <is>
          <t>Coolie</t>
        </is>
      </c>
      <c r="C342" s="13" t="inlineStr">
        <is>
          <t>day</t>
        </is>
      </c>
      <c r="D342" s="15" t="n">
        <v>1.13</v>
      </c>
      <c r="E342" s="16" t="n">
        <v>558</v>
      </c>
      <c r="F342" s="16">
        <f>D342*E342</f>
        <v/>
      </c>
    </row>
    <row r="343">
      <c r="A343" s="13" t="inlineStr">
        <is>
          <t>9999</t>
        </is>
      </c>
      <c r="B343" s="14" t="inlineStr">
        <is>
          <t>Scaffolding</t>
        </is>
      </c>
      <c r="C343" s="13" t="inlineStr">
        <is>
          <t>L.S.</t>
        </is>
      </c>
      <c r="D343" s="15" t="n">
        <v>33.8</v>
      </c>
      <c r="E343" s="16" t="n">
        <v>2</v>
      </c>
      <c r="F343" s="16">
        <f>D343*E343</f>
        <v/>
      </c>
    </row>
    <row r="344">
      <c r="A344" s="17" t="inlineStr">
        <is>
          <t>Resource Total (Material + Labour + Machinery, as printed)</t>
        </is>
      </c>
      <c r="B344" s="18" t="n"/>
      <c r="C344" s="18" t="n"/>
      <c r="D344" s="18" t="n"/>
      <c r="E344" s="18" t="n"/>
      <c r="F344" s="19">
        <f>SUM(F334:F343)</f>
        <v/>
      </c>
    </row>
    <row r="345">
      <c r="A345" s="20" t="inlineStr">
        <is>
          <t>SAY (Rs.) — final DAR rate</t>
        </is>
      </c>
      <c r="B345" s="21" t="n"/>
      <c r="C345" s="21" t="n"/>
      <c r="D345" s="21" t="n"/>
      <c r="E345" s="21" t="n"/>
      <c r="F345" s="22" t="n">
        <v>10808.25</v>
      </c>
    </row>
    <row r="347" ht="28" customHeight="1">
      <c r="A347" s="9" t="inlineStr">
        <is>
          <t>6.20</t>
        </is>
      </c>
      <c r="B347" s="10" t="inlineStr">
        <is>
          <t>Tile brick masonry with common burnt clay F.P.S. (non modular) tile bricks of class designation 10 in plain arch work in superstructure abov</t>
        </is>
      </c>
      <c r="C347" s="11" t="n"/>
      <c r="D347" s="11" t="n"/>
      <c r="E347" s="11" t="n"/>
      <c r="F347" s="11" t="n"/>
    </row>
    <row r="348">
      <c r="A348" s="12" t="inlineStr">
        <is>
          <t>Rate basis: per cum  (source: cost for 1 cum)</t>
        </is>
      </c>
    </row>
    <row r="349">
      <c r="A349" s="5" t="inlineStr">
        <is>
          <t>Code</t>
        </is>
      </c>
      <c r="B349" s="5" t="inlineStr">
        <is>
          <t>Description</t>
        </is>
      </c>
      <c r="C349" s="5" t="inlineStr">
        <is>
          <t>Unit</t>
        </is>
      </c>
      <c r="D349" s="5" t="inlineStr">
        <is>
          <t>Quantity</t>
        </is>
      </c>
      <c r="E349" s="5" t="inlineStr">
        <is>
          <t>Rate (Rs.)</t>
        </is>
      </c>
      <c r="F349" s="5" t="inlineStr">
        <is>
          <t>Amount (Rs.)</t>
        </is>
      </c>
    </row>
    <row r="350">
      <c r="A350" s="13" t="inlineStr">
        <is>
          <t>3.9</t>
        </is>
      </c>
      <c r="B350" s="14" t="inlineStr">
        <is>
          <t>Rate as per SH: 3.9</t>
        </is>
      </c>
      <c r="C350" s="13" t="inlineStr">
        <is>
          <t>cum</t>
        </is>
      </c>
      <c r="D350" s="15" t="n">
        <v>0.35</v>
      </c>
      <c r="E350" s="16" t="n">
        <v>4010.35</v>
      </c>
      <c r="F350" s="16">
        <f>D350*E350</f>
        <v/>
      </c>
    </row>
    <row r="351">
      <c r="A351" s="13" t="inlineStr">
        <is>
          <t>5.9.9</t>
        </is>
      </c>
      <c r="B351" s="14" t="inlineStr">
        <is>
          <t>Rate as per SH: 5.9.9</t>
        </is>
      </c>
      <c r="C351" s="13" t="inlineStr">
        <is>
          <t>sqm</t>
        </is>
      </c>
      <c r="D351" s="15" t="n">
        <v>2.25</v>
      </c>
      <c r="E351" s="16" t="n">
        <v>1713.2</v>
      </c>
      <c r="F351" s="16">
        <f>D351*E351</f>
        <v/>
      </c>
    </row>
    <row r="352">
      <c r="A352" s="13" t="inlineStr">
        <is>
          <t>1984</t>
        </is>
      </c>
      <c r="B352" s="14" t="inlineStr">
        <is>
          <t>Common burnt clay F.P.S. (non modular) bricks tile class designation 10</t>
        </is>
      </c>
      <c r="C352" s="13" t="inlineStr">
        <is>
          <t>1000 Nos</t>
        </is>
      </c>
      <c r="D352" s="15" t="n">
        <v>0.777</v>
      </c>
      <c r="E352" s="16" t="n">
        <v>4500</v>
      </c>
      <c r="F352" s="16">
        <f>D352*E352</f>
        <v/>
      </c>
    </row>
    <row r="353">
      <c r="A353" s="13" t="inlineStr">
        <is>
          <t>2207</t>
        </is>
      </c>
      <c r="B353" s="14" t="inlineStr">
        <is>
          <t>Carriage of Brick tiles</t>
        </is>
      </c>
      <c r="C353" s="13" t="inlineStr">
        <is>
          <t>1000 Nos</t>
        </is>
      </c>
      <c r="D353" s="15" t="n">
        <v>0.777</v>
      </c>
      <c r="E353" s="16" t="n">
        <v>166.03</v>
      </c>
      <c r="F353" s="16">
        <f>D353*E353</f>
        <v/>
      </c>
    </row>
    <row r="354">
      <c r="A354" s="13" t="inlineStr">
        <is>
          <t>9999</t>
        </is>
      </c>
      <c r="B354" s="14" t="inlineStr">
        <is>
          <t>Sundries</t>
        </is>
      </c>
      <c r="C354" s="13" t="inlineStr">
        <is>
          <t>L.S.</t>
        </is>
      </c>
      <c r="D354" s="15" t="n">
        <v>5.46</v>
      </c>
      <c r="E354" s="16" t="n">
        <v>2</v>
      </c>
      <c r="F354" s="16">
        <f>D354*E354</f>
        <v/>
      </c>
    </row>
    <row r="355">
      <c r="A355" s="13" t="inlineStr">
        <is>
          <t>9999</t>
        </is>
      </c>
      <c r="B355" s="14" t="inlineStr">
        <is>
          <t>Scaffolding</t>
        </is>
      </c>
      <c r="C355" s="13" t="inlineStr">
        <is>
          <t>L.S.</t>
        </is>
      </c>
      <c r="D355" s="15" t="n">
        <v>18.85</v>
      </c>
      <c r="E355" s="16" t="n">
        <v>2</v>
      </c>
      <c r="F355" s="16">
        <f>D355*E355</f>
        <v/>
      </c>
    </row>
    <row r="356">
      <c r="A356" s="13" t="inlineStr">
        <is>
          <t>0123</t>
        </is>
      </c>
      <c r="B356" s="14" t="inlineStr">
        <is>
          <t>Mason (brick layer) 1st class</t>
        </is>
      </c>
      <c r="C356" s="13" t="inlineStr">
        <is>
          <t>day</t>
        </is>
      </c>
      <c r="D356" s="15" t="n">
        <v>0.79</v>
      </c>
      <c r="E356" s="16" t="n">
        <v>738</v>
      </c>
      <c r="F356" s="16">
        <f>D356*E356</f>
        <v/>
      </c>
    </row>
    <row r="357">
      <c r="A357" s="13" t="inlineStr">
        <is>
          <t>0124</t>
        </is>
      </c>
      <c r="B357" s="14" t="inlineStr">
        <is>
          <t>Mason (brick layer) 2nd class</t>
        </is>
      </c>
      <c r="C357" s="13" t="inlineStr">
        <is>
          <t>day</t>
        </is>
      </c>
      <c r="D357" s="15" t="n">
        <v>0.79</v>
      </c>
      <c r="E357" s="16" t="n">
        <v>679</v>
      </c>
      <c r="F357" s="16">
        <f>D357*E357</f>
        <v/>
      </c>
    </row>
    <row r="358">
      <c r="A358" s="13" t="inlineStr">
        <is>
          <t>0115</t>
        </is>
      </c>
      <c r="B358" s="14" t="inlineStr">
        <is>
          <t>Coolie</t>
        </is>
      </c>
      <c r="C358" s="13" t="inlineStr">
        <is>
          <t>day</t>
        </is>
      </c>
      <c r="D358" s="15" t="n">
        <v>3.21</v>
      </c>
      <c r="E358" s="16" t="n">
        <v>558</v>
      </c>
      <c r="F358" s="16">
        <f>D358*E358</f>
        <v/>
      </c>
    </row>
    <row r="359">
      <c r="A359" s="13" t="inlineStr">
        <is>
          <t>0101</t>
        </is>
      </c>
      <c r="B359" s="14" t="inlineStr">
        <is>
          <t>Bhisti</t>
        </is>
      </c>
      <c r="C359" s="13" t="inlineStr">
        <is>
          <t>day</t>
        </is>
      </c>
      <c r="D359" s="15" t="n">
        <v>0.2</v>
      </c>
      <c r="E359" s="16" t="n">
        <v>617</v>
      </c>
      <c r="F359" s="16">
        <f>D359*E359</f>
        <v/>
      </c>
    </row>
    <row r="360">
      <c r="A360" s="13" t="inlineStr">
        <is>
          <t>0115</t>
        </is>
      </c>
      <c r="B360" s="14" t="inlineStr">
        <is>
          <t>Coolie</t>
        </is>
      </c>
      <c r="C360" s="13" t="inlineStr">
        <is>
          <t>day</t>
        </is>
      </c>
      <c r="D360" s="15" t="n">
        <v>1.13</v>
      </c>
      <c r="E360" s="16" t="n">
        <v>558</v>
      </c>
      <c r="F360" s="16">
        <f>D360*E360</f>
        <v/>
      </c>
    </row>
    <row r="361">
      <c r="A361" s="17" t="inlineStr">
        <is>
          <t>Resource Total (Material + Labour + Machinery, as printed)</t>
        </is>
      </c>
      <c r="B361" s="18" t="n"/>
      <c r="C361" s="18" t="n"/>
      <c r="D361" s="18" t="n"/>
      <c r="E361" s="18" t="n"/>
      <c r="F361" s="19">
        <f>SUM(F350:F360)</f>
        <v/>
      </c>
    </row>
    <row r="362">
      <c r="A362" s="20" t="inlineStr">
        <is>
          <t>SAY (Rs.) — final DAR rate</t>
        </is>
      </c>
      <c r="B362" s="21" t="n"/>
      <c r="C362" s="21" t="n"/>
      <c r="D362" s="21" t="n"/>
      <c r="E362" s="21" t="n"/>
      <c r="F362" s="22" t="n">
        <v>15551.35</v>
      </c>
    </row>
    <row r="364" ht="28" customHeight="1">
      <c r="A364" s="9" t="inlineStr">
        <is>
          <t>6.21</t>
        </is>
      </c>
      <c r="B364" s="10" t="inlineStr">
        <is>
          <t>Tile brick masonry with common burnt clay F.P.S. (non modular) tile bricks of class designation 10 in gauged arch work in superstructure abo</t>
        </is>
      </c>
      <c r="C364" s="11" t="n"/>
      <c r="D364" s="11" t="n"/>
      <c r="E364" s="11" t="n"/>
      <c r="F364" s="11" t="n"/>
    </row>
    <row r="365">
      <c r="A365" s="12" t="inlineStr">
        <is>
          <t>Rate basis: per cum  (source: cost for 1 cum)</t>
        </is>
      </c>
    </row>
    <row r="366">
      <c r="A366" s="5" t="inlineStr">
        <is>
          <t>Code</t>
        </is>
      </c>
      <c r="B366" s="5" t="inlineStr">
        <is>
          <t>Description</t>
        </is>
      </c>
      <c r="C366" s="5" t="inlineStr">
        <is>
          <t>Unit</t>
        </is>
      </c>
      <c r="D366" s="5" t="inlineStr">
        <is>
          <t>Quantity</t>
        </is>
      </c>
      <c r="E366" s="5" t="inlineStr">
        <is>
          <t>Rate (Rs.)</t>
        </is>
      </c>
      <c r="F366" s="5" t="inlineStr">
        <is>
          <t>Amount (Rs.)</t>
        </is>
      </c>
    </row>
    <row r="367">
      <c r="A367" s="13" t="inlineStr">
        <is>
          <t>3.9</t>
        </is>
      </c>
      <c r="B367" s="14" t="inlineStr">
        <is>
          <t>Rate as per SH: 3.9</t>
        </is>
      </c>
      <c r="C367" s="13" t="inlineStr">
        <is>
          <t>cum</t>
        </is>
      </c>
      <c r="D367" s="15" t="n">
        <v>0.35</v>
      </c>
      <c r="E367" s="16" t="n">
        <v>4010.35</v>
      </c>
      <c r="F367" s="16">
        <f>D367*E367</f>
        <v/>
      </c>
    </row>
    <row r="368">
      <c r="A368" s="13" t="inlineStr">
        <is>
          <t>5.9.9</t>
        </is>
      </c>
      <c r="B368" s="14" t="inlineStr">
        <is>
          <t>Rate as per SH: 5.9.9</t>
        </is>
      </c>
      <c r="C368" s="13" t="inlineStr">
        <is>
          <t>sqm</t>
        </is>
      </c>
      <c r="D368" s="15" t="n">
        <v>2.25</v>
      </c>
      <c r="E368" s="16" t="n">
        <v>1713.2</v>
      </c>
      <c r="F368" s="16">
        <f>D368*E368</f>
        <v/>
      </c>
    </row>
    <row r="369">
      <c r="A369" s="13" t="inlineStr">
        <is>
          <t>1984</t>
        </is>
      </c>
      <c r="B369" s="14" t="inlineStr">
        <is>
          <t>Common burnt clay F.P.S. (non modular) bricks tile class designation 10</t>
        </is>
      </c>
      <c r="C369" s="13" t="inlineStr">
        <is>
          <t>1000 Nos</t>
        </is>
      </c>
      <c r="D369" s="15" t="n">
        <v>0.791</v>
      </c>
      <c r="E369" s="16" t="n">
        <v>4500</v>
      </c>
      <c r="F369" s="16">
        <f>D369*E369</f>
        <v/>
      </c>
    </row>
    <row r="370">
      <c r="A370" s="13" t="inlineStr">
        <is>
          <t>2207</t>
        </is>
      </c>
      <c r="B370" s="14" t="inlineStr">
        <is>
          <t>Carriage of Brick tiles</t>
        </is>
      </c>
      <c r="C370" s="13" t="inlineStr">
        <is>
          <t>1000 Nos</t>
        </is>
      </c>
      <c r="D370" s="15" t="n">
        <v>0.791</v>
      </c>
      <c r="E370" s="16" t="n">
        <v>166.03</v>
      </c>
      <c r="F370" s="16">
        <f>D370*E370</f>
        <v/>
      </c>
    </row>
    <row r="371">
      <c r="A371" s="13" t="inlineStr">
        <is>
          <t>9999</t>
        </is>
      </c>
      <c r="B371" s="14" t="inlineStr">
        <is>
          <t>Sundries and shuttering</t>
        </is>
      </c>
      <c r="C371" s="13" t="inlineStr">
        <is>
          <t>L.S.</t>
        </is>
      </c>
      <c r="D371" s="15" t="n">
        <v>5.46</v>
      </c>
      <c r="E371" s="16" t="n">
        <v>2</v>
      </c>
      <c r="F371" s="16">
        <f>D371*E371</f>
        <v/>
      </c>
    </row>
    <row r="372">
      <c r="A372" s="13" t="inlineStr">
        <is>
          <t>9999</t>
        </is>
      </c>
      <c r="B372" s="14" t="inlineStr">
        <is>
          <t>Scaffolding</t>
        </is>
      </c>
      <c r="C372" s="13" t="inlineStr">
        <is>
          <t>L.S.</t>
        </is>
      </c>
      <c r="D372" s="15" t="n">
        <v>18.85</v>
      </c>
      <c r="E372" s="16" t="n">
        <v>2</v>
      </c>
      <c r="F372" s="16">
        <f>D372*E372</f>
        <v/>
      </c>
    </row>
    <row r="373">
      <c r="A373" s="13" t="inlineStr">
        <is>
          <t>0123</t>
        </is>
      </c>
      <c r="B373" s="14" t="inlineStr">
        <is>
          <t>Mason (brick layer) 1st class</t>
        </is>
      </c>
      <c r="C373" s="13" t="inlineStr">
        <is>
          <t>day</t>
        </is>
      </c>
      <c r="D373" s="15" t="n">
        <v>1.5</v>
      </c>
      <c r="E373" s="16" t="n">
        <v>738</v>
      </c>
      <c r="F373" s="16">
        <f>D373*E373</f>
        <v/>
      </c>
    </row>
    <row r="374">
      <c r="A374" s="13" t="inlineStr">
        <is>
          <t>0124</t>
        </is>
      </c>
      <c r="B374" s="14" t="inlineStr">
        <is>
          <t>Mason (brick layer) 2nd class</t>
        </is>
      </c>
      <c r="C374" s="13" t="inlineStr">
        <is>
          <t>day</t>
        </is>
      </c>
      <c r="D374" s="15" t="n">
        <v>1.5</v>
      </c>
      <c r="E374" s="16" t="n">
        <v>679</v>
      </c>
      <c r="F374" s="16">
        <f>D374*E374</f>
        <v/>
      </c>
    </row>
    <row r="375">
      <c r="A375" s="13" t="inlineStr">
        <is>
          <t>0115</t>
        </is>
      </c>
      <c r="B375" s="14" t="inlineStr">
        <is>
          <t>Coolie</t>
        </is>
      </c>
      <c r="C375" s="13" t="inlineStr">
        <is>
          <t>day</t>
        </is>
      </c>
      <c r="D375" s="15" t="n">
        <v>5.33</v>
      </c>
      <c r="E375" s="16" t="n">
        <v>558</v>
      </c>
      <c r="F375" s="16">
        <f>D375*E375</f>
        <v/>
      </c>
    </row>
    <row r="376">
      <c r="A376" s="13" t="inlineStr">
        <is>
          <t>0101</t>
        </is>
      </c>
      <c r="B376" s="14" t="inlineStr">
        <is>
          <t>Bhisti</t>
        </is>
      </c>
      <c r="C376" s="13" t="inlineStr">
        <is>
          <t>day</t>
        </is>
      </c>
      <c r="D376" s="15" t="n">
        <v>0.2</v>
      </c>
      <c r="E376" s="16" t="n">
        <v>617</v>
      </c>
      <c r="F376" s="16">
        <f>D376*E376</f>
        <v/>
      </c>
    </row>
    <row r="377">
      <c r="A377" s="13" t="inlineStr">
        <is>
          <t>0115</t>
        </is>
      </c>
      <c r="B377" s="14" t="inlineStr">
        <is>
          <t>Coolie</t>
        </is>
      </c>
      <c r="C377" s="13" t="inlineStr">
        <is>
          <t>day</t>
        </is>
      </c>
      <c r="D377" s="15" t="n">
        <v>1.13</v>
      </c>
      <c r="E377" s="16" t="n">
        <v>558</v>
      </c>
      <c r="F377" s="16">
        <f>D377*E377</f>
        <v/>
      </c>
    </row>
    <row r="378">
      <c r="A378" s="17" t="inlineStr">
        <is>
          <t>Resource Total (Material + Labour + Machinery, as printed)</t>
        </is>
      </c>
      <c r="B378" s="18" t="n"/>
      <c r="C378" s="18" t="n"/>
      <c r="D378" s="18" t="n"/>
      <c r="E378" s="18" t="n"/>
      <c r="F378" s="19">
        <f>SUM(F367:F377)</f>
        <v/>
      </c>
    </row>
    <row r="379">
      <c r="A379" s="20" t="inlineStr">
        <is>
          <t>SAY (Rs.) — final DAR rate</t>
        </is>
      </c>
      <c r="B379" s="21" t="n"/>
      <c r="C379" s="21" t="n"/>
      <c r="D379" s="21" t="n"/>
      <c r="E379" s="21" t="n"/>
      <c r="F379" s="22" t="n">
        <v>18567.55</v>
      </c>
    </row>
    <row r="381" ht="28" customHeight="1">
      <c r="A381" s="9" t="inlineStr">
        <is>
          <t>6.22</t>
        </is>
      </c>
      <c r="B381" s="10" t="inlineStr">
        <is>
          <t>Tile brick masonry work 5 cm thick with common burnt clay F.P.S. (non modular) tile bricks of class designation 10 in cement mortar 1:3 (1 c</t>
        </is>
      </c>
      <c r="C381" s="11" t="n"/>
      <c r="D381" s="11" t="n"/>
      <c r="E381" s="11" t="n"/>
      <c r="F381" s="11" t="n"/>
    </row>
    <row r="382">
      <c r="A382" s="12" t="inlineStr">
        <is>
          <t>Rate basis: per sqm  (source: cost for 10 sqm)</t>
        </is>
      </c>
    </row>
    <row r="383">
      <c r="A383" s="5" t="inlineStr">
        <is>
          <t>Code</t>
        </is>
      </c>
      <c r="B383" s="5" t="inlineStr">
        <is>
          <t>Description</t>
        </is>
      </c>
      <c r="C383" s="5" t="inlineStr">
        <is>
          <t>Unit</t>
        </is>
      </c>
      <c r="D383" s="5" t="inlineStr">
        <is>
          <t>Quantity</t>
        </is>
      </c>
      <c r="E383" s="5" t="inlineStr">
        <is>
          <t>Rate (Rs.)</t>
        </is>
      </c>
      <c r="F383" s="5" t="inlineStr">
        <is>
          <t>Amount (Rs.)</t>
        </is>
      </c>
    </row>
    <row r="384">
      <c r="A384" s="13" t="inlineStr">
        <is>
          <t>3.8</t>
        </is>
      </c>
      <c r="B384" s="14" t="inlineStr">
        <is>
          <t>Rate as per SH: 3.8</t>
        </is>
      </c>
      <c r="C384" s="13" t="inlineStr">
        <is>
          <t>cum</t>
        </is>
      </c>
      <c r="D384" s="15" t="n">
        <v>0.15</v>
      </c>
      <c r="E384" s="16" t="n">
        <v>4664.55</v>
      </c>
      <c r="F384" s="16">
        <f>D384*E384</f>
        <v/>
      </c>
    </row>
    <row r="385">
      <c r="A385" s="13" t="inlineStr">
        <is>
          <t>1984</t>
        </is>
      </c>
      <c r="B385" s="14" t="inlineStr">
        <is>
          <t>Common burnt clay F.P.S. (non modular) bricks tile class designation 10</t>
        </is>
      </c>
      <c r="C385" s="13" t="inlineStr">
        <is>
          <t>1000 Nos</t>
        </is>
      </c>
      <c r="D385" s="15" t="n">
        <v>0.377</v>
      </c>
      <c r="E385" s="16" t="n">
        <v>4500</v>
      </c>
      <c r="F385" s="16">
        <f>D385*E385</f>
        <v/>
      </c>
    </row>
    <row r="386">
      <c r="A386" s="13" t="inlineStr">
        <is>
          <t>2207</t>
        </is>
      </c>
      <c r="B386" s="14" t="inlineStr">
        <is>
          <t>Carriage of Brick tiles</t>
        </is>
      </c>
      <c r="C386" s="13" t="inlineStr">
        <is>
          <t>1000 Nos</t>
        </is>
      </c>
      <c r="D386" s="15" t="n">
        <v>0.377</v>
      </c>
      <c r="E386" s="16" t="n">
        <v>166.03</v>
      </c>
      <c r="F386" s="16">
        <f>D386*E386</f>
        <v/>
      </c>
    </row>
    <row r="387">
      <c r="A387" s="13" t="inlineStr">
        <is>
          <t>9999</t>
        </is>
      </c>
      <c r="B387" s="14" t="inlineStr">
        <is>
          <t>Sundries and scaffolding</t>
        </is>
      </c>
      <c r="C387" s="13" t="inlineStr">
        <is>
          <t>L.S.</t>
        </is>
      </c>
      <c r="D387" s="15" t="n">
        <v>8.06</v>
      </c>
      <c r="E387" s="16" t="n">
        <v>2</v>
      </c>
      <c r="F387" s="16">
        <f>D387*E387</f>
        <v/>
      </c>
    </row>
    <row r="388">
      <c r="A388" s="13" t="inlineStr">
        <is>
          <t>0123</t>
        </is>
      </c>
      <c r="B388" s="14" t="inlineStr">
        <is>
          <t>Mason (brick layer) 1st class</t>
        </is>
      </c>
      <c r="C388" s="13" t="inlineStr">
        <is>
          <t>day</t>
        </is>
      </c>
      <c r="D388" s="15" t="n">
        <v>0.9399999999999999</v>
      </c>
      <c r="E388" s="16" t="n">
        <v>738</v>
      </c>
      <c r="F388" s="16">
        <f>D388*E388</f>
        <v/>
      </c>
    </row>
    <row r="389">
      <c r="A389" s="13" t="inlineStr">
        <is>
          <t>0124</t>
        </is>
      </c>
      <c r="B389" s="14" t="inlineStr">
        <is>
          <t>Mason (brick layer) 2nd class</t>
        </is>
      </c>
      <c r="C389" s="13" t="inlineStr">
        <is>
          <t>day</t>
        </is>
      </c>
      <c r="D389" s="15" t="n">
        <v>0.9399999999999999</v>
      </c>
      <c r="E389" s="16" t="n">
        <v>679</v>
      </c>
      <c r="F389" s="16">
        <f>D389*E389</f>
        <v/>
      </c>
    </row>
    <row r="390">
      <c r="A390" s="13" t="inlineStr">
        <is>
          <t>0115</t>
        </is>
      </c>
      <c r="B390" s="14" t="inlineStr">
        <is>
          <t>Coolie</t>
        </is>
      </c>
      <c r="C390" s="13" t="inlineStr">
        <is>
          <t>day</t>
        </is>
      </c>
      <c r="D390" s="15" t="n">
        <v>1.88</v>
      </c>
      <c r="E390" s="16" t="n">
        <v>558</v>
      </c>
      <c r="F390" s="16">
        <f>D390*E390</f>
        <v/>
      </c>
    </row>
    <row r="391">
      <c r="A391" s="13" t="inlineStr">
        <is>
          <t>0101</t>
        </is>
      </c>
      <c r="B391" s="14" t="inlineStr">
        <is>
          <t>Bhisti</t>
        </is>
      </c>
      <c r="C391" s="13" t="inlineStr">
        <is>
          <t>day</t>
        </is>
      </c>
      <c r="D391" s="15" t="n">
        <v>0.33</v>
      </c>
      <c r="E391" s="16" t="n">
        <v>617</v>
      </c>
      <c r="F391" s="16">
        <f>D391*E391</f>
        <v/>
      </c>
    </row>
    <row r="392">
      <c r="A392" s="13" t="inlineStr">
        <is>
          <t>0115</t>
        </is>
      </c>
      <c r="B392" s="14" t="inlineStr">
        <is>
          <t>Coolie</t>
        </is>
      </c>
      <c r="C392" s="13" t="inlineStr">
        <is>
          <t>day</t>
        </is>
      </c>
      <c r="D392" s="15" t="n">
        <v>1.29</v>
      </c>
      <c r="E392" s="16" t="n">
        <v>558</v>
      </c>
      <c r="F392" s="16">
        <f>D392*E392</f>
        <v/>
      </c>
    </row>
    <row r="393">
      <c r="A393" s="17" t="inlineStr">
        <is>
          <t>Resource Total (Material + Labour + Machinery, as printed)</t>
        </is>
      </c>
      <c r="B393" s="18" t="n"/>
      <c r="C393" s="18" t="n"/>
      <c r="D393" s="18" t="n"/>
      <c r="E393" s="18" t="n"/>
      <c r="F393" s="19">
        <f>SUM(F384:F392)</f>
        <v/>
      </c>
    </row>
    <row r="394">
      <c r="A394" s="20" t="inlineStr">
        <is>
          <t>SAY (Rs.) — final DAR rate</t>
        </is>
      </c>
      <c r="B394" s="21" t="n"/>
      <c r="C394" s="21" t="n"/>
      <c r="D394" s="21" t="n"/>
      <c r="E394" s="21" t="n"/>
      <c r="F394" s="22" t="n">
        <v>773.25</v>
      </c>
    </row>
    <row r="396" ht="28" customHeight="1">
      <c r="A396" s="9" t="inlineStr">
        <is>
          <t>6.23</t>
        </is>
      </c>
      <c r="B396" s="10" t="inlineStr">
        <is>
          <t>Honey-comb brick work 10 / 11.4 cm thick with common burnt clay bricks of class designation 7.5 in super structure above plinth level upto f</t>
        </is>
      </c>
      <c r="C396" s="11" t="n"/>
      <c r="D396" s="11" t="n"/>
      <c r="E396" s="11" t="n"/>
      <c r="F396" s="11" t="n"/>
    </row>
    <row r="397">
      <c r="A397" s="12" t="inlineStr">
        <is>
          <t>Rate basis: per sqm  (source: cost for 1 sqm)</t>
        </is>
      </c>
    </row>
    <row r="398">
      <c r="A398" s="5" t="inlineStr">
        <is>
          <t>Code</t>
        </is>
      </c>
      <c r="B398" s="5" t="inlineStr">
        <is>
          <t>Description</t>
        </is>
      </c>
      <c r="C398" s="5" t="inlineStr">
        <is>
          <t>Unit</t>
        </is>
      </c>
      <c r="D398" s="5" t="inlineStr">
        <is>
          <t>Quantity</t>
        </is>
      </c>
      <c r="E398" s="5" t="inlineStr">
        <is>
          <t>Rate (Rs.)</t>
        </is>
      </c>
      <c r="F398" s="5" t="inlineStr">
        <is>
          <t>Amount (Rs.)</t>
        </is>
      </c>
    </row>
    <row r="399">
      <c r="A399" s="13" t="inlineStr">
        <is>
          <t>6.4.1</t>
        </is>
      </c>
      <c r="B399" s="14" t="inlineStr">
        <is>
          <t>Rate as per SH: 6.4.1</t>
        </is>
      </c>
      <c r="C399" s="13" t="inlineStr">
        <is>
          <t>cum</t>
        </is>
      </c>
      <c r="D399" s="15" t="n">
        <v>0.06900000000000001</v>
      </c>
      <c r="E399" s="16" t="n">
        <v>7809.25</v>
      </c>
      <c r="F399" s="16">
        <f>D399*E399</f>
        <v/>
      </c>
    </row>
    <row r="400">
      <c r="A400" s="13" t="inlineStr">
        <is>
          <t>9999</t>
        </is>
      </c>
      <c r="B400" s="14" t="inlineStr">
        <is>
          <t>Extra for delay due to fine work</t>
        </is>
      </c>
      <c r="C400" s="13" t="inlineStr">
        <is>
          <t>L.S.</t>
        </is>
      </c>
      <c r="D400" s="15" t="n">
        <v>20.67</v>
      </c>
      <c r="E400" s="16" t="n">
        <v>2</v>
      </c>
      <c r="F400" s="16">
        <f>D400*E400</f>
        <v/>
      </c>
    </row>
    <row r="401">
      <c r="A401" s="17" t="inlineStr">
        <is>
          <t>Resource Total (Material + Labour + Machinery, as printed)</t>
        </is>
      </c>
      <c r="B401" s="18" t="n"/>
      <c r="C401" s="18" t="n"/>
      <c r="D401" s="18" t="n"/>
      <c r="E401" s="18" t="n"/>
      <c r="F401" s="19">
        <f>SUM(F399:F400)</f>
        <v/>
      </c>
    </row>
    <row r="402">
      <c r="A402" s="20" t="inlineStr">
        <is>
          <t>SAY (Rs.) — final DAR rate</t>
        </is>
      </c>
      <c r="B402" s="21" t="n"/>
      <c r="C402" s="21" t="n"/>
      <c r="D402" s="21" t="n"/>
      <c r="E402" s="21" t="n"/>
      <c r="F402" s="22" t="n">
        <v>594.15</v>
      </c>
    </row>
    <row r="404" ht="28" customHeight="1">
      <c r="A404" s="9" t="inlineStr">
        <is>
          <t>6.24</t>
        </is>
      </c>
      <c r="B404" s="10" t="inlineStr">
        <is>
          <t>Extra for laying brick work in or under water and/or liquid mud including cost of pumping or bailing out water and removing slush etc. compl</t>
        </is>
      </c>
      <c r="C404" s="11" t="n"/>
      <c r="D404" s="11" t="n"/>
      <c r="E404" s="11" t="n"/>
      <c r="F404" s="11" t="n"/>
    </row>
    <row r="405">
      <c r="A405" s="12" t="inlineStr">
        <is>
          <t>Rate basis: per cum  (source: cost for 14 cum)</t>
        </is>
      </c>
    </row>
    <row r="406">
      <c r="A406" s="5" t="inlineStr">
        <is>
          <t>Code</t>
        </is>
      </c>
      <c r="B406" s="5" t="inlineStr">
        <is>
          <t>Description</t>
        </is>
      </c>
      <c r="C406" s="5" t="inlineStr">
        <is>
          <t>Unit</t>
        </is>
      </c>
      <c r="D406" s="5" t="inlineStr">
        <is>
          <t>Quantity</t>
        </is>
      </c>
      <c r="E406" s="5" t="inlineStr">
        <is>
          <t>Rate (Rs.)</t>
        </is>
      </c>
      <c r="F406" s="5" t="inlineStr">
        <is>
          <t>Amount (Rs.)</t>
        </is>
      </c>
    </row>
    <row r="407">
      <c r="A407" s="13" t="inlineStr">
        <is>
          <t>4000</t>
        </is>
      </c>
      <c r="B407" s="14" t="inlineStr">
        <is>
          <t>litres/hour.</t>
        </is>
      </c>
      <c r="C407" s="13" t="inlineStr">
        <is>
          <t>day</t>
        </is>
      </c>
      <c r="D407" s="15" t="n">
        <v>0.375</v>
      </c>
      <c r="E407" s="16" t="n">
        <v>700</v>
      </c>
      <c r="F407" s="16">
        <f>D407*E407</f>
        <v/>
      </c>
    </row>
    <row r="408">
      <c r="A408" s="13" t="inlineStr">
        <is>
          <t>0114</t>
        </is>
      </c>
      <c r="B408" s="14" t="inlineStr">
        <is>
          <t>Beldar</t>
        </is>
      </c>
      <c r="C408" s="13" t="inlineStr">
        <is>
          <t>day</t>
        </is>
      </c>
      <c r="D408" s="15" t="n">
        <v>4</v>
      </c>
      <c r="E408" s="16" t="n">
        <v>558</v>
      </c>
      <c r="F408" s="16">
        <f>D408*E408</f>
        <v/>
      </c>
    </row>
    <row r="409">
      <c r="A409" s="17" t="inlineStr">
        <is>
          <t>Resource Total (Material + Labour + Machinery, as printed)</t>
        </is>
      </c>
      <c r="B409" s="18" t="n"/>
      <c r="C409" s="18" t="n"/>
      <c r="D409" s="18" t="n"/>
      <c r="E409" s="18" t="n"/>
      <c r="F409" s="19">
        <f>SUM(F407:F408)</f>
        <v/>
      </c>
    </row>
    <row r="410">
      <c r="A410" s="20" t="inlineStr">
        <is>
          <t>SAY (Rs.) — final DAR rate</t>
        </is>
      </c>
      <c r="B410" s="21" t="n"/>
      <c r="C410" s="21" t="n"/>
      <c r="D410" s="21" t="n"/>
      <c r="E410" s="21" t="n"/>
      <c r="F410" s="22" t="n">
        <v>794.65</v>
      </c>
    </row>
    <row r="412" ht="18" customHeight="1">
      <c r="A412" s="9" t="inlineStr">
        <is>
          <t>6.25</t>
        </is>
      </c>
      <c r="B412" s="10" t="inlineStr">
        <is>
          <t>Extra for laying brick work in or under foul position.</t>
        </is>
      </c>
      <c r="C412" s="11" t="n"/>
      <c r="D412" s="11" t="n"/>
      <c r="E412" s="11" t="n"/>
      <c r="F412" s="11" t="n"/>
    </row>
    <row r="413">
      <c r="A413" s="12" t="inlineStr">
        <is>
          <t>Rate basis: per cum  (source: cost for 1 cum)</t>
        </is>
      </c>
    </row>
    <row r="414">
      <c r="A414" s="5" t="inlineStr">
        <is>
          <t>Code</t>
        </is>
      </c>
      <c r="B414" s="5" t="inlineStr">
        <is>
          <t>Description</t>
        </is>
      </c>
      <c r="C414" s="5" t="inlineStr">
        <is>
          <t>Unit</t>
        </is>
      </c>
      <c r="D414" s="5" t="inlineStr">
        <is>
          <t>Quantity</t>
        </is>
      </c>
      <c r="E414" s="5" t="inlineStr">
        <is>
          <t>Rate (Rs.)</t>
        </is>
      </c>
      <c r="F414" s="5" t="inlineStr">
        <is>
          <t>Amount (Rs.)</t>
        </is>
      </c>
    </row>
    <row r="415">
      <c r="A415" s="13" t="inlineStr">
        <is>
          <t>0123</t>
        </is>
      </c>
      <c r="B415" s="14" t="inlineStr">
        <is>
          <t>Mason (brick layer) 1st class</t>
        </is>
      </c>
      <c r="C415" s="13" t="inlineStr">
        <is>
          <t>day</t>
        </is>
      </c>
      <c r="D415" s="15" t="n">
        <v>0.02</v>
      </c>
      <c r="E415" s="16" t="n">
        <v>738</v>
      </c>
      <c r="F415" s="16">
        <f>D415*E415</f>
        <v/>
      </c>
    </row>
    <row r="416">
      <c r="A416" s="13" t="inlineStr">
        <is>
          <t>0124</t>
        </is>
      </c>
      <c r="B416" s="14" t="inlineStr">
        <is>
          <t>Mason (brick layer) 2nd class</t>
        </is>
      </c>
      <c r="C416" s="13" t="inlineStr">
        <is>
          <t>day</t>
        </is>
      </c>
      <c r="D416" s="15" t="n">
        <v>0.02</v>
      </c>
      <c r="E416" s="16" t="n">
        <v>679</v>
      </c>
      <c r="F416" s="16">
        <f>D416*E416</f>
        <v/>
      </c>
    </row>
    <row r="417">
      <c r="A417" s="13" t="inlineStr">
        <is>
          <t>0114</t>
        </is>
      </c>
      <c r="B417" s="14" t="inlineStr">
        <is>
          <t>Beldar</t>
        </is>
      </c>
      <c r="C417" s="13" t="inlineStr">
        <is>
          <t>day</t>
        </is>
      </c>
      <c r="D417" s="15" t="n">
        <v>0.25</v>
      </c>
      <c r="E417" s="16" t="n">
        <v>558</v>
      </c>
      <c r="F417" s="16">
        <f>D417*E417</f>
        <v/>
      </c>
    </row>
    <row r="418">
      <c r="A418" s="13" t="inlineStr">
        <is>
          <t>0115</t>
        </is>
      </c>
      <c r="B418" s="14" t="inlineStr">
        <is>
          <t>Coolie</t>
        </is>
      </c>
      <c r="C418" s="13" t="inlineStr">
        <is>
          <t>day</t>
        </is>
      </c>
      <c r="D418" s="15" t="n">
        <v>0.15</v>
      </c>
      <c r="E418" s="16" t="n">
        <v>558</v>
      </c>
      <c r="F418" s="16">
        <f>D418*E418</f>
        <v/>
      </c>
    </row>
    <row r="419">
      <c r="A419" s="17" t="inlineStr">
        <is>
          <t>Resource Total (Material + Labour + Machinery, as printed)</t>
        </is>
      </c>
      <c r="B419" s="18" t="n"/>
      <c r="C419" s="18" t="n"/>
      <c r="D419" s="18" t="n"/>
      <c r="E419" s="18" t="n"/>
      <c r="F419" s="19">
        <f>SUM(F415:F418)</f>
        <v/>
      </c>
    </row>
    <row r="420">
      <c r="A420" s="20" t="inlineStr">
        <is>
          <t>SAY (Rs.) — final DAR rate</t>
        </is>
      </c>
      <c r="B420" s="21" t="n"/>
      <c r="C420" s="21" t="n"/>
      <c r="D420" s="21" t="n"/>
      <c r="E420" s="21" t="n"/>
      <c r="F420" s="22" t="n">
        <v>336.55</v>
      </c>
    </row>
    <row r="422" ht="18" customHeight="1">
      <c r="A422" s="9" t="inlineStr">
        <is>
          <t>6.26.1</t>
        </is>
      </c>
      <c r="B422" s="10" t="inlineStr">
        <is>
          <t>From ground level upto plinth level</t>
        </is>
      </c>
      <c r="C422" s="11" t="n"/>
      <c r="D422" s="11" t="n"/>
      <c r="E422" s="11" t="n"/>
      <c r="F422" s="11" t="n"/>
    </row>
    <row r="423">
      <c r="A423" s="12" t="inlineStr">
        <is>
          <t>Rate basis: per cum  (source: cost for 1 cum)</t>
        </is>
      </c>
    </row>
    <row r="424">
      <c r="A424" s="5" t="inlineStr">
        <is>
          <t>Code</t>
        </is>
      </c>
      <c r="B424" s="5" t="inlineStr">
        <is>
          <t>Description</t>
        </is>
      </c>
      <c r="C424" s="5" t="inlineStr">
        <is>
          <t>Unit</t>
        </is>
      </c>
      <c r="D424" s="5" t="inlineStr">
        <is>
          <t>Quantity</t>
        </is>
      </c>
      <c r="E424" s="5" t="inlineStr">
        <is>
          <t>Rate (Rs.)</t>
        </is>
      </c>
      <c r="F424" s="5" t="inlineStr">
        <is>
          <t>Amount (Rs.)</t>
        </is>
      </c>
    </row>
    <row r="425">
      <c r="A425" s="13" t="inlineStr">
        <is>
          <t>3.11</t>
        </is>
      </c>
      <c r="B425" s="14" t="inlineStr">
        <is>
          <t>Rate as per SH: 3.11</t>
        </is>
      </c>
      <c r="C425" s="13" t="inlineStr">
        <is>
          <t>cum</t>
        </is>
      </c>
      <c r="D425" s="15" t="n">
        <v>0.25</v>
      </c>
      <c r="E425" s="16" t="n">
        <v>3356.15</v>
      </c>
      <c r="F425" s="16">
        <f>D425*E425</f>
        <v/>
      </c>
    </row>
    <row r="426">
      <c r="A426" s="13" t="inlineStr">
        <is>
          <t>2602</t>
        </is>
      </c>
      <c r="B426" s="14" t="inlineStr">
        <is>
          <t>Common burnt clay F.P.S. (non modular) bricks class designation 7.5</t>
        </is>
      </c>
      <c r="C426" s="13" t="inlineStr">
        <is>
          <t>1000 Nos</t>
        </is>
      </c>
      <c r="D426" s="15" t="n">
        <v>0.494</v>
      </c>
      <c r="E426" s="16" t="n">
        <v>4500</v>
      </c>
      <c r="F426" s="16">
        <f>D426*E426</f>
        <v/>
      </c>
    </row>
    <row r="427">
      <c r="A427" s="13" t="inlineStr">
        <is>
          <t>2201</t>
        </is>
      </c>
      <c r="B427" s="14" t="inlineStr">
        <is>
          <t>Carriage of Bricks</t>
        </is>
      </c>
      <c r="C427" s="13" t="inlineStr">
        <is>
          <t>1000 Nos</t>
        </is>
      </c>
      <c r="D427" s="15" t="n">
        <v>0.494</v>
      </c>
      <c r="E427" s="16" t="n">
        <v>276.72</v>
      </c>
      <c r="F427" s="16">
        <f>D427*E427</f>
        <v/>
      </c>
    </row>
    <row r="428">
      <c r="A428" s="13" t="inlineStr">
        <is>
          <t>9999</t>
        </is>
      </c>
      <c r="B428" s="14" t="inlineStr">
        <is>
          <t>Sundries including steel/wooden strips for making grooves.</t>
        </is>
      </c>
      <c r="C428" s="13" t="inlineStr">
        <is>
          <t>L.S.</t>
        </is>
      </c>
      <c r="D428" s="15" t="n">
        <v>16.38</v>
      </c>
      <c r="E428" s="16" t="n">
        <v>2</v>
      </c>
      <c r="F428" s="16">
        <f>D428*E428</f>
        <v/>
      </c>
    </row>
    <row r="429">
      <c r="A429" s="13" t="inlineStr">
        <is>
          <t>0114</t>
        </is>
      </c>
      <c r="B429" s="14" t="inlineStr">
        <is>
          <t>Beldar</t>
        </is>
      </c>
      <c r="C429" s="13" t="inlineStr">
        <is>
          <t>day</t>
        </is>
      </c>
      <c r="D429" s="15" t="n">
        <v>0.5</v>
      </c>
      <c r="E429" s="16" t="n">
        <v>558</v>
      </c>
      <c r="F429" s="16">
        <f>D429*E429</f>
        <v/>
      </c>
    </row>
    <row r="430">
      <c r="A430" s="13" t="inlineStr">
        <is>
          <t>0123</t>
        </is>
      </c>
      <c r="B430" s="14" t="inlineStr">
        <is>
          <t>Mason (brick layer) 1st class</t>
        </is>
      </c>
      <c r="C430" s="13" t="inlineStr">
        <is>
          <t>day</t>
        </is>
      </c>
      <c r="D430" s="15" t="n">
        <v>0.35</v>
      </c>
      <c r="E430" s="16" t="n">
        <v>738</v>
      </c>
      <c r="F430" s="16">
        <f>D430*E430</f>
        <v/>
      </c>
    </row>
    <row r="431">
      <c r="A431" s="13" t="inlineStr">
        <is>
          <t>0124</t>
        </is>
      </c>
      <c r="B431" s="14" t="inlineStr">
        <is>
          <t>Mason (brick layer) 2nd class</t>
        </is>
      </c>
      <c r="C431" s="13" t="inlineStr">
        <is>
          <t>day</t>
        </is>
      </c>
      <c r="D431" s="15" t="n">
        <v>0.35</v>
      </c>
      <c r="E431" s="16" t="n">
        <v>679</v>
      </c>
      <c r="F431" s="16">
        <f>D431*E431</f>
        <v/>
      </c>
    </row>
    <row r="432">
      <c r="A432" s="13" t="inlineStr">
        <is>
          <t>0115</t>
        </is>
      </c>
      <c r="B432" s="14" t="inlineStr">
        <is>
          <t>Coolie</t>
        </is>
      </c>
      <c r="C432" s="13" t="inlineStr">
        <is>
          <t>day</t>
        </is>
      </c>
      <c r="D432" s="15" t="n">
        <v>1.07</v>
      </c>
      <c r="E432" s="16" t="n">
        <v>558</v>
      </c>
      <c r="F432" s="16">
        <f>D432*E432</f>
        <v/>
      </c>
    </row>
    <row r="433">
      <c r="A433" s="13" t="inlineStr">
        <is>
          <t>0101</t>
        </is>
      </c>
      <c r="B433" s="14" t="inlineStr">
        <is>
          <t>Bhisti</t>
        </is>
      </c>
      <c r="C433" s="13" t="inlineStr">
        <is>
          <t>day</t>
        </is>
      </c>
      <c r="D433" s="15" t="n">
        <v>0.2</v>
      </c>
      <c r="E433" s="16" t="n">
        <v>617</v>
      </c>
      <c r="F433" s="16">
        <f>D433*E433</f>
        <v/>
      </c>
    </row>
    <row r="434">
      <c r="A434" s="17" t="inlineStr">
        <is>
          <t>Resource Total (Material + Labour + Machinery, as printed)</t>
        </is>
      </c>
      <c r="B434" s="18" t="n"/>
      <c r="C434" s="18" t="n"/>
      <c r="D434" s="18" t="n"/>
      <c r="E434" s="18" t="n"/>
      <c r="F434" s="19">
        <f>SUM(F425:F433)</f>
        <v/>
      </c>
    </row>
    <row r="435">
      <c r="A435" s="20" t="inlineStr">
        <is>
          <t>SAY (Rs.) — final DAR rate</t>
        </is>
      </c>
      <c r="B435" s="21" t="n"/>
      <c r="C435" s="21" t="n"/>
      <c r="D435" s="21" t="n"/>
      <c r="E435" s="21" t="n"/>
      <c r="F435" s="22" t="n">
        <v>6324.3</v>
      </c>
    </row>
    <row r="437" ht="18" customHeight="1">
      <c r="A437" s="9" t="inlineStr">
        <is>
          <t>6.26.2</t>
        </is>
      </c>
      <c r="B437" s="10" t="inlineStr">
        <is>
          <t>Above plinth level upto floor V level</t>
        </is>
      </c>
      <c r="C437" s="11" t="n"/>
      <c r="D437" s="11" t="n"/>
      <c r="E437" s="11" t="n"/>
      <c r="F437" s="11" t="n"/>
    </row>
    <row r="438">
      <c r="A438" s="12" t="inlineStr">
        <is>
          <t>Rate basis: per cum  (source: cost for 1 cum)</t>
        </is>
      </c>
    </row>
    <row r="439">
      <c r="A439" s="5" t="inlineStr">
        <is>
          <t>Code</t>
        </is>
      </c>
      <c r="B439" s="5" t="inlineStr">
        <is>
          <t>Description</t>
        </is>
      </c>
      <c r="C439" s="5" t="inlineStr">
        <is>
          <t>Unit</t>
        </is>
      </c>
      <c r="D439" s="5" t="inlineStr">
        <is>
          <t>Quantity</t>
        </is>
      </c>
      <c r="E439" s="5" t="inlineStr">
        <is>
          <t>Rate (Rs.)</t>
        </is>
      </c>
      <c r="F439" s="5" t="inlineStr">
        <is>
          <t>Amount (Rs.)</t>
        </is>
      </c>
    </row>
    <row r="440">
      <c r="A440" s="13" t="inlineStr">
        <is>
          <t>3.11</t>
        </is>
      </c>
      <c r="B440" s="14" t="inlineStr">
        <is>
          <t>Rate as per SH: 3.11</t>
        </is>
      </c>
      <c r="C440" s="13" t="inlineStr">
        <is>
          <t>cum</t>
        </is>
      </c>
      <c r="D440" s="15" t="n">
        <v>0.25</v>
      </c>
      <c r="E440" s="16" t="n">
        <v>3356.15</v>
      </c>
      <c r="F440" s="16">
        <f>D440*E440</f>
        <v/>
      </c>
    </row>
    <row r="441">
      <c r="A441" s="13" t="inlineStr">
        <is>
          <t>2602</t>
        </is>
      </c>
      <c r="B441" s="14" t="inlineStr">
        <is>
          <t>Common burnt clay F.P.S. (non modular) bricks class designation 7.5</t>
        </is>
      </c>
      <c r="C441" s="13" t="inlineStr">
        <is>
          <t>1000 Nos</t>
        </is>
      </c>
      <c r="D441" s="15" t="n">
        <v>0.494</v>
      </c>
      <c r="E441" s="16" t="n">
        <v>4500</v>
      </c>
      <c r="F441" s="16">
        <f>D441*E441</f>
        <v/>
      </c>
    </row>
    <row r="442">
      <c r="A442" s="13" t="inlineStr">
        <is>
          <t>2201</t>
        </is>
      </c>
      <c r="B442" s="14" t="inlineStr">
        <is>
          <t>Carriage of Bricks</t>
        </is>
      </c>
      <c r="C442" s="13" t="inlineStr">
        <is>
          <t>1000 Nos</t>
        </is>
      </c>
      <c r="D442" s="15" t="n">
        <v>0.494</v>
      </c>
      <c r="E442" s="16" t="n">
        <v>276.72</v>
      </c>
      <c r="F442" s="16">
        <f>D442*E442</f>
        <v/>
      </c>
    </row>
    <row r="443">
      <c r="A443" s="13" t="inlineStr">
        <is>
          <t>9999</t>
        </is>
      </c>
      <c r="B443" s="14" t="inlineStr">
        <is>
          <t>Sundries including steel/wooden strips for making grooves.</t>
        </is>
      </c>
      <c r="C443" s="13" t="inlineStr">
        <is>
          <t>L.S.</t>
        </is>
      </c>
      <c r="D443" s="15" t="n">
        <v>16.38</v>
      </c>
      <c r="E443" s="16" t="n">
        <v>2</v>
      </c>
      <c r="F443" s="16">
        <f>D443*E443</f>
        <v/>
      </c>
    </row>
    <row r="444">
      <c r="A444" s="13" t="inlineStr">
        <is>
          <t>0114</t>
        </is>
      </c>
      <c r="B444" s="14" t="inlineStr">
        <is>
          <t>Beldar</t>
        </is>
      </c>
      <c r="C444" s="13" t="inlineStr">
        <is>
          <t>day</t>
        </is>
      </c>
      <c r="D444" s="15" t="n">
        <v>0.5</v>
      </c>
      <c r="E444" s="16" t="n">
        <v>558</v>
      </c>
      <c r="F444" s="16">
        <f>D444*E444</f>
        <v/>
      </c>
    </row>
    <row r="445">
      <c r="A445" s="13" t="inlineStr">
        <is>
          <t>0123</t>
        </is>
      </c>
      <c r="B445" s="14" t="inlineStr">
        <is>
          <t>Mason (brick layer) 1st class</t>
        </is>
      </c>
      <c r="C445" s="13" t="inlineStr">
        <is>
          <t>day</t>
        </is>
      </c>
      <c r="D445" s="15" t="n">
        <v>0.46</v>
      </c>
      <c r="E445" s="16" t="n">
        <v>738</v>
      </c>
      <c r="F445" s="16">
        <f>D445*E445</f>
        <v/>
      </c>
    </row>
    <row r="446">
      <c r="A446" s="13" t="inlineStr">
        <is>
          <t>0124</t>
        </is>
      </c>
      <c r="B446" s="14" t="inlineStr">
        <is>
          <t>Mason (brick layer) 2nd class</t>
        </is>
      </c>
      <c r="C446" s="13" t="inlineStr">
        <is>
          <t>day</t>
        </is>
      </c>
      <c r="D446" s="15" t="n">
        <v>0.46</v>
      </c>
      <c r="E446" s="16" t="n">
        <v>679</v>
      </c>
      <c r="F446" s="16">
        <f>D446*E446</f>
        <v/>
      </c>
    </row>
    <row r="447">
      <c r="A447" s="13" t="inlineStr">
        <is>
          <t>0115</t>
        </is>
      </c>
      <c r="B447" s="14" t="inlineStr">
        <is>
          <t>Coolie</t>
        </is>
      </c>
      <c r="C447" s="13" t="inlineStr">
        <is>
          <t>day</t>
        </is>
      </c>
      <c r="D447" s="15" t="n">
        <v>1.6</v>
      </c>
      <c r="E447" s="16" t="n">
        <v>558</v>
      </c>
      <c r="F447" s="16">
        <f>D447*E447</f>
        <v/>
      </c>
    </row>
    <row r="448">
      <c r="A448" s="13" t="inlineStr">
        <is>
          <t>0101</t>
        </is>
      </c>
      <c r="B448" s="14" t="inlineStr">
        <is>
          <t>Bhisti</t>
        </is>
      </c>
      <c r="C448" s="13" t="inlineStr">
        <is>
          <t>day</t>
        </is>
      </c>
      <c r="D448" s="15" t="n">
        <v>0.2</v>
      </c>
      <c r="E448" s="16" t="n">
        <v>617</v>
      </c>
      <c r="F448" s="16">
        <f>D448*E448</f>
        <v/>
      </c>
    </row>
    <row r="449">
      <c r="A449" s="13" t="inlineStr">
        <is>
          <t>0115</t>
        </is>
      </c>
      <c r="B449" s="14" t="inlineStr">
        <is>
          <t>Coolie</t>
        </is>
      </c>
      <c r="C449" s="13" t="inlineStr">
        <is>
          <t>day</t>
        </is>
      </c>
      <c r="D449" s="15" t="n">
        <v>1.13</v>
      </c>
      <c r="E449" s="16" t="n">
        <v>558</v>
      </c>
      <c r="F449" s="16">
        <f>D449*E449</f>
        <v/>
      </c>
    </row>
    <row r="450">
      <c r="A450" s="13" t="inlineStr">
        <is>
          <t>9999</t>
        </is>
      </c>
      <c r="B450" s="14" t="inlineStr">
        <is>
          <t>Sundries</t>
        </is>
      </c>
      <c r="C450" s="13" t="inlineStr">
        <is>
          <t>L.S.</t>
        </is>
      </c>
      <c r="D450" s="15" t="n">
        <v>22.36</v>
      </c>
      <c r="E450" s="16" t="n">
        <v>2</v>
      </c>
      <c r="F450" s="16">
        <f>D450*E450</f>
        <v/>
      </c>
    </row>
    <row r="451">
      <c r="A451" s="17" t="inlineStr">
        <is>
          <t>Resource Total (Material + Labour + Machinery, as printed)</t>
        </is>
      </c>
      <c r="B451" s="18" t="n"/>
      <c r="C451" s="18" t="n"/>
      <c r="D451" s="18" t="n"/>
      <c r="E451" s="18" t="n"/>
      <c r="F451" s="19">
        <f>SUM(F440:F450)</f>
        <v/>
      </c>
    </row>
    <row r="452">
      <c r="A452" s="20" t="inlineStr">
        <is>
          <t>SAY (Rs.) — final DAR rate</t>
        </is>
      </c>
      <c r="B452" s="21" t="n"/>
      <c r="C452" s="21" t="n"/>
      <c r="D452" s="21" t="n"/>
      <c r="E452" s="21" t="n"/>
      <c r="F452" s="22" t="n">
        <v>7832</v>
      </c>
    </row>
    <row r="454" ht="18" customHeight="1">
      <c r="A454" s="9" t="inlineStr">
        <is>
          <t>6.27.1</t>
        </is>
      </c>
      <c r="B454" s="10" t="inlineStr">
        <is>
          <t>From ground level upto plinth level</t>
        </is>
      </c>
      <c r="C454" s="11" t="n"/>
      <c r="D454" s="11" t="n"/>
      <c r="E454" s="11" t="n"/>
      <c r="F454" s="11" t="n"/>
    </row>
    <row r="455">
      <c r="A455" s="12" t="inlineStr">
        <is>
          <t>Rate basis: per cum  (source: cost for 1 cum)</t>
        </is>
      </c>
    </row>
    <row r="456">
      <c r="A456" s="5" t="inlineStr">
        <is>
          <t>Code</t>
        </is>
      </c>
      <c r="B456" s="5" t="inlineStr">
        <is>
          <t>Description</t>
        </is>
      </c>
      <c r="C456" s="5" t="inlineStr">
        <is>
          <t>Unit</t>
        </is>
      </c>
      <c r="D456" s="5" t="inlineStr">
        <is>
          <t>Quantity</t>
        </is>
      </c>
      <c r="E456" s="5" t="inlineStr">
        <is>
          <t>Rate (Rs.)</t>
        </is>
      </c>
      <c r="F456" s="5" t="inlineStr">
        <is>
          <t>Amount (Rs.)</t>
        </is>
      </c>
    </row>
    <row r="457">
      <c r="A457" s="13" t="inlineStr">
        <is>
          <t>3.11</t>
        </is>
      </c>
      <c r="B457" s="14" t="inlineStr">
        <is>
          <t>Rate as per SH: 3.11</t>
        </is>
      </c>
      <c r="C457" s="13" t="inlineStr">
        <is>
          <t>cum</t>
        </is>
      </c>
      <c r="D457" s="15" t="n">
        <v>0.22</v>
      </c>
      <c r="E457" s="16" t="n">
        <v>3356.15</v>
      </c>
      <c r="F457" s="16">
        <f>D457*E457</f>
        <v/>
      </c>
    </row>
    <row r="458">
      <c r="A458" s="13" t="inlineStr">
        <is>
          <t>7900</t>
        </is>
      </c>
      <c r="B458" s="14" t="inlineStr">
        <is>
          <t>Modular common burnt clay bricks of class designation 7.5</t>
        </is>
      </c>
      <c r="C458" s="13" t="inlineStr">
        <is>
          <t>1000 Nos</t>
        </is>
      </c>
      <c r="D458" s="15" t="n">
        <v>0.487</v>
      </c>
      <c r="E458" s="16" t="n">
        <v>4000</v>
      </c>
      <c r="F458" s="16">
        <f>D458*E458</f>
        <v/>
      </c>
    </row>
    <row r="459">
      <c r="A459" s="13" t="inlineStr">
        <is>
          <t>2201</t>
        </is>
      </c>
      <c r="B459" s="14" t="inlineStr">
        <is>
          <t>Carriage of Bricks</t>
        </is>
      </c>
      <c r="C459" s="13" t="inlineStr">
        <is>
          <t>1000 Nos</t>
        </is>
      </c>
      <c r="D459" s="15" t="n">
        <v>0.487</v>
      </c>
      <c r="E459" s="16" t="n">
        <v>276.72</v>
      </c>
      <c r="F459" s="16">
        <f>D459*E459</f>
        <v/>
      </c>
    </row>
    <row r="460">
      <c r="A460" s="13" t="inlineStr">
        <is>
          <t>9999</t>
        </is>
      </c>
      <c r="B460" s="14" t="inlineStr">
        <is>
          <t>Sundries i/c steel / wooden strips for making grooves</t>
        </is>
      </c>
      <c r="C460" s="13" t="inlineStr">
        <is>
          <t>L.S.</t>
        </is>
      </c>
      <c r="D460" s="15" t="n">
        <v>16.38</v>
      </c>
      <c r="E460" s="16" t="n">
        <v>2</v>
      </c>
      <c r="F460" s="16">
        <f>D460*E460</f>
        <v/>
      </c>
    </row>
    <row r="461">
      <c r="A461" s="13" t="inlineStr">
        <is>
          <t>0123</t>
        </is>
      </c>
      <c r="B461" s="14" t="inlineStr">
        <is>
          <t>Mason (brick layer) 1st class</t>
        </is>
      </c>
      <c r="C461" s="13" t="inlineStr">
        <is>
          <t>day</t>
        </is>
      </c>
      <c r="D461" s="15" t="n">
        <v>0.33</v>
      </c>
      <c r="E461" s="16" t="n">
        <v>738</v>
      </c>
      <c r="F461" s="16">
        <f>D461*E461</f>
        <v/>
      </c>
    </row>
    <row r="462">
      <c r="A462" s="13" t="inlineStr">
        <is>
          <t>0124</t>
        </is>
      </c>
      <c r="B462" s="14" t="inlineStr">
        <is>
          <t>Mason (brick layer) 2nd class</t>
        </is>
      </c>
      <c r="C462" s="13" t="inlineStr">
        <is>
          <t>day</t>
        </is>
      </c>
      <c r="D462" s="15" t="n">
        <v>0.33</v>
      </c>
      <c r="E462" s="16" t="n">
        <v>679</v>
      </c>
      <c r="F462" s="16">
        <f>D462*E462</f>
        <v/>
      </c>
    </row>
    <row r="463">
      <c r="A463" s="13" t="inlineStr">
        <is>
          <t>0115</t>
        </is>
      </c>
      <c r="B463" s="14" t="inlineStr">
        <is>
          <t>Coolie</t>
        </is>
      </c>
      <c r="C463" s="13" t="inlineStr">
        <is>
          <t>day</t>
        </is>
      </c>
      <c r="D463" s="15" t="n">
        <v>1</v>
      </c>
      <c r="E463" s="16" t="n">
        <v>558</v>
      </c>
      <c r="F463" s="16">
        <f>D463*E463</f>
        <v/>
      </c>
    </row>
    <row r="464">
      <c r="A464" s="13" t="inlineStr">
        <is>
          <t>0101</t>
        </is>
      </c>
      <c r="B464" s="14" t="inlineStr">
        <is>
          <t>Bhisti</t>
        </is>
      </c>
      <c r="C464" s="13" t="inlineStr">
        <is>
          <t>day</t>
        </is>
      </c>
      <c r="D464" s="15" t="n">
        <v>0.18</v>
      </c>
      <c r="E464" s="16" t="n">
        <v>617</v>
      </c>
      <c r="F464" s="16">
        <f>D464*E464</f>
        <v/>
      </c>
    </row>
    <row r="465">
      <c r="A465" s="17" t="inlineStr">
        <is>
          <t>Resource Total (Material + Labour + Machinery, as printed)</t>
        </is>
      </c>
      <c r="B465" s="18" t="n"/>
      <c r="C465" s="18" t="n"/>
      <c r="D465" s="18" t="n"/>
      <c r="E465" s="18" t="n"/>
      <c r="F465" s="19">
        <f>SUM(F457:F464)</f>
        <v/>
      </c>
    </row>
    <row r="466">
      <c r="A466" s="20" t="inlineStr">
        <is>
          <t>SAY (Rs.) — final DAR rate</t>
        </is>
      </c>
      <c r="B466" s="21" t="n"/>
      <c r="C466" s="21" t="n"/>
      <c r="D466" s="21" t="n"/>
      <c r="E466" s="21" t="n"/>
      <c r="F466" s="22" t="n">
        <v>5339.1</v>
      </c>
    </row>
    <row r="468" ht="18" customHeight="1">
      <c r="A468" s="9" t="inlineStr">
        <is>
          <t>6.27.2</t>
        </is>
      </c>
      <c r="B468" s="10" t="inlineStr">
        <is>
          <t>Above plinth level upto floor V level</t>
        </is>
      </c>
      <c r="C468" s="11" t="n"/>
      <c r="D468" s="11" t="n"/>
      <c r="E468" s="11" t="n"/>
      <c r="F468" s="11" t="n"/>
    </row>
    <row r="469">
      <c r="A469" s="12" t="inlineStr">
        <is>
          <t>Rate basis: per cum  (source: cost for 1 cum)</t>
        </is>
      </c>
    </row>
    <row r="470">
      <c r="A470" s="5" t="inlineStr">
        <is>
          <t>Code</t>
        </is>
      </c>
      <c r="B470" s="5" t="inlineStr">
        <is>
          <t>Description</t>
        </is>
      </c>
      <c r="C470" s="5" t="inlineStr">
        <is>
          <t>Unit</t>
        </is>
      </c>
      <c r="D470" s="5" t="inlineStr">
        <is>
          <t>Quantity</t>
        </is>
      </c>
      <c r="E470" s="5" t="inlineStr">
        <is>
          <t>Rate (Rs.)</t>
        </is>
      </c>
      <c r="F470" s="5" t="inlineStr">
        <is>
          <t>Amount (Rs.)</t>
        </is>
      </c>
    </row>
    <row r="471">
      <c r="A471" s="13" t="inlineStr">
        <is>
          <t>3.11</t>
        </is>
      </c>
      <c r="B471" s="14" t="inlineStr">
        <is>
          <t>Rate as per SH: 3.11</t>
        </is>
      </c>
      <c r="C471" s="13" t="inlineStr">
        <is>
          <t>cum</t>
        </is>
      </c>
      <c r="D471" s="15" t="n">
        <v>0.22</v>
      </c>
      <c r="E471" s="16" t="n">
        <v>3356.15</v>
      </c>
      <c r="F471" s="16">
        <f>D471*E471</f>
        <v/>
      </c>
    </row>
    <row r="472">
      <c r="A472" s="13" t="inlineStr">
        <is>
          <t>7900</t>
        </is>
      </c>
      <c r="B472" s="14" t="inlineStr">
        <is>
          <t>Modular common burnt clay bricks of class designation 7.5</t>
        </is>
      </c>
      <c r="C472" s="13" t="inlineStr">
        <is>
          <t>1000 Nos</t>
        </is>
      </c>
      <c r="D472" s="15" t="n">
        <v>0.487</v>
      </c>
      <c r="E472" s="16" t="n">
        <v>4000</v>
      </c>
      <c r="F472" s="16">
        <f>D472*E472</f>
        <v/>
      </c>
    </row>
    <row r="473">
      <c r="A473" s="13" t="inlineStr">
        <is>
          <t>2201</t>
        </is>
      </c>
      <c r="B473" s="14" t="inlineStr">
        <is>
          <t>Carriage of Bricks</t>
        </is>
      </c>
      <c r="C473" s="13" t="inlineStr">
        <is>
          <t>1000 Nos</t>
        </is>
      </c>
      <c r="D473" s="15" t="n">
        <v>0.487</v>
      </c>
      <c r="E473" s="16" t="n">
        <v>276.72</v>
      </c>
      <c r="F473" s="16">
        <f>D473*E473</f>
        <v/>
      </c>
    </row>
    <row r="474">
      <c r="A474" s="13" t="inlineStr">
        <is>
          <t>9999</t>
        </is>
      </c>
      <c r="B474" s="14" t="inlineStr">
        <is>
          <t>Sundries i/c steel / wooden strips for making grooves</t>
        </is>
      </c>
      <c r="C474" s="13" t="inlineStr">
        <is>
          <t>L.S.</t>
        </is>
      </c>
      <c r="D474" s="15" t="n">
        <v>16.38</v>
      </c>
      <c r="E474" s="16" t="n">
        <v>2</v>
      </c>
      <c r="F474" s="16">
        <f>D474*E474</f>
        <v/>
      </c>
    </row>
    <row r="475">
      <c r="A475" s="13" t="inlineStr">
        <is>
          <t>0123</t>
        </is>
      </c>
      <c r="B475" s="14" t="inlineStr">
        <is>
          <t>Mason (brick layer) 1st class</t>
        </is>
      </c>
      <c r="C475" s="13" t="inlineStr">
        <is>
          <t>day</t>
        </is>
      </c>
      <c r="D475" s="15" t="n">
        <v>0.44</v>
      </c>
      <c r="E475" s="16" t="n">
        <v>738</v>
      </c>
      <c r="F475" s="16">
        <f>D475*E475</f>
        <v/>
      </c>
    </row>
    <row r="476">
      <c r="A476" s="13" t="inlineStr">
        <is>
          <t>0124</t>
        </is>
      </c>
      <c r="B476" s="14" t="inlineStr">
        <is>
          <t>Mason (brick layer) 2nd class</t>
        </is>
      </c>
      <c r="C476" s="13" t="inlineStr">
        <is>
          <t>day</t>
        </is>
      </c>
      <c r="D476" s="15" t="n">
        <v>0.44</v>
      </c>
      <c r="E476" s="16" t="n">
        <v>679</v>
      </c>
      <c r="F476" s="16">
        <f>D476*E476</f>
        <v/>
      </c>
    </row>
    <row r="477">
      <c r="A477" s="13" t="inlineStr">
        <is>
          <t>0115</t>
        </is>
      </c>
      <c r="B477" s="14" t="inlineStr">
        <is>
          <t>Coolie</t>
        </is>
      </c>
      <c r="C477" s="13" t="inlineStr">
        <is>
          <t>day</t>
        </is>
      </c>
      <c r="D477" s="15" t="n">
        <v>1.43</v>
      </c>
      <c r="E477" s="16" t="n">
        <v>558</v>
      </c>
      <c r="F477" s="16">
        <f>D477*E477</f>
        <v/>
      </c>
    </row>
    <row r="478">
      <c r="A478" s="13" t="inlineStr">
        <is>
          <t>0101</t>
        </is>
      </c>
      <c r="B478" s="14" t="inlineStr">
        <is>
          <t>Bhisti</t>
        </is>
      </c>
      <c r="C478" s="13" t="inlineStr">
        <is>
          <t>day</t>
        </is>
      </c>
      <c r="D478" s="15" t="n">
        <v>0.18</v>
      </c>
      <c r="E478" s="16" t="n">
        <v>617</v>
      </c>
      <c r="F478" s="16">
        <f>D478*E478</f>
        <v/>
      </c>
    </row>
    <row r="479">
      <c r="A479" s="13" t="inlineStr">
        <is>
          <t>0115</t>
        </is>
      </c>
      <c r="B479" s="14" t="inlineStr">
        <is>
          <t>Coolie</t>
        </is>
      </c>
      <c r="C479" s="13" t="inlineStr">
        <is>
          <t>day</t>
        </is>
      </c>
      <c r="D479" s="15" t="n">
        <v>1.13</v>
      </c>
      <c r="E479" s="16" t="n">
        <v>558</v>
      </c>
      <c r="F479" s="16">
        <f>D479*E479</f>
        <v/>
      </c>
    </row>
    <row r="480">
      <c r="A480" s="13" t="inlineStr">
        <is>
          <t>9999</t>
        </is>
      </c>
      <c r="B480" s="14" t="inlineStr">
        <is>
          <t>Sundries</t>
        </is>
      </c>
      <c r="C480" s="13" t="inlineStr">
        <is>
          <t>L.S.</t>
        </is>
      </c>
      <c r="D480" s="15" t="n">
        <v>22.36</v>
      </c>
      <c r="E480" s="16" t="n">
        <v>2</v>
      </c>
      <c r="F480" s="16">
        <f>D480*E480</f>
        <v/>
      </c>
    </row>
    <row r="481">
      <c r="A481" s="17" t="inlineStr">
        <is>
          <t>Resource Total (Material + Labour + Machinery, as printed)</t>
        </is>
      </c>
      <c r="B481" s="18" t="n"/>
      <c r="C481" s="18" t="n"/>
      <c r="D481" s="18" t="n"/>
      <c r="E481" s="18" t="n"/>
      <c r="F481" s="19">
        <f>SUM(F471:F480)</f>
        <v/>
      </c>
    </row>
    <row r="482">
      <c r="A482" s="20" t="inlineStr">
        <is>
          <t>SAY (Rs.) — final DAR rate</t>
        </is>
      </c>
      <c r="B482" s="21" t="n"/>
      <c r="C482" s="21" t="n"/>
      <c r="D482" s="21" t="n"/>
      <c r="E482" s="21" t="n"/>
      <c r="F482" s="22" t="n">
        <v>6772.15</v>
      </c>
    </row>
    <row r="484" ht="18" customHeight="1">
      <c r="A484" s="9" t="inlineStr">
        <is>
          <t>6.28.1</t>
        </is>
      </c>
      <c r="B484" s="10" t="inlineStr">
        <is>
          <t>From ground level upto plinth level</t>
        </is>
      </c>
      <c r="C484" s="11" t="n"/>
      <c r="D484" s="11" t="n"/>
      <c r="E484" s="11" t="n"/>
      <c r="F484" s="11" t="n"/>
    </row>
    <row r="485">
      <c r="A485" s="12" t="inlineStr">
        <is>
          <t>Rate basis: per cum  (source: cost for 1 cum)</t>
        </is>
      </c>
    </row>
    <row r="486">
      <c r="A486" s="5" t="inlineStr">
        <is>
          <t>Code</t>
        </is>
      </c>
      <c r="B486" s="5" t="inlineStr">
        <is>
          <t>Description</t>
        </is>
      </c>
      <c r="C486" s="5" t="inlineStr">
        <is>
          <t>Unit</t>
        </is>
      </c>
      <c r="D486" s="5" t="inlineStr">
        <is>
          <t>Quantity</t>
        </is>
      </c>
      <c r="E486" s="5" t="inlineStr">
        <is>
          <t>Rate (Rs.)</t>
        </is>
      </c>
      <c r="F486" s="5" t="inlineStr">
        <is>
          <t>Amount (Rs.)</t>
        </is>
      </c>
    </row>
    <row r="487">
      <c r="A487" s="13" t="inlineStr">
        <is>
          <t>3.11</t>
        </is>
      </c>
      <c r="B487" s="14" t="inlineStr">
        <is>
          <t>Rate as per SH: 3.11</t>
        </is>
      </c>
      <c r="C487" s="13" t="inlineStr">
        <is>
          <t>cum</t>
        </is>
      </c>
      <c r="D487" s="15" t="n">
        <v>0.22</v>
      </c>
      <c r="E487" s="16" t="n">
        <v>3356.15</v>
      </c>
      <c r="F487" s="16">
        <f>D487*E487</f>
        <v/>
      </c>
    </row>
    <row r="488">
      <c r="A488" s="13" t="inlineStr">
        <is>
          <t>1986</t>
        </is>
      </c>
      <c r="B488" s="14" t="inlineStr">
        <is>
          <t>Common burnt clay modular bricks class designation 12.5</t>
        </is>
      </c>
      <c r="C488" s="13" t="inlineStr">
        <is>
          <t>1000 Nos</t>
        </is>
      </c>
      <c r="D488" s="15" t="n">
        <v>0.487</v>
      </c>
      <c r="E488" s="16" t="n">
        <v>5000</v>
      </c>
      <c r="F488" s="16">
        <f>D488*E488</f>
        <v/>
      </c>
    </row>
    <row r="489">
      <c r="A489" s="13" t="inlineStr">
        <is>
          <t>2201</t>
        </is>
      </c>
      <c r="B489" s="14" t="inlineStr">
        <is>
          <t>Carriage of Bricks</t>
        </is>
      </c>
      <c r="C489" s="13" t="inlineStr">
        <is>
          <t>1000 Nos</t>
        </is>
      </c>
      <c r="D489" s="15" t="n">
        <v>0.487</v>
      </c>
      <c r="E489" s="16" t="n">
        <v>276.72</v>
      </c>
      <c r="F489" s="16">
        <f>D489*E489</f>
        <v/>
      </c>
    </row>
    <row r="490">
      <c r="A490" s="13" t="inlineStr">
        <is>
          <t>9999</t>
        </is>
      </c>
      <c r="B490" s="14" t="inlineStr">
        <is>
          <t>Sundries including steel/wooden strips for making grooves.</t>
        </is>
      </c>
      <c r="C490" s="13" t="inlineStr">
        <is>
          <t>L.S.</t>
        </is>
      </c>
      <c r="D490" s="15" t="n">
        <v>16.38</v>
      </c>
      <c r="E490" s="16" t="n">
        <v>2</v>
      </c>
      <c r="F490" s="16">
        <f>D490*E490</f>
        <v/>
      </c>
    </row>
    <row r="491">
      <c r="A491" s="13" t="inlineStr">
        <is>
          <t>0123</t>
        </is>
      </c>
      <c r="B491" s="14" t="inlineStr">
        <is>
          <t>Mason (brick layer) 1st class</t>
        </is>
      </c>
      <c r="C491" s="13" t="inlineStr">
        <is>
          <t>day</t>
        </is>
      </c>
      <c r="D491" s="15" t="n">
        <v>0.33</v>
      </c>
      <c r="E491" s="16" t="n">
        <v>738</v>
      </c>
      <c r="F491" s="16">
        <f>D491*E491</f>
        <v/>
      </c>
    </row>
    <row r="492">
      <c r="A492" s="13" t="inlineStr">
        <is>
          <t>0124</t>
        </is>
      </c>
      <c r="B492" s="14" t="inlineStr">
        <is>
          <t>Mason (brick layer) 2nd class</t>
        </is>
      </c>
      <c r="C492" s="13" t="inlineStr">
        <is>
          <t>day</t>
        </is>
      </c>
      <c r="D492" s="15" t="n">
        <v>0.33</v>
      </c>
      <c r="E492" s="16" t="n">
        <v>679</v>
      </c>
      <c r="F492" s="16">
        <f>D492*E492</f>
        <v/>
      </c>
    </row>
    <row r="493">
      <c r="A493" s="13" t="inlineStr">
        <is>
          <t>0115</t>
        </is>
      </c>
      <c r="B493" s="14" t="inlineStr">
        <is>
          <t>Coolie</t>
        </is>
      </c>
      <c r="C493" s="13" t="inlineStr">
        <is>
          <t>day</t>
        </is>
      </c>
      <c r="D493" s="15" t="n">
        <v>1</v>
      </c>
      <c r="E493" s="16" t="n">
        <v>558</v>
      </c>
      <c r="F493" s="16">
        <f>D493*E493</f>
        <v/>
      </c>
    </row>
    <row r="494">
      <c r="A494" s="13" t="inlineStr">
        <is>
          <t>0101</t>
        </is>
      </c>
      <c r="B494" s="14" t="inlineStr">
        <is>
          <t>Bhisti</t>
        </is>
      </c>
      <c r="C494" s="13" t="inlineStr">
        <is>
          <t>day</t>
        </is>
      </c>
      <c r="D494" s="15" t="n">
        <v>0.18</v>
      </c>
      <c r="E494" s="16" t="n">
        <v>617</v>
      </c>
      <c r="F494" s="16">
        <f>D494*E494</f>
        <v/>
      </c>
    </row>
    <row r="495">
      <c r="A495" s="17" t="inlineStr">
        <is>
          <t>Resource Total (Material + Labour + Machinery, as printed)</t>
        </is>
      </c>
      <c r="B495" s="18" t="n"/>
      <c r="C495" s="18" t="n"/>
      <c r="D495" s="18" t="n"/>
      <c r="E495" s="18" t="n"/>
      <c r="F495" s="19">
        <f>SUM(F487:F494)</f>
        <v/>
      </c>
    </row>
    <row r="496">
      <c r="A496" s="20" t="inlineStr">
        <is>
          <t>SAY (Rs.) — final DAR rate</t>
        </is>
      </c>
      <c r="B496" s="21" t="n"/>
      <c r="C496" s="21" t="n"/>
      <c r="D496" s="21" t="n"/>
      <c r="E496" s="21" t="n"/>
      <c r="F496" s="22" t="n">
        <v>5990.7</v>
      </c>
    </row>
    <row r="498" ht="18" customHeight="1">
      <c r="A498" s="9" t="inlineStr">
        <is>
          <t>6.28.2</t>
        </is>
      </c>
      <c r="B498" s="10" t="inlineStr">
        <is>
          <t>Above plinth level upto floor V level</t>
        </is>
      </c>
      <c r="C498" s="11" t="n"/>
      <c r="D498" s="11" t="n"/>
      <c r="E498" s="11" t="n"/>
      <c r="F498" s="11" t="n"/>
    </row>
    <row r="499">
      <c r="A499" s="12" t="inlineStr">
        <is>
          <t>Rate basis: per cum  (source: cost for 1 cum)</t>
        </is>
      </c>
    </row>
    <row r="500">
      <c r="A500" s="5" t="inlineStr">
        <is>
          <t>Code</t>
        </is>
      </c>
      <c r="B500" s="5" t="inlineStr">
        <is>
          <t>Description</t>
        </is>
      </c>
      <c r="C500" s="5" t="inlineStr">
        <is>
          <t>Unit</t>
        </is>
      </c>
      <c r="D500" s="5" t="inlineStr">
        <is>
          <t>Quantity</t>
        </is>
      </c>
      <c r="E500" s="5" t="inlineStr">
        <is>
          <t>Rate (Rs.)</t>
        </is>
      </c>
      <c r="F500" s="5" t="inlineStr">
        <is>
          <t>Amount (Rs.)</t>
        </is>
      </c>
    </row>
    <row r="501">
      <c r="A501" s="13" t="inlineStr">
        <is>
          <t>3.11</t>
        </is>
      </c>
      <c r="B501" s="14" t="inlineStr">
        <is>
          <t>Rate as per SH: 3.11</t>
        </is>
      </c>
      <c r="C501" s="13" t="inlineStr">
        <is>
          <t>cum</t>
        </is>
      </c>
      <c r="D501" s="15" t="n">
        <v>0.22</v>
      </c>
      <c r="E501" s="16" t="n">
        <v>3356.15</v>
      </c>
      <c r="F501" s="16">
        <f>D501*E501</f>
        <v/>
      </c>
    </row>
    <row r="502">
      <c r="A502" s="13" t="inlineStr">
        <is>
          <t>1986</t>
        </is>
      </c>
      <c r="B502" s="14" t="inlineStr">
        <is>
          <t>Common burnt clay modular bricks class designation 12.5</t>
        </is>
      </c>
      <c r="C502" s="13" t="inlineStr">
        <is>
          <t>1000 Nos</t>
        </is>
      </c>
      <c r="D502" s="15" t="n">
        <v>0.487</v>
      </c>
      <c r="E502" s="16" t="n">
        <v>5000</v>
      </c>
      <c r="F502" s="16">
        <f>D502*E502</f>
        <v/>
      </c>
    </row>
    <row r="503">
      <c r="A503" s="13" t="inlineStr">
        <is>
          <t>2201</t>
        </is>
      </c>
      <c r="B503" s="14" t="inlineStr">
        <is>
          <t>Carriage of Bricks</t>
        </is>
      </c>
      <c r="C503" s="13" t="inlineStr">
        <is>
          <t>1000 Nos</t>
        </is>
      </c>
      <c r="D503" s="15" t="n">
        <v>0.487</v>
      </c>
      <c r="E503" s="16" t="n">
        <v>276.72</v>
      </c>
      <c r="F503" s="16">
        <f>D503*E503</f>
        <v/>
      </c>
    </row>
    <row r="504">
      <c r="A504" s="13" t="inlineStr">
        <is>
          <t>9999</t>
        </is>
      </c>
      <c r="B504" s="14" t="inlineStr">
        <is>
          <t>Sundries including steel/wooden strips for making grooves.</t>
        </is>
      </c>
      <c r="C504" s="13" t="inlineStr">
        <is>
          <t>L.S.</t>
        </is>
      </c>
      <c r="D504" s="15" t="n">
        <v>16.38</v>
      </c>
      <c r="E504" s="16" t="n">
        <v>2</v>
      </c>
      <c r="F504" s="16">
        <f>D504*E504</f>
        <v/>
      </c>
    </row>
    <row r="505">
      <c r="A505" s="13" t="inlineStr">
        <is>
          <t>0123</t>
        </is>
      </c>
      <c r="B505" s="14" t="inlineStr">
        <is>
          <t>Mason (brick layer) 1st class</t>
        </is>
      </c>
      <c r="C505" s="13" t="inlineStr">
        <is>
          <t>day</t>
        </is>
      </c>
      <c r="D505" s="15" t="n">
        <v>0.44</v>
      </c>
      <c r="E505" s="16" t="n">
        <v>738</v>
      </c>
      <c r="F505" s="16">
        <f>D505*E505</f>
        <v/>
      </c>
    </row>
    <row r="506">
      <c r="A506" s="13" t="inlineStr">
        <is>
          <t>0124</t>
        </is>
      </c>
      <c r="B506" s="14" t="inlineStr">
        <is>
          <t>Mason (brick layer) 2nd class</t>
        </is>
      </c>
      <c r="C506" s="13" t="inlineStr">
        <is>
          <t>day</t>
        </is>
      </c>
      <c r="D506" s="15" t="n">
        <v>0.44</v>
      </c>
      <c r="E506" s="16" t="n">
        <v>679</v>
      </c>
      <c r="F506" s="16">
        <f>D506*E506</f>
        <v/>
      </c>
    </row>
    <row r="507">
      <c r="A507" s="13" t="inlineStr">
        <is>
          <t>0115</t>
        </is>
      </c>
      <c r="B507" s="14" t="inlineStr">
        <is>
          <t>Coolie</t>
        </is>
      </c>
      <c r="C507" s="13" t="inlineStr">
        <is>
          <t>day</t>
        </is>
      </c>
      <c r="D507" s="15" t="n">
        <v>1.43</v>
      </c>
      <c r="E507" s="16" t="n">
        <v>558</v>
      </c>
      <c r="F507" s="16">
        <f>D507*E507</f>
        <v/>
      </c>
    </row>
    <row r="508">
      <c r="A508" s="13" t="inlineStr">
        <is>
          <t>0101</t>
        </is>
      </c>
      <c r="B508" s="14" t="inlineStr">
        <is>
          <t>Bhisti</t>
        </is>
      </c>
      <c r="C508" s="13" t="inlineStr">
        <is>
          <t>day</t>
        </is>
      </c>
      <c r="D508" s="15" t="n">
        <v>0.18</v>
      </c>
      <c r="E508" s="16" t="n">
        <v>617</v>
      </c>
      <c r="F508" s="16">
        <f>D508*E508</f>
        <v/>
      </c>
    </row>
    <row r="509">
      <c r="A509" s="13" t="inlineStr">
        <is>
          <t>0115</t>
        </is>
      </c>
      <c r="B509" s="14" t="inlineStr">
        <is>
          <t>Coolie</t>
        </is>
      </c>
      <c r="C509" s="13" t="inlineStr">
        <is>
          <t>day</t>
        </is>
      </c>
      <c r="D509" s="15" t="n">
        <v>1.13</v>
      </c>
      <c r="E509" s="16" t="n">
        <v>558</v>
      </c>
      <c r="F509" s="16">
        <f>D509*E509</f>
        <v/>
      </c>
    </row>
    <row r="510">
      <c r="A510" s="13" t="inlineStr">
        <is>
          <t>9999</t>
        </is>
      </c>
      <c r="B510" s="14" t="inlineStr">
        <is>
          <t>Sundries</t>
        </is>
      </c>
      <c r="C510" s="13" t="inlineStr">
        <is>
          <t>L.S.</t>
        </is>
      </c>
      <c r="D510" s="15" t="n">
        <v>22.36</v>
      </c>
      <c r="E510" s="16" t="n">
        <v>2</v>
      </c>
      <c r="F510" s="16">
        <f>D510*E510</f>
        <v/>
      </c>
    </row>
    <row r="511">
      <c r="A511" s="17" t="inlineStr">
        <is>
          <t>Resource Total (Material + Labour + Machinery, as printed)</t>
        </is>
      </c>
      <c r="B511" s="18" t="n"/>
      <c r="C511" s="18" t="n"/>
      <c r="D511" s="18" t="n"/>
      <c r="E511" s="18" t="n"/>
      <c r="F511" s="19">
        <f>SUM(F501:F510)</f>
        <v/>
      </c>
    </row>
    <row r="512">
      <c r="A512" s="20" t="inlineStr">
        <is>
          <t>SAY (Rs.) — final DAR rate</t>
        </is>
      </c>
      <c r="B512" s="21" t="n"/>
      <c r="C512" s="21" t="n"/>
      <c r="D512" s="21" t="n"/>
      <c r="E512" s="21" t="n"/>
      <c r="F512" s="22" t="n">
        <v>7423.7</v>
      </c>
    </row>
    <row r="514" ht="18" customHeight="1">
      <c r="A514" s="9" t="inlineStr">
        <is>
          <t>6.29.1</t>
        </is>
      </c>
      <c r="B514" s="10" t="inlineStr">
        <is>
          <t>From ground level upto plinth level</t>
        </is>
      </c>
      <c r="C514" s="11" t="n"/>
      <c r="D514" s="11" t="n"/>
      <c r="E514" s="11" t="n"/>
      <c r="F514" s="11" t="n"/>
    </row>
    <row r="515">
      <c r="A515" s="12" t="inlineStr">
        <is>
          <t>Rate basis: per cum  (source: cost for 1 cum)</t>
        </is>
      </c>
    </row>
    <row r="516">
      <c r="A516" s="5" t="inlineStr">
        <is>
          <t>Code</t>
        </is>
      </c>
      <c r="B516" s="5" t="inlineStr">
        <is>
          <t>Description</t>
        </is>
      </c>
      <c r="C516" s="5" t="inlineStr">
        <is>
          <t>Unit</t>
        </is>
      </c>
      <c r="D516" s="5" t="inlineStr">
        <is>
          <t>Quantity</t>
        </is>
      </c>
      <c r="E516" s="5" t="inlineStr">
        <is>
          <t>Rate (Rs.)</t>
        </is>
      </c>
      <c r="F516" s="5" t="inlineStr">
        <is>
          <t>Amount (Rs.)</t>
        </is>
      </c>
    </row>
    <row r="517">
      <c r="A517" s="13" t="inlineStr">
        <is>
          <t>3.11</t>
        </is>
      </c>
      <c r="B517" s="14" t="inlineStr">
        <is>
          <t>Rate as per SH: 3.11</t>
        </is>
      </c>
      <c r="C517" s="13" t="inlineStr">
        <is>
          <t>cum</t>
        </is>
      </c>
      <c r="D517" s="15" t="n">
        <v>0.25</v>
      </c>
      <c r="E517" s="16" t="n">
        <v>3356.15</v>
      </c>
      <c r="F517" s="16">
        <f>D517*E517</f>
        <v/>
      </c>
    </row>
    <row r="518">
      <c r="A518" s="13" t="inlineStr">
        <is>
          <t>7903</t>
        </is>
      </c>
      <c r="B518" s="14" t="inlineStr">
        <is>
          <t>Machine moulded common burnt clay FPS (non modular) bricks of class designation 12.5</t>
        </is>
      </c>
      <c r="C518" s="13" t="inlineStr">
        <is>
          <t>1000 Nos</t>
        </is>
      </c>
      <c r="D518" s="15" t="n">
        <v>0.494</v>
      </c>
      <c r="E518" s="16" t="n">
        <v>5000</v>
      </c>
      <c r="F518" s="16">
        <f>D518*E518</f>
        <v/>
      </c>
    </row>
    <row r="519">
      <c r="A519" s="13" t="inlineStr">
        <is>
          <t>2201</t>
        </is>
      </c>
      <c r="B519" s="14" t="inlineStr">
        <is>
          <t>Carriage of Bricks</t>
        </is>
      </c>
      <c r="C519" s="13" t="inlineStr">
        <is>
          <t>1000 Nos</t>
        </is>
      </c>
      <c r="D519" s="15" t="n">
        <v>0.494</v>
      </c>
      <c r="E519" s="16" t="n">
        <v>276.72</v>
      </c>
      <c r="F519" s="16">
        <f>D519*E519</f>
        <v/>
      </c>
    </row>
    <row r="520">
      <c r="A520" s="13" t="inlineStr">
        <is>
          <t>9999</t>
        </is>
      </c>
      <c r="B520" s="14" t="inlineStr">
        <is>
          <t>Sundries i/c steel / wooden strips for making grooves</t>
        </is>
      </c>
      <c r="C520" s="13" t="inlineStr">
        <is>
          <t>L.S.</t>
        </is>
      </c>
      <c r="D520" s="15" t="n">
        <v>16.38</v>
      </c>
      <c r="E520" s="16" t="n">
        <v>2</v>
      </c>
      <c r="F520" s="16">
        <f>D520*E520</f>
        <v/>
      </c>
    </row>
    <row r="521">
      <c r="A521" s="13" t="inlineStr">
        <is>
          <t>0123</t>
        </is>
      </c>
      <c r="B521" s="14" t="inlineStr">
        <is>
          <t>Mason (brick layer) 1st class</t>
        </is>
      </c>
      <c r="C521" s="13" t="inlineStr">
        <is>
          <t>day</t>
        </is>
      </c>
      <c r="D521" s="15" t="n">
        <v>0.36</v>
      </c>
      <c r="E521" s="16" t="n">
        <v>738</v>
      </c>
      <c r="F521" s="16">
        <f>D521*E521</f>
        <v/>
      </c>
    </row>
    <row r="522">
      <c r="A522" s="13" t="inlineStr">
        <is>
          <t>0124</t>
        </is>
      </c>
      <c r="B522" s="14" t="inlineStr">
        <is>
          <t>Mason (brick layer) 2nd class</t>
        </is>
      </c>
      <c r="C522" s="13" t="inlineStr">
        <is>
          <t>day</t>
        </is>
      </c>
      <c r="D522" s="15" t="n">
        <v>0.36</v>
      </c>
      <c r="E522" s="16" t="n">
        <v>679</v>
      </c>
      <c r="F522" s="16">
        <f>D522*E522</f>
        <v/>
      </c>
    </row>
    <row r="523">
      <c r="A523" s="13" t="inlineStr">
        <is>
          <t>0115</t>
        </is>
      </c>
      <c r="B523" s="14" t="inlineStr">
        <is>
          <t>Coolie</t>
        </is>
      </c>
      <c r="C523" s="13" t="inlineStr">
        <is>
          <t>day</t>
        </is>
      </c>
      <c r="D523" s="15" t="n">
        <v>1.37</v>
      </c>
      <c r="E523" s="16" t="n">
        <v>558</v>
      </c>
      <c r="F523" s="16">
        <f>D523*E523</f>
        <v/>
      </c>
    </row>
    <row r="524">
      <c r="A524" s="13" t="inlineStr">
        <is>
          <t>0101</t>
        </is>
      </c>
      <c r="B524" s="14" t="inlineStr">
        <is>
          <t>Bhisti</t>
        </is>
      </c>
      <c r="C524" s="13" t="inlineStr">
        <is>
          <t>day</t>
        </is>
      </c>
      <c r="D524" s="15" t="n">
        <v>0.2</v>
      </c>
      <c r="E524" s="16" t="n">
        <v>617</v>
      </c>
      <c r="F524" s="16">
        <f>D524*E524</f>
        <v/>
      </c>
    </row>
    <row r="525">
      <c r="A525" s="17" t="inlineStr">
        <is>
          <t>Resource Total (Material + Labour + Machinery, as printed)</t>
        </is>
      </c>
      <c r="B525" s="18" t="n"/>
      <c r="C525" s="18" t="n"/>
      <c r="D525" s="18" t="n"/>
      <c r="E525" s="18" t="n"/>
      <c r="F525" s="19">
        <f>SUM(F517:F524)</f>
        <v/>
      </c>
    </row>
    <row r="526">
      <c r="A526" s="20" t="inlineStr">
        <is>
          <t>SAY (Rs.) — final DAR rate</t>
        </is>
      </c>
      <c r="B526" s="21" t="n"/>
      <c r="C526" s="21" t="n"/>
      <c r="D526" s="21" t="n"/>
      <c r="E526" s="21" t="n"/>
      <c r="F526" s="22" t="n">
        <v>6524.4</v>
      </c>
    </row>
    <row r="528" ht="18" customHeight="1">
      <c r="A528" s="9" t="inlineStr">
        <is>
          <t>6.29.2</t>
        </is>
      </c>
      <c r="B528" s="10" t="inlineStr">
        <is>
          <t>Above plinth level upto floor V level</t>
        </is>
      </c>
      <c r="C528" s="11" t="n"/>
      <c r="D528" s="11" t="n"/>
      <c r="E528" s="11" t="n"/>
      <c r="F528" s="11" t="n"/>
    </row>
    <row r="529">
      <c r="A529" s="12" t="inlineStr">
        <is>
          <t>Rate basis: per cum  (source: cost for 1 cum)</t>
        </is>
      </c>
    </row>
    <row r="530">
      <c r="A530" s="5" t="inlineStr">
        <is>
          <t>Code</t>
        </is>
      </c>
      <c r="B530" s="5" t="inlineStr">
        <is>
          <t>Description</t>
        </is>
      </c>
      <c r="C530" s="5" t="inlineStr">
        <is>
          <t>Unit</t>
        </is>
      </c>
      <c r="D530" s="5" t="inlineStr">
        <is>
          <t>Quantity</t>
        </is>
      </c>
      <c r="E530" s="5" t="inlineStr">
        <is>
          <t>Rate (Rs.)</t>
        </is>
      </c>
      <c r="F530" s="5" t="inlineStr">
        <is>
          <t>Amount (Rs.)</t>
        </is>
      </c>
    </row>
    <row r="531">
      <c r="A531" s="13" t="inlineStr">
        <is>
          <t>3.11</t>
        </is>
      </c>
      <c r="B531" s="14" t="inlineStr">
        <is>
          <t>Rate as per SH: 3.11</t>
        </is>
      </c>
      <c r="C531" s="13" t="inlineStr">
        <is>
          <t>cum</t>
        </is>
      </c>
      <c r="D531" s="15" t="n">
        <v>0.25</v>
      </c>
      <c r="E531" s="16" t="n">
        <v>3356.15</v>
      </c>
      <c r="F531" s="16">
        <f>D531*E531</f>
        <v/>
      </c>
    </row>
    <row r="532">
      <c r="A532" s="13" t="inlineStr">
        <is>
          <t>7903</t>
        </is>
      </c>
      <c r="B532" s="14" t="inlineStr">
        <is>
          <t>Machine moulded common burnt clay FPS (non modular) bricks of class designation 12.5</t>
        </is>
      </c>
      <c r="C532" s="13" t="inlineStr">
        <is>
          <t>1000 Nos</t>
        </is>
      </c>
      <c r="D532" s="15" t="n">
        <v>0.494</v>
      </c>
      <c r="E532" s="16" t="n">
        <v>5000</v>
      </c>
      <c r="F532" s="16">
        <f>D532*E532</f>
        <v/>
      </c>
    </row>
    <row r="533">
      <c r="A533" s="13" t="inlineStr">
        <is>
          <t>2201</t>
        </is>
      </c>
      <c r="B533" s="14" t="inlineStr">
        <is>
          <t>Carriage of Bricks</t>
        </is>
      </c>
      <c r="C533" s="13" t="inlineStr">
        <is>
          <t>1000 Nos</t>
        </is>
      </c>
      <c r="D533" s="15" t="n">
        <v>0.494</v>
      </c>
      <c r="E533" s="16" t="n">
        <v>276.72</v>
      </c>
      <c r="F533" s="16">
        <f>D533*E533</f>
        <v/>
      </c>
    </row>
    <row r="534">
      <c r="A534" s="13" t="inlineStr">
        <is>
          <t>9999</t>
        </is>
      </c>
      <c r="B534" s="14" t="inlineStr">
        <is>
          <t>Sundries i/c steel / wooden strips for making grooves</t>
        </is>
      </c>
      <c r="C534" s="13" t="inlineStr">
        <is>
          <t>L.S.</t>
        </is>
      </c>
      <c r="D534" s="15" t="n">
        <v>16.38</v>
      </c>
      <c r="E534" s="16" t="n">
        <v>2</v>
      </c>
      <c r="F534" s="16">
        <f>D534*E534</f>
        <v/>
      </c>
    </row>
    <row r="535">
      <c r="A535" s="13" t="inlineStr">
        <is>
          <t>0123</t>
        </is>
      </c>
      <c r="B535" s="14" t="inlineStr">
        <is>
          <t>Mason (brick layer) 1st class</t>
        </is>
      </c>
      <c r="C535" s="13" t="inlineStr">
        <is>
          <t>day</t>
        </is>
      </c>
      <c r="D535" s="15" t="n">
        <v>0.44</v>
      </c>
      <c r="E535" s="16" t="n">
        <v>738</v>
      </c>
      <c r="F535" s="16">
        <f>D535*E535</f>
        <v/>
      </c>
    </row>
    <row r="536">
      <c r="A536" s="13" t="inlineStr">
        <is>
          <t>0124</t>
        </is>
      </c>
      <c r="B536" s="14" t="inlineStr">
        <is>
          <t>Mason (brick layer) 2nd class</t>
        </is>
      </c>
      <c r="C536" s="13" t="inlineStr">
        <is>
          <t>day</t>
        </is>
      </c>
      <c r="D536" s="15" t="n">
        <v>0.44</v>
      </c>
      <c r="E536" s="16" t="n">
        <v>679</v>
      </c>
      <c r="F536" s="16">
        <f>D536*E536</f>
        <v/>
      </c>
    </row>
    <row r="537">
      <c r="A537" s="13" t="inlineStr">
        <is>
          <t>0115</t>
        </is>
      </c>
      <c r="B537" s="14" t="inlineStr">
        <is>
          <t>Coolie</t>
        </is>
      </c>
      <c r="C537" s="13" t="inlineStr">
        <is>
          <t>day</t>
        </is>
      </c>
      <c r="D537" s="15" t="n">
        <v>1.8</v>
      </c>
      <c r="E537" s="16" t="n">
        <v>558</v>
      </c>
      <c r="F537" s="16">
        <f>D537*E537</f>
        <v/>
      </c>
    </row>
    <row r="538">
      <c r="A538" s="13" t="inlineStr">
        <is>
          <t>0101</t>
        </is>
      </c>
      <c r="B538" s="14" t="inlineStr">
        <is>
          <t>Bhisti</t>
        </is>
      </c>
      <c r="C538" s="13" t="inlineStr">
        <is>
          <t>day</t>
        </is>
      </c>
      <c r="D538" s="15" t="n">
        <v>0.2</v>
      </c>
      <c r="E538" s="16" t="n">
        <v>617</v>
      </c>
      <c r="F538" s="16">
        <f>D538*E538</f>
        <v/>
      </c>
    </row>
    <row r="539">
      <c r="A539" s="13" t="inlineStr">
        <is>
          <t>0115</t>
        </is>
      </c>
      <c r="B539" s="14" t="inlineStr">
        <is>
          <t>Coolie</t>
        </is>
      </c>
      <c r="C539" s="13" t="inlineStr">
        <is>
          <t>day</t>
        </is>
      </c>
      <c r="D539" s="15" t="n">
        <v>1.13</v>
      </c>
      <c r="E539" s="16" t="n">
        <v>558</v>
      </c>
      <c r="F539" s="16">
        <f>D539*E539</f>
        <v/>
      </c>
    </row>
    <row r="540">
      <c r="A540" s="13" t="inlineStr">
        <is>
          <t>9999</t>
        </is>
      </c>
      <c r="B540" s="14" t="inlineStr">
        <is>
          <t>Sundries</t>
        </is>
      </c>
      <c r="C540" s="13" t="inlineStr">
        <is>
          <t>L.S.</t>
        </is>
      </c>
      <c r="D540" s="15" t="n">
        <v>22.36</v>
      </c>
      <c r="E540" s="16" t="n">
        <v>2</v>
      </c>
      <c r="F540" s="16">
        <f>D540*E540</f>
        <v/>
      </c>
    </row>
    <row r="541">
      <c r="A541" s="17" t="inlineStr">
        <is>
          <t>Resource Total (Material + Labour + Machinery, as printed)</t>
        </is>
      </c>
      <c r="B541" s="18" t="n"/>
      <c r="C541" s="18" t="n"/>
      <c r="D541" s="18" t="n"/>
      <c r="E541" s="18" t="n"/>
      <c r="F541" s="19">
        <f>SUM(F531:F540)</f>
        <v/>
      </c>
    </row>
    <row r="542">
      <c r="A542" s="20" t="inlineStr">
        <is>
          <t>SAY (Rs.) — final DAR rate</t>
        </is>
      </c>
      <c r="B542" s="21" t="n"/>
      <c r="C542" s="21" t="n"/>
      <c r="D542" s="21" t="n"/>
      <c r="E542" s="21" t="n"/>
      <c r="F542" s="22" t="n">
        <v>7900.55</v>
      </c>
    </row>
    <row r="544" ht="18" customHeight="1">
      <c r="A544" s="9" t="inlineStr">
        <is>
          <t>6.30.1</t>
        </is>
      </c>
      <c r="B544" s="10" t="inlineStr">
        <is>
          <t>From ground level upto plinth level</t>
        </is>
      </c>
      <c r="C544" s="11" t="n"/>
      <c r="D544" s="11" t="n"/>
      <c r="E544" s="11" t="n"/>
      <c r="F544" s="11" t="n"/>
    </row>
    <row r="545">
      <c r="A545" s="12" t="inlineStr">
        <is>
          <t>Rate basis: per cum  (source: cost for 1 cum)</t>
        </is>
      </c>
    </row>
    <row r="546">
      <c r="A546" s="5" t="inlineStr">
        <is>
          <t>Code</t>
        </is>
      </c>
      <c r="B546" s="5" t="inlineStr">
        <is>
          <t>Description</t>
        </is>
      </c>
      <c r="C546" s="5" t="inlineStr">
        <is>
          <t>Unit</t>
        </is>
      </c>
      <c r="D546" s="5" t="inlineStr">
        <is>
          <t>Quantity</t>
        </is>
      </c>
      <c r="E546" s="5" t="inlineStr">
        <is>
          <t>Rate (Rs.)</t>
        </is>
      </c>
      <c r="F546" s="5" t="inlineStr">
        <is>
          <t>Amount (Rs.)</t>
        </is>
      </c>
    </row>
    <row r="547">
      <c r="A547" s="13" t="inlineStr">
        <is>
          <t>3.11</t>
        </is>
      </c>
      <c r="B547" s="14" t="inlineStr">
        <is>
          <t>Rate as per SH: 3.11</t>
        </is>
      </c>
      <c r="C547" s="13" t="inlineStr">
        <is>
          <t>cum</t>
        </is>
      </c>
      <c r="D547" s="15" t="n">
        <v>0.25</v>
      </c>
      <c r="E547" s="16" t="n">
        <v>3356.15</v>
      </c>
      <c r="F547" s="16">
        <f>D547*E547</f>
        <v/>
      </c>
    </row>
    <row r="548">
      <c r="A548" s="13" t="inlineStr">
        <is>
          <t>7901</t>
        </is>
      </c>
      <c r="B548" s="14" t="inlineStr">
        <is>
          <t>Machine moulded perforated common burnt clay FPS (non modular) bricks of class designation 12.5</t>
        </is>
      </c>
      <c r="C548" s="13" t="inlineStr">
        <is>
          <t>1000 Nos</t>
        </is>
      </c>
      <c r="D548" s="15" t="n">
        <v>0.494</v>
      </c>
      <c r="E548" s="16" t="n">
        <v>4700</v>
      </c>
      <c r="F548" s="16">
        <f>D548*E548</f>
        <v/>
      </c>
    </row>
    <row r="549">
      <c r="A549" s="13" t="inlineStr">
        <is>
          <t>2201</t>
        </is>
      </c>
      <c r="B549" s="14" t="inlineStr">
        <is>
          <t>Carriage of Bricks</t>
        </is>
      </c>
      <c r="C549" s="13" t="inlineStr">
        <is>
          <t>1000 Nos</t>
        </is>
      </c>
      <c r="D549" s="15" t="n">
        <v>0.494</v>
      </c>
      <c r="E549" s="16" t="n">
        <v>276.72</v>
      </c>
      <c r="F549" s="16">
        <f>D549*E549</f>
        <v/>
      </c>
    </row>
    <row r="550">
      <c r="A550" s="13" t="inlineStr">
        <is>
          <t>9999</t>
        </is>
      </c>
      <c r="B550" s="14" t="inlineStr">
        <is>
          <t>Sundries i/c steel / wooden strips for making grooves</t>
        </is>
      </c>
      <c r="C550" s="13" t="inlineStr">
        <is>
          <t>L.S.</t>
        </is>
      </c>
      <c r="D550" s="15" t="n">
        <v>16.38</v>
      </c>
      <c r="E550" s="16" t="n">
        <v>2</v>
      </c>
      <c r="F550" s="16">
        <f>D550*E550</f>
        <v/>
      </c>
    </row>
    <row r="551">
      <c r="A551" s="13" t="inlineStr">
        <is>
          <t>0123</t>
        </is>
      </c>
      <c r="B551" s="14" t="inlineStr">
        <is>
          <t>Mason (brick layer) 1st class</t>
        </is>
      </c>
      <c r="C551" s="13" t="inlineStr">
        <is>
          <t>day</t>
        </is>
      </c>
      <c r="D551" s="15" t="n">
        <v>0.36</v>
      </c>
      <c r="E551" s="16" t="n">
        <v>738</v>
      </c>
      <c r="F551" s="16">
        <f>D551*E551</f>
        <v/>
      </c>
    </row>
    <row r="552">
      <c r="A552" s="13" t="inlineStr">
        <is>
          <t>0124</t>
        </is>
      </c>
      <c r="B552" s="14" t="inlineStr">
        <is>
          <t>Mason (brick layer) 2nd class</t>
        </is>
      </c>
      <c r="C552" s="13" t="inlineStr">
        <is>
          <t>day</t>
        </is>
      </c>
      <c r="D552" s="15" t="n">
        <v>0.36</v>
      </c>
      <c r="E552" s="16" t="n">
        <v>679</v>
      </c>
      <c r="F552" s="16">
        <f>D552*E552</f>
        <v/>
      </c>
    </row>
    <row r="553">
      <c r="A553" s="13" t="inlineStr">
        <is>
          <t>0115</t>
        </is>
      </c>
      <c r="B553" s="14" t="inlineStr">
        <is>
          <t>Coolie</t>
        </is>
      </c>
      <c r="C553" s="13" t="inlineStr">
        <is>
          <t>day</t>
        </is>
      </c>
      <c r="D553" s="15" t="n">
        <v>1.37</v>
      </c>
      <c r="E553" s="16" t="n">
        <v>558</v>
      </c>
      <c r="F553" s="16">
        <f>D553*E553</f>
        <v/>
      </c>
    </row>
    <row r="554">
      <c r="A554" s="13" t="inlineStr">
        <is>
          <t>0101</t>
        </is>
      </c>
      <c r="B554" s="14" t="inlineStr">
        <is>
          <t>Bhisti</t>
        </is>
      </c>
      <c r="C554" s="13" t="inlineStr">
        <is>
          <t>day</t>
        </is>
      </c>
      <c r="D554" s="15" t="n">
        <v>0.2</v>
      </c>
      <c r="E554" s="16" t="n">
        <v>617</v>
      </c>
      <c r="F554" s="16">
        <f>D554*E554</f>
        <v/>
      </c>
    </row>
    <row r="555">
      <c r="A555" s="17" t="inlineStr">
        <is>
          <t>Resource Total (Material + Labour + Machinery, as printed)</t>
        </is>
      </c>
      <c r="B555" s="18" t="n"/>
      <c r="C555" s="18" t="n"/>
      <c r="D555" s="18" t="n"/>
      <c r="E555" s="18" t="n"/>
      <c r="F555" s="19">
        <f>SUM(F547:F554)</f>
        <v/>
      </c>
    </row>
    <row r="556">
      <c r="A556" s="20" t="inlineStr">
        <is>
          <t>SAY (Rs.) — final DAR rate</t>
        </is>
      </c>
      <c r="B556" s="21" t="n"/>
      <c r="C556" s="21" t="n"/>
      <c r="D556" s="21" t="n"/>
      <c r="E556" s="21" t="n"/>
      <c r="F556" s="22" t="n">
        <v>6326.15</v>
      </c>
    </row>
    <row r="558" ht="18" customHeight="1">
      <c r="A558" s="9" t="inlineStr">
        <is>
          <t>6.30.2</t>
        </is>
      </c>
      <c r="B558" s="10" t="inlineStr">
        <is>
          <t>Above plinth level upto floor V level</t>
        </is>
      </c>
      <c r="C558" s="11" t="n"/>
      <c r="D558" s="11" t="n"/>
      <c r="E558" s="11" t="n"/>
      <c r="F558" s="11" t="n"/>
    </row>
    <row r="559">
      <c r="A559" s="12" t="inlineStr">
        <is>
          <t>Rate basis: per cum  (source: cost for 1 cum)</t>
        </is>
      </c>
    </row>
    <row r="560">
      <c r="A560" s="5" t="inlineStr">
        <is>
          <t>Code</t>
        </is>
      </c>
      <c r="B560" s="5" t="inlineStr">
        <is>
          <t>Description</t>
        </is>
      </c>
      <c r="C560" s="5" t="inlineStr">
        <is>
          <t>Unit</t>
        </is>
      </c>
      <c r="D560" s="5" t="inlineStr">
        <is>
          <t>Quantity</t>
        </is>
      </c>
      <c r="E560" s="5" t="inlineStr">
        <is>
          <t>Rate (Rs.)</t>
        </is>
      </c>
      <c r="F560" s="5" t="inlineStr">
        <is>
          <t>Amount (Rs.)</t>
        </is>
      </c>
    </row>
    <row r="561">
      <c r="A561" s="13" t="inlineStr">
        <is>
          <t>3.11</t>
        </is>
      </c>
      <c r="B561" s="14" t="inlineStr">
        <is>
          <t>Rate as per SH: 3.11</t>
        </is>
      </c>
      <c r="C561" s="13" t="inlineStr">
        <is>
          <t>cum</t>
        </is>
      </c>
      <c r="D561" s="15" t="n">
        <v>0.25</v>
      </c>
      <c r="E561" s="16" t="n">
        <v>3356.15</v>
      </c>
      <c r="F561" s="16">
        <f>D561*E561</f>
        <v/>
      </c>
    </row>
    <row r="562">
      <c r="A562" s="13" t="inlineStr">
        <is>
          <t>7901</t>
        </is>
      </c>
      <c r="B562" s="14" t="inlineStr">
        <is>
          <t>Machine moulded perforated common burnt clay FPS (non modular) bricks of class designation 12.5</t>
        </is>
      </c>
      <c r="C562" s="13" t="inlineStr">
        <is>
          <t>1000 Nos</t>
        </is>
      </c>
      <c r="D562" s="15" t="n">
        <v>0.494</v>
      </c>
      <c r="E562" s="16" t="n">
        <v>4700</v>
      </c>
      <c r="F562" s="16">
        <f>D562*E562</f>
        <v/>
      </c>
    </row>
    <row r="563">
      <c r="A563" s="13" t="inlineStr">
        <is>
          <t>2201</t>
        </is>
      </c>
      <c r="B563" s="14" t="inlineStr">
        <is>
          <t>Carriage of Bricks</t>
        </is>
      </c>
      <c r="C563" s="13" t="inlineStr">
        <is>
          <t>1000 Nos</t>
        </is>
      </c>
      <c r="D563" s="15" t="n">
        <v>0.494</v>
      </c>
      <c r="E563" s="16" t="n">
        <v>276.72</v>
      </c>
      <c r="F563" s="16">
        <f>D563*E563</f>
        <v/>
      </c>
    </row>
    <row r="564">
      <c r="A564" s="13" t="inlineStr">
        <is>
          <t>9999</t>
        </is>
      </c>
      <c r="B564" s="14" t="inlineStr">
        <is>
          <t>Sundries i/c steel / wooden strips for making grooves</t>
        </is>
      </c>
      <c r="C564" s="13" t="inlineStr">
        <is>
          <t>L.S.</t>
        </is>
      </c>
      <c r="D564" s="15" t="n">
        <v>16.38</v>
      </c>
      <c r="E564" s="16" t="n">
        <v>2</v>
      </c>
      <c r="F564" s="16">
        <f>D564*E564</f>
        <v/>
      </c>
    </row>
    <row r="565">
      <c r="A565" s="13" t="inlineStr">
        <is>
          <t>0123</t>
        </is>
      </c>
      <c r="B565" s="14" t="inlineStr">
        <is>
          <t>Mason (brick layer) 1st class</t>
        </is>
      </c>
      <c r="C565" s="13" t="inlineStr">
        <is>
          <t>day</t>
        </is>
      </c>
      <c r="D565" s="15" t="n">
        <v>0.47</v>
      </c>
      <c r="E565" s="16" t="n">
        <v>738</v>
      </c>
      <c r="F565" s="16">
        <f>D565*E565</f>
        <v/>
      </c>
    </row>
    <row r="566">
      <c r="A566" s="13" t="inlineStr">
        <is>
          <t>0124</t>
        </is>
      </c>
      <c r="B566" s="14" t="inlineStr">
        <is>
          <t>Mason (brick layer) 2nd class</t>
        </is>
      </c>
      <c r="C566" s="13" t="inlineStr">
        <is>
          <t>day</t>
        </is>
      </c>
      <c r="D566" s="15" t="n">
        <v>0.47</v>
      </c>
      <c r="E566" s="16" t="n">
        <v>679</v>
      </c>
      <c r="F566" s="16">
        <f>D566*E566</f>
        <v/>
      </c>
    </row>
    <row r="567">
      <c r="A567" s="13" t="inlineStr">
        <is>
          <t>0115</t>
        </is>
      </c>
      <c r="B567" s="14" t="inlineStr">
        <is>
          <t>Coolie</t>
        </is>
      </c>
      <c r="C567" s="13" t="inlineStr">
        <is>
          <t>day</t>
        </is>
      </c>
      <c r="D567" s="15" t="n">
        <v>1.8</v>
      </c>
      <c r="E567" s="16" t="n">
        <v>558</v>
      </c>
      <c r="F567" s="16">
        <f>D567*E567</f>
        <v/>
      </c>
    </row>
    <row r="568">
      <c r="A568" s="13" t="inlineStr">
        <is>
          <t>0101</t>
        </is>
      </c>
      <c r="B568" s="14" t="inlineStr">
        <is>
          <t>Bhisti</t>
        </is>
      </c>
      <c r="C568" s="13" t="inlineStr">
        <is>
          <t>day</t>
        </is>
      </c>
      <c r="D568" s="15" t="n">
        <v>0.2</v>
      </c>
      <c r="E568" s="16" t="n">
        <v>617</v>
      </c>
      <c r="F568" s="16">
        <f>D568*E568</f>
        <v/>
      </c>
    </row>
    <row r="569">
      <c r="A569" s="13" t="inlineStr">
        <is>
          <t>0115</t>
        </is>
      </c>
      <c r="B569" s="14" t="inlineStr">
        <is>
          <t>Coolie</t>
        </is>
      </c>
      <c r="C569" s="13" t="inlineStr">
        <is>
          <t>day</t>
        </is>
      </c>
      <c r="D569" s="15" t="n">
        <v>1.13</v>
      </c>
      <c r="E569" s="16" t="n">
        <v>558</v>
      </c>
      <c r="F569" s="16">
        <f>D569*E569</f>
        <v/>
      </c>
    </row>
    <row r="570">
      <c r="A570" s="13" t="inlineStr">
        <is>
          <t>9999</t>
        </is>
      </c>
      <c r="B570" s="14" t="inlineStr">
        <is>
          <t>Sundries</t>
        </is>
      </c>
      <c r="C570" s="13" t="inlineStr">
        <is>
          <t>L.S.</t>
        </is>
      </c>
      <c r="D570" s="15" t="n">
        <v>22.36</v>
      </c>
      <c r="E570" s="16" t="n">
        <v>2</v>
      </c>
      <c r="F570" s="16">
        <f>D570*E570</f>
        <v/>
      </c>
    </row>
    <row r="571">
      <c r="A571" s="17" t="inlineStr">
        <is>
          <t>Resource Total (Material + Labour + Machinery, as printed)</t>
        </is>
      </c>
      <c r="B571" s="18" t="n"/>
      <c r="C571" s="18" t="n"/>
      <c r="D571" s="18" t="n"/>
      <c r="E571" s="18" t="n"/>
      <c r="F571" s="19">
        <f>SUM(F561:F570)</f>
        <v/>
      </c>
    </row>
    <row r="572">
      <c r="A572" s="20" t="inlineStr">
        <is>
          <t>SAY (Rs.) — final DAR rate</t>
        </is>
      </c>
      <c r="B572" s="21" t="n"/>
      <c r="C572" s="21" t="n"/>
      <c r="D572" s="21" t="n"/>
      <c r="E572" s="21" t="n"/>
      <c r="F572" s="22" t="n">
        <v>7759.15</v>
      </c>
    </row>
    <row r="574" ht="18" customHeight="1">
      <c r="A574" s="9" t="inlineStr">
        <is>
          <t>6.31.1</t>
        </is>
      </c>
      <c r="B574" s="10" t="inlineStr">
        <is>
          <t>From ground level upto plinth level</t>
        </is>
      </c>
      <c r="C574" s="11" t="n"/>
      <c r="D574" s="11" t="n"/>
      <c r="E574" s="11" t="n"/>
      <c r="F574" s="11" t="n"/>
    </row>
    <row r="575">
      <c r="A575" s="12" t="inlineStr">
        <is>
          <t>Rate basis: per cum  (source: cost for 1 cum)</t>
        </is>
      </c>
    </row>
    <row r="576">
      <c r="A576" s="5" t="inlineStr">
        <is>
          <t>Code</t>
        </is>
      </c>
      <c r="B576" s="5" t="inlineStr">
        <is>
          <t>Description</t>
        </is>
      </c>
      <c r="C576" s="5" t="inlineStr">
        <is>
          <t>Unit</t>
        </is>
      </c>
      <c r="D576" s="5" t="inlineStr">
        <is>
          <t>Quantity</t>
        </is>
      </c>
      <c r="E576" s="5" t="inlineStr">
        <is>
          <t>Rate (Rs.)</t>
        </is>
      </c>
      <c r="F576" s="5" t="inlineStr">
        <is>
          <t>Amount (Rs.)</t>
        </is>
      </c>
    </row>
    <row r="577">
      <c r="A577" s="13" t="inlineStr">
        <is>
          <t>7902</t>
        </is>
      </c>
      <c r="B577" s="14" t="inlineStr">
        <is>
          <t>Machine moulded common burnt clay modular perforated bricks of class designation 12.5</t>
        </is>
      </c>
      <c r="C577" s="13" t="inlineStr">
        <is>
          <t>1000 Nos</t>
        </is>
      </c>
      <c r="D577" s="15" t="n">
        <v>0.487</v>
      </c>
      <c r="E577" s="16" t="n">
        <v>5200</v>
      </c>
      <c r="F577" s="16">
        <f>D577*E577</f>
        <v/>
      </c>
    </row>
    <row r="578">
      <c r="A578" s="13" t="inlineStr">
        <is>
          <t>2201</t>
        </is>
      </c>
      <c r="B578" s="14" t="inlineStr">
        <is>
          <t>Carriage of Bricks</t>
        </is>
      </c>
      <c r="C578" s="13" t="inlineStr">
        <is>
          <t>1000 Nos</t>
        </is>
      </c>
      <c r="D578" s="15" t="n">
        <v>0.487</v>
      </c>
      <c r="E578" s="16" t="n">
        <v>276.72</v>
      </c>
      <c r="F578" s="16">
        <f>D578*E578</f>
        <v/>
      </c>
    </row>
    <row r="579">
      <c r="A579" s="13" t="inlineStr">
        <is>
          <t>9999</t>
        </is>
      </c>
      <c r="B579" s="14" t="inlineStr">
        <is>
          <t>Sundries i/c steel / wooden strips for making grooves</t>
        </is>
      </c>
      <c r="C579" s="13" t="inlineStr">
        <is>
          <t>L.S.</t>
        </is>
      </c>
      <c r="D579" s="15" t="n">
        <v>16.38</v>
      </c>
      <c r="E579" s="16" t="n">
        <v>2</v>
      </c>
      <c r="F579" s="16">
        <f>D579*E579</f>
        <v/>
      </c>
    </row>
    <row r="580">
      <c r="A580" s="13" t="inlineStr">
        <is>
          <t>0123</t>
        </is>
      </c>
      <c r="B580" s="14" t="inlineStr">
        <is>
          <t>Mason (brick layer) 1st class</t>
        </is>
      </c>
      <c r="C580" s="13" t="inlineStr">
        <is>
          <t>day</t>
        </is>
      </c>
      <c r="D580" s="15" t="n">
        <v>0.33</v>
      </c>
      <c r="E580" s="16" t="n">
        <v>738</v>
      </c>
      <c r="F580" s="16">
        <f>D580*E580</f>
        <v/>
      </c>
    </row>
    <row r="581">
      <c r="A581" s="13" t="inlineStr">
        <is>
          <t>0124</t>
        </is>
      </c>
      <c r="B581" s="14" t="inlineStr">
        <is>
          <t>Mason (brick layer) 2nd class</t>
        </is>
      </c>
      <c r="C581" s="13" t="inlineStr">
        <is>
          <t>day</t>
        </is>
      </c>
      <c r="D581" s="15" t="n">
        <v>0.33</v>
      </c>
      <c r="E581" s="16" t="n">
        <v>679</v>
      </c>
      <c r="F581" s="16">
        <f>D581*E581</f>
        <v/>
      </c>
    </row>
    <row r="582">
      <c r="A582" s="13" t="inlineStr">
        <is>
          <t>0115</t>
        </is>
      </c>
      <c r="B582" s="14" t="inlineStr">
        <is>
          <t>Coolie</t>
        </is>
      </c>
      <c r="C582" s="13" t="inlineStr">
        <is>
          <t>day</t>
        </is>
      </c>
      <c r="D582" s="15" t="n">
        <v>1</v>
      </c>
      <c r="E582" s="16" t="n">
        <v>558</v>
      </c>
      <c r="F582" s="16">
        <f>D582*E582</f>
        <v/>
      </c>
    </row>
    <row r="583">
      <c r="A583" s="13" t="inlineStr">
        <is>
          <t>0101</t>
        </is>
      </c>
      <c r="B583" s="14" t="inlineStr">
        <is>
          <t>Bhisti</t>
        </is>
      </c>
      <c r="C583" s="13" t="inlineStr">
        <is>
          <t>day</t>
        </is>
      </c>
      <c r="D583" s="15" t="n">
        <v>0.18</v>
      </c>
      <c r="E583" s="16" t="n">
        <v>617</v>
      </c>
      <c r="F583" s="16">
        <f>D583*E583</f>
        <v/>
      </c>
    </row>
    <row r="584">
      <c r="A584" s="17" t="inlineStr">
        <is>
          <t>Resource Total (Material + Labour + Machinery, as printed)</t>
        </is>
      </c>
      <c r="B584" s="18" t="n"/>
      <c r="C584" s="18" t="n"/>
      <c r="D584" s="18" t="n"/>
      <c r="E584" s="18" t="n"/>
      <c r="F584" s="19">
        <f>SUM(F577:F583)</f>
        <v/>
      </c>
    </row>
    <row r="585">
      <c r="A585" s="20" t="inlineStr">
        <is>
          <t>SAY (Rs.) — final DAR rate</t>
        </is>
      </c>
      <c r="B585" s="21" t="n"/>
      <c r="C585" s="21" t="n"/>
      <c r="D585" s="21" t="n"/>
      <c r="E585" s="21" t="n"/>
      <c r="F585" s="22" t="n">
        <v>6121</v>
      </c>
    </row>
    <row r="587" ht="18" customHeight="1">
      <c r="A587" s="9" t="inlineStr">
        <is>
          <t>6.31.2</t>
        </is>
      </c>
      <c r="B587" s="10" t="inlineStr">
        <is>
          <t>Above plinth level upto floor V level</t>
        </is>
      </c>
      <c r="C587" s="11" t="n"/>
      <c r="D587" s="11" t="n"/>
      <c r="E587" s="11" t="n"/>
      <c r="F587" s="11" t="n"/>
    </row>
    <row r="588">
      <c r="A588" s="12" t="inlineStr">
        <is>
          <t>Rate basis: per cum  (source: cost for 1 cum)</t>
        </is>
      </c>
    </row>
    <row r="589">
      <c r="A589" s="5" t="inlineStr">
        <is>
          <t>Code</t>
        </is>
      </c>
      <c r="B589" s="5" t="inlineStr">
        <is>
          <t>Description</t>
        </is>
      </c>
      <c r="C589" s="5" t="inlineStr">
        <is>
          <t>Unit</t>
        </is>
      </c>
      <c r="D589" s="5" t="inlineStr">
        <is>
          <t>Quantity</t>
        </is>
      </c>
      <c r="E589" s="5" t="inlineStr">
        <is>
          <t>Rate (Rs.)</t>
        </is>
      </c>
      <c r="F589" s="5" t="inlineStr">
        <is>
          <t>Amount (Rs.)</t>
        </is>
      </c>
    </row>
    <row r="590">
      <c r="A590" s="13" t="inlineStr">
        <is>
          <t>3.11</t>
        </is>
      </c>
      <c r="B590" s="14" t="inlineStr">
        <is>
          <t>Rate as per SH: 3.11</t>
        </is>
      </c>
      <c r="C590" s="13" t="inlineStr">
        <is>
          <t>cum</t>
        </is>
      </c>
      <c r="D590" s="15" t="n">
        <v>0.22</v>
      </c>
      <c r="E590" s="16" t="n">
        <v>3356.15</v>
      </c>
      <c r="F590" s="16">
        <f>D590*E590</f>
        <v/>
      </c>
    </row>
    <row r="591">
      <c r="A591" s="13" t="inlineStr">
        <is>
          <t>7902</t>
        </is>
      </c>
      <c r="B591" s="14" t="inlineStr">
        <is>
          <t>Machine moulded common burnt clay modular perforated bricks of class designation 12.5</t>
        </is>
      </c>
      <c r="C591" s="13" t="inlineStr">
        <is>
          <t>1000 Nos</t>
        </is>
      </c>
      <c r="D591" s="15" t="n">
        <v>0.487</v>
      </c>
      <c r="E591" s="16" t="n">
        <v>5200</v>
      </c>
      <c r="F591" s="16">
        <f>D591*E591</f>
        <v/>
      </c>
    </row>
    <row r="592">
      <c r="A592" s="13" t="inlineStr">
        <is>
          <t>2201</t>
        </is>
      </c>
      <c r="B592" s="14" t="inlineStr">
        <is>
          <t>Carriage of Bricks</t>
        </is>
      </c>
      <c r="C592" s="13" t="inlineStr">
        <is>
          <t>1000 Nos</t>
        </is>
      </c>
      <c r="D592" s="15" t="n">
        <v>0.487</v>
      </c>
      <c r="E592" s="16" t="n">
        <v>276.72</v>
      </c>
      <c r="F592" s="16">
        <f>D592*E592</f>
        <v/>
      </c>
    </row>
    <row r="593">
      <c r="A593" s="13" t="inlineStr">
        <is>
          <t>9999</t>
        </is>
      </c>
      <c r="B593" s="14" t="inlineStr">
        <is>
          <t>Sundries i/c steel / wooden strips for making grooves</t>
        </is>
      </c>
      <c r="C593" s="13" t="inlineStr">
        <is>
          <t>L.S.</t>
        </is>
      </c>
      <c r="D593" s="15" t="n">
        <v>16.38</v>
      </c>
      <c r="E593" s="16" t="n">
        <v>2</v>
      </c>
      <c r="F593" s="16">
        <f>D593*E593</f>
        <v/>
      </c>
    </row>
    <row r="594">
      <c r="A594" s="13" t="inlineStr">
        <is>
          <t>0123</t>
        </is>
      </c>
      <c r="B594" s="14" t="inlineStr">
        <is>
          <t>Mason (brick layer) 1st class</t>
        </is>
      </c>
      <c r="C594" s="13" t="inlineStr">
        <is>
          <t>day</t>
        </is>
      </c>
      <c r="D594" s="15" t="n">
        <v>0.44</v>
      </c>
      <c r="E594" s="16" t="n">
        <v>738</v>
      </c>
      <c r="F594" s="16">
        <f>D594*E594</f>
        <v/>
      </c>
    </row>
    <row r="595">
      <c r="A595" s="13" t="inlineStr">
        <is>
          <t>0124</t>
        </is>
      </c>
      <c r="B595" s="14" t="inlineStr">
        <is>
          <t>Mason (brick layer) 2nd class</t>
        </is>
      </c>
      <c r="C595" s="13" t="inlineStr">
        <is>
          <t>day</t>
        </is>
      </c>
      <c r="D595" s="15" t="n">
        <v>0.44</v>
      </c>
      <c r="E595" s="16" t="n">
        <v>679</v>
      </c>
      <c r="F595" s="16">
        <f>D595*E595</f>
        <v/>
      </c>
    </row>
    <row r="596">
      <c r="A596" s="13" t="inlineStr">
        <is>
          <t>0115</t>
        </is>
      </c>
      <c r="B596" s="14" t="inlineStr">
        <is>
          <t>Coolie</t>
        </is>
      </c>
      <c r="C596" s="13" t="inlineStr">
        <is>
          <t>day</t>
        </is>
      </c>
      <c r="D596" s="15" t="n">
        <v>1.43</v>
      </c>
      <c r="E596" s="16" t="n">
        <v>558</v>
      </c>
      <c r="F596" s="16">
        <f>D596*E596</f>
        <v/>
      </c>
    </row>
    <row r="597">
      <c r="A597" s="13" t="inlineStr">
        <is>
          <t>0101</t>
        </is>
      </c>
      <c r="B597" s="14" t="inlineStr">
        <is>
          <t>Bhisti</t>
        </is>
      </c>
      <c r="C597" s="13" t="inlineStr">
        <is>
          <t>day</t>
        </is>
      </c>
      <c r="D597" s="15" t="n">
        <v>0.18</v>
      </c>
      <c r="E597" s="16" t="n">
        <v>617</v>
      </c>
      <c r="F597" s="16">
        <f>D597*E597</f>
        <v/>
      </c>
    </row>
    <row r="598">
      <c r="A598" s="13" t="inlineStr">
        <is>
          <t>0115</t>
        </is>
      </c>
      <c r="B598" s="14" t="inlineStr">
        <is>
          <t>Coolie</t>
        </is>
      </c>
      <c r="C598" s="13" t="inlineStr">
        <is>
          <t>day</t>
        </is>
      </c>
      <c r="D598" s="15" t="n">
        <v>1.13</v>
      </c>
      <c r="E598" s="16" t="n">
        <v>558</v>
      </c>
      <c r="F598" s="16">
        <f>D598*E598</f>
        <v/>
      </c>
    </row>
    <row r="599">
      <c r="A599" s="13" t="inlineStr">
        <is>
          <t>9999</t>
        </is>
      </c>
      <c r="B599" s="14" t="inlineStr">
        <is>
          <t>Sundries</t>
        </is>
      </c>
      <c r="C599" s="13" t="inlineStr">
        <is>
          <t>L.S.</t>
        </is>
      </c>
      <c r="D599" s="15" t="n">
        <v>22.36</v>
      </c>
      <c r="E599" s="16" t="n">
        <v>2</v>
      </c>
      <c r="F599" s="16">
        <f>D599*E599</f>
        <v/>
      </c>
    </row>
    <row r="600">
      <c r="A600" s="17" t="inlineStr">
        <is>
          <t>Resource Total (Material + Labour + Machinery, as printed)</t>
        </is>
      </c>
      <c r="B600" s="18" t="n"/>
      <c r="C600" s="18" t="n"/>
      <c r="D600" s="18" t="n"/>
      <c r="E600" s="18" t="n"/>
      <c r="F600" s="19">
        <f>SUM(F590:F599)</f>
        <v/>
      </c>
    </row>
    <row r="601">
      <c r="A601" s="20" t="inlineStr">
        <is>
          <t>SAY (Rs.) — final DAR rate</t>
        </is>
      </c>
      <c r="B601" s="21" t="n"/>
      <c r="C601" s="21" t="n"/>
      <c r="D601" s="21" t="n"/>
      <c r="E601" s="21" t="n"/>
      <c r="F601" s="22" t="n">
        <v>7554</v>
      </c>
    </row>
    <row r="603" ht="18" customHeight="1">
      <c r="A603" s="9" t="inlineStr">
        <is>
          <t>6.32.1</t>
        </is>
      </c>
      <c r="B603" s="10" t="inlineStr">
        <is>
          <t>Cement mortar 1:4 (1 cement : 4 coarse sand)</t>
        </is>
      </c>
      <c r="C603" s="11" t="n"/>
      <c r="D603" s="11" t="n"/>
      <c r="E603" s="11" t="n"/>
      <c r="F603" s="11" t="n"/>
    </row>
    <row r="604">
      <c r="A604" s="12" t="inlineStr">
        <is>
          <t>Rate basis: per cum  (source: cost for 1 cum)</t>
        </is>
      </c>
    </row>
    <row r="605">
      <c r="A605" s="5" t="inlineStr">
        <is>
          <t>Code</t>
        </is>
      </c>
      <c r="B605" s="5" t="inlineStr">
        <is>
          <t>Description</t>
        </is>
      </c>
      <c r="C605" s="5" t="inlineStr">
        <is>
          <t>Unit</t>
        </is>
      </c>
      <c r="D605" s="5" t="inlineStr">
        <is>
          <t>Quantity</t>
        </is>
      </c>
      <c r="E605" s="5" t="inlineStr">
        <is>
          <t>Rate (Rs.)</t>
        </is>
      </c>
      <c r="F605" s="5" t="inlineStr">
        <is>
          <t>Amount (Rs.)</t>
        </is>
      </c>
    </row>
    <row r="606">
      <c r="A606" s="13" t="inlineStr">
        <is>
          <t>3.9</t>
        </is>
      </c>
      <c r="B606" s="14" t="inlineStr">
        <is>
          <t>Rate as per SH: 3.9</t>
        </is>
      </c>
      <c r="C606" s="13" t="inlineStr">
        <is>
          <t>cum</t>
        </is>
      </c>
      <c r="D606" s="15" t="n">
        <v>0.25</v>
      </c>
      <c r="E606" s="16" t="n">
        <v>4010.35</v>
      </c>
      <c r="F606" s="16">
        <f>D606*E606</f>
        <v/>
      </c>
    </row>
    <row r="607">
      <c r="A607" s="13" t="inlineStr">
        <is>
          <t>7008</t>
        </is>
      </c>
      <c r="B607" s="14" t="inlineStr">
        <is>
          <t>F.P.S.(non modular) clay fly ash bricks class designation 7.5</t>
        </is>
      </c>
      <c r="C607" s="13" t="inlineStr">
        <is>
          <t>1000 Nos</t>
        </is>
      </c>
      <c r="D607" s="15" t="n">
        <v>0.494</v>
      </c>
      <c r="E607" s="16" t="n">
        <v>4800</v>
      </c>
      <c r="F607" s="16">
        <f>D607*E607</f>
        <v/>
      </c>
    </row>
    <row r="608">
      <c r="A608" s="13" t="inlineStr">
        <is>
          <t>2201</t>
        </is>
      </c>
      <c r="B608" s="14" t="inlineStr">
        <is>
          <t>Carriage of Bricks</t>
        </is>
      </c>
      <c r="C608" s="13" t="inlineStr">
        <is>
          <t>1000 Nos</t>
        </is>
      </c>
      <c r="D608" s="15" t="n">
        <v>0.494</v>
      </c>
      <c r="E608" s="16" t="n">
        <v>276.72</v>
      </c>
      <c r="F608" s="16">
        <f>D608*E608</f>
        <v/>
      </c>
    </row>
    <row r="609">
      <c r="A609" s="13" t="inlineStr">
        <is>
          <t>9999</t>
        </is>
      </c>
      <c r="B609" s="14" t="inlineStr">
        <is>
          <t>Sundries</t>
        </is>
      </c>
      <c r="C609" s="13" t="inlineStr">
        <is>
          <t>L.S.</t>
        </is>
      </c>
      <c r="D609" s="15" t="n">
        <v>2.73</v>
      </c>
      <c r="E609" s="16" t="n">
        <v>2</v>
      </c>
      <c r="F609" s="16">
        <f>D609*E609</f>
        <v/>
      </c>
    </row>
    <row r="610">
      <c r="A610" s="13" t="inlineStr">
        <is>
          <t>0123</t>
        </is>
      </c>
      <c r="B610" s="14" t="inlineStr">
        <is>
          <t>Mason (brick layer) 1st class</t>
        </is>
      </c>
      <c r="C610" s="13" t="inlineStr">
        <is>
          <t>day</t>
        </is>
      </c>
      <c r="D610" s="15" t="n">
        <v>0.47</v>
      </c>
      <c r="E610" s="16" t="n">
        <v>738</v>
      </c>
      <c r="F610" s="16">
        <f>D610*E610</f>
        <v/>
      </c>
    </row>
    <row r="611">
      <c r="A611" s="13" t="inlineStr">
        <is>
          <t>0124</t>
        </is>
      </c>
      <c r="B611" s="14" t="inlineStr">
        <is>
          <t>Mason (brick layer) 2nd class</t>
        </is>
      </c>
      <c r="C611" s="13" t="inlineStr">
        <is>
          <t>day</t>
        </is>
      </c>
      <c r="D611" s="15" t="n">
        <v>0.47</v>
      </c>
      <c r="E611" s="16" t="n">
        <v>679</v>
      </c>
      <c r="F611" s="16">
        <f>D611*E611</f>
        <v/>
      </c>
    </row>
    <row r="612">
      <c r="A612" s="13" t="inlineStr">
        <is>
          <t>0115</t>
        </is>
      </c>
      <c r="B612" s="14" t="inlineStr">
        <is>
          <t>Coolie</t>
        </is>
      </c>
      <c r="C612" s="13" t="inlineStr">
        <is>
          <t>day</t>
        </is>
      </c>
      <c r="D612" s="15" t="n">
        <v>1.8</v>
      </c>
      <c r="E612" s="16" t="n">
        <v>558</v>
      </c>
      <c r="F612" s="16">
        <f>D612*E612</f>
        <v/>
      </c>
    </row>
    <row r="613">
      <c r="A613" s="13" t="inlineStr">
        <is>
          <t>0101</t>
        </is>
      </c>
      <c r="B613" s="14" t="inlineStr">
        <is>
          <t>Bhisti</t>
        </is>
      </c>
      <c r="C613" s="13" t="inlineStr">
        <is>
          <t>day</t>
        </is>
      </c>
      <c r="D613" s="15" t="n">
        <v>0.2</v>
      </c>
      <c r="E613" s="16" t="n">
        <v>617</v>
      </c>
      <c r="F613" s="16">
        <f>D613*E613</f>
        <v/>
      </c>
    </row>
    <row r="614">
      <c r="A614" s="13" t="inlineStr">
        <is>
          <t>9999</t>
        </is>
      </c>
      <c r="B614" s="14" t="inlineStr">
        <is>
          <t>Scaffolding</t>
        </is>
      </c>
      <c r="C614" s="13" t="inlineStr">
        <is>
          <t>L.S.</t>
        </is>
      </c>
      <c r="D614" s="15" t="n">
        <v>8.970000000000001</v>
      </c>
      <c r="E614" s="16" t="n">
        <v>2</v>
      </c>
      <c r="F614" s="16">
        <f>D614*E614</f>
        <v/>
      </c>
    </row>
    <row r="615">
      <c r="A615" s="13" t="inlineStr">
        <is>
          <t>0115</t>
        </is>
      </c>
      <c r="B615" s="14" t="inlineStr">
        <is>
          <t>Coolie</t>
        </is>
      </c>
      <c r="C615" s="13" t="inlineStr">
        <is>
          <t>day</t>
        </is>
      </c>
      <c r="D615" s="15" t="n">
        <v>1.13</v>
      </c>
      <c r="E615" s="16" t="n">
        <v>558</v>
      </c>
      <c r="F615" s="16">
        <f>D615*E615</f>
        <v/>
      </c>
    </row>
    <row r="616">
      <c r="A616" s="17" t="inlineStr">
        <is>
          <t>Resource Total (Material + Labour + Machinery, as printed)</t>
        </is>
      </c>
      <c r="B616" s="18" t="n"/>
      <c r="C616" s="18" t="n"/>
      <c r="D616" s="18" t="n"/>
      <c r="E616" s="18" t="n"/>
      <c r="F616" s="19">
        <f>SUM(F606:F615)</f>
        <v/>
      </c>
    </row>
    <row r="617">
      <c r="A617" s="20" t="inlineStr">
        <is>
          <t>SAY (Rs.) — final DAR rate</t>
        </is>
      </c>
      <c r="B617" s="21" t="n"/>
      <c r="C617" s="21" t="n"/>
      <c r="D617" s="21" t="n"/>
      <c r="E617" s="21" t="n"/>
      <c r="F617" s="22" t="n">
        <v>7971.7</v>
      </c>
    </row>
    <row r="619" ht="18" customHeight="1">
      <c r="A619" s="9" t="inlineStr">
        <is>
          <t>6.32.2</t>
        </is>
      </c>
      <c r="B619" s="10" t="inlineStr">
        <is>
          <t>Cement mortar 1:6 (1 cement : 6 coarse sand)</t>
        </is>
      </c>
      <c r="C619" s="11" t="n"/>
      <c r="D619" s="11" t="n"/>
      <c r="E619" s="11" t="n"/>
      <c r="F619" s="11" t="n"/>
    </row>
    <row r="620">
      <c r="A620" s="12" t="inlineStr">
        <is>
          <t>Rate basis: per cum  (source: cost for 1 cum)</t>
        </is>
      </c>
    </row>
    <row r="621">
      <c r="A621" s="5" t="inlineStr">
        <is>
          <t>Code</t>
        </is>
      </c>
      <c r="B621" s="5" t="inlineStr">
        <is>
          <t>Description</t>
        </is>
      </c>
      <c r="C621" s="5" t="inlineStr">
        <is>
          <t>Unit</t>
        </is>
      </c>
      <c r="D621" s="5" t="inlineStr">
        <is>
          <t>Quantity</t>
        </is>
      </c>
      <c r="E621" s="5" t="inlineStr">
        <is>
          <t>Rate (Rs.)</t>
        </is>
      </c>
      <c r="F621" s="5" t="inlineStr">
        <is>
          <t>Amount (Rs.)</t>
        </is>
      </c>
    </row>
    <row r="622">
      <c r="A622" s="13" t="inlineStr">
        <is>
          <t>3.11</t>
        </is>
      </c>
      <c r="B622" s="14" t="inlineStr">
        <is>
          <t>Rate as per SH: 3.11</t>
        </is>
      </c>
      <c r="C622" s="13" t="inlineStr">
        <is>
          <t>cum</t>
        </is>
      </c>
      <c r="D622" s="15" t="n">
        <v>0.25</v>
      </c>
      <c r="E622" s="16" t="n">
        <v>3356.15</v>
      </c>
      <c r="F622" s="16">
        <f>D622*E622</f>
        <v/>
      </c>
    </row>
    <row r="623">
      <c r="A623" s="13" t="inlineStr">
        <is>
          <t>7008</t>
        </is>
      </c>
      <c r="B623" s="14" t="inlineStr">
        <is>
          <t>F.P.S.(non modular) clay fly ash bricks class designation 7.5</t>
        </is>
      </c>
      <c r="C623" s="13" t="inlineStr">
        <is>
          <t>1000 Nos</t>
        </is>
      </c>
      <c r="D623" s="15" t="n">
        <v>0.494</v>
      </c>
      <c r="E623" s="16" t="n">
        <v>4800</v>
      </c>
      <c r="F623" s="16">
        <f>D623*E623</f>
        <v/>
      </c>
    </row>
    <row r="624">
      <c r="A624" s="13" t="inlineStr">
        <is>
          <t>2201</t>
        </is>
      </c>
      <c r="B624" s="14" t="inlineStr">
        <is>
          <t>Carriage of Bricks</t>
        </is>
      </c>
      <c r="C624" s="13" t="inlineStr">
        <is>
          <t>1000 Nos</t>
        </is>
      </c>
      <c r="D624" s="15" t="n">
        <v>0.494</v>
      </c>
      <c r="E624" s="16" t="n">
        <v>276.72</v>
      </c>
      <c r="F624" s="16">
        <f>D624*E624</f>
        <v/>
      </c>
    </row>
    <row r="625">
      <c r="A625" s="13" t="inlineStr">
        <is>
          <t>9999</t>
        </is>
      </c>
      <c r="B625" s="14" t="inlineStr">
        <is>
          <t>Sundries</t>
        </is>
      </c>
      <c r="C625" s="13" t="inlineStr">
        <is>
          <t>L.S.</t>
        </is>
      </c>
      <c r="D625" s="15" t="n">
        <v>2.73</v>
      </c>
      <c r="E625" s="16" t="n">
        <v>2</v>
      </c>
      <c r="F625" s="16">
        <f>D625*E625</f>
        <v/>
      </c>
    </row>
    <row r="626">
      <c r="A626" s="13" t="inlineStr">
        <is>
          <t>0123</t>
        </is>
      </c>
      <c r="B626" s="14" t="inlineStr">
        <is>
          <t>Mason (brick layer) 1st class</t>
        </is>
      </c>
      <c r="C626" s="13" t="inlineStr">
        <is>
          <t>day</t>
        </is>
      </c>
      <c r="D626" s="15" t="n">
        <v>0.47</v>
      </c>
      <c r="E626" s="16" t="n">
        <v>738</v>
      </c>
      <c r="F626" s="16">
        <f>D626*E626</f>
        <v/>
      </c>
    </row>
    <row r="627">
      <c r="A627" s="13" t="inlineStr">
        <is>
          <t>0124</t>
        </is>
      </c>
      <c r="B627" s="14" t="inlineStr">
        <is>
          <t>Mason (brick layer) 2nd class</t>
        </is>
      </c>
      <c r="C627" s="13" t="inlineStr">
        <is>
          <t>day</t>
        </is>
      </c>
      <c r="D627" s="15" t="n">
        <v>0.47</v>
      </c>
      <c r="E627" s="16" t="n">
        <v>679</v>
      </c>
      <c r="F627" s="16">
        <f>D627*E627</f>
        <v/>
      </c>
    </row>
    <row r="628">
      <c r="A628" s="13" t="inlineStr">
        <is>
          <t>0115</t>
        </is>
      </c>
      <c r="B628" s="14" t="inlineStr">
        <is>
          <t>Coolie</t>
        </is>
      </c>
      <c r="C628" s="13" t="inlineStr">
        <is>
          <t>day</t>
        </is>
      </c>
      <c r="D628" s="15" t="n">
        <v>1.8</v>
      </c>
      <c r="E628" s="16" t="n">
        <v>558</v>
      </c>
      <c r="F628" s="16">
        <f>D628*E628</f>
        <v/>
      </c>
    </row>
    <row r="629">
      <c r="A629" s="13" t="inlineStr">
        <is>
          <t>0101</t>
        </is>
      </c>
      <c r="B629" s="14" t="inlineStr">
        <is>
          <t>Bhisti</t>
        </is>
      </c>
      <c r="C629" s="13" t="inlineStr">
        <is>
          <t>day</t>
        </is>
      </c>
      <c r="D629" s="15" t="n">
        <v>0.2</v>
      </c>
      <c r="E629" s="16" t="n">
        <v>617</v>
      </c>
      <c r="F629" s="16">
        <f>D629*E629</f>
        <v/>
      </c>
    </row>
    <row r="630">
      <c r="A630" s="13" t="inlineStr">
        <is>
          <t>9999</t>
        </is>
      </c>
      <c r="B630" s="14" t="inlineStr">
        <is>
          <t>Scaffolding</t>
        </is>
      </c>
      <c r="C630" s="13" t="inlineStr">
        <is>
          <t>L.S.</t>
        </is>
      </c>
      <c r="D630" s="15" t="n">
        <v>8.970000000000001</v>
      </c>
      <c r="E630" s="16" t="n">
        <v>2</v>
      </c>
      <c r="F630" s="16">
        <f>D630*E630</f>
        <v/>
      </c>
    </row>
    <row r="631">
      <c r="A631" s="13" t="inlineStr">
        <is>
          <t>0115</t>
        </is>
      </c>
      <c r="B631" s="14" t="inlineStr">
        <is>
          <t>Coolie</t>
        </is>
      </c>
      <c r="C631" s="13" t="inlineStr">
        <is>
          <t>day</t>
        </is>
      </c>
      <c r="D631" s="15" t="n">
        <v>1.13</v>
      </c>
      <c r="E631" s="16" t="n">
        <v>558</v>
      </c>
      <c r="F631" s="16">
        <f>D631*E631</f>
        <v/>
      </c>
    </row>
    <row r="632">
      <c r="A632" s="17" t="inlineStr">
        <is>
          <t>Resource Total (Material + Labour + Machinery, as printed)</t>
        </is>
      </c>
      <c r="B632" s="18" t="n"/>
      <c r="C632" s="18" t="n"/>
      <c r="D632" s="18" t="n"/>
      <c r="E632" s="18" t="n"/>
      <c r="F632" s="19">
        <f>SUM(F622:F631)</f>
        <v/>
      </c>
    </row>
    <row r="633">
      <c r="A633" s="20" t="inlineStr">
        <is>
          <t>SAY (Rs.) — final DAR rate</t>
        </is>
      </c>
      <c r="B633" s="21" t="n"/>
      <c r="C633" s="21" t="n"/>
      <c r="D633" s="21" t="n"/>
      <c r="E633" s="21" t="n"/>
      <c r="F633" s="22" t="n">
        <v>7752.9</v>
      </c>
    </row>
    <row r="635" ht="18" customHeight="1">
      <c r="A635" s="9" t="inlineStr">
        <is>
          <t>6.34.1</t>
        </is>
      </c>
      <c r="B635" s="10" t="inlineStr">
        <is>
          <t>Cement mortar 1:4 (1 cement : 4 coarse sand)</t>
        </is>
      </c>
      <c r="C635" s="11" t="n"/>
      <c r="D635" s="11" t="n"/>
      <c r="E635" s="11" t="n"/>
      <c r="F635" s="11" t="n"/>
    </row>
    <row r="636">
      <c r="A636" s="12" t="inlineStr">
        <is>
          <t>Rate basis: per cum  (source: cost for 1 cum)</t>
        </is>
      </c>
    </row>
    <row r="637">
      <c r="A637" s="5" t="inlineStr">
        <is>
          <t>Code</t>
        </is>
      </c>
      <c r="B637" s="5" t="inlineStr">
        <is>
          <t>Description</t>
        </is>
      </c>
      <c r="C637" s="5" t="inlineStr">
        <is>
          <t>Unit</t>
        </is>
      </c>
      <c r="D637" s="5" t="inlineStr">
        <is>
          <t>Quantity</t>
        </is>
      </c>
      <c r="E637" s="5" t="inlineStr">
        <is>
          <t>Rate (Rs.)</t>
        </is>
      </c>
      <c r="F637" s="5" t="inlineStr">
        <is>
          <t>Amount (Rs.)</t>
        </is>
      </c>
    </row>
    <row r="638">
      <c r="A638" s="13" t="inlineStr">
        <is>
          <t>3.9</t>
        </is>
      </c>
      <c r="B638" s="14" t="inlineStr">
        <is>
          <t>Rate as per SH: 3.9</t>
        </is>
      </c>
      <c r="C638" s="13" t="inlineStr">
        <is>
          <t>cum</t>
        </is>
      </c>
      <c r="D638" s="15" t="n">
        <v>0.22</v>
      </c>
      <c r="E638" s="16" t="n">
        <v>4010.35</v>
      </c>
      <c r="F638" s="16">
        <f>D638*E638</f>
        <v/>
      </c>
    </row>
    <row r="639">
      <c r="A639" s="13" t="inlineStr">
        <is>
          <t>7737</t>
        </is>
      </c>
      <c r="B639" s="14" t="inlineStr">
        <is>
          <t>Fly ash bricks conforming to I.S. 12894</t>
        </is>
      </c>
      <c r="C639" s="13" t="inlineStr">
        <is>
          <t>1000 Nos</t>
        </is>
      </c>
      <c r="D639" s="15" t="n">
        <v>0.487</v>
      </c>
      <c r="E639" s="16" t="n">
        <v>4300</v>
      </c>
      <c r="F639" s="16">
        <f>D639*E639</f>
        <v/>
      </c>
    </row>
    <row r="640">
      <c r="A640" s="13" t="inlineStr">
        <is>
          <t>2201</t>
        </is>
      </c>
      <c r="B640" s="14" t="inlineStr">
        <is>
          <t>Carriage of Bricks</t>
        </is>
      </c>
      <c r="C640" s="13" t="inlineStr">
        <is>
          <t>1000 Nos</t>
        </is>
      </c>
      <c r="D640" s="15" t="n">
        <v>0.487</v>
      </c>
      <c r="E640" s="16" t="n">
        <v>276.72</v>
      </c>
      <c r="F640" s="16">
        <f>D640*E640</f>
        <v/>
      </c>
    </row>
    <row r="641">
      <c r="A641" s="13" t="inlineStr">
        <is>
          <t>9999</t>
        </is>
      </c>
      <c r="B641" s="14" t="inlineStr">
        <is>
          <t>Sundries</t>
        </is>
      </c>
      <c r="C641" s="13" t="inlineStr">
        <is>
          <t>L.S.</t>
        </is>
      </c>
      <c r="D641" s="15" t="n">
        <v>2.73</v>
      </c>
      <c r="E641" s="16" t="n">
        <v>2</v>
      </c>
      <c r="F641" s="16">
        <f>D641*E641</f>
        <v/>
      </c>
    </row>
    <row r="642">
      <c r="A642" s="13" t="inlineStr">
        <is>
          <t>0123</t>
        </is>
      </c>
      <c r="B642" s="14" t="inlineStr">
        <is>
          <t>Mason (brick layer) 1st class</t>
        </is>
      </c>
      <c r="C642" s="13" t="inlineStr">
        <is>
          <t>day</t>
        </is>
      </c>
      <c r="D642" s="15" t="n">
        <v>0.47</v>
      </c>
      <c r="E642" s="16" t="n">
        <v>738</v>
      </c>
      <c r="F642" s="16">
        <f>D642*E642</f>
        <v/>
      </c>
    </row>
    <row r="643">
      <c r="A643" s="13" t="inlineStr">
        <is>
          <t>0124</t>
        </is>
      </c>
      <c r="B643" s="14" t="inlineStr">
        <is>
          <t>Mason (brick layer) 2nd class</t>
        </is>
      </c>
      <c r="C643" s="13" t="inlineStr">
        <is>
          <t>day</t>
        </is>
      </c>
      <c r="D643" s="15" t="n">
        <v>0.47</v>
      </c>
      <c r="E643" s="16" t="n">
        <v>679</v>
      </c>
      <c r="F643" s="16">
        <f>D643*E643</f>
        <v/>
      </c>
    </row>
    <row r="644">
      <c r="A644" s="13" t="inlineStr">
        <is>
          <t>0115</t>
        </is>
      </c>
      <c r="B644" s="14" t="inlineStr">
        <is>
          <t>Coolie</t>
        </is>
      </c>
      <c r="C644" s="13" t="inlineStr">
        <is>
          <t>day</t>
        </is>
      </c>
      <c r="D644" s="15" t="n">
        <v>1.8</v>
      </c>
      <c r="E644" s="16" t="n">
        <v>558</v>
      </c>
      <c r="F644" s="16">
        <f>D644*E644</f>
        <v/>
      </c>
    </row>
    <row r="645">
      <c r="A645" s="13" t="inlineStr">
        <is>
          <t>0101</t>
        </is>
      </c>
      <c r="B645" s="14" t="inlineStr">
        <is>
          <t>Bhisti</t>
        </is>
      </c>
      <c r="C645" s="13" t="inlineStr">
        <is>
          <t>day</t>
        </is>
      </c>
      <c r="D645" s="15" t="n">
        <v>0.2</v>
      </c>
      <c r="E645" s="16" t="n">
        <v>617</v>
      </c>
      <c r="F645" s="16">
        <f>D645*E645</f>
        <v/>
      </c>
    </row>
    <row r="646">
      <c r="A646" s="13" t="inlineStr">
        <is>
          <t>9999</t>
        </is>
      </c>
      <c r="B646" s="14" t="inlineStr">
        <is>
          <t>Scaffolding</t>
        </is>
      </c>
      <c r="C646" s="13" t="inlineStr">
        <is>
          <t>L.S.</t>
        </is>
      </c>
      <c r="D646" s="15" t="n">
        <v>22.36</v>
      </c>
      <c r="E646" s="16" t="n">
        <v>2</v>
      </c>
      <c r="F646" s="16">
        <f>D646*E646</f>
        <v/>
      </c>
    </row>
    <row r="647">
      <c r="A647" s="13" t="inlineStr">
        <is>
          <t>0115</t>
        </is>
      </c>
      <c r="B647" s="14" t="inlineStr">
        <is>
          <t>Coolie</t>
        </is>
      </c>
      <c r="C647" s="13" t="inlineStr">
        <is>
          <t>day</t>
        </is>
      </c>
      <c r="D647" s="15" t="n">
        <v>1.13</v>
      </c>
      <c r="E647" s="16" t="n">
        <v>558</v>
      </c>
      <c r="F647" s="16">
        <f>D647*E647</f>
        <v/>
      </c>
    </row>
    <row r="648">
      <c r="A648" s="17" t="inlineStr">
        <is>
          <t>Resource Total (Material + Labour + Machinery, as printed)</t>
        </is>
      </c>
      <c r="B648" s="18" t="n"/>
      <c r="C648" s="18" t="n"/>
      <c r="D648" s="18" t="n"/>
      <c r="E648" s="18" t="n"/>
      <c r="F648" s="19">
        <f>SUM(F638:F647)</f>
        <v/>
      </c>
    </row>
    <row r="649">
      <c r="A649" s="20" t="inlineStr">
        <is>
          <t>SAY (Rs.) — final DAR rate</t>
        </is>
      </c>
      <c r="B649" s="21" t="n"/>
      <c r="C649" s="21" t="n"/>
      <c r="D649" s="21" t="n"/>
      <c r="E649" s="21" t="n"/>
      <c r="F649" s="22" t="n">
        <v>7473.25</v>
      </c>
    </row>
    <row r="651" ht="18" customHeight="1">
      <c r="A651" s="9" t="inlineStr">
        <is>
          <t>6.34.2</t>
        </is>
      </c>
      <c r="B651" s="10" t="inlineStr">
        <is>
          <t>Cement mortar 1:6 (1 cement : 6 Coarse sand)</t>
        </is>
      </c>
      <c r="C651" s="11" t="n"/>
      <c r="D651" s="11" t="n"/>
      <c r="E651" s="11" t="n"/>
      <c r="F651" s="11" t="n"/>
    </row>
    <row r="652">
      <c r="A652" s="12" t="inlineStr">
        <is>
          <t>Rate basis: per cum  (source: cost for 1 cum)</t>
        </is>
      </c>
    </row>
    <row r="653">
      <c r="A653" s="5" t="inlineStr">
        <is>
          <t>Code</t>
        </is>
      </c>
      <c r="B653" s="5" t="inlineStr">
        <is>
          <t>Description</t>
        </is>
      </c>
      <c r="C653" s="5" t="inlineStr">
        <is>
          <t>Unit</t>
        </is>
      </c>
      <c r="D653" s="5" t="inlineStr">
        <is>
          <t>Quantity</t>
        </is>
      </c>
      <c r="E653" s="5" t="inlineStr">
        <is>
          <t>Rate (Rs.)</t>
        </is>
      </c>
      <c r="F653" s="5" t="inlineStr">
        <is>
          <t>Amount (Rs.)</t>
        </is>
      </c>
    </row>
    <row r="654">
      <c r="A654" s="13" t="inlineStr">
        <is>
          <t>3.11</t>
        </is>
      </c>
      <c r="B654" s="14" t="inlineStr">
        <is>
          <t>Rate as per SH: 3.11</t>
        </is>
      </c>
      <c r="C654" s="13" t="inlineStr">
        <is>
          <t>cum</t>
        </is>
      </c>
      <c r="D654" s="15" t="n">
        <v>0.22</v>
      </c>
      <c r="E654" s="16" t="n">
        <v>3356.15</v>
      </c>
      <c r="F654" s="16">
        <f>D654*E654</f>
        <v/>
      </c>
    </row>
    <row r="655">
      <c r="A655" s="13" t="inlineStr">
        <is>
          <t>7737</t>
        </is>
      </c>
      <c r="B655" s="14" t="inlineStr">
        <is>
          <t>Fly ash bricks conforming to I.S. 12894</t>
        </is>
      </c>
      <c r="C655" s="13" t="inlineStr">
        <is>
          <t>1000 Nos</t>
        </is>
      </c>
      <c r="D655" s="15" t="n">
        <v>0.487</v>
      </c>
      <c r="E655" s="16" t="n">
        <v>4300</v>
      </c>
      <c r="F655" s="16">
        <f>D655*E655</f>
        <v/>
      </c>
    </row>
    <row r="656">
      <c r="A656" s="13" t="inlineStr">
        <is>
          <t>2201</t>
        </is>
      </c>
      <c r="B656" s="14" t="inlineStr">
        <is>
          <t>Carriage of Bricks</t>
        </is>
      </c>
      <c r="C656" s="13" t="inlineStr">
        <is>
          <t>1000 Nos</t>
        </is>
      </c>
      <c r="D656" s="15" t="n">
        <v>0.487</v>
      </c>
      <c r="E656" s="16" t="n">
        <v>276.72</v>
      </c>
      <c r="F656" s="16">
        <f>D656*E656</f>
        <v/>
      </c>
    </row>
    <row r="657">
      <c r="A657" s="13" t="inlineStr">
        <is>
          <t>9999</t>
        </is>
      </c>
      <c r="B657" s="14" t="inlineStr">
        <is>
          <t>Sundries</t>
        </is>
      </c>
      <c r="C657" s="13" t="inlineStr">
        <is>
          <t>L.S.</t>
        </is>
      </c>
      <c r="D657" s="15" t="n">
        <v>2.73</v>
      </c>
      <c r="E657" s="16" t="n">
        <v>2</v>
      </c>
      <c r="F657" s="16">
        <f>D657*E657</f>
        <v/>
      </c>
    </row>
    <row r="658">
      <c r="A658" s="13" t="inlineStr">
        <is>
          <t>0123</t>
        </is>
      </c>
      <c r="B658" s="14" t="inlineStr">
        <is>
          <t>Mason (brick layer) 1st class</t>
        </is>
      </c>
      <c r="C658" s="13" t="inlineStr">
        <is>
          <t>day</t>
        </is>
      </c>
      <c r="D658" s="15" t="n">
        <v>0.47</v>
      </c>
      <c r="E658" s="16" t="n">
        <v>738</v>
      </c>
      <c r="F658" s="16">
        <f>D658*E658</f>
        <v/>
      </c>
    </row>
    <row r="659">
      <c r="A659" s="13" t="inlineStr">
        <is>
          <t>0124</t>
        </is>
      </c>
      <c r="B659" s="14" t="inlineStr">
        <is>
          <t>Mason (brick layer) 2nd class</t>
        </is>
      </c>
      <c r="C659" s="13" t="inlineStr">
        <is>
          <t>day</t>
        </is>
      </c>
      <c r="D659" s="15" t="n">
        <v>0.47</v>
      </c>
      <c r="E659" s="16" t="n">
        <v>679</v>
      </c>
      <c r="F659" s="16">
        <f>D659*E659</f>
        <v/>
      </c>
    </row>
    <row r="660">
      <c r="A660" s="13" t="inlineStr">
        <is>
          <t>0115</t>
        </is>
      </c>
      <c r="B660" s="14" t="inlineStr">
        <is>
          <t>Coolie</t>
        </is>
      </c>
      <c r="C660" s="13" t="inlineStr">
        <is>
          <t>day</t>
        </is>
      </c>
      <c r="D660" s="15" t="n">
        <v>1.8</v>
      </c>
      <c r="E660" s="16" t="n">
        <v>558</v>
      </c>
      <c r="F660" s="16">
        <f>D660*E660</f>
        <v/>
      </c>
    </row>
    <row r="661">
      <c r="A661" s="13" t="inlineStr">
        <is>
          <t>0101</t>
        </is>
      </c>
      <c r="B661" s="14" t="inlineStr">
        <is>
          <t>Bhisti</t>
        </is>
      </c>
      <c r="C661" s="13" t="inlineStr">
        <is>
          <t>day</t>
        </is>
      </c>
      <c r="D661" s="15" t="n">
        <v>0.2</v>
      </c>
      <c r="E661" s="16" t="n">
        <v>617</v>
      </c>
      <c r="F661" s="16">
        <f>D661*E661</f>
        <v/>
      </c>
    </row>
    <row r="662">
      <c r="A662" s="13" t="inlineStr">
        <is>
          <t>9999</t>
        </is>
      </c>
      <c r="B662" s="14" t="inlineStr">
        <is>
          <t>Scaffolding</t>
        </is>
      </c>
      <c r="C662" s="13" t="inlineStr">
        <is>
          <t>L.S.</t>
        </is>
      </c>
      <c r="D662" s="15" t="n">
        <v>22.36</v>
      </c>
      <c r="E662" s="16" t="n">
        <v>2</v>
      </c>
      <c r="F662" s="16">
        <f>D662*E662</f>
        <v/>
      </c>
    </row>
    <row r="663">
      <c r="A663" s="13" t="inlineStr">
        <is>
          <t>0115</t>
        </is>
      </c>
      <c r="B663" s="14" t="inlineStr">
        <is>
          <t>Coolie</t>
        </is>
      </c>
      <c r="C663" s="13" t="inlineStr">
        <is>
          <t>day</t>
        </is>
      </c>
      <c r="D663" s="15" t="n">
        <v>1.13</v>
      </c>
      <c r="E663" s="16" t="n">
        <v>558</v>
      </c>
      <c r="F663" s="16">
        <f>D663*E663</f>
        <v/>
      </c>
    </row>
    <row r="664">
      <c r="A664" s="17" t="inlineStr">
        <is>
          <t>Resource Total (Material + Labour + Machinery, as printed)</t>
        </is>
      </c>
      <c r="B664" s="18" t="n"/>
      <c r="C664" s="18" t="n"/>
      <c r="D664" s="18" t="n"/>
      <c r="E664" s="18" t="n"/>
      <c r="F664" s="19">
        <f>SUM(F654:F663)</f>
        <v/>
      </c>
    </row>
    <row r="665">
      <c r="A665" s="20" t="inlineStr">
        <is>
          <t>SAY (Rs.) — final DAR rate</t>
        </is>
      </c>
      <c r="B665" s="21" t="n"/>
      <c r="C665" s="21" t="n"/>
      <c r="D665" s="21" t="n"/>
      <c r="E665" s="21" t="n"/>
      <c r="F665" s="22" t="n">
        <v>7280.7</v>
      </c>
    </row>
    <row r="667" ht="18" customHeight="1">
      <c r="A667" s="9" t="inlineStr">
        <is>
          <t>6.35.1</t>
        </is>
      </c>
      <c r="B667" s="10" t="inlineStr">
        <is>
          <t>Cement mortar 1:4 (1 cement : 4 coarse sand)</t>
        </is>
      </c>
      <c r="C667" s="11" t="n"/>
      <c r="D667" s="11" t="n"/>
      <c r="E667" s="11" t="n"/>
      <c r="F667" s="11" t="n"/>
    </row>
    <row r="668">
      <c r="A668" s="12" t="inlineStr">
        <is>
          <t>Rate basis: per cum  (source: cost for 1 cum)</t>
        </is>
      </c>
    </row>
    <row r="669">
      <c r="A669" s="5" t="inlineStr">
        <is>
          <t>Code</t>
        </is>
      </c>
      <c r="B669" s="5" t="inlineStr">
        <is>
          <t>Description</t>
        </is>
      </c>
      <c r="C669" s="5" t="inlineStr">
        <is>
          <t>Unit</t>
        </is>
      </c>
      <c r="D669" s="5" t="inlineStr">
        <is>
          <t>Quantity</t>
        </is>
      </c>
      <c r="E669" s="5" t="inlineStr">
        <is>
          <t>Rate (Rs.)</t>
        </is>
      </c>
      <c r="F669" s="5" t="inlineStr">
        <is>
          <t>Amount (Rs.)</t>
        </is>
      </c>
    </row>
    <row r="670">
      <c r="A670" s="13" t="inlineStr">
        <is>
          <t>3.9</t>
        </is>
      </c>
      <c r="B670" s="14" t="inlineStr">
        <is>
          <t>Rate as per SH: 3.9</t>
        </is>
      </c>
      <c r="C670" s="13" t="inlineStr">
        <is>
          <t>cum</t>
        </is>
      </c>
      <c r="D670" s="15" t="n">
        <v>0.22</v>
      </c>
      <c r="E670" s="16" t="n">
        <v>4010.35</v>
      </c>
      <c r="F670" s="16">
        <f>D670*E670</f>
        <v/>
      </c>
    </row>
    <row r="671">
      <c r="A671" s="13" t="inlineStr">
        <is>
          <t>1989</t>
        </is>
      </c>
      <c r="B671" s="14" t="inlineStr">
        <is>
          <t>1000</t>
        </is>
      </c>
      <c r="C671" s="13" t="inlineStr">
        <is>
          <t>Nos</t>
        </is>
      </c>
      <c r="D671" s="15" t="n">
        <v>0.487</v>
      </c>
      <c r="E671" s="16" t="n">
        <v>5400</v>
      </c>
      <c r="F671" s="16">
        <f>D671*E671</f>
        <v/>
      </c>
    </row>
    <row r="672">
      <c r="A672" s="13" t="inlineStr">
        <is>
          <t>2201</t>
        </is>
      </c>
      <c r="B672" s="14" t="inlineStr">
        <is>
          <t>Carriage of Bricks</t>
        </is>
      </c>
      <c r="C672" s="13" t="inlineStr">
        <is>
          <t>1000 Nos</t>
        </is>
      </c>
      <c r="D672" s="15" t="n">
        <v>0.487</v>
      </c>
      <c r="E672" s="16" t="n">
        <v>276.72</v>
      </c>
      <c r="F672" s="16">
        <f>D672*E672</f>
        <v/>
      </c>
    </row>
    <row r="673">
      <c r="A673" s="13" t="inlineStr">
        <is>
          <t>9999</t>
        </is>
      </c>
      <c r="B673" s="14" t="inlineStr">
        <is>
          <t>Sundries</t>
        </is>
      </c>
      <c r="C673" s="13" t="inlineStr">
        <is>
          <t>L.S.</t>
        </is>
      </c>
      <c r="D673" s="15" t="n">
        <v>2.73</v>
      </c>
      <c r="E673" s="16" t="n">
        <v>2</v>
      </c>
      <c r="F673" s="16">
        <f>D673*E673</f>
        <v/>
      </c>
    </row>
    <row r="674">
      <c r="A674" s="13" t="inlineStr">
        <is>
          <t>0123</t>
        </is>
      </c>
      <c r="B674" s="14" t="inlineStr">
        <is>
          <t>Mason (brick layer) 1st class</t>
        </is>
      </c>
      <c r="C674" s="13" t="inlineStr">
        <is>
          <t>day</t>
        </is>
      </c>
      <c r="D674" s="15" t="n">
        <v>0.47</v>
      </c>
      <c r="E674" s="16" t="n">
        <v>738</v>
      </c>
      <c r="F674" s="16">
        <f>D674*E674</f>
        <v/>
      </c>
    </row>
    <row r="675">
      <c r="A675" s="13" t="inlineStr">
        <is>
          <t>0124</t>
        </is>
      </c>
      <c r="B675" s="14" t="inlineStr">
        <is>
          <t>Mason (brick layer) 2nd class</t>
        </is>
      </c>
      <c r="C675" s="13" t="inlineStr">
        <is>
          <t>day</t>
        </is>
      </c>
      <c r="D675" s="15" t="n">
        <v>0.47</v>
      </c>
      <c r="E675" s="16" t="n">
        <v>679</v>
      </c>
      <c r="F675" s="16">
        <f>D675*E675</f>
        <v/>
      </c>
    </row>
    <row r="676">
      <c r="A676" s="13" t="inlineStr">
        <is>
          <t>0115</t>
        </is>
      </c>
      <c r="B676" s="14" t="inlineStr">
        <is>
          <t>Coolie</t>
        </is>
      </c>
      <c r="C676" s="13" t="inlineStr">
        <is>
          <t>day</t>
        </is>
      </c>
      <c r="D676" s="15" t="n">
        <v>1.8</v>
      </c>
      <c r="E676" s="16" t="n">
        <v>558</v>
      </c>
      <c r="F676" s="16">
        <f>D676*E676</f>
        <v/>
      </c>
    </row>
    <row r="677">
      <c r="A677" s="13" t="inlineStr">
        <is>
          <t>0101</t>
        </is>
      </c>
      <c r="B677" s="14" t="inlineStr">
        <is>
          <t>Bhisti</t>
        </is>
      </c>
      <c r="C677" s="13" t="inlineStr">
        <is>
          <t>day</t>
        </is>
      </c>
      <c r="D677" s="15" t="n">
        <v>0.2</v>
      </c>
      <c r="E677" s="16" t="n">
        <v>617</v>
      </c>
      <c r="F677" s="16">
        <f>D677*E677</f>
        <v/>
      </c>
    </row>
    <row r="678">
      <c r="A678" s="13" t="inlineStr">
        <is>
          <t>9999</t>
        </is>
      </c>
      <c r="B678" s="14" t="inlineStr">
        <is>
          <t>Scaffolding</t>
        </is>
      </c>
      <c r="C678" s="13" t="inlineStr">
        <is>
          <t>L.S.</t>
        </is>
      </c>
      <c r="D678" s="15" t="n">
        <v>22.36</v>
      </c>
      <c r="E678" s="16" t="n">
        <v>2</v>
      </c>
      <c r="F678" s="16">
        <f>D678*E678</f>
        <v/>
      </c>
    </row>
    <row r="679">
      <c r="A679" s="13" t="inlineStr">
        <is>
          <t>0115</t>
        </is>
      </c>
      <c r="B679" s="14" t="inlineStr">
        <is>
          <t>Coolie</t>
        </is>
      </c>
      <c r="C679" s="13" t="inlineStr">
        <is>
          <t>day</t>
        </is>
      </c>
      <c r="D679" s="15" t="n">
        <v>1.13</v>
      </c>
      <c r="E679" s="16" t="n">
        <v>558</v>
      </c>
      <c r="F679" s="16">
        <f>D679*E679</f>
        <v/>
      </c>
    </row>
    <row r="680">
      <c r="A680" s="17" t="inlineStr">
        <is>
          <t>Resource Total (Material + Labour + Machinery, as printed)</t>
        </is>
      </c>
      <c r="B680" s="18" t="n"/>
      <c r="C680" s="18" t="n"/>
      <c r="D680" s="18" t="n"/>
      <c r="E680" s="18" t="n"/>
      <c r="F680" s="19">
        <f>SUM(F670:F679)</f>
        <v/>
      </c>
    </row>
    <row r="681">
      <c r="A681" s="20" t="inlineStr">
        <is>
          <t>SAY (Rs.) — final DAR rate</t>
        </is>
      </c>
      <c r="B681" s="21" t="n"/>
      <c r="C681" s="21" t="n"/>
      <c r="D681" s="21" t="n"/>
      <c r="E681" s="21" t="n"/>
      <c r="F681" s="22" t="n">
        <v>8190</v>
      </c>
    </row>
    <row r="683" ht="18" customHeight="1">
      <c r="A683" s="9" t="inlineStr">
        <is>
          <t>6.35.2</t>
        </is>
      </c>
      <c r="B683" s="10" t="inlineStr">
        <is>
          <t>Cement mortar 1:6 (1 cement : 6 Coarse sand)</t>
        </is>
      </c>
      <c r="C683" s="11" t="n"/>
      <c r="D683" s="11" t="n"/>
      <c r="E683" s="11" t="n"/>
      <c r="F683" s="11" t="n"/>
    </row>
    <row r="684">
      <c r="A684" s="12" t="inlineStr">
        <is>
          <t>Rate basis: per cum  (source: cost for 1 cum)</t>
        </is>
      </c>
    </row>
    <row r="685">
      <c r="A685" s="5" t="inlineStr">
        <is>
          <t>Code</t>
        </is>
      </c>
      <c r="B685" s="5" t="inlineStr">
        <is>
          <t>Description</t>
        </is>
      </c>
      <c r="C685" s="5" t="inlineStr">
        <is>
          <t>Unit</t>
        </is>
      </c>
      <c r="D685" s="5" t="inlineStr">
        <is>
          <t>Quantity</t>
        </is>
      </c>
      <c r="E685" s="5" t="inlineStr">
        <is>
          <t>Rate (Rs.)</t>
        </is>
      </c>
      <c r="F685" s="5" t="inlineStr">
        <is>
          <t>Amount (Rs.)</t>
        </is>
      </c>
    </row>
    <row r="686">
      <c r="A686" s="13" t="inlineStr">
        <is>
          <t>3.11</t>
        </is>
      </c>
      <c r="B686" s="14" t="inlineStr">
        <is>
          <t>Rate as per SH: 3.11</t>
        </is>
      </c>
      <c r="C686" s="13" t="inlineStr">
        <is>
          <t>cum</t>
        </is>
      </c>
      <c r="D686" s="15" t="n">
        <v>0.22</v>
      </c>
      <c r="E686" s="16" t="n">
        <v>3356.15</v>
      </c>
      <c r="F686" s="16">
        <f>D686*E686</f>
        <v/>
      </c>
    </row>
    <row r="687">
      <c r="A687" s="13" t="inlineStr">
        <is>
          <t>7738</t>
        </is>
      </c>
      <c r="B687" s="14" t="inlineStr">
        <is>
          <t>Calcium Silicate Bricks machine moulded confirming to I.S. 4139 - 1989</t>
        </is>
      </c>
      <c r="C687" s="13" t="inlineStr">
        <is>
          <t>1000 Nos</t>
        </is>
      </c>
      <c r="D687" s="15" t="n">
        <v>0.487</v>
      </c>
      <c r="E687" s="16" t="n">
        <v>5400</v>
      </c>
      <c r="F687" s="16">
        <f>D687*E687</f>
        <v/>
      </c>
    </row>
    <row r="688">
      <c r="A688" s="13" t="inlineStr">
        <is>
          <t>2201</t>
        </is>
      </c>
      <c r="B688" s="14" t="inlineStr">
        <is>
          <t>Carriage of Bricks</t>
        </is>
      </c>
      <c r="C688" s="13" t="inlineStr">
        <is>
          <t>1000 Nos</t>
        </is>
      </c>
      <c r="D688" s="15" t="n">
        <v>0.487</v>
      </c>
      <c r="E688" s="16" t="n">
        <v>276.72</v>
      </c>
      <c r="F688" s="16">
        <f>D688*E688</f>
        <v/>
      </c>
    </row>
    <row r="689">
      <c r="A689" s="13" t="inlineStr">
        <is>
          <t>9999</t>
        </is>
      </c>
      <c r="B689" s="14" t="inlineStr">
        <is>
          <t>Sundries</t>
        </is>
      </c>
      <c r="C689" s="13" t="inlineStr">
        <is>
          <t>L.S.</t>
        </is>
      </c>
      <c r="D689" s="15" t="n">
        <v>2.73</v>
      </c>
      <c r="E689" s="16" t="n">
        <v>2</v>
      </c>
      <c r="F689" s="16">
        <f>D689*E689</f>
        <v/>
      </c>
    </row>
    <row r="690">
      <c r="A690" s="13" t="inlineStr">
        <is>
          <t>0123</t>
        </is>
      </c>
      <c r="B690" s="14" t="inlineStr">
        <is>
          <t>Mason (brick layer) 1st class</t>
        </is>
      </c>
      <c r="C690" s="13" t="inlineStr">
        <is>
          <t>day</t>
        </is>
      </c>
      <c r="D690" s="15" t="n">
        <v>0.47</v>
      </c>
      <c r="E690" s="16" t="n">
        <v>738</v>
      </c>
      <c r="F690" s="16">
        <f>D690*E690</f>
        <v/>
      </c>
    </row>
    <row r="691">
      <c r="A691" s="13" t="inlineStr">
        <is>
          <t>0124</t>
        </is>
      </c>
      <c r="B691" s="14" t="inlineStr">
        <is>
          <t>Mason (brick layer) 2nd class</t>
        </is>
      </c>
      <c r="C691" s="13" t="inlineStr">
        <is>
          <t>day</t>
        </is>
      </c>
      <c r="D691" s="15" t="n">
        <v>0.47</v>
      </c>
      <c r="E691" s="16" t="n">
        <v>679</v>
      </c>
      <c r="F691" s="16">
        <f>D691*E691</f>
        <v/>
      </c>
    </row>
    <row r="692">
      <c r="A692" s="13" t="inlineStr">
        <is>
          <t>0115</t>
        </is>
      </c>
      <c r="B692" s="14" t="inlineStr">
        <is>
          <t>Coolie</t>
        </is>
      </c>
      <c r="C692" s="13" t="inlineStr">
        <is>
          <t>day</t>
        </is>
      </c>
      <c r="D692" s="15" t="n">
        <v>1.8</v>
      </c>
      <c r="E692" s="16" t="n">
        <v>558</v>
      </c>
      <c r="F692" s="16">
        <f>D692*E692</f>
        <v/>
      </c>
    </row>
    <row r="693">
      <c r="A693" s="13" t="inlineStr">
        <is>
          <t>0101</t>
        </is>
      </c>
      <c r="B693" s="14" t="inlineStr">
        <is>
          <t>Bhisti</t>
        </is>
      </c>
      <c r="C693" s="13" t="inlineStr">
        <is>
          <t>day</t>
        </is>
      </c>
      <c r="D693" s="15" t="n">
        <v>0.2</v>
      </c>
      <c r="E693" s="16" t="n">
        <v>617</v>
      </c>
      <c r="F693" s="16">
        <f>D693*E693</f>
        <v/>
      </c>
    </row>
    <row r="694">
      <c r="A694" s="13" t="inlineStr">
        <is>
          <t>9999</t>
        </is>
      </c>
      <c r="B694" s="14" t="inlineStr">
        <is>
          <t>Scaffolding</t>
        </is>
      </c>
      <c r="C694" s="13" t="inlineStr">
        <is>
          <t>L.S.</t>
        </is>
      </c>
      <c r="D694" s="15" t="n">
        <v>22.36</v>
      </c>
      <c r="E694" s="16" t="n">
        <v>2</v>
      </c>
      <c r="F694" s="16">
        <f>D694*E694</f>
        <v/>
      </c>
    </row>
    <row r="695">
      <c r="A695" s="13" t="inlineStr">
        <is>
          <t>0115</t>
        </is>
      </c>
      <c r="B695" s="14" t="inlineStr">
        <is>
          <t>Coolie</t>
        </is>
      </c>
      <c r="C695" s="13" t="inlineStr">
        <is>
          <t>day</t>
        </is>
      </c>
      <c r="D695" s="15" t="n">
        <v>1.13</v>
      </c>
      <c r="E695" s="16" t="n">
        <v>558</v>
      </c>
      <c r="F695" s="16">
        <f>D695*E695</f>
        <v/>
      </c>
    </row>
    <row r="696">
      <c r="A696" s="17" t="inlineStr">
        <is>
          <t>Resource Total (Material + Labour + Machinery, as printed)</t>
        </is>
      </c>
      <c r="B696" s="18" t="n"/>
      <c r="C696" s="18" t="n"/>
      <c r="D696" s="18" t="n"/>
      <c r="E696" s="18" t="n"/>
      <c r="F696" s="19">
        <f>SUM(F686:F695)</f>
        <v/>
      </c>
    </row>
    <row r="697">
      <c r="A697" s="20" t="inlineStr">
        <is>
          <t>SAY (Rs.) — final DAR rate</t>
        </is>
      </c>
      <c r="B697" s="21" t="n"/>
      <c r="C697" s="21" t="n"/>
      <c r="D697" s="21" t="n"/>
      <c r="E697" s="21" t="n"/>
      <c r="F697" s="22" t="n">
        <v>7997.4</v>
      </c>
    </row>
    <row r="699" ht="18" customHeight="1">
      <c r="A699" s="9" t="inlineStr">
        <is>
          <t>6.36.1</t>
        </is>
      </c>
      <c r="B699" s="10" t="inlineStr">
        <is>
          <t>Cement Mortar 1:4 ( 1 cement : 4 coarse sand)</t>
        </is>
      </c>
      <c r="C699" s="11" t="n"/>
      <c r="D699" s="11" t="n"/>
      <c r="E699" s="11" t="n"/>
      <c r="F699" s="11" t="n"/>
    </row>
    <row r="700">
      <c r="A700" s="12" t="inlineStr">
        <is>
          <t>Rate basis: per cum  (source: cost for 1 cum)</t>
        </is>
      </c>
    </row>
    <row r="701">
      <c r="A701" s="5" t="inlineStr">
        <is>
          <t>Code</t>
        </is>
      </c>
      <c r="B701" s="5" t="inlineStr">
        <is>
          <t>Description</t>
        </is>
      </c>
      <c r="C701" s="5" t="inlineStr">
        <is>
          <t>Unit</t>
        </is>
      </c>
      <c r="D701" s="5" t="inlineStr">
        <is>
          <t>Quantity</t>
        </is>
      </c>
      <c r="E701" s="5" t="inlineStr">
        <is>
          <t>Rate (Rs.)</t>
        </is>
      </c>
      <c r="F701" s="5" t="inlineStr">
        <is>
          <t>Amount (Rs.)</t>
        </is>
      </c>
    </row>
    <row r="702">
      <c r="A702" s="13" t="inlineStr">
        <is>
          <t>3.9</t>
        </is>
      </c>
      <c r="B702" s="14" t="inlineStr">
        <is>
          <t>Rate as per SH: 3.9</t>
        </is>
      </c>
      <c r="C702" s="13" t="inlineStr">
        <is>
          <t>cum</t>
        </is>
      </c>
      <c r="D702" s="15" t="n">
        <v>0.22</v>
      </c>
      <c r="E702" s="16" t="n">
        <v>4010.35</v>
      </c>
      <c r="F702" s="16">
        <f>D702*E702</f>
        <v/>
      </c>
    </row>
    <row r="703">
      <c r="A703" s="13" t="inlineStr">
        <is>
          <t>7736</t>
        </is>
      </c>
      <c r="B703" s="14" t="inlineStr">
        <is>
          <t>Extruded burnt flyash clay sewer bricks conforming to I.S 4885 - 1988</t>
        </is>
      </c>
      <c r="C703" s="13" t="inlineStr">
        <is>
          <t>1000 Nos</t>
        </is>
      </c>
      <c r="D703" s="15" t="n">
        <v>0.487</v>
      </c>
      <c r="E703" s="16" t="n">
        <v>5400</v>
      </c>
      <c r="F703" s="16">
        <f>D703*E703</f>
        <v/>
      </c>
    </row>
    <row r="704">
      <c r="A704" s="13" t="inlineStr">
        <is>
          <t>2201</t>
        </is>
      </c>
      <c r="B704" s="14" t="inlineStr">
        <is>
          <t>Carriage of Bricks</t>
        </is>
      </c>
      <c r="C704" s="13" t="inlineStr">
        <is>
          <t>1000 Nos</t>
        </is>
      </c>
      <c r="D704" s="15" t="n">
        <v>0.487</v>
      </c>
      <c r="E704" s="16" t="n">
        <v>276.72</v>
      </c>
      <c r="F704" s="16">
        <f>D704*E704</f>
        <v/>
      </c>
    </row>
    <row r="705">
      <c r="A705" s="13" t="inlineStr">
        <is>
          <t>9999</t>
        </is>
      </c>
      <c r="B705" s="14" t="inlineStr">
        <is>
          <t>Sundries</t>
        </is>
      </c>
      <c r="C705" s="13" t="inlineStr">
        <is>
          <t>L.S.</t>
        </is>
      </c>
      <c r="D705" s="15" t="n">
        <v>2.73</v>
      </c>
      <c r="E705" s="16" t="n">
        <v>2</v>
      </c>
      <c r="F705" s="16">
        <f>D705*E705</f>
        <v/>
      </c>
    </row>
    <row r="706">
      <c r="A706" s="13" t="inlineStr">
        <is>
          <t>0123</t>
        </is>
      </c>
      <c r="B706" s="14" t="inlineStr">
        <is>
          <t>Mason (brick layer) 1st class</t>
        </is>
      </c>
      <c r="C706" s="13" t="inlineStr">
        <is>
          <t>day</t>
        </is>
      </c>
      <c r="D706" s="15" t="n">
        <v>0.33</v>
      </c>
      <c r="E706" s="16" t="n">
        <v>738</v>
      </c>
      <c r="F706" s="16">
        <f>D706*E706</f>
        <v/>
      </c>
    </row>
    <row r="707">
      <c r="A707" s="13" t="inlineStr">
        <is>
          <t>0124</t>
        </is>
      </c>
      <c r="B707" s="14" t="inlineStr">
        <is>
          <t>Mason (brick layer) 2nd class</t>
        </is>
      </c>
      <c r="C707" s="13" t="inlineStr">
        <is>
          <t>day</t>
        </is>
      </c>
      <c r="D707" s="15" t="n">
        <v>0.33</v>
      </c>
      <c r="E707" s="16" t="n">
        <v>679</v>
      </c>
      <c r="F707" s="16">
        <f>D707*E707</f>
        <v/>
      </c>
    </row>
    <row r="708">
      <c r="A708" s="13" t="inlineStr">
        <is>
          <t>0115</t>
        </is>
      </c>
      <c r="B708" s="14" t="inlineStr">
        <is>
          <t>Coolie</t>
        </is>
      </c>
      <c r="C708" s="13" t="inlineStr">
        <is>
          <t>day</t>
        </is>
      </c>
      <c r="D708" s="15" t="n">
        <v>1</v>
      </c>
      <c r="E708" s="16" t="n">
        <v>558</v>
      </c>
      <c r="F708" s="16">
        <f>D708*E708</f>
        <v/>
      </c>
    </row>
    <row r="709">
      <c r="A709" s="13" t="inlineStr">
        <is>
          <t>0101</t>
        </is>
      </c>
      <c r="B709" s="14" t="inlineStr">
        <is>
          <t>Bhisti</t>
        </is>
      </c>
      <c r="C709" s="13" t="inlineStr">
        <is>
          <t>day</t>
        </is>
      </c>
      <c r="D709" s="15" t="n">
        <v>0.18</v>
      </c>
      <c r="E709" s="16" t="n">
        <v>617</v>
      </c>
      <c r="F709" s="16">
        <f>D709*E709</f>
        <v/>
      </c>
    </row>
    <row r="710">
      <c r="A710" s="17" t="inlineStr">
        <is>
          <t>Resource Total (Material + Labour + Machinery, as printed)</t>
        </is>
      </c>
      <c r="B710" s="18" t="n"/>
      <c r="C710" s="18" t="n"/>
      <c r="D710" s="18" t="n"/>
      <c r="E710" s="18" t="n"/>
      <c r="F710" s="19">
        <f>SUM(F702:F709)</f>
        <v/>
      </c>
    </row>
    <row r="711">
      <c r="A711" s="20" t="inlineStr">
        <is>
          <t>SAY (Rs.) — final DAR rate</t>
        </is>
      </c>
      <c r="B711" s="21" t="n"/>
      <c r="C711" s="21" t="n"/>
      <c r="D711" s="21" t="n"/>
      <c r="E711" s="21" t="n"/>
      <c r="F711" s="22" t="n">
        <v>6407.35</v>
      </c>
    </row>
    <row r="713" ht="28" customHeight="1">
      <c r="A713" s="9" t="inlineStr">
        <is>
          <t>6.37</t>
        </is>
      </c>
      <c r="B713" s="10" t="inlineStr">
        <is>
          <t>Brick work with modular extruded brunt fly ash clay sewer bricks (conforming to IS : 4885) in arches in foundation and plinth in cement mort</t>
        </is>
      </c>
      <c r="C713" s="11" t="n"/>
      <c r="D713" s="11" t="n"/>
      <c r="E713" s="11" t="n"/>
      <c r="F713" s="11" t="n"/>
    </row>
    <row r="714">
      <c r="A714" s="12" t="inlineStr">
        <is>
          <t>Rate basis: per cum  (source: cost for 1 cum)</t>
        </is>
      </c>
    </row>
    <row r="715">
      <c r="A715" s="5" t="inlineStr">
        <is>
          <t>Code</t>
        </is>
      </c>
      <c r="B715" s="5" t="inlineStr">
        <is>
          <t>Description</t>
        </is>
      </c>
      <c r="C715" s="5" t="inlineStr">
        <is>
          <t>Unit</t>
        </is>
      </c>
      <c r="D715" s="5" t="inlineStr">
        <is>
          <t>Quantity</t>
        </is>
      </c>
      <c r="E715" s="5" t="inlineStr">
        <is>
          <t>Rate (Rs.)</t>
        </is>
      </c>
      <c r="F715" s="5" t="inlineStr">
        <is>
          <t>Amount (Rs.)</t>
        </is>
      </c>
    </row>
    <row r="716">
      <c r="A716" s="13" t="inlineStr">
        <is>
          <t>3.3</t>
        </is>
      </c>
      <c r="B716" s="14" t="inlineStr">
        <is>
          <t>Rate as per SH: 3.3</t>
        </is>
      </c>
      <c r="C716" s="13" t="inlineStr">
        <is>
          <t>cum</t>
        </is>
      </c>
      <c r="D716" s="15" t="n">
        <v>0.25</v>
      </c>
      <c r="E716" s="16" t="n">
        <v>4183.05</v>
      </c>
      <c r="F716" s="16">
        <f>D716*E716</f>
        <v/>
      </c>
    </row>
    <row r="717">
      <c r="A717" s="13" t="inlineStr">
        <is>
          <t>5.9.9</t>
        </is>
      </c>
      <c r="B717" s="14" t="inlineStr">
        <is>
          <t>Rate as per SH: 5.9.9</t>
        </is>
      </c>
      <c r="C717" s="13" t="inlineStr">
        <is>
          <t>sqm</t>
        </is>
      </c>
      <c r="D717" s="15" t="n">
        <v>2.25</v>
      </c>
      <c r="E717" s="16" t="n">
        <v>1713.2</v>
      </c>
      <c r="F717" s="16">
        <f>D717*E717</f>
        <v/>
      </c>
    </row>
    <row r="718">
      <c r="A718" s="13" t="inlineStr">
        <is>
          <t>7736</t>
        </is>
      </c>
      <c r="B718" s="14" t="inlineStr">
        <is>
          <t>Extruded burnt flyash clay sewer bricks conforming to I.S 4885 - 1988</t>
        </is>
      </c>
      <c r="C718" s="13" t="inlineStr">
        <is>
          <t>1000 Nos</t>
        </is>
      </c>
      <c r="D718" s="15" t="n">
        <v>0.487</v>
      </c>
      <c r="E718" s="16" t="n">
        <v>5400</v>
      </c>
      <c r="F718" s="16">
        <f>D718*E718</f>
        <v/>
      </c>
    </row>
    <row r="719">
      <c r="A719" s="13" t="inlineStr">
        <is>
          <t>2201</t>
        </is>
      </c>
      <c r="B719" s="14" t="inlineStr">
        <is>
          <t>Carriage of Bricks</t>
        </is>
      </c>
      <c r="C719" s="13" t="inlineStr">
        <is>
          <t>1000 Nos</t>
        </is>
      </c>
      <c r="D719" s="15" t="n">
        <v>0.487</v>
      </c>
      <c r="E719" s="16" t="n">
        <v>276.72</v>
      </c>
      <c r="F719" s="16">
        <f>D719*E719</f>
        <v/>
      </c>
    </row>
    <row r="720">
      <c r="A720" s="13" t="inlineStr">
        <is>
          <t>9999</t>
        </is>
      </c>
      <c r="B720" s="14" t="inlineStr">
        <is>
          <t>Sundries</t>
        </is>
      </c>
      <c r="C720" s="13" t="inlineStr">
        <is>
          <t>L.S.</t>
        </is>
      </c>
      <c r="D720" s="15" t="n">
        <v>2.73</v>
      </c>
      <c r="E720" s="16" t="n">
        <v>2</v>
      </c>
      <c r="F720" s="16">
        <f>D720*E720</f>
        <v/>
      </c>
    </row>
    <row r="721">
      <c r="A721" s="13" t="inlineStr">
        <is>
          <t>0123</t>
        </is>
      </c>
      <c r="B721" s="14" t="inlineStr">
        <is>
          <t>Mason (brick layer) 1st class</t>
        </is>
      </c>
      <c r="C721" s="13" t="inlineStr">
        <is>
          <t>day</t>
        </is>
      </c>
      <c r="D721" s="15" t="n">
        <v>0.42</v>
      </c>
      <c r="E721" s="16" t="n">
        <v>738</v>
      </c>
      <c r="F721" s="16">
        <f>D721*E721</f>
        <v/>
      </c>
    </row>
    <row r="722">
      <c r="A722" s="13" t="inlineStr">
        <is>
          <t>0124</t>
        </is>
      </c>
      <c r="B722" s="14" t="inlineStr">
        <is>
          <t>Mason (brick layer) 2nd class</t>
        </is>
      </c>
      <c r="C722" s="13" t="inlineStr">
        <is>
          <t>day</t>
        </is>
      </c>
      <c r="D722" s="15" t="n">
        <v>0.42</v>
      </c>
      <c r="E722" s="16" t="n">
        <v>679</v>
      </c>
      <c r="F722" s="16">
        <f>D722*E722</f>
        <v/>
      </c>
    </row>
    <row r="723">
      <c r="A723" s="13" t="inlineStr">
        <is>
          <t>0115</t>
        </is>
      </c>
      <c r="B723" s="14" t="inlineStr">
        <is>
          <t>Coolie</t>
        </is>
      </c>
      <c r="C723" s="13" t="inlineStr">
        <is>
          <t>day</t>
        </is>
      </c>
      <c r="D723" s="15" t="n">
        <v>1.86</v>
      </c>
      <c r="E723" s="16" t="n">
        <v>558</v>
      </c>
      <c r="F723" s="16">
        <f>D723*E723</f>
        <v/>
      </c>
    </row>
    <row r="724">
      <c r="A724" s="13" t="inlineStr">
        <is>
          <t>0101</t>
        </is>
      </c>
      <c r="B724" s="14" t="inlineStr">
        <is>
          <t>Bhisti</t>
        </is>
      </c>
      <c r="C724" s="13" t="inlineStr">
        <is>
          <t>day</t>
        </is>
      </c>
      <c r="D724" s="15" t="n">
        <v>0.2</v>
      </c>
      <c r="E724" s="16" t="n">
        <v>617</v>
      </c>
      <c r="F724" s="16">
        <f>D724*E724</f>
        <v/>
      </c>
    </row>
    <row r="725">
      <c r="A725" s="17" t="inlineStr">
        <is>
          <t>Resource Total (Material + Labour + Machinery, as printed)</t>
        </is>
      </c>
      <c r="B725" s="18" t="n"/>
      <c r="C725" s="18" t="n"/>
      <c r="D725" s="18" t="n"/>
      <c r="E725" s="18" t="n"/>
      <c r="F725" s="19">
        <f>SUM(F716:F724)</f>
        <v/>
      </c>
    </row>
    <row r="726">
      <c r="A726" s="20" t="inlineStr">
        <is>
          <t>SAY (Rs.) — final DAR rate</t>
        </is>
      </c>
      <c r="B726" s="21" t="n"/>
      <c r="C726" s="21" t="n"/>
      <c r="D726" s="21" t="n"/>
      <c r="E726" s="21" t="n"/>
      <c r="F726" s="22" t="n">
        <v>11309.95</v>
      </c>
    </row>
    <row r="728" ht="28" customHeight="1">
      <c r="A728" s="9" t="inlineStr">
        <is>
          <t>6.38</t>
        </is>
      </c>
      <c r="B728" s="10" t="inlineStr">
        <is>
          <t>Providing and laying autoclaved aerated cement blocks masonry with 100 mm thick AAC blocks in super structure above plinth level up to floor</t>
        </is>
      </c>
      <c r="C728" s="11" t="n"/>
      <c r="D728" s="11" t="n"/>
      <c r="E728" s="11" t="n"/>
      <c r="F728" s="11" t="n"/>
    </row>
    <row r="729">
      <c r="A729" s="12" t="inlineStr">
        <is>
          <t>Rate basis: per cum  (source: cost for 1 cum)</t>
        </is>
      </c>
    </row>
    <row r="730">
      <c r="A730" s="5" t="inlineStr">
        <is>
          <t>Code</t>
        </is>
      </c>
      <c r="B730" s="5" t="inlineStr">
        <is>
          <t>Description</t>
        </is>
      </c>
      <c r="C730" s="5" t="inlineStr">
        <is>
          <t>Unit</t>
        </is>
      </c>
      <c r="D730" s="5" t="inlineStr">
        <is>
          <t>Quantity</t>
        </is>
      </c>
      <c r="E730" s="5" t="inlineStr">
        <is>
          <t>Rate (Rs.)</t>
        </is>
      </c>
      <c r="F730" s="5" t="inlineStr">
        <is>
          <t>Amount (Rs.)</t>
        </is>
      </c>
    </row>
    <row r="731">
      <c r="A731" s="13" t="inlineStr">
        <is>
          <t>3.9</t>
        </is>
      </c>
      <c r="B731" s="14" t="inlineStr">
        <is>
          <t>Rate as per SH: 3.9</t>
        </is>
      </c>
      <c r="C731" s="13" t="inlineStr">
        <is>
          <t>cum</t>
        </is>
      </c>
      <c r="D731" s="15" t="n">
        <v>0.15</v>
      </c>
      <c r="E731" s="16" t="n">
        <v>4010.35</v>
      </c>
      <c r="F731" s="16">
        <f>D731*E731</f>
        <v/>
      </c>
    </row>
    <row r="732">
      <c r="A732" s="13" t="inlineStr">
        <is>
          <t>5.22.1</t>
        </is>
      </c>
      <c r="B732" s="14" t="inlineStr">
        <is>
          <t>Rate as per SH: 5.22.1</t>
        </is>
      </c>
      <c r="C732" s="13" t="inlineStr">
        <is>
          <t>kg</t>
        </is>
      </c>
      <c r="D732" s="15" t="n">
        <v>13.2</v>
      </c>
      <c r="E732" s="16" t="n">
        <v>82.09999999999999</v>
      </c>
      <c r="F732" s="16">
        <f>D732*E732</f>
        <v/>
      </c>
    </row>
    <row r="733">
      <c r="A733" s="13" t="inlineStr">
        <is>
          <t>8655</t>
        </is>
      </c>
      <c r="B733" s="14" t="inlineStr">
        <is>
          <t>Autoclaved aerated cement (AAC) blocks.</t>
        </is>
      </c>
      <c r="C733" s="13" t="inlineStr">
        <is>
          <t>cum</t>
        </is>
      </c>
      <c r="D733" s="15" t="n">
        <v>1</v>
      </c>
      <c r="E733" s="16" t="n">
        <v>2600</v>
      </c>
      <c r="F733" s="16">
        <f>D733*E733</f>
        <v/>
      </c>
    </row>
    <row r="734">
      <c r="A734" s="13" t="inlineStr">
        <is>
          <t>2208</t>
        </is>
      </c>
      <c r="B734" s="14" t="inlineStr">
        <is>
          <t>Carriage of Lime</t>
        </is>
      </c>
      <c r="C734" s="13" t="inlineStr">
        <is>
          <t>cum</t>
        </is>
      </c>
      <c r="D734" s="15" t="n">
        <v>1</v>
      </c>
      <c r="E734" s="16" t="n">
        <v>103.77</v>
      </c>
      <c r="F734" s="16">
        <f>D734*E734</f>
        <v/>
      </c>
    </row>
    <row r="735">
      <c r="A735" s="13" t="inlineStr">
        <is>
          <t>9999</t>
        </is>
      </c>
      <c r="B735" s="14" t="inlineStr">
        <is>
          <t>Sundries</t>
        </is>
      </c>
      <c r="C735" s="13" t="inlineStr">
        <is>
          <t>L.S.</t>
        </is>
      </c>
      <c r="D735" s="15" t="n">
        <v>2.73</v>
      </c>
      <c r="E735" s="16" t="n">
        <v>2</v>
      </c>
      <c r="F735" s="16">
        <f>D735*E735</f>
        <v/>
      </c>
    </row>
    <row r="736">
      <c r="A736" s="13" t="inlineStr">
        <is>
          <t>0123</t>
        </is>
      </c>
      <c r="B736" s="14" t="inlineStr">
        <is>
          <t>Mason (brick layer) 1st class</t>
        </is>
      </c>
      <c r="C736" s="13" t="inlineStr">
        <is>
          <t>day</t>
        </is>
      </c>
      <c r="D736" s="15" t="n">
        <v>0.36</v>
      </c>
      <c r="E736" s="16" t="n">
        <v>738</v>
      </c>
      <c r="F736" s="16">
        <f>D736*E736</f>
        <v/>
      </c>
    </row>
    <row r="737">
      <c r="A737" s="13" t="inlineStr">
        <is>
          <t>0124</t>
        </is>
      </c>
      <c r="B737" s="14" t="inlineStr">
        <is>
          <t>Mason (brick layer) 2nd class</t>
        </is>
      </c>
      <c r="C737" s="13" t="inlineStr">
        <is>
          <t>day</t>
        </is>
      </c>
      <c r="D737" s="15" t="n">
        <v>0.36</v>
      </c>
      <c r="E737" s="16" t="n">
        <v>679</v>
      </c>
      <c r="F737" s="16">
        <f>D737*E737</f>
        <v/>
      </c>
    </row>
    <row r="738">
      <c r="A738" s="13" t="inlineStr">
        <is>
          <t>0115</t>
        </is>
      </c>
      <c r="B738" s="14" t="inlineStr">
        <is>
          <t>Coolie</t>
        </is>
      </c>
      <c r="C738" s="13" t="inlineStr">
        <is>
          <t>day</t>
        </is>
      </c>
      <c r="D738" s="15" t="n">
        <v>1.37</v>
      </c>
      <c r="E738" s="16" t="n">
        <v>558</v>
      </c>
      <c r="F738" s="16">
        <f>D738*E738</f>
        <v/>
      </c>
    </row>
    <row r="739">
      <c r="A739" s="13" t="inlineStr">
        <is>
          <t>0101</t>
        </is>
      </c>
      <c r="B739" s="14" t="inlineStr">
        <is>
          <t>Bhisti</t>
        </is>
      </c>
      <c r="C739" s="13" t="inlineStr">
        <is>
          <t>day</t>
        </is>
      </c>
      <c r="D739" s="15" t="n">
        <v>0.2</v>
      </c>
      <c r="E739" s="16" t="n">
        <v>617</v>
      </c>
      <c r="F739" s="16">
        <f>D739*E739</f>
        <v/>
      </c>
    </row>
    <row r="740">
      <c r="A740" s="13" t="inlineStr">
        <is>
          <t>0115</t>
        </is>
      </c>
      <c r="B740" s="14" t="inlineStr">
        <is>
          <t>Coolie</t>
        </is>
      </c>
      <c r="C740" s="13" t="inlineStr">
        <is>
          <t>day</t>
        </is>
      </c>
      <c r="D740" s="15" t="n">
        <v>1.13</v>
      </c>
      <c r="E740" s="16" t="n">
        <v>558</v>
      </c>
      <c r="F740" s="16">
        <f>D740*E740</f>
        <v/>
      </c>
    </row>
    <row r="741">
      <c r="A741" s="17" t="inlineStr">
        <is>
          <t>Resource Total (Material + Labour + Machinery, as printed)</t>
        </is>
      </c>
      <c r="B741" s="18" t="n"/>
      <c r="C741" s="18" t="n"/>
      <c r="D741" s="18" t="n"/>
      <c r="E741" s="18" t="n"/>
      <c r="F741" s="19">
        <f>SUM(F731:F740)</f>
        <v/>
      </c>
    </row>
    <row r="742">
      <c r="A742" s="20" t="inlineStr">
        <is>
          <t>SAY (Rs.) — final DAR rate</t>
        </is>
      </c>
      <c r="B742" s="21" t="n"/>
      <c r="C742" s="21" t="n"/>
      <c r="D742" s="21" t="n"/>
      <c r="E742" s="21" t="n"/>
      <c r="F742" s="22" t="n">
        <v>8227.35</v>
      </c>
    </row>
    <row r="744" ht="28" customHeight="1">
      <c r="A744" s="9" t="inlineStr">
        <is>
          <t>6.40</t>
        </is>
      </c>
      <c r="B744" s="10" t="inlineStr">
        <is>
          <t>Providing and laying Gypsum panel partitions 100 mm thick with water proof Gypsum panels of size 666x500x100 mm, made of calcite phosphor Gy</t>
        </is>
      </c>
      <c r="C744" s="11" t="n"/>
      <c r="D744" s="11" t="n"/>
      <c r="E744" s="11" t="n"/>
      <c r="F744" s="11" t="n"/>
    </row>
    <row r="745">
      <c r="A745" s="12" t="inlineStr">
        <is>
          <t>Rate basis: per sqm  (source: cost for 10 sqm)</t>
        </is>
      </c>
    </row>
    <row r="746">
      <c r="A746" s="5" t="inlineStr">
        <is>
          <t>Code</t>
        </is>
      </c>
      <c r="B746" s="5" t="inlineStr">
        <is>
          <t>Description</t>
        </is>
      </c>
      <c r="C746" s="5" t="inlineStr">
        <is>
          <t>Unit</t>
        </is>
      </c>
      <c r="D746" s="5" t="inlineStr">
        <is>
          <t>Quantity</t>
        </is>
      </c>
      <c r="E746" s="5" t="inlineStr">
        <is>
          <t>Rate (Rs.)</t>
        </is>
      </c>
      <c r="F746" s="5" t="inlineStr">
        <is>
          <t>Amount (Rs.)</t>
        </is>
      </c>
    </row>
    <row r="747">
      <c r="A747" s="13" t="inlineStr">
        <is>
          <t>8656</t>
        </is>
      </c>
      <c r="B747" s="14" t="inlineStr">
        <is>
          <t>Gypsum panel 666 X 500 X 100 mm size.</t>
        </is>
      </c>
      <c r="C747" s="13" t="inlineStr">
        <is>
          <t>sqm</t>
        </is>
      </c>
      <c r="D747" s="15" t="n">
        <v>10</v>
      </c>
      <c r="E747" s="16" t="n">
        <v>480</v>
      </c>
      <c r="F747" s="16">
        <f>D747*E747</f>
        <v/>
      </c>
    </row>
    <row r="748">
      <c r="A748" s="13" t="inlineStr">
        <is>
          <t>8657</t>
        </is>
      </c>
      <c r="B748" s="14" t="inlineStr">
        <is>
          <t>Bonding plaster for Gypsum panel.</t>
        </is>
      </c>
      <c r="C748" s="13" t="inlineStr">
        <is>
          <t>kg</t>
        </is>
      </c>
      <c r="D748" s="15" t="n">
        <v>25</v>
      </c>
      <c r="E748" s="16" t="n">
        <v>25</v>
      </c>
      <c r="F748" s="16">
        <f>D748*E748</f>
        <v/>
      </c>
    </row>
    <row r="749">
      <c r="A749" s="13" t="inlineStr">
        <is>
          <t>9999</t>
        </is>
      </c>
      <c r="B749" s="14" t="inlineStr">
        <is>
          <t>Sundries &amp; scaffolding</t>
        </is>
      </c>
      <c r="C749" s="13" t="inlineStr">
        <is>
          <t>L.S.</t>
        </is>
      </c>
      <c r="D749" s="15" t="n">
        <v>13.52</v>
      </c>
      <c r="E749" s="16" t="n">
        <v>2</v>
      </c>
      <c r="F749" s="16">
        <f>D749*E749</f>
        <v/>
      </c>
    </row>
    <row r="750">
      <c r="A750" s="13" t="inlineStr">
        <is>
          <t>0123</t>
        </is>
      </c>
      <c r="B750" s="14" t="inlineStr">
        <is>
          <t>Mason (brick layer) 1st class</t>
        </is>
      </c>
      <c r="C750" s="13" t="inlineStr">
        <is>
          <t>day</t>
        </is>
      </c>
      <c r="D750" s="15" t="n">
        <v>0.5</v>
      </c>
      <c r="E750" s="16" t="n">
        <v>738</v>
      </c>
      <c r="F750" s="16">
        <f>D750*E750</f>
        <v/>
      </c>
    </row>
    <row r="751">
      <c r="A751" s="13" t="inlineStr">
        <is>
          <t>0114</t>
        </is>
      </c>
      <c r="B751" s="14" t="inlineStr">
        <is>
          <t>Beldar</t>
        </is>
      </c>
      <c r="C751" s="13" t="inlineStr">
        <is>
          <t>day</t>
        </is>
      </c>
      <c r="D751" s="15" t="n">
        <v>1</v>
      </c>
      <c r="E751" s="16" t="n">
        <v>558</v>
      </c>
      <c r="F751" s="16">
        <f>D751*E751</f>
        <v/>
      </c>
    </row>
    <row r="752">
      <c r="A752" s="17" t="inlineStr">
        <is>
          <t>Resource Total (Material + Labour + Machinery, as printed)</t>
        </is>
      </c>
      <c r="B752" s="18" t="n"/>
      <c r="C752" s="18" t="n"/>
      <c r="D752" s="18" t="n"/>
      <c r="E752" s="18" t="n"/>
      <c r="F752" s="19">
        <f>SUM(F747:F751)</f>
        <v/>
      </c>
    </row>
    <row r="753">
      <c r="A753" s="20" t="inlineStr">
        <is>
          <t>SAY (Rs.) — final DAR rate</t>
        </is>
      </c>
      <c r="B753" s="21" t="n"/>
      <c r="C753" s="21" t="n"/>
      <c r="D753" s="21" t="n"/>
      <c r="E753" s="21" t="n"/>
      <c r="F753" s="22" t="n">
        <v>853.5</v>
      </c>
    </row>
    <row r="755" ht="28" customHeight="1">
      <c r="A755" s="9" t="inlineStr">
        <is>
          <t>6.41</t>
        </is>
      </c>
      <c r="B755" s="10" t="inlineStr">
        <is>
          <t>Extra for Gypsum panel Partitions in superstructure above floor V level for every four floors or part thereof.</t>
        </is>
      </c>
      <c r="C755" s="11" t="n"/>
      <c r="D755" s="11" t="n"/>
      <c r="E755" s="11" t="n"/>
      <c r="F755" s="11" t="n"/>
    </row>
    <row r="756">
      <c r="A756" s="12" t="inlineStr">
        <is>
          <t>Rate basis: per sqm  (source: cost for 10 sqm)</t>
        </is>
      </c>
    </row>
    <row r="757">
      <c r="A757" s="5" t="inlineStr">
        <is>
          <t>Code</t>
        </is>
      </c>
      <c r="B757" s="5" t="inlineStr">
        <is>
          <t>Description</t>
        </is>
      </c>
      <c r="C757" s="5" t="inlineStr">
        <is>
          <t>Unit</t>
        </is>
      </c>
      <c r="D757" s="5" t="inlineStr">
        <is>
          <t>Quantity</t>
        </is>
      </c>
      <c r="E757" s="5" t="inlineStr">
        <is>
          <t>Rate (Rs.)</t>
        </is>
      </c>
      <c r="F757" s="5" t="inlineStr">
        <is>
          <t>Amount (Rs.)</t>
        </is>
      </c>
    </row>
    <row r="758">
      <c r="A758" s="13" t="inlineStr">
        <is>
          <t>0115</t>
        </is>
      </c>
      <c r="B758" s="14" t="inlineStr">
        <is>
          <t>Coolie</t>
        </is>
      </c>
      <c r="C758" s="13" t="inlineStr">
        <is>
          <t>day</t>
        </is>
      </c>
      <c r="D758" s="15" t="n">
        <v>1.73</v>
      </c>
      <c r="E758" s="16" t="n">
        <v>558</v>
      </c>
      <c r="F758" s="16">
        <f>D758*E758</f>
        <v/>
      </c>
    </row>
    <row r="759">
      <c r="A759" s="17" t="inlineStr">
        <is>
          <t>Resource Total (Material + Labour + Machinery, as printed)</t>
        </is>
      </c>
      <c r="B759" s="18" t="n"/>
      <c r="C759" s="18" t="n"/>
      <c r="D759" s="18" t="n"/>
      <c r="E759" s="18" t="n"/>
      <c r="F759" s="19">
        <f>SUM(F758:F758)</f>
        <v/>
      </c>
    </row>
    <row r="760">
      <c r="A760" s="20" t="inlineStr">
        <is>
          <t>SAY (Rs.) — final DAR rate</t>
        </is>
      </c>
      <c r="B760" s="21" t="n"/>
      <c r="C760" s="21" t="n"/>
      <c r="D760" s="21" t="n"/>
      <c r="E760" s="21" t="n"/>
      <c r="F760" s="22" t="n">
        <v>129.15</v>
      </c>
    </row>
    <row r="762" ht="28" customHeight="1">
      <c r="A762" s="9" t="inlineStr">
        <is>
          <t>6.44</t>
        </is>
      </c>
      <c r="B762" s="10" t="inlineStr">
        <is>
          <t>Brick edging 7cm wide 11.4 cm deep to plinth protection with common burnt clay F.P.S. (non modular) bricks of class designation 7.5 includin</t>
        </is>
      </c>
      <c r="C762" s="11" t="n"/>
      <c r="D762" s="11" t="n"/>
      <c r="E762" s="11" t="n"/>
      <c r="F762" s="11" t="n"/>
    </row>
    <row r="763">
      <c r="A763" s="12" t="inlineStr">
        <is>
          <t>Rate basis: per m  (source: cost for 10 m)</t>
        </is>
      </c>
    </row>
    <row r="764">
      <c r="A764" s="5" t="inlineStr">
        <is>
          <t>Code</t>
        </is>
      </c>
      <c r="B764" s="5" t="inlineStr">
        <is>
          <t>Description</t>
        </is>
      </c>
      <c r="C764" s="5" t="inlineStr">
        <is>
          <t>Unit</t>
        </is>
      </c>
      <c r="D764" s="5" t="inlineStr">
        <is>
          <t>Quantity</t>
        </is>
      </c>
      <c r="E764" s="5" t="inlineStr">
        <is>
          <t>Rate (Rs.)</t>
        </is>
      </c>
      <c r="F764" s="5" t="inlineStr">
        <is>
          <t>Amount (Rs.)</t>
        </is>
      </c>
    </row>
    <row r="765">
      <c r="A765" s="13" t="inlineStr">
        <is>
          <t>3.4</t>
        </is>
      </c>
      <c r="B765" s="14" t="inlineStr">
        <is>
          <t>Rate as per SH: 3.4</t>
        </is>
      </c>
      <c r="C765" s="13" t="inlineStr">
        <is>
          <t>cum</t>
        </is>
      </c>
      <c r="D765" s="15" t="n">
        <v>0.0036</v>
      </c>
      <c r="E765" s="16" t="n">
        <v>3528.85</v>
      </c>
      <c r="F765" s="16">
        <f>D765*E765</f>
        <v/>
      </c>
    </row>
    <row r="766">
      <c r="A766" s="13" t="inlineStr">
        <is>
          <t>9999</t>
        </is>
      </c>
      <c r="B766" s="14" t="inlineStr">
        <is>
          <t>Excavation and disposal of surplus earth</t>
        </is>
      </c>
      <c r="C766" s="13" t="inlineStr">
        <is>
          <t>L.S.</t>
        </is>
      </c>
      <c r="D766" s="15" t="n">
        <v>2.73</v>
      </c>
      <c r="E766" s="16" t="n">
        <v>2</v>
      </c>
      <c r="F766" s="16">
        <f>D766*E766</f>
        <v/>
      </c>
    </row>
    <row r="767">
      <c r="A767" s="13" t="inlineStr">
        <is>
          <t>2602</t>
        </is>
      </c>
      <c r="B767" s="14" t="inlineStr">
        <is>
          <t>Common burnt clay F.P.S. (non modular) bricks class designation 7.5</t>
        </is>
      </c>
      <c r="C767" s="13" t="inlineStr">
        <is>
          <t>1000 Nos</t>
        </is>
      </c>
      <c r="D767" s="15" t="n">
        <v>0.046</v>
      </c>
      <c r="E767" s="16" t="n">
        <v>4500</v>
      </c>
      <c r="F767" s="16">
        <f>D767*E767</f>
        <v/>
      </c>
    </row>
    <row r="768">
      <c r="A768" s="13" t="inlineStr">
        <is>
          <t>2201</t>
        </is>
      </c>
      <c r="B768" s="14" t="inlineStr">
        <is>
          <t>Carriage of Bricks</t>
        </is>
      </c>
      <c r="C768" s="13" t="inlineStr">
        <is>
          <t>1000 Nos</t>
        </is>
      </c>
      <c r="D768" s="15" t="n">
        <v>0.046</v>
      </c>
      <c r="E768" s="16" t="n">
        <v>276.72</v>
      </c>
      <c r="F768" s="16">
        <f>D768*E768</f>
        <v/>
      </c>
    </row>
    <row r="769">
      <c r="A769" s="13" t="inlineStr">
        <is>
          <t>0155</t>
        </is>
      </c>
      <c r="B769" s="14" t="inlineStr">
        <is>
          <t>Mason (average)</t>
        </is>
      </c>
      <c r="C769" s="13" t="inlineStr">
        <is>
          <t>day</t>
        </is>
      </c>
      <c r="D769" s="15" t="n">
        <v>0.1</v>
      </c>
      <c r="E769" s="16" t="n">
        <v>709</v>
      </c>
      <c r="F769" s="16">
        <f>D769*E769</f>
        <v/>
      </c>
    </row>
    <row r="770">
      <c r="A770" s="13" t="inlineStr">
        <is>
          <t>0114</t>
        </is>
      </c>
      <c r="B770" s="14" t="inlineStr">
        <is>
          <t>Beldar</t>
        </is>
      </c>
      <c r="C770" s="13" t="inlineStr">
        <is>
          <t>day</t>
        </is>
      </c>
      <c r="D770" s="15" t="n">
        <v>0.1</v>
      </c>
      <c r="E770" s="16" t="n">
        <v>558</v>
      </c>
      <c r="F770" s="16">
        <f>D770*E770</f>
        <v/>
      </c>
    </row>
    <row r="771">
      <c r="A771" s="13" t="inlineStr">
        <is>
          <t>0101</t>
        </is>
      </c>
      <c r="B771" s="14" t="inlineStr">
        <is>
          <t>Bhisti</t>
        </is>
      </c>
      <c r="C771" s="13" t="inlineStr">
        <is>
          <t>day</t>
        </is>
      </c>
      <c r="D771" s="15" t="n">
        <v>0.03</v>
      </c>
      <c r="E771" s="16" t="n">
        <v>617</v>
      </c>
      <c r="F771" s="16">
        <f>D771*E771</f>
        <v/>
      </c>
    </row>
    <row r="772">
      <c r="A772" s="13" t="inlineStr">
        <is>
          <t>9999</t>
        </is>
      </c>
      <c r="B772" s="14" t="inlineStr">
        <is>
          <t>Sundries</t>
        </is>
      </c>
      <c r="C772" s="13" t="inlineStr">
        <is>
          <t>L.S.</t>
        </is>
      </c>
      <c r="D772" s="15" t="n">
        <v>2.73</v>
      </c>
      <c r="E772" s="16" t="n">
        <v>2</v>
      </c>
      <c r="F772" s="16">
        <f>D772*E772</f>
        <v/>
      </c>
    </row>
    <row r="773">
      <c r="A773" s="17" t="inlineStr">
        <is>
          <t>Resource Total (Material + Labour + Machinery, as printed)</t>
        </is>
      </c>
      <c r="B773" s="18" t="n"/>
      <c r="C773" s="18" t="n"/>
      <c r="D773" s="18" t="n"/>
      <c r="E773" s="18" t="n"/>
      <c r="F773" s="19">
        <f>SUM(F765:F772)</f>
        <v/>
      </c>
    </row>
    <row r="774">
      <c r="A774" s="20" t="inlineStr">
        <is>
          <t>SAY (Rs.) — final DAR rate</t>
        </is>
      </c>
      <c r="B774" s="21" t="n"/>
      <c r="C774" s="21" t="n"/>
      <c r="D774" s="21" t="n"/>
      <c r="E774" s="21" t="n"/>
      <c r="F774" s="22" t="n">
        <v>52</v>
      </c>
    </row>
    <row r="776" ht="18" customHeight="1">
      <c r="A776" s="9" t="inlineStr">
        <is>
          <t>6.45.1</t>
        </is>
      </c>
      <c r="B776" s="10" t="inlineStr">
        <is>
          <t>Cement mortar 1 : 3 (1 cement : 3 coarse sand)</t>
        </is>
      </c>
      <c r="C776" s="11" t="n"/>
      <c r="D776" s="11" t="n"/>
      <c r="E776" s="11" t="n"/>
      <c r="F776" s="11" t="n"/>
    </row>
    <row r="777">
      <c r="A777" s="12" t="inlineStr">
        <is>
          <t>Rate basis: per sqm  (source: cost for 10 sqm)</t>
        </is>
      </c>
    </row>
    <row r="778">
      <c r="A778" s="5" t="inlineStr">
        <is>
          <t>Code</t>
        </is>
      </c>
      <c r="B778" s="5" t="inlineStr">
        <is>
          <t>Description</t>
        </is>
      </c>
      <c r="C778" s="5" t="inlineStr">
        <is>
          <t>Unit</t>
        </is>
      </c>
      <c r="D778" s="5" t="inlineStr">
        <is>
          <t>Quantity</t>
        </is>
      </c>
      <c r="E778" s="5" t="inlineStr">
        <is>
          <t>Rate (Rs.)</t>
        </is>
      </c>
      <c r="F778" s="5" t="inlineStr">
        <is>
          <t>Amount (Rs.)</t>
        </is>
      </c>
    </row>
    <row r="779">
      <c r="A779" s="13" t="inlineStr">
        <is>
          <t>3.8</t>
        </is>
      </c>
      <c r="B779" s="14" t="inlineStr">
        <is>
          <t>Rate as per SH: 3.8</t>
        </is>
      </c>
      <c r="C779" s="13" t="inlineStr">
        <is>
          <t>cum</t>
        </is>
      </c>
      <c r="D779" s="15" t="n">
        <v>0.28</v>
      </c>
      <c r="E779" s="16" t="n">
        <v>4664.55</v>
      </c>
      <c r="F779" s="16">
        <f>D779*E779</f>
        <v/>
      </c>
    </row>
    <row r="780">
      <c r="A780" s="13" t="inlineStr">
        <is>
          <t>7737</t>
        </is>
      </c>
      <c r="B780" s="14" t="inlineStr">
        <is>
          <t>Fly ash bricks conforming to I.S. 12894</t>
        </is>
      </c>
      <c r="C780" s="13" t="inlineStr">
        <is>
          <t>1000 Nos</t>
        </is>
      </c>
      <c r="D780" s="15" t="n">
        <v>0.5649999999999999</v>
      </c>
      <c r="E780" s="16" t="n">
        <v>4300</v>
      </c>
      <c r="F780" s="16">
        <f>D780*E780</f>
        <v/>
      </c>
    </row>
    <row r="781">
      <c r="A781" s="13" t="inlineStr">
        <is>
          <t>2201</t>
        </is>
      </c>
      <c r="B781" s="14" t="inlineStr">
        <is>
          <t>Carriage of Bricks</t>
        </is>
      </c>
      <c r="C781" s="13" t="inlineStr">
        <is>
          <t>1000 Nos</t>
        </is>
      </c>
      <c r="D781" s="15" t="n">
        <v>0.5649999999999999</v>
      </c>
      <c r="E781" s="16" t="n">
        <v>276.72</v>
      </c>
      <c r="F781" s="16">
        <f>D781*E781</f>
        <v/>
      </c>
    </row>
    <row r="782">
      <c r="A782" s="13" t="inlineStr">
        <is>
          <t>9999</t>
        </is>
      </c>
      <c r="B782" s="14" t="inlineStr">
        <is>
          <t>Sundries &amp; Scaffolding</t>
        </is>
      </c>
      <c r="C782" s="13" t="inlineStr">
        <is>
          <t>L.S.</t>
        </is>
      </c>
      <c r="D782" s="15" t="n">
        <v>13.52</v>
      </c>
      <c r="E782" s="16" t="n">
        <v>2</v>
      </c>
      <c r="F782" s="16">
        <f>D782*E782</f>
        <v/>
      </c>
    </row>
    <row r="783">
      <c r="A783" s="13" t="inlineStr">
        <is>
          <t>0123</t>
        </is>
      </c>
      <c r="B783" s="14" t="inlineStr">
        <is>
          <t>Mason (brick layer) 1st class</t>
        </is>
      </c>
      <c r="C783" s="13" t="inlineStr">
        <is>
          <t>day</t>
        </is>
      </c>
      <c r="D783" s="15" t="n">
        <v>0.6</v>
      </c>
      <c r="E783" s="16" t="n">
        <v>738</v>
      </c>
      <c r="F783" s="16">
        <f>D783*E783</f>
        <v/>
      </c>
    </row>
    <row r="784">
      <c r="A784" s="13" t="inlineStr">
        <is>
          <t>0124</t>
        </is>
      </c>
      <c r="B784" s="14" t="inlineStr">
        <is>
          <t>Mason (brick layer) 2nd class</t>
        </is>
      </c>
      <c r="C784" s="13" t="inlineStr">
        <is>
          <t>day</t>
        </is>
      </c>
      <c r="D784" s="15" t="n">
        <v>0.6</v>
      </c>
      <c r="E784" s="16" t="n">
        <v>679</v>
      </c>
      <c r="F784" s="16">
        <f>D784*E784</f>
        <v/>
      </c>
    </row>
    <row r="785">
      <c r="A785" s="13" t="inlineStr">
        <is>
          <t>0115</t>
        </is>
      </c>
      <c r="B785" s="14" t="inlineStr">
        <is>
          <t>Coolie</t>
        </is>
      </c>
      <c r="C785" s="13" t="inlineStr">
        <is>
          <t>day</t>
        </is>
      </c>
      <c r="D785" s="15" t="n">
        <v>2</v>
      </c>
      <c r="E785" s="16" t="n">
        <v>558</v>
      </c>
      <c r="F785" s="16">
        <f>D785*E785</f>
        <v/>
      </c>
    </row>
    <row r="786">
      <c r="A786" s="13" t="inlineStr">
        <is>
          <t>0101</t>
        </is>
      </c>
      <c r="B786" s="14" t="inlineStr">
        <is>
          <t>Bhisti</t>
        </is>
      </c>
      <c r="C786" s="13" t="inlineStr">
        <is>
          <t>day</t>
        </is>
      </c>
      <c r="D786" s="15" t="n">
        <v>0.7</v>
      </c>
      <c r="E786" s="16" t="n">
        <v>617</v>
      </c>
      <c r="F786" s="16">
        <f>D786*E786</f>
        <v/>
      </c>
    </row>
    <row r="787">
      <c r="A787" s="13" t="inlineStr">
        <is>
          <t>0115</t>
        </is>
      </c>
      <c r="B787" s="14" t="inlineStr">
        <is>
          <t>Coolie</t>
        </is>
      </c>
      <c r="C787" s="13" t="inlineStr">
        <is>
          <t>day</t>
        </is>
      </c>
      <c r="D787" s="15" t="n">
        <v>1.29</v>
      </c>
      <c r="E787" s="16" t="n">
        <v>558</v>
      </c>
      <c r="F787" s="16">
        <f>D787*E787</f>
        <v/>
      </c>
    </row>
    <row r="788">
      <c r="A788" s="17" t="inlineStr">
        <is>
          <t>Resource Total (Material + Labour + Machinery, as printed)</t>
        </is>
      </c>
      <c r="B788" s="18" t="n"/>
      <c r="C788" s="18" t="n"/>
      <c r="D788" s="18" t="n"/>
      <c r="E788" s="18" t="n"/>
      <c r="F788" s="19">
        <f>SUM(F779:F787)</f>
        <v/>
      </c>
    </row>
    <row r="789">
      <c r="A789" s="20" t="inlineStr">
        <is>
          <t>SAY (Rs.) — final DAR rate</t>
        </is>
      </c>
      <c r="B789" s="21" t="n"/>
      <c r="C789" s="21" t="n"/>
      <c r="D789" s="21" t="n"/>
      <c r="E789" s="21" t="n"/>
      <c r="F789" s="22" t="n">
        <v>941.5</v>
      </c>
    </row>
    <row r="791" ht="18" customHeight="1">
      <c r="A791" s="9" t="inlineStr">
        <is>
          <t>6.45.2</t>
        </is>
      </c>
      <c r="B791" s="10" t="inlineStr">
        <is>
          <t>Cement mortar 1 : 4 (1 cement : 4 coarse sand)</t>
        </is>
      </c>
      <c r="C791" s="11" t="n"/>
      <c r="D791" s="11" t="n"/>
      <c r="E791" s="11" t="n"/>
      <c r="F791" s="11" t="n"/>
    </row>
    <row r="792">
      <c r="A792" s="12" t="inlineStr">
        <is>
          <t>Rate basis: per sqm  (source: cost for 10 sqm)</t>
        </is>
      </c>
    </row>
    <row r="793">
      <c r="A793" s="5" t="inlineStr">
        <is>
          <t>Code</t>
        </is>
      </c>
      <c r="B793" s="5" t="inlineStr">
        <is>
          <t>Description</t>
        </is>
      </c>
      <c r="C793" s="5" t="inlineStr">
        <is>
          <t>Unit</t>
        </is>
      </c>
      <c r="D793" s="5" t="inlineStr">
        <is>
          <t>Quantity</t>
        </is>
      </c>
      <c r="E793" s="5" t="inlineStr">
        <is>
          <t>Rate (Rs.)</t>
        </is>
      </c>
      <c r="F793" s="5" t="inlineStr">
        <is>
          <t>Amount (Rs.)</t>
        </is>
      </c>
    </row>
    <row r="794">
      <c r="A794" s="13" t="inlineStr">
        <is>
          <t>3.9</t>
        </is>
      </c>
      <c r="B794" s="14" t="inlineStr">
        <is>
          <t>Rate as per SH: 3.9</t>
        </is>
      </c>
      <c r="C794" s="13" t="inlineStr">
        <is>
          <t>cum</t>
        </is>
      </c>
      <c r="D794" s="15" t="n">
        <v>0.28</v>
      </c>
      <c r="E794" s="16" t="n">
        <v>4010.35</v>
      </c>
      <c r="F794" s="16">
        <f>D794*E794</f>
        <v/>
      </c>
    </row>
    <row r="795">
      <c r="A795" s="13" t="inlineStr">
        <is>
          <t>7737</t>
        </is>
      </c>
      <c r="B795" s="14" t="inlineStr">
        <is>
          <t>Fly ash bricks conforming to I.S. 12894</t>
        </is>
      </c>
      <c r="C795" s="13" t="inlineStr">
        <is>
          <t>1000 Nos</t>
        </is>
      </c>
      <c r="D795" s="15" t="n">
        <v>0.5649999999999999</v>
      </c>
      <c r="E795" s="16" t="n">
        <v>4300</v>
      </c>
      <c r="F795" s="16">
        <f>D795*E795</f>
        <v/>
      </c>
    </row>
    <row r="796">
      <c r="A796" s="13" t="inlineStr">
        <is>
          <t>2201</t>
        </is>
      </c>
      <c r="B796" s="14" t="inlineStr">
        <is>
          <t>Carriage of Bricks</t>
        </is>
      </c>
      <c r="C796" s="13" t="inlineStr">
        <is>
          <t>1000 Nos</t>
        </is>
      </c>
      <c r="D796" s="15" t="n">
        <v>0.5649999999999999</v>
      </c>
      <c r="E796" s="16" t="n">
        <v>276.72</v>
      </c>
      <c r="F796" s="16">
        <f>D796*E796</f>
        <v/>
      </c>
    </row>
    <row r="797">
      <c r="A797" s="13" t="inlineStr">
        <is>
          <t>9999</t>
        </is>
      </c>
      <c r="B797" s="14" t="inlineStr">
        <is>
          <t>Sundries &amp; Scaffolding</t>
        </is>
      </c>
      <c r="C797" s="13" t="inlineStr">
        <is>
          <t>L.S.</t>
        </is>
      </c>
      <c r="D797" s="15" t="n">
        <v>13.52</v>
      </c>
      <c r="E797" s="16" t="n">
        <v>2</v>
      </c>
      <c r="F797" s="16">
        <f>D797*E797</f>
        <v/>
      </c>
    </row>
    <row r="798">
      <c r="A798" s="13" t="inlineStr">
        <is>
          <t>0123</t>
        </is>
      </c>
      <c r="B798" s="14" t="inlineStr">
        <is>
          <t>Mason (brick layer) 1st class</t>
        </is>
      </c>
      <c r="C798" s="13" t="inlineStr">
        <is>
          <t>day</t>
        </is>
      </c>
      <c r="D798" s="15" t="n">
        <v>0.6</v>
      </c>
      <c r="E798" s="16" t="n">
        <v>738</v>
      </c>
      <c r="F798" s="16">
        <f>D798*E798</f>
        <v/>
      </c>
    </row>
    <row r="799">
      <c r="A799" s="13" t="inlineStr">
        <is>
          <t>0124</t>
        </is>
      </c>
      <c r="B799" s="14" t="inlineStr">
        <is>
          <t>Mason (brick layer) 2nd class</t>
        </is>
      </c>
      <c r="C799" s="13" t="inlineStr">
        <is>
          <t>day</t>
        </is>
      </c>
      <c r="D799" s="15" t="n">
        <v>0.6</v>
      </c>
      <c r="E799" s="16" t="n">
        <v>679</v>
      </c>
      <c r="F799" s="16">
        <f>D799*E799</f>
        <v/>
      </c>
    </row>
    <row r="800">
      <c r="A800" s="13" t="inlineStr">
        <is>
          <t>0115</t>
        </is>
      </c>
      <c r="B800" s="14" t="inlineStr">
        <is>
          <t>Coolie</t>
        </is>
      </c>
      <c r="C800" s="13" t="inlineStr">
        <is>
          <t>day</t>
        </is>
      </c>
      <c r="D800" s="15" t="n">
        <v>2</v>
      </c>
      <c r="E800" s="16" t="n">
        <v>558</v>
      </c>
      <c r="F800" s="16">
        <f>D800*E800</f>
        <v/>
      </c>
    </row>
    <row r="801">
      <c r="A801" s="13" t="inlineStr">
        <is>
          <t>0101</t>
        </is>
      </c>
      <c r="B801" s="14" t="inlineStr">
        <is>
          <t>Bhisti</t>
        </is>
      </c>
      <c r="C801" s="13" t="inlineStr">
        <is>
          <t>day</t>
        </is>
      </c>
      <c r="D801" s="15" t="n">
        <v>0.7</v>
      </c>
      <c r="E801" s="16" t="n">
        <v>617</v>
      </c>
      <c r="F801" s="16">
        <f>D801*E801</f>
        <v/>
      </c>
    </row>
    <row r="802">
      <c r="A802" s="13" t="inlineStr">
        <is>
          <t>0115</t>
        </is>
      </c>
      <c r="B802" s="14" t="inlineStr">
        <is>
          <t>Coolie</t>
        </is>
      </c>
      <c r="C802" s="13" t="inlineStr">
        <is>
          <t>day</t>
        </is>
      </c>
      <c r="D802" s="15" t="n">
        <v>1.29</v>
      </c>
      <c r="E802" s="16" t="n">
        <v>558</v>
      </c>
      <c r="F802" s="16">
        <f>D802*E802</f>
        <v/>
      </c>
    </row>
    <row r="803">
      <c r="A803" s="17" t="inlineStr">
        <is>
          <t>Resource Total (Material + Labour + Machinery, as printed)</t>
        </is>
      </c>
      <c r="B803" s="18" t="n"/>
      <c r="C803" s="18" t="n"/>
      <c r="D803" s="18" t="n"/>
      <c r="E803" s="18" t="n"/>
      <c r="F803" s="19">
        <f>SUM(F794:F802)</f>
        <v/>
      </c>
    </row>
    <row r="804">
      <c r="A804" s="20" t="inlineStr">
        <is>
          <t>SAY (Rs.) — final DAR rate</t>
        </is>
      </c>
      <c r="B804" s="21" t="n"/>
      <c r="C804" s="21" t="n"/>
      <c r="D804" s="21" t="n"/>
      <c r="E804" s="21" t="n"/>
      <c r="F804" s="22" t="n">
        <v>917</v>
      </c>
    </row>
    <row r="806" ht="28" customHeight="1">
      <c r="A806" s="9" t="inlineStr">
        <is>
          <t>6.47</t>
        </is>
      </c>
      <c r="B806" s="10" t="inlineStr">
        <is>
          <t>Providing and laying autoclaved aerated cement blocks masonry with 150mm/ 230mm/300 mm thick AAC blocks in super structure above plinth leve</t>
        </is>
      </c>
      <c r="C806" s="11" t="n"/>
      <c r="D806" s="11" t="n"/>
      <c r="E806" s="11" t="n"/>
      <c r="F806" s="11" t="n"/>
    </row>
    <row r="807">
      <c r="A807" s="12" t="inlineStr">
        <is>
          <t>Rate basis: per cum  (source: cost for 1 cum)</t>
        </is>
      </c>
    </row>
    <row r="808">
      <c r="A808" s="5" t="inlineStr">
        <is>
          <t>Code</t>
        </is>
      </c>
      <c r="B808" s="5" t="inlineStr">
        <is>
          <t>Description</t>
        </is>
      </c>
      <c r="C808" s="5" t="inlineStr">
        <is>
          <t>Unit</t>
        </is>
      </c>
      <c r="D808" s="5" t="inlineStr">
        <is>
          <t>Quantity</t>
        </is>
      </c>
      <c r="E808" s="5" t="inlineStr">
        <is>
          <t>Rate (Rs.)</t>
        </is>
      </c>
      <c r="F808" s="5" t="inlineStr">
        <is>
          <t>Amount (Rs.)</t>
        </is>
      </c>
    </row>
    <row r="809">
      <c r="A809" s="13" t="inlineStr">
        <is>
          <t>8655</t>
        </is>
      </c>
      <c r="B809" s="14" t="inlineStr">
        <is>
          <t>Autoclaved areated cement (AAC) blocks</t>
        </is>
      </c>
      <c r="C809" s="13" t="inlineStr">
        <is>
          <t>cum</t>
        </is>
      </c>
      <c r="D809" s="15" t="n">
        <v>1</v>
      </c>
      <c r="E809" s="16" t="n">
        <v>2600</v>
      </c>
      <c r="F809" s="16">
        <f>D809*E809</f>
        <v/>
      </c>
    </row>
    <row r="810">
      <c r="A810" s="13" t="inlineStr">
        <is>
          <t>0357</t>
        </is>
      </c>
      <c r="B810" s="14" t="inlineStr">
        <is>
          <t>Polymer modified adhesive mortar</t>
        </is>
      </c>
      <c r="C810" s="13" t="inlineStr">
        <is>
          <t>Kg</t>
        </is>
      </c>
      <c r="D810" s="15" t="n">
        <v>30</v>
      </c>
      <c r="E810" s="16" t="n">
        <v>15</v>
      </c>
      <c r="F810" s="16">
        <f>D810*E810</f>
        <v/>
      </c>
    </row>
    <row r="811">
      <c r="A811" s="13" t="inlineStr">
        <is>
          <t>9999</t>
        </is>
      </c>
      <c r="B811" s="14" t="inlineStr">
        <is>
          <t>Sundries</t>
        </is>
      </c>
      <c r="C811" s="13" t="inlineStr">
        <is>
          <t>L.S.</t>
        </is>
      </c>
      <c r="D811" s="15" t="n">
        <v>2.73</v>
      </c>
      <c r="E811" s="16" t="n">
        <v>2</v>
      </c>
      <c r="F811" s="16">
        <f>D811*E811</f>
        <v/>
      </c>
    </row>
    <row r="812">
      <c r="A812" s="13" t="inlineStr">
        <is>
          <t>0123</t>
        </is>
      </c>
      <c r="B812" s="14" t="inlineStr">
        <is>
          <t>Mason (brick layer) 1 st class</t>
        </is>
      </c>
      <c r="C812" s="13" t="inlineStr">
        <is>
          <t>day</t>
        </is>
      </c>
      <c r="D812" s="15" t="n">
        <v>0.36</v>
      </c>
      <c r="E812" s="16" t="n">
        <v>738</v>
      </c>
      <c r="F812" s="16">
        <f>D812*E812</f>
        <v/>
      </c>
    </row>
    <row r="813">
      <c r="A813" s="13" t="inlineStr">
        <is>
          <t>0124</t>
        </is>
      </c>
      <c r="B813" s="14" t="inlineStr">
        <is>
          <t>Mason (brick layer) 2nd class</t>
        </is>
      </c>
      <c r="C813" s="13" t="inlineStr">
        <is>
          <t>day</t>
        </is>
      </c>
      <c r="D813" s="15" t="n">
        <v>0.36</v>
      </c>
      <c r="E813" s="16" t="n">
        <v>679</v>
      </c>
      <c r="F813" s="16">
        <f>D813*E813</f>
        <v/>
      </c>
    </row>
    <row r="814">
      <c r="A814" s="13" t="inlineStr">
        <is>
          <t>0115</t>
        </is>
      </c>
      <c r="B814" s="14" t="inlineStr">
        <is>
          <t>Coolie</t>
        </is>
      </c>
      <c r="C814" s="13" t="inlineStr">
        <is>
          <t>day</t>
        </is>
      </c>
      <c r="D814" s="15" t="n">
        <v>1.37</v>
      </c>
      <c r="E814" s="16" t="n">
        <v>558</v>
      </c>
      <c r="F814" s="16">
        <f>D814*E814</f>
        <v/>
      </c>
    </row>
    <row r="815">
      <c r="A815" s="13" t="inlineStr">
        <is>
          <t>0115</t>
        </is>
      </c>
      <c r="B815" s="14" t="inlineStr">
        <is>
          <t>Coolie</t>
        </is>
      </c>
      <c r="C815" s="13" t="inlineStr">
        <is>
          <t>day</t>
        </is>
      </c>
      <c r="D815" s="15" t="n">
        <v>1.13</v>
      </c>
      <c r="E815" s="16" t="n">
        <v>558</v>
      </c>
      <c r="F815" s="16">
        <f>D815*E815</f>
        <v/>
      </c>
    </row>
    <row r="816">
      <c r="A816" s="17" t="inlineStr">
        <is>
          <t>Resource Total (Material + Labour + Machinery, as printed)</t>
        </is>
      </c>
      <c r="B816" s="18" t="n"/>
      <c r="C816" s="18" t="n"/>
      <c r="D816" s="18" t="n"/>
      <c r="E816" s="18" t="n"/>
      <c r="F816" s="19">
        <f>SUM(F809:F815)</f>
        <v/>
      </c>
    </row>
    <row r="817">
      <c r="A817" s="20" t="inlineStr">
        <is>
          <t>SAY (Rs.) — final DAR rate</t>
        </is>
      </c>
      <c r="B817" s="21" t="n"/>
      <c r="C817" s="21" t="n"/>
      <c r="D817" s="21" t="n"/>
      <c r="E817" s="21" t="n"/>
      <c r="F817" s="22" t="n">
        <v>6636.95</v>
      </c>
    </row>
  </sheetData>
  <mergeCells count="234">
    <mergeCell ref="B744:F744"/>
    <mergeCell ref="A205:F205"/>
    <mergeCell ref="B404:F404"/>
    <mergeCell ref="A402:E402"/>
    <mergeCell ref="A142:E142"/>
    <mergeCell ref="A300:E300"/>
    <mergeCell ref="B528:F528"/>
    <mergeCell ref="A636:F636"/>
    <mergeCell ref="A287:E287"/>
    <mergeCell ref="A741:E741"/>
    <mergeCell ref="B131:F131"/>
    <mergeCell ref="A168:E168"/>
    <mergeCell ref="A452:E452"/>
    <mergeCell ref="A585:E585"/>
    <mergeCell ref="B18:F18"/>
    <mergeCell ref="B381:F381"/>
    <mergeCell ref="A271:E271"/>
    <mergeCell ref="A515:F515"/>
    <mergeCell ref="A47:F47"/>
    <mergeCell ref="B303:F303"/>
    <mergeCell ref="B484:F484"/>
    <mergeCell ref="A345:E345"/>
    <mergeCell ref="A5:F5"/>
    <mergeCell ref="A128:E128"/>
    <mergeCell ref="B60:F60"/>
    <mergeCell ref="A255:E255"/>
    <mergeCell ref="A379:E379"/>
    <mergeCell ref="A290:F290"/>
    <mergeCell ref="B170:F170"/>
    <mergeCell ref="A89:E89"/>
    <mergeCell ref="A571:E571"/>
    <mergeCell ref="A588:F588"/>
    <mergeCell ref="A684:F684"/>
    <mergeCell ref="A318:F318"/>
    <mergeCell ref="B603:F603"/>
    <mergeCell ref="A105:E105"/>
    <mergeCell ref="A274:F274"/>
    <mergeCell ref="A57:E57"/>
    <mergeCell ref="B289:F289"/>
    <mergeCell ref="A332:F332"/>
    <mergeCell ref="B762:F762"/>
    <mergeCell ref="A129:E129"/>
    <mergeCell ref="A185:E185"/>
    <mergeCell ref="B619:F619"/>
    <mergeCell ref="B108:F108"/>
    <mergeCell ref="B230:F230"/>
    <mergeCell ref="B699:F699"/>
    <mergeCell ref="B755:F755"/>
    <mergeCell ref="B791:F791"/>
    <mergeCell ref="A681:E681"/>
    <mergeCell ref="B92:F92"/>
    <mergeCell ref="A184:E184"/>
    <mergeCell ref="B683:F683"/>
    <mergeCell ref="A43:E43"/>
    <mergeCell ref="A620:F620"/>
    <mergeCell ref="A665:E665"/>
    <mergeCell ref="A696:E696"/>
    <mergeCell ref="A600:E600"/>
    <mergeCell ref="A481:E481"/>
    <mergeCell ref="B667:F667"/>
    <mergeCell ref="A680:E680"/>
    <mergeCell ref="A633:E633"/>
    <mergeCell ref="A777:F777"/>
    <mergeCell ref="A584:E584"/>
    <mergeCell ref="B144:F144"/>
    <mergeCell ref="A270:E270"/>
    <mergeCell ref="A328:E328"/>
    <mergeCell ref="A397:F397"/>
    <mergeCell ref="A575:F575"/>
    <mergeCell ref="A438:F438"/>
    <mergeCell ref="A496:E496"/>
    <mergeCell ref="A714:F714"/>
    <mergeCell ref="A763:F763"/>
    <mergeCell ref="A2:F2"/>
    <mergeCell ref="A33:F33"/>
    <mergeCell ref="B347:F347"/>
    <mergeCell ref="A256:E256"/>
    <mergeCell ref="B412:F412"/>
    <mergeCell ref="B468:F468"/>
    <mergeCell ref="A188:F188"/>
    <mergeCell ref="A259:F259"/>
    <mergeCell ref="A419:E419"/>
    <mergeCell ref="B396:F396"/>
    <mergeCell ref="A378:E378"/>
    <mergeCell ref="A409:E409"/>
    <mergeCell ref="B437:F437"/>
    <mergeCell ref="A125:F125"/>
    <mergeCell ref="A773:E773"/>
    <mergeCell ref="A301:E301"/>
    <mergeCell ref="A393:E393"/>
    <mergeCell ref="A348:F348"/>
    <mergeCell ref="B317:F317"/>
    <mergeCell ref="B217:F217"/>
    <mergeCell ref="A616:E616"/>
    <mergeCell ref="B422:F422"/>
    <mergeCell ref="A601:E601"/>
    <mergeCell ref="B187:F187"/>
    <mergeCell ref="A106:E106"/>
    <mergeCell ref="A759:E759"/>
    <mergeCell ref="A304:F304"/>
    <mergeCell ref="A29:E29"/>
    <mergeCell ref="A451:E451"/>
    <mergeCell ref="A756:F756"/>
    <mergeCell ref="B124:F124"/>
    <mergeCell ref="B806:F806"/>
    <mergeCell ref="A61:F61"/>
    <mergeCell ref="B76:F76"/>
    <mergeCell ref="B204:F204"/>
    <mergeCell ref="A525:E525"/>
    <mergeCell ref="A617:E617"/>
    <mergeCell ref="A202:E202"/>
    <mergeCell ref="A218:F218"/>
    <mergeCell ref="A58:E58"/>
    <mergeCell ref="A329:E329"/>
    <mergeCell ref="B4:F4"/>
    <mergeCell ref="B280:F280"/>
    <mergeCell ref="A73:E73"/>
    <mergeCell ref="A201:E201"/>
    <mergeCell ref="A413:F413"/>
    <mergeCell ref="B635:F635"/>
    <mergeCell ref="B587:F587"/>
    <mergeCell ref="A760:E760"/>
    <mergeCell ref="A511:E511"/>
    <mergeCell ref="B46:F46"/>
    <mergeCell ref="A145:F145"/>
    <mergeCell ref="B273:F273"/>
    <mergeCell ref="A729:F729"/>
    <mergeCell ref="A228:E228"/>
    <mergeCell ref="A526:E526"/>
    <mergeCell ref="A697:E697"/>
    <mergeCell ref="A742:E742"/>
    <mergeCell ref="A16:E16"/>
    <mergeCell ref="A405:F405"/>
    <mergeCell ref="A286:E286"/>
    <mergeCell ref="A545:F545"/>
    <mergeCell ref="A410:E410"/>
    <mergeCell ref="A244:F244"/>
    <mergeCell ref="A171:F171"/>
    <mergeCell ref="B514:F514"/>
    <mergeCell ref="A109:F109"/>
    <mergeCell ref="A231:F231"/>
    <mergeCell ref="A529:F529"/>
    <mergeCell ref="A394:E394"/>
    <mergeCell ref="A700:F700"/>
    <mergeCell ref="A465:E465"/>
    <mergeCell ref="B544:F544"/>
    <mergeCell ref="A434:E434"/>
    <mergeCell ref="B728:F728"/>
    <mergeCell ref="B243:F243"/>
    <mergeCell ref="B258:F258"/>
    <mergeCell ref="A93:F93"/>
    <mergeCell ref="A19:F19"/>
    <mergeCell ref="A278:E278"/>
    <mergeCell ref="B364:F364"/>
    <mergeCell ref="A141:E141"/>
    <mergeCell ref="A725:E725"/>
    <mergeCell ref="A455:F455"/>
    <mergeCell ref="A122:E122"/>
    <mergeCell ref="A215:E215"/>
    <mergeCell ref="B776:F776"/>
    <mergeCell ref="A420:E420"/>
    <mergeCell ref="A789:E789"/>
    <mergeCell ref="A1:F1"/>
    <mergeCell ref="A401:E401"/>
    <mergeCell ref="A152:E152"/>
    <mergeCell ref="A121:E121"/>
    <mergeCell ref="A281:F281"/>
    <mergeCell ref="A435:E435"/>
    <mergeCell ref="B498:F498"/>
    <mergeCell ref="A541:E541"/>
    <mergeCell ref="A668:F668"/>
    <mergeCell ref="A711:E711"/>
    <mergeCell ref="A44:E44"/>
    <mergeCell ref="B713:F713"/>
    <mergeCell ref="A726:E726"/>
    <mergeCell ref="A167:E167"/>
    <mergeCell ref="A30:E30"/>
    <mergeCell ref="A314:E314"/>
    <mergeCell ref="A652:F652"/>
    <mergeCell ref="A710:E710"/>
    <mergeCell ref="A792:F792"/>
    <mergeCell ref="A648:E648"/>
    <mergeCell ref="A15:E15"/>
    <mergeCell ref="B454:F454"/>
    <mergeCell ref="A555:E555"/>
    <mergeCell ref="A469:F469"/>
    <mergeCell ref="A816:E816"/>
    <mergeCell ref="A365:F365"/>
    <mergeCell ref="B155:F155"/>
    <mergeCell ref="A632:E632"/>
    <mergeCell ref="A745:F745"/>
    <mergeCell ref="A807:F807"/>
    <mergeCell ref="A241:E241"/>
    <mergeCell ref="A153:E153"/>
    <mergeCell ref="A499:F499"/>
    <mergeCell ref="A315:E315"/>
    <mergeCell ref="A227:E227"/>
    <mergeCell ref="A604:F604"/>
    <mergeCell ref="A753:E753"/>
    <mergeCell ref="A649:E649"/>
    <mergeCell ref="A90:E90"/>
    <mergeCell ref="A572:E572"/>
    <mergeCell ref="B651:F651"/>
    <mergeCell ref="A277:E277"/>
    <mergeCell ref="A752:E752"/>
    <mergeCell ref="A664:E664"/>
    <mergeCell ref="A817:E817"/>
    <mergeCell ref="A74:E74"/>
    <mergeCell ref="A804:E804"/>
    <mergeCell ref="A156:F156"/>
    <mergeCell ref="A556:E556"/>
    <mergeCell ref="A214:E214"/>
    <mergeCell ref="A512:E512"/>
    <mergeCell ref="A382:F382"/>
    <mergeCell ref="A788:E788"/>
    <mergeCell ref="A361:E361"/>
    <mergeCell ref="A803:E803"/>
    <mergeCell ref="A77:F77"/>
    <mergeCell ref="A542:E542"/>
    <mergeCell ref="A559:F559"/>
    <mergeCell ref="B574:F574"/>
    <mergeCell ref="A495:E495"/>
    <mergeCell ref="A240:E240"/>
    <mergeCell ref="A466:E466"/>
    <mergeCell ref="A482:E482"/>
    <mergeCell ref="A132:F132"/>
    <mergeCell ref="B331:F331"/>
    <mergeCell ref="B558:F558"/>
    <mergeCell ref="A774:E774"/>
    <mergeCell ref="A344:E344"/>
    <mergeCell ref="B32:F32"/>
    <mergeCell ref="A362:E362"/>
    <mergeCell ref="A485:F485"/>
    <mergeCell ref="A423:F4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16"/>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07: STONE WORK</t>
        </is>
      </c>
    </row>
    <row r="2" ht="28" customHeight="1">
      <c r="A2" s="8" t="inlineStr">
        <is>
          <t>53 priced items. Amount and SAY are live Excel formulas computed from the Quantity x Rate figures below - edit any Quantity or Rate and the item's rate recalculates.</t>
        </is>
      </c>
    </row>
    <row r="4" ht="18" customHeight="1">
      <c r="A4" s="9" t="inlineStr">
        <is>
          <t>7.1.1</t>
        </is>
      </c>
      <c r="B4" s="10" t="inlineStr">
        <is>
          <t>Cement mortar 1:6 (1 cement : 6 coarse sand)</t>
        </is>
      </c>
      <c r="C4" s="11" t="n"/>
      <c r="D4" s="11" t="n"/>
      <c r="E4" s="11" t="n"/>
      <c r="F4" s="11" t="n"/>
    </row>
    <row r="5">
      <c r="A5" s="12" t="inlineStr">
        <is>
          <t>Rate basis: per cum  (source: cost for 1 cum)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3.11</t>
        </is>
      </c>
      <c r="B7" s="14" t="inlineStr">
        <is>
          <t>Rate as per SH: 3.11</t>
        </is>
      </c>
      <c r="C7" s="13" t="inlineStr">
        <is>
          <t>cum</t>
        </is>
      </c>
      <c r="D7" s="15" t="n">
        <v>0.33</v>
      </c>
      <c r="E7" s="16" t="n">
        <v>3356.15</v>
      </c>
      <c r="F7" s="16">
        <f>D7*E7</f>
        <v/>
      </c>
    </row>
    <row r="8">
      <c r="A8" s="13" t="inlineStr">
        <is>
          <t>1157</t>
        </is>
      </c>
      <c r="B8" s="14" t="inlineStr">
        <is>
          <t>Stone for masonry work</t>
        </is>
      </c>
      <c r="C8" s="13" t="inlineStr">
        <is>
          <t>cum</t>
        </is>
      </c>
      <c r="D8" s="15" t="n">
        <v>1</v>
      </c>
      <c r="E8" s="16" t="n">
        <v>1100</v>
      </c>
      <c r="F8" s="16">
        <f>D8*E8</f>
        <v/>
      </c>
    </row>
    <row r="9">
      <c r="A9" s="13" t="inlineStr">
        <is>
          <t>1154</t>
        </is>
      </c>
      <c r="B9" s="14" t="inlineStr">
        <is>
          <t>Through and bond stone size 24 x24 x39 cm</t>
        </is>
      </c>
      <c r="C9" s="13" t="inlineStr">
        <is>
          <t>100 Nos</t>
        </is>
      </c>
      <c r="D9" s="15" t="n">
        <v>0.07000000000000001</v>
      </c>
      <c r="E9" s="16" t="n">
        <v>5000</v>
      </c>
      <c r="F9" s="16">
        <f>D9*E9</f>
        <v/>
      </c>
    </row>
    <row r="10">
      <c r="A10" s="13" t="inlineStr">
        <is>
          <t>2215</t>
        </is>
      </c>
      <c r="B10" s="14" t="inlineStr">
        <is>
          <t>Carriage of Soling stone &amp; masonry stone</t>
        </is>
      </c>
      <c r="C10" s="13" t="inlineStr">
        <is>
          <t>cum</t>
        </is>
      </c>
      <c r="D10" s="15" t="n">
        <v>1.16</v>
      </c>
      <c r="E10" s="16" t="n">
        <v>122.08</v>
      </c>
      <c r="F10" s="16">
        <f>D10*E10</f>
        <v/>
      </c>
    </row>
    <row r="11">
      <c r="A11" s="13" t="inlineStr">
        <is>
          <t>0125</t>
        </is>
      </c>
      <c r="B11" s="14" t="inlineStr">
        <is>
          <t>Mason (for plain stone work) 2nd class)</t>
        </is>
      </c>
      <c r="C11" s="13" t="inlineStr">
        <is>
          <t>day</t>
        </is>
      </c>
      <c r="D11" s="15" t="n">
        <v>1.07</v>
      </c>
      <c r="E11" s="16" t="n">
        <v>679</v>
      </c>
      <c r="F11" s="16">
        <f>D11*E11</f>
        <v/>
      </c>
    </row>
    <row r="12">
      <c r="A12" s="13" t="inlineStr">
        <is>
          <t>0114</t>
        </is>
      </c>
      <c r="B12" s="14" t="inlineStr">
        <is>
          <t>Beldar</t>
        </is>
      </c>
      <c r="C12" s="13" t="inlineStr">
        <is>
          <t>day</t>
        </is>
      </c>
      <c r="D12" s="15" t="n">
        <v>1.07</v>
      </c>
      <c r="E12" s="16" t="n">
        <v>558</v>
      </c>
      <c r="F12" s="16">
        <f>D12*E12</f>
        <v/>
      </c>
    </row>
    <row r="13">
      <c r="A13" s="13" t="inlineStr">
        <is>
          <t>0115</t>
        </is>
      </c>
      <c r="B13" s="14" t="inlineStr">
        <is>
          <t>Coolie</t>
        </is>
      </c>
      <c r="C13" s="13" t="inlineStr">
        <is>
          <t>day</t>
        </is>
      </c>
      <c r="D13" s="15" t="n">
        <v>0.71</v>
      </c>
      <c r="E13" s="16" t="n">
        <v>558</v>
      </c>
      <c r="F13" s="16">
        <f>D13*E13</f>
        <v/>
      </c>
    </row>
    <row r="14">
      <c r="A14" s="13" t="inlineStr">
        <is>
          <t>0101</t>
        </is>
      </c>
      <c r="B14" s="14" t="inlineStr">
        <is>
          <t>Bhisti</t>
        </is>
      </c>
      <c r="C14" s="13" t="inlineStr">
        <is>
          <t>day</t>
        </is>
      </c>
      <c r="D14" s="15" t="n">
        <v>0.09</v>
      </c>
      <c r="E14" s="16" t="n">
        <v>617</v>
      </c>
      <c r="F14" s="16">
        <f>D14*E14</f>
        <v/>
      </c>
    </row>
    <row r="15">
      <c r="A15" s="13" t="inlineStr">
        <is>
          <t>9999</t>
        </is>
      </c>
      <c r="B15" s="14" t="inlineStr">
        <is>
          <t>Cement concrete 1:6:12</t>
        </is>
      </c>
      <c r="C15" s="13" t="inlineStr">
        <is>
          <t>L.S.</t>
        </is>
      </c>
      <c r="D15" s="15" t="n">
        <v>45.76</v>
      </c>
      <c r="E15" s="16" t="n">
        <v>2</v>
      </c>
      <c r="F15" s="16">
        <f>D15*E15</f>
        <v/>
      </c>
    </row>
    <row r="16">
      <c r="A16" s="13" t="inlineStr">
        <is>
          <t>9999</t>
        </is>
      </c>
      <c r="B16" s="14" t="inlineStr">
        <is>
          <t>Sundries</t>
        </is>
      </c>
      <c r="C16" s="13" t="inlineStr">
        <is>
          <t>L.S.</t>
        </is>
      </c>
      <c r="D16" s="15" t="n">
        <v>4.42</v>
      </c>
      <c r="E16" s="16" t="n">
        <v>2</v>
      </c>
      <c r="F16" s="16">
        <f>D16*E16</f>
        <v/>
      </c>
    </row>
    <row r="17">
      <c r="A17" s="17" t="inlineStr">
        <is>
          <t>Resource Total (Material + Labour + Machinery, as printed)</t>
        </is>
      </c>
      <c r="B17" s="18" t="n"/>
      <c r="C17" s="18" t="n"/>
      <c r="D17" s="18" t="n"/>
      <c r="E17" s="18" t="n"/>
      <c r="F17" s="19">
        <f>SUM(F7:F16)</f>
        <v/>
      </c>
    </row>
    <row r="18">
      <c r="A18" s="20" t="inlineStr">
        <is>
          <t>SAY (Rs.) — final DAR rate</t>
        </is>
      </c>
      <c r="B18" s="21" t="n"/>
      <c r="C18" s="21" t="n"/>
      <c r="D18" s="21" t="n"/>
      <c r="E18" s="21" t="n"/>
      <c r="F18" s="22" t="n">
        <v>6120.8</v>
      </c>
    </row>
    <row r="20" ht="18" customHeight="1">
      <c r="A20" s="9" t="inlineStr">
        <is>
          <t>7.2.1</t>
        </is>
      </c>
      <c r="B20" s="10" t="inlineStr">
        <is>
          <t>Cement mortar 1:6 (1 cement : 6 coarse sand)</t>
        </is>
      </c>
      <c r="C20" s="11" t="n"/>
      <c r="D20" s="11" t="n"/>
      <c r="E20" s="11" t="n"/>
      <c r="F20" s="11" t="n"/>
    </row>
    <row r="21">
      <c r="A21" s="12" t="inlineStr">
        <is>
          <t>Rate basis: per cum  (source: cost for 1 cum)</t>
        </is>
      </c>
    </row>
    <row r="22">
      <c r="A22" s="5" t="inlineStr">
        <is>
          <t>Code</t>
        </is>
      </c>
      <c r="B22" s="5" t="inlineStr">
        <is>
          <t>Description</t>
        </is>
      </c>
      <c r="C22" s="5" t="inlineStr">
        <is>
          <t>Unit</t>
        </is>
      </c>
      <c r="D22" s="5" t="inlineStr">
        <is>
          <t>Quantity</t>
        </is>
      </c>
      <c r="E22" s="5" t="inlineStr">
        <is>
          <t>Rate (Rs.)</t>
        </is>
      </c>
      <c r="F22" s="5" t="inlineStr">
        <is>
          <t>Amount (Rs.)</t>
        </is>
      </c>
    </row>
    <row r="23">
      <c r="A23" s="13" t="inlineStr">
        <is>
          <t>3.11</t>
        </is>
      </c>
      <c r="B23" s="14" t="inlineStr">
        <is>
          <t>Rate as per SH: 3.11</t>
        </is>
      </c>
      <c r="C23" s="13" t="inlineStr">
        <is>
          <t>cum</t>
        </is>
      </c>
      <c r="D23" s="15" t="n">
        <v>0.33</v>
      </c>
      <c r="E23" s="16" t="n">
        <v>3356.15</v>
      </c>
      <c r="F23" s="16">
        <f>D23*E23</f>
        <v/>
      </c>
    </row>
    <row r="24">
      <c r="A24" s="13" t="inlineStr">
        <is>
          <t>1157</t>
        </is>
      </c>
      <c r="B24" s="14" t="inlineStr">
        <is>
          <t>Stone for masonry work</t>
        </is>
      </c>
      <c r="C24" s="13" t="inlineStr">
        <is>
          <t>cum</t>
        </is>
      </c>
      <c r="D24" s="15" t="n">
        <v>1</v>
      </c>
      <c r="E24" s="16" t="n">
        <v>1100</v>
      </c>
      <c r="F24" s="16">
        <f>D24*E24</f>
        <v/>
      </c>
    </row>
    <row r="25">
      <c r="A25" s="13" t="inlineStr">
        <is>
          <t>1154</t>
        </is>
      </c>
      <c r="B25" s="14" t="inlineStr">
        <is>
          <t>Through and bond stone size 24 x 24 x39 cm</t>
        </is>
      </c>
      <c r="C25" s="13" t="inlineStr">
        <is>
          <t>100 Nos</t>
        </is>
      </c>
      <c r="D25" s="15" t="n">
        <v>0.07000000000000001</v>
      </c>
      <c r="E25" s="16" t="n">
        <v>5000</v>
      </c>
      <c r="F25" s="16">
        <f>D25*E25</f>
        <v/>
      </c>
    </row>
    <row r="26">
      <c r="A26" s="13" t="inlineStr">
        <is>
          <t>2215</t>
        </is>
      </c>
      <c r="B26" s="14" t="inlineStr">
        <is>
          <t>Carriage of Soling stone &amp; masonry stone</t>
        </is>
      </c>
      <c r="C26" s="13" t="inlineStr">
        <is>
          <t>cum</t>
        </is>
      </c>
      <c r="D26" s="15" t="n">
        <v>1.16</v>
      </c>
      <c r="E26" s="16" t="n">
        <v>122.08</v>
      </c>
      <c r="F26" s="16">
        <f>D26*E26</f>
        <v/>
      </c>
    </row>
    <row r="27">
      <c r="A27" s="13" t="inlineStr">
        <is>
          <t>0125</t>
        </is>
      </c>
      <c r="B27" s="14" t="inlineStr">
        <is>
          <t>Mason (for plain stone work) 2nd class)</t>
        </is>
      </c>
      <c r="C27" s="13" t="inlineStr">
        <is>
          <t>day</t>
        </is>
      </c>
      <c r="D27" s="15" t="n">
        <v>1.34</v>
      </c>
      <c r="E27" s="16" t="n">
        <v>679</v>
      </c>
      <c r="F27" s="16">
        <f>D27*E27</f>
        <v/>
      </c>
    </row>
    <row r="28">
      <c r="A28" s="13" t="inlineStr">
        <is>
          <t>0114</t>
        </is>
      </c>
      <c r="B28" s="14" t="inlineStr">
        <is>
          <t>Beldar</t>
        </is>
      </c>
      <c r="C28" s="13" t="inlineStr">
        <is>
          <t>day</t>
        </is>
      </c>
      <c r="D28" s="15" t="n">
        <v>1.45</v>
      </c>
      <c r="E28" s="16" t="n">
        <v>558</v>
      </c>
      <c r="F28" s="16">
        <f>D28*E28</f>
        <v/>
      </c>
    </row>
    <row r="29">
      <c r="A29" s="13" t="inlineStr">
        <is>
          <t>0115</t>
        </is>
      </c>
      <c r="B29" s="14" t="inlineStr">
        <is>
          <t>Coolie</t>
        </is>
      </c>
      <c r="C29" s="13" t="inlineStr">
        <is>
          <t>day</t>
        </is>
      </c>
      <c r="D29" s="15" t="n">
        <v>0.71</v>
      </c>
      <c r="E29" s="16" t="n">
        <v>558</v>
      </c>
      <c r="F29" s="16">
        <f>D29*E29</f>
        <v/>
      </c>
    </row>
    <row r="30">
      <c r="A30" s="13" t="inlineStr">
        <is>
          <t>0101</t>
        </is>
      </c>
      <c r="B30" s="14" t="inlineStr">
        <is>
          <t>Bhisti</t>
        </is>
      </c>
      <c r="C30" s="13" t="inlineStr">
        <is>
          <t>day</t>
        </is>
      </c>
      <c r="D30" s="15" t="n">
        <v>0.09</v>
      </c>
      <c r="E30" s="16" t="n">
        <v>617</v>
      </c>
      <c r="F30" s="16">
        <f>D30*E30</f>
        <v/>
      </c>
    </row>
    <row r="31">
      <c r="A31" s="13" t="inlineStr">
        <is>
          <t>9999</t>
        </is>
      </c>
      <c r="B31" s="14" t="inlineStr">
        <is>
          <t>Cement concrete 1:6:12</t>
        </is>
      </c>
      <c r="C31" s="13" t="inlineStr">
        <is>
          <t>L.S.</t>
        </is>
      </c>
      <c r="D31" s="15" t="n">
        <v>56.55</v>
      </c>
      <c r="E31" s="16" t="n">
        <v>2</v>
      </c>
      <c r="F31" s="16">
        <f>D31*E31</f>
        <v/>
      </c>
    </row>
    <row r="32">
      <c r="A32" s="13" t="inlineStr">
        <is>
          <t>0115</t>
        </is>
      </c>
      <c r="B32" s="14" t="inlineStr">
        <is>
          <t>Coolie</t>
        </is>
      </c>
      <c r="C32" s="13" t="inlineStr">
        <is>
          <t>day</t>
        </is>
      </c>
      <c r="D32" s="15" t="n">
        <v>1.13</v>
      </c>
      <c r="E32" s="16" t="n">
        <v>558</v>
      </c>
      <c r="F32" s="16">
        <f>D32*E32</f>
        <v/>
      </c>
    </row>
    <row r="33">
      <c r="A33" s="13" t="inlineStr">
        <is>
          <t>9999</t>
        </is>
      </c>
      <c r="B33" s="14" t="inlineStr">
        <is>
          <t>Sundries</t>
        </is>
      </c>
      <c r="C33" s="13" t="inlineStr">
        <is>
          <t>L.S.</t>
        </is>
      </c>
      <c r="D33" s="15" t="n">
        <v>15.21</v>
      </c>
      <c r="E33" s="16" t="n">
        <v>2</v>
      </c>
      <c r="F33" s="16">
        <f>D33*E33</f>
        <v/>
      </c>
    </row>
    <row r="34">
      <c r="A34" s="17" t="inlineStr">
        <is>
          <t>Resource Total (Material + Labour + Machinery, as printed)</t>
        </is>
      </c>
      <c r="B34" s="18" t="n"/>
      <c r="C34" s="18" t="n"/>
      <c r="D34" s="18" t="n"/>
      <c r="E34" s="18" t="n"/>
      <c r="F34" s="19">
        <f>SUM(F23:F33)</f>
        <v/>
      </c>
    </row>
    <row r="35">
      <c r="A35" s="20" t="inlineStr">
        <is>
          <t>SAY (Rs.) — final DAR rate</t>
        </is>
      </c>
      <c r="B35" s="21" t="n"/>
      <c r="C35" s="21" t="n"/>
      <c r="D35" s="21" t="n"/>
      <c r="E35" s="21" t="n"/>
      <c r="F35" s="22" t="n">
        <v>7489.95</v>
      </c>
    </row>
    <row r="37" ht="18" customHeight="1">
      <c r="A37" s="9" t="inlineStr">
        <is>
          <t>7.4.1</t>
        </is>
      </c>
      <c r="B37" s="10" t="inlineStr">
        <is>
          <t>Square or rectangular pillars</t>
        </is>
      </c>
      <c r="C37" s="11" t="n"/>
      <c r="D37" s="11" t="n"/>
      <c r="E37" s="11" t="n"/>
      <c r="F37" s="11" t="n"/>
    </row>
    <row r="38">
      <c r="A38" s="12" t="inlineStr">
        <is>
          <t>Rate basis: per cum  (source: cost for 1 cum)</t>
        </is>
      </c>
    </row>
    <row r="39">
      <c r="A39" s="5" t="inlineStr">
        <is>
          <t>Code</t>
        </is>
      </c>
      <c r="B39" s="5" t="inlineStr">
        <is>
          <t>Description</t>
        </is>
      </c>
      <c r="C39" s="5" t="inlineStr">
        <is>
          <t>Unit</t>
        </is>
      </c>
      <c r="D39" s="5" t="inlineStr">
        <is>
          <t>Quantity</t>
        </is>
      </c>
      <c r="E39" s="5" t="inlineStr">
        <is>
          <t>Rate (Rs.)</t>
        </is>
      </c>
      <c r="F39" s="5" t="inlineStr">
        <is>
          <t>Amount (Rs.)</t>
        </is>
      </c>
    </row>
    <row r="40">
      <c r="A40" s="13" t="inlineStr">
        <is>
          <t>0125</t>
        </is>
      </c>
      <c r="B40" s="14" t="inlineStr">
        <is>
          <t>Mason (for plain stone work) 2nd class)</t>
        </is>
      </c>
      <c r="C40" s="13" t="inlineStr">
        <is>
          <t>day</t>
        </is>
      </c>
      <c r="D40" s="15" t="n">
        <v>0.58</v>
      </c>
      <c r="E40" s="16" t="n">
        <v>679</v>
      </c>
      <c r="F40" s="16">
        <f>D40*E40</f>
        <v/>
      </c>
    </row>
    <row r="41">
      <c r="A41" s="13" t="inlineStr">
        <is>
          <t>0115</t>
        </is>
      </c>
      <c r="B41" s="14" t="inlineStr">
        <is>
          <t>Coolie</t>
        </is>
      </c>
      <c r="C41" s="13" t="inlineStr">
        <is>
          <t>day</t>
        </is>
      </c>
      <c r="D41" s="15" t="n">
        <v>0.27</v>
      </c>
      <c r="E41" s="16" t="n">
        <v>558</v>
      </c>
      <c r="F41" s="16">
        <f>D41*E41</f>
        <v/>
      </c>
    </row>
    <row r="42">
      <c r="A42" s="17" t="inlineStr">
        <is>
          <t>Resource Total (Material + Labour + Machinery, as printed)</t>
        </is>
      </c>
      <c r="B42" s="18" t="n"/>
      <c r="C42" s="18" t="n"/>
      <c r="D42" s="18" t="n"/>
      <c r="E42" s="18" t="n"/>
      <c r="F42" s="19">
        <f>SUM(F40:F41)</f>
        <v/>
      </c>
    </row>
    <row r="43">
      <c r="A43" s="20" t="inlineStr">
        <is>
          <t>SAY (Rs.) — final DAR rate</t>
        </is>
      </c>
      <c r="B43" s="21" t="n"/>
      <c r="C43" s="21" t="n"/>
      <c r="D43" s="21" t="n"/>
      <c r="E43" s="21" t="n"/>
      <c r="F43" s="22" t="n">
        <v>728.5</v>
      </c>
    </row>
    <row r="45" ht="18" customHeight="1">
      <c r="A45" s="9" t="inlineStr">
        <is>
          <t>7.4.2</t>
        </is>
      </c>
      <c r="B45" s="10" t="inlineStr">
        <is>
          <t>Circular pillars</t>
        </is>
      </c>
      <c r="C45" s="11" t="n"/>
      <c r="D45" s="11" t="n"/>
      <c r="E45" s="11" t="n"/>
      <c r="F45" s="11" t="n"/>
    </row>
    <row r="46">
      <c r="A46" s="12" t="inlineStr">
        <is>
          <t>Rate basis: per cum  (source: cost for 1 cum)</t>
        </is>
      </c>
    </row>
    <row r="47">
      <c r="A47" s="5" t="inlineStr">
        <is>
          <t>Code</t>
        </is>
      </c>
      <c r="B47" s="5" t="inlineStr">
        <is>
          <t>Description</t>
        </is>
      </c>
      <c r="C47" s="5" t="inlineStr">
        <is>
          <t>Unit</t>
        </is>
      </c>
      <c r="D47" s="5" t="inlineStr">
        <is>
          <t>Quantity</t>
        </is>
      </c>
      <c r="E47" s="5" t="inlineStr">
        <is>
          <t>Rate (Rs.)</t>
        </is>
      </c>
      <c r="F47" s="5" t="inlineStr">
        <is>
          <t>Amount (Rs.)</t>
        </is>
      </c>
    </row>
    <row r="48">
      <c r="A48" s="13" t="inlineStr">
        <is>
          <t>1157</t>
        </is>
      </c>
      <c r="B48" s="14" t="inlineStr">
        <is>
          <t>Stone for masonry work</t>
        </is>
      </c>
      <c r="C48" s="13" t="inlineStr">
        <is>
          <t>cum</t>
        </is>
      </c>
      <c r="D48" s="15" t="n">
        <v>0.29</v>
      </c>
      <c r="E48" s="16" t="n">
        <v>1100</v>
      </c>
      <c r="F48" s="16">
        <f>D48*E48</f>
        <v/>
      </c>
    </row>
    <row r="49">
      <c r="A49" s="13" t="inlineStr">
        <is>
          <t>2215</t>
        </is>
      </c>
      <c r="B49" s="14" t="inlineStr">
        <is>
          <t>Carriage of Soling stone &amp; masonry stone</t>
        </is>
      </c>
      <c r="C49" s="13" t="inlineStr">
        <is>
          <t>cum</t>
        </is>
      </c>
      <c r="D49" s="15" t="n">
        <v>0.29</v>
      </c>
      <c r="E49" s="16" t="n">
        <v>122.08</v>
      </c>
      <c r="F49" s="16">
        <f>D49*E49</f>
        <v/>
      </c>
    </row>
    <row r="50">
      <c r="A50" s="13" t="inlineStr">
        <is>
          <t>0125</t>
        </is>
      </c>
      <c r="B50" s="14" t="inlineStr">
        <is>
          <t>Mason (for plain stone work) 2nd class)</t>
        </is>
      </c>
      <c r="C50" s="13" t="inlineStr">
        <is>
          <t>day</t>
        </is>
      </c>
      <c r="D50" s="15" t="n">
        <v>1.42</v>
      </c>
      <c r="E50" s="16" t="n">
        <v>679</v>
      </c>
      <c r="F50" s="16">
        <f>D50*E50</f>
        <v/>
      </c>
    </row>
    <row r="51">
      <c r="A51" s="13" t="inlineStr">
        <is>
          <t>0115</t>
        </is>
      </c>
      <c r="B51" s="14" t="inlineStr">
        <is>
          <t>Coolie</t>
        </is>
      </c>
      <c r="C51" s="13" t="inlineStr">
        <is>
          <t>day</t>
        </is>
      </c>
      <c r="D51" s="15" t="n">
        <v>0.35</v>
      </c>
      <c r="E51" s="16" t="n">
        <v>558</v>
      </c>
      <c r="F51" s="16">
        <f>D51*E51</f>
        <v/>
      </c>
    </row>
    <row r="52">
      <c r="A52" s="17" t="inlineStr">
        <is>
          <t>Resource Total (Material + Labour + Machinery, as printed)</t>
        </is>
      </c>
      <c r="B52" s="18" t="n"/>
      <c r="C52" s="18" t="n"/>
      <c r="D52" s="18" t="n"/>
      <c r="E52" s="18" t="n"/>
      <c r="F52" s="19">
        <f>SUM(F48:F51)</f>
        <v/>
      </c>
    </row>
    <row r="53">
      <c r="A53" s="20" t="inlineStr">
        <is>
          <t>SAY (Rs.) — final DAR rate</t>
        </is>
      </c>
      <c r="B53" s="21" t="n"/>
      <c r="C53" s="21" t="n"/>
      <c r="D53" s="21" t="n"/>
      <c r="E53" s="21" t="n"/>
      <c r="F53" s="22" t="n">
        <v>2025.5</v>
      </c>
    </row>
    <row r="55" ht="28" customHeight="1">
      <c r="A55" s="9" t="inlineStr">
        <is>
          <t>7.5</t>
        </is>
      </c>
      <c r="B55" s="10" t="inlineStr">
        <is>
          <t>Extra for random rubble masonry with hard stone curved on plan for a mean radius not exceeding 6 m.</t>
        </is>
      </c>
      <c r="C55" s="11" t="n"/>
      <c r="D55" s="11" t="n"/>
      <c r="E55" s="11" t="n"/>
      <c r="F55" s="11" t="n"/>
    </row>
    <row r="56">
      <c r="A56" s="12" t="inlineStr">
        <is>
          <t>Rate basis: per cum  (source: cost for 1 cum)</t>
        </is>
      </c>
    </row>
    <row r="57">
      <c r="A57" s="5" t="inlineStr">
        <is>
          <t>Code</t>
        </is>
      </c>
      <c r="B57" s="5" t="inlineStr">
        <is>
          <t>Description</t>
        </is>
      </c>
      <c r="C57" s="5" t="inlineStr">
        <is>
          <t>Unit</t>
        </is>
      </c>
      <c r="D57" s="5" t="inlineStr">
        <is>
          <t>Quantity</t>
        </is>
      </c>
      <c r="E57" s="5" t="inlineStr">
        <is>
          <t>Rate (Rs.)</t>
        </is>
      </c>
      <c r="F57" s="5" t="inlineStr">
        <is>
          <t>Amount (Rs.)</t>
        </is>
      </c>
    </row>
    <row r="58">
      <c r="A58" s="13" t="inlineStr">
        <is>
          <t>1157</t>
        </is>
      </c>
      <c r="B58" s="14" t="inlineStr">
        <is>
          <t>Stone for masonry work</t>
        </is>
      </c>
      <c r="C58" s="13" t="inlineStr">
        <is>
          <t>cum</t>
        </is>
      </c>
      <c r="D58" s="15" t="n">
        <v>0.1</v>
      </c>
      <c r="E58" s="16" t="n">
        <v>1100</v>
      </c>
      <c r="F58" s="16">
        <f>D58*E58</f>
        <v/>
      </c>
    </row>
    <row r="59">
      <c r="A59" s="13" t="inlineStr">
        <is>
          <t>2215</t>
        </is>
      </c>
      <c r="B59" s="14" t="inlineStr">
        <is>
          <t>Carriage of Soling stone &amp; masonry stone</t>
        </is>
      </c>
      <c r="C59" s="13" t="inlineStr">
        <is>
          <t>cum</t>
        </is>
      </c>
      <c r="D59" s="15" t="n">
        <v>0.1</v>
      </c>
      <c r="E59" s="16" t="n">
        <v>122.08</v>
      </c>
      <c r="F59" s="16">
        <f>D59*E59</f>
        <v/>
      </c>
    </row>
    <row r="60">
      <c r="A60" s="13" t="inlineStr">
        <is>
          <t>0125</t>
        </is>
      </c>
      <c r="B60" s="14" t="inlineStr">
        <is>
          <t>Mason (for plain stone work) 2nd class)</t>
        </is>
      </c>
      <c r="C60" s="13" t="inlineStr">
        <is>
          <t>day</t>
        </is>
      </c>
      <c r="D60" s="15" t="n">
        <v>0.27</v>
      </c>
      <c r="E60" s="16" t="n">
        <v>679</v>
      </c>
      <c r="F60" s="16">
        <f>D60*E60</f>
        <v/>
      </c>
    </row>
    <row r="61">
      <c r="A61" s="13" t="inlineStr">
        <is>
          <t>0115</t>
        </is>
      </c>
      <c r="B61" s="14" t="inlineStr">
        <is>
          <t>Coolie</t>
        </is>
      </c>
      <c r="C61" s="13" t="inlineStr">
        <is>
          <t>day</t>
        </is>
      </c>
      <c r="D61" s="15" t="n">
        <v>0.53</v>
      </c>
      <c r="E61" s="16" t="n">
        <v>558</v>
      </c>
      <c r="F61" s="16">
        <f>D61*E61</f>
        <v/>
      </c>
    </row>
    <row r="62">
      <c r="A62" s="17" t="inlineStr">
        <is>
          <t>Resource Total (Material + Labour + Machinery, as printed)</t>
        </is>
      </c>
      <c r="B62" s="18" t="n"/>
      <c r="C62" s="18" t="n"/>
      <c r="D62" s="18" t="n"/>
      <c r="E62" s="18" t="n"/>
      <c r="F62" s="19">
        <f>SUM(F58:F61)</f>
        <v/>
      </c>
    </row>
    <row r="63">
      <c r="A63" s="20" t="inlineStr">
        <is>
          <t>SAY (Rs.) — final DAR rate</t>
        </is>
      </c>
      <c r="B63" s="21" t="n"/>
      <c r="C63" s="21" t="n"/>
      <c r="D63" s="21" t="n"/>
      <c r="E63" s="21" t="n"/>
      <c r="F63" s="22" t="n">
        <v>804.45</v>
      </c>
    </row>
    <row r="65" ht="18" customHeight="1">
      <c r="A65" s="9" t="inlineStr">
        <is>
          <t>7.6.1</t>
        </is>
      </c>
      <c r="B65" s="10" t="inlineStr">
        <is>
          <t>Cement mortar 1:6 (1 cement : 6 coarse sand)</t>
        </is>
      </c>
      <c r="C65" s="11" t="n"/>
      <c r="D65" s="11" t="n"/>
      <c r="E65" s="11" t="n"/>
      <c r="F65" s="11" t="n"/>
    </row>
    <row r="66">
      <c r="A66" s="12" t="inlineStr">
        <is>
          <t>Rate basis: per cum  (source: cost for 1 cum)</t>
        </is>
      </c>
    </row>
    <row r="67">
      <c r="A67" s="5" t="inlineStr">
        <is>
          <t>Code</t>
        </is>
      </c>
      <c r="B67" s="5" t="inlineStr">
        <is>
          <t>Description</t>
        </is>
      </c>
      <c r="C67" s="5" t="inlineStr">
        <is>
          <t>Unit</t>
        </is>
      </c>
      <c r="D67" s="5" t="inlineStr">
        <is>
          <t>Quantity</t>
        </is>
      </c>
      <c r="E67" s="5" t="inlineStr">
        <is>
          <t>Rate (Rs.)</t>
        </is>
      </c>
      <c r="F67" s="5" t="inlineStr">
        <is>
          <t>Amount (Rs.)</t>
        </is>
      </c>
    </row>
    <row r="68">
      <c r="A68" s="13" t="inlineStr">
        <is>
          <t>3.11</t>
        </is>
      </c>
      <c r="B68" s="14" t="inlineStr">
        <is>
          <t>Rate as per SH: 3.11</t>
        </is>
      </c>
      <c r="C68" s="13" t="inlineStr">
        <is>
          <t>cum</t>
        </is>
      </c>
      <c r="D68" s="15" t="n">
        <v>0.3</v>
      </c>
      <c r="E68" s="16" t="n">
        <v>3356.15</v>
      </c>
      <c r="F68" s="16">
        <f>D68*E68</f>
        <v/>
      </c>
    </row>
    <row r="69">
      <c r="A69" s="13" t="inlineStr">
        <is>
          <t>1157</t>
        </is>
      </c>
      <c r="B69" s="14" t="inlineStr">
        <is>
          <t>Stone for masonry work</t>
        </is>
      </c>
      <c r="C69" s="13" t="inlineStr">
        <is>
          <t>cum</t>
        </is>
      </c>
      <c r="D69" s="15" t="n">
        <v>1.21</v>
      </c>
      <c r="E69" s="16" t="n">
        <v>1100</v>
      </c>
      <c r="F69" s="16">
        <f>D69*E69</f>
        <v/>
      </c>
    </row>
    <row r="70">
      <c r="A70" s="13" t="inlineStr">
        <is>
          <t>1154</t>
        </is>
      </c>
      <c r="B70" s="14" t="inlineStr">
        <is>
          <t>Through and bond stone size 24 x24 x39 cm</t>
        </is>
      </c>
      <c r="C70" s="13" t="inlineStr">
        <is>
          <t>100 Nos</t>
        </is>
      </c>
      <c r="D70" s="15" t="n">
        <v>0.07000000000000001</v>
      </c>
      <c r="E70" s="16" t="n">
        <v>5000</v>
      </c>
      <c r="F70" s="16">
        <f>D70*E70</f>
        <v/>
      </c>
    </row>
    <row r="71">
      <c r="A71" s="13" t="inlineStr">
        <is>
          <t>2215</t>
        </is>
      </c>
      <c r="B71" s="14" t="inlineStr">
        <is>
          <t>Carriage of Soling stone &amp; masonry stone</t>
        </is>
      </c>
      <c r="C71" s="13" t="inlineStr">
        <is>
          <t>cum</t>
        </is>
      </c>
      <c r="D71" s="15" t="n">
        <v>1.37</v>
      </c>
      <c r="E71" s="16" t="n">
        <v>122.08</v>
      </c>
      <c r="F71" s="16">
        <f>D71*E71</f>
        <v/>
      </c>
    </row>
    <row r="72">
      <c r="A72" s="13" t="inlineStr">
        <is>
          <t>0125</t>
        </is>
      </c>
      <c r="B72" s="14" t="inlineStr">
        <is>
          <t>Mason (for plain stone work) 2nd class)</t>
        </is>
      </c>
      <c r="C72" s="13" t="inlineStr">
        <is>
          <t>day</t>
        </is>
      </c>
      <c r="D72" s="15" t="n">
        <v>2.12</v>
      </c>
      <c r="E72" s="16" t="n">
        <v>679</v>
      </c>
      <c r="F72" s="16">
        <f>D72*E72</f>
        <v/>
      </c>
    </row>
    <row r="73">
      <c r="A73" s="13" t="inlineStr">
        <is>
          <t>0114</t>
        </is>
      </c>
      <c r="B73" s="14" t="inlineStr">
        <is>
          <t>Beldar</t>
        </is>
      </c>
      <c r="C73" s="13" t="inlineStr">
        <is>
          <t>day</t>
        </is>
      </c>
      <c r="D73" s="15" t="n">
        <v>1.24</v>
      </c>
      <c r="E73" s="16" t="n">
        <v>558</v>
      </c>
      <c r="F73" s="16">
        <f>D73*E73</f>
        <v/>
      </c>
    </row>
    <row r="74">
      <c r="A74" s="13" t="inlineStr">
        <is>
          <t>0115</t>
        </is>
      </c>
      <c r="B74" s="14" t="inlineStr">
        <is>
          <t>Coolie</t>
        </is>
      </c>
      <c r="C74" s="13" t="inlineStr">
        <is>
          <t>day</t>
        </is>
      </c>
      <c r="D74" s="15" t="n">
        <v>0.71</v>
      </c>
      <c r="E74" s="16" t="n">
        <v>558</v>
      </c>
      <c r="F74" s="16">
        <f>D74*E74</f>
        <v/>
      </c>
    </row>
    <row r="75">
      <c r="A75" s="13" t="inlineStr">
        <is>
          <t>0101</t>
        </is>
      </c>
      <c r="B75" s="14" t="inlineStr">
        <is>
          <t>Bhisti</t>
        </is>
      </c>
      <c r="C75" s="13" t="inlineStr">
        <is>
          <t>day</t>
        </is>
      </c>
      <c r="D75" s="15" t="n">
        <v>0.09</v>
      </c>
      <c r="E75" s="16" t="n">
        <v>617</v>
      </c>
      <c r="F75" s="16">
        <f>D75*E75</f>
        <v/>
      </c>
    </row>
    <row r="76">
      <c r="A76" s="13" t="inlineStr">
        <is>
          <t>9999</t>
        </is>
      </c>
      <c r="B76" s="14" t="inlineStr">
        <is>
          <t>Sundries</t>
        </is>
      </c>
      <c r="C76" s="13" t="inlineStr">
        <is>
          <t>L.S.</t>
        </is>
      </c>
      <c r="D76" s="15" t="n">
        <v>13.52</v>
      </c>
      <c r="E76" s="16" t="n">
        <v>2</v>
      </c>
      <c r="F76" s="16">
        <f>D76*E76</f>
        <v/>
      </c>
    </row>
    <row r="77">
      <c r="A77" s="17" t="inlineStr">
        <is>
          <t>Resource Total (Material + Labour + Machinery, as printed)</t>
        </is>
      </c>
      <c r="B77" s="18" t="n"/>
      <c r="C77" s="18" t="n"/>
      <c r="D77" s="18" t="n"/>
      <c r="E77" s="18" t="n"/>
      <c r="F77" s="19">
        <f>SUM(F68:F76)</f>
        <v/>
      </c>
    </row>
    <row r="78">
      <c r="A78" s="20" t="inlineStr">
        <is>
          <t>SAY (Rs.) — final DAR rate</t>
        </is>
      </c>
      <c r="B78" s="21" t="n"/>
      <c r="C78" s="21" t="n"/>
      <c r="D78" s="21" t="n"/>
      <c r="E78" s="21" t="n"/>
      <c r="F78" s="22" t="n">
        <v>7312.15</v>
      </c>
    </row>
    <row r="80" ht="18" customHeight="1">
      <c r="A80" s="9" t="inlineStr">
        <is>
          <t>7.7.1</t>
        </is>
      </c>
      <c r="B80" s="10" t="inlineStr">
        <is>
          <t>Cement mortar 1:6 (1 cement : 6 coarse sand)</t>
        </is>
      </c>
      <c r="C80" s="11" t="n"/>
      <c r="D80" s="11" t="n"/>
      <c r="E80" s="11" t="n"/>
      <c r="F80" s="11" t="n"/>
    </row>
    <row r="81">
      <c r="A81" s="12" t="inlineStr">
        <is>
          <t>Rate basis: per cum  (source: cost for 1 cum)</t>
        </is>
      </c>
    </row>
    <row r="82">
      <c r="A82" s="5" t="inlineStr">
        <is>
          <t>Code</t>
        </is>
      </c>
      <c r="B82" s="5" t="inlineStr">
        <is>
          <t>Description</t>
        </is>
      </c>
      <c r="C82" s="5" t="inlineStr">
        <is>
          <t>Unit</t>
        </is>
      </c>
      <c r="D82" s="5" t="inlineStr">
        <is>
          <t>Quantity</t>
        </is>
      </c>
      <c r="E82" s="5" t="inlineStr">
        <is>
          <t>Rate (Rs.)</t>
        </is>
      </c>
      <c r="F82" s="5" t="inlineStr">
        <is>
          <t>Amount (Rs.)</t>
        </is>
      </c>
    </row>
    <row r="83">
      <c r="A83" s="13" t="inlineStr">
        <is>
          <t>3.11</t>
        </is>
      </c>
      <c r="B83" s="14" t="inlineStr">
        <is>
          <t>Rate as per SH: 3.11</t>
        </is>
      </c>
      <c r="C83" s="13" t="inlineStr">
        <is>
          <t>cum</t>
        </is>
      </c>
      <c r="D83" s="15" t="n">
        <v>0.3</v>
      </c>
      <c r="E83" s="16" t="n">
        <v>3356.15</v>
      </c>
      <c r="F83" s="16">
        <f>D83*E83</f>
        <v/>
      </c>
    </row>
    <row r="84">
      <c r="A84" s="13" t="inlineStr">
        <is>
          <t>1157</t>
        </is>
      </c>
      <c r="B84" s="14" t="inlineStr">
        <is>
          <t>Stone for masonry work</t>
        </is>
      </c>
      <c r="C84" s="13" t="inlineStr">
        <is>
          <t>cum</t>
        </is>
      </c>
      <c r="D84" s="15" t="n">
        <v>1.1</v>
      </c>
      <c r="E84" s="16" t="n">
        <v>1100</v>
      </c>
      <c r="F84" s="16">
        <f>D84*E84</f>
        <v/>
      </c>
    </row>
    <row r="85">
      <c r="A85" s="13" t="inlineStr">
        <is>
          <t>1154</t>
        </is>
      </c>
      <c r="B85" s="14" t="inlineStr">
        <is>
          <t>Through and bond stone size 24 x 24 x39 cm</t>
        </is>
      </c>
      <c r="C85" s="13" t="inlineStr">
        <is>
          <t>100 Nos</t>
        </is>
      </c>
      <c r="D85" s="15" t="n">
        <v>0.07000000000000001</v>
      </c>
      <c r="E85" s="16" t="n">
        <v>5000</v>
      </c>
      <c r="F85" s="16">
        <f>D85*E85</f>
        <v/>
      </c>
    </row>
    <row r="86">
      <c r="A86" s="13" t="inlineStr">
        <is>
          <t>2215</t>
        </is>
      </c>
      <c r="B86" s="14" t="inlineStr">
        <is>
          <t>Carriage of Soling stone &amp; masonry stone</t>
        </is>
      </c>
      <c r="C86" s="13" t="inlineStr">
        <is>
          <t>cum</t>
        </is>
      </c>
      <c r="D86" s="15" t="n">
        <v>1.26</v>
      </c>
      <c r="E86" s="16" t="n">
        <v>122.08</v>
      </c>
      <c r="F86" s="16">
        <f>D86*E86</f>
        <v/>
      </c>
    </row>
    <row r="87">
      <c r="A87" s="13" t="inlineStr">
        <is>
          <t>0125</t>
        </is>
      </c>
      <c r="B87" s="14" t="inlineStr">
        <is>
          <t>Mason (for plain stone work) 2nd class)</t>
        </is>
      </c>
      <c r="C87" s="13" t="inlineStr">
        <is>
          <t>day</t>
        </is>
      </c>
      <c r="D87" s="15" t="n">
        <v>1.76</v>
      </c>
      <c r="E87" s="16" t="n">
        <v>679</v>
      </c>
      <c r="F87" s="16">
        <f>D87*E87</f>
        <v/>
      </c>
    </row>
    <row r="88">
      <c r="A88" s="13" t="inlineStr">
        <is>
          <t>0114</t>
        </is>
      </c>
      <c r="B88" s="14" t="inlineStr">
        <is>
          <t>Beldar</t>
        </is>
      </c>
      <c r="C88" s="13" t="inlineStr">
        <is>
          <t>day</t>
        </is>
      </c>
      <c r="D88" s="15" t="n">
        <v>1.24</v>
      </c>
      <c r="E88" s="16" t="n">
        <v>558</v>
      </c>
      <c r="F88" s="16">
        <f>D88*E88</f>
        <v/>
      </c>
    </row>
    <row r="89">
      <c r="A89" s="13" t="inlineStr">
        <is>
          <t>0115</t>
        </is>
      </c>
      <c r="B89" s="14" t="inlineStr">
        <is>
          <t>Coolie</t>
        </is>
      </c>
      <c r="C89" s="13" t="inlineStr">
        <is>
          <t>day</t>
        </is>
      </c>
      <c r="D89" s="15" t="n">
        <v>0.71</v>
      </c>
      <c r="E89" s="16" t="n">
        <v>558</v>
      </c>
      <c r="F89" s="16">
        <f>D89*E89</f>
        <v/>
      </c>
    </row>
    <row r="90">
      <c r="A90" s="13" t="inlineStr">
        <is>
          <t>0101</t>
        </is>
      </c>
      <c r="B90" s="14" t="inlineStr">
        <is>
          <t>Bhisti</t>
        </is>
      </c>
      <c r="C90" s="13" t="inlineStr">
        <is>
          <t>day</t>
        </is>
      </c>
      <c r="D90" s="15" t="n">
        <v>0.09</v>
      </c>
      <c r="E90" s="16" t="n">
        <v>617</v>
      </c>
      <c r="F90" s="16">
        <f>D90*E90</f>
        <v/>
      </c>
    </row>
    <row r="91">
      <c r="A91" s="13" t="inlineStr">
        <is>
          <t>9999</t>
        </is>
      </c>
      <c r="B91" s="14" t="inlineStr">
        <is>
          <t>Sundries</t>
        </is>
      </c>
      <c r="C91" s="13" t="inlineStr">
        <is>
          <t>L.S.</t>
        </is>
      </c>
      <c r="D91" s="15" t="n">
        <v>13.52</v>
      </c>
      <c r="E91" s="16" t="n">
        <v>2</v>
      </c>
      <c r="F91" s="16">
        <f>D91*E91</f>
        <v/>
      </c>
    </row>
    <row r="92">
      <c r="A92" s="17" t="inlineStr">
        <is>
          <t>Resource Total (Material + Labour + Machinery, as printed)</t>
        </is>
      </c>
      <c r="B92" s="18" t="n"/>
      <c r="C92" s="18" t="n"/>
      <c r="D92" s="18" t="n"/>
      <c r="E92" s="18" t="n"/>
      <c r="F92" s="19">
        <f>SUM(F83:F91)</f>
        <v/>
      </c>
    </row>
    <row r="93">
      <c r="A93" s="20" t="inlineStr">
        <is>
          <t>SAY (Rs.) — final DAR rate</t>
        </is>
      </c>
      <c r="B93" s="21" t="n"/>
      <c r="C93" s="21" t="n"/>
      <c r="D93" s="21" t="n"/>
      <c r="E93" s="21" t="n"/>
      <c r="F93" s="22" t="n">
        <v>6805.25</v>
      </c>
    </row>
    <row r="95" ht="18" customHeight="1">
      <c r="A95" s="9" t="inlineStr">
        <is>
          <t>7.8.1</t>
        </is>
      </c>
      <c r="B95" s="10" t="inlineStr">
        <is>
          <t>Masonry work (first sort), in cement mortar 1:6 (1 cement : 6 coarse sand)</t>
        </is>
      </c>
      <c r="C95" s="11" t="n"/>
      <c r="D95" s="11" t="n"/>
      <c r="E95" s="11" t="n"/>
      <c r="F95" s="11" t="n"/>
    </row>
    <row r="96">
      <c r="A96" s="12" t="inlineStr">
        <is>
          <t>Rate basis: per cum  (source: cost for 1 cum)</t>
        </is>
      </c>
    </row>
    <row r="97">
      <c r="A97" s="5" t="inlineStr">
        <is>
          <t>Code</t>
        </is>
      </c>
      <c r="B97" s="5" t="inlineStr">
        <is>
          <t>Description</t>
        </is>
      </c>
      <c r="C97" s="5" t="inlineStr">
        <is>
          <t>Unit</t>
        </is>
      </c>
      <c r="D97" s="5" t="inlineStr">
        <is>
          <t>Quantity</t>
        </is>
      </c>
      <c r="E97" s="5" t="inlineStr">
        <is>
          <t>Rate (Rs.)</t>
        </is>
      </c>
      <c r="F97" s="5" t="inlineStr">
        <is>
          <t>Amount (Rs.)</t>
        </is>
      </c>
    </row>
    <row r="98">
      <c r="A98" s="13" t="inlineStr">
        <is>
          <t>3.11</t>
        </is>
      </c>
      <c r="B98" s="14" t="inlineStr">
        <is>
          <t>Rate as per SH: 3.11</t>
        </is>
      </c>
      <c r="C98" s="13" t="inlineStr">
        <is>
          <t>cum</t>
        </is>
      </c>
      <c r="D98" s="15" t="n">
        <v>0.3</v>
      </c>
      <c r="E98" s="16" t="n">
        <v>3356.15</v>
      </c>
      <c r="F98" s="16">
        <f>D98*E98</f>
        <v/>
      </c>
    </row>
    <row r="99">
      <c r="A99" s="13" t="inlineStr">
        <is>
          <t>1157</t>
        </is>
      </c>
      <c r="B99" s="14" t="inlineStr">
        <is>
          <t>Stone for masonry work</t>
        </is>
      </c>
      <c r="C99" s="13" t="inlineStr">
        <is>
          <t>cum</t>
        </is>
      </c>
      <c r="D99" s="15" t="n">
        <v>1.21</v>
      </c>
      <c r="E99" s="16" t="n">
        <v>1100</v>
      </c>
      <c r="F99" s="16">
        <f>D99*E99</f>
        <v/>
      </c>
    </row>
    <row r="100">
      <c r="A100" s="13" t="inlineStr">
        <is>
          <t>1154</t>
        </is>
      </c>
      <c r="B100" s="14" t="inlineStr">
        <is>
          <t>Through and bond stone size 24 x 24 x39 cm</t>
        </is>
      </c>
      <c r="C100" s="13" t="inlineStr">
        <is>
          <t>100 Nos</t>
        </is>
      </c>
      <c r="D100" s="15" t="n">
        <v>0.07000000000000001</v>
      </c>
      <c r="E100" s="16" t="n">
        <v>5000</v>
      </c>
      <c r="F100" s="16">
        <f>D100*E100</f>
        <v/>
      </c>
    </row>
    <row r="101">
      <c r="A101" s="13" t="inlineStr">
        <is>
          <t>2215</t>
        </is>
      </c>
      <c r="B101" s="14" t="inlineStr">
        <is>
          <t>Carriage of Soling stone &amp; masonry stone</t>
        </is>
      </c>
      <c r="C101" s="13" t="inlineStr">
        <is>
          <t>cum</t>
        </is>
      </c>
      <c r="D101" s="15" t="n">
        <v>1.37</v>
      </c>
      <c r="E101" s="16" t="n">
        <v>122.08</v>
      </c>
      <c r="F101" s="16">
        <f>D101*E101</f>
        <v/>
      </c>
    </row>
    <row r="102">
      <c r="A102" s="13" t="inlineStr">
        <is>
          <t>0125</t>
        </is>
      </c>
      <c r="B102" s="14" t="inlineStr">
        <is>
          <t>Mason (for plain stone work) 2nd class)</t>
        </is>
      </c>
      <c r="C102" s="13" t="inlineStr">
        <is>
          <t>day</t>
        </is>
      </c>
      <c r="D102" s="15" t="n">
        <v>2.38</v>
      </c>
      <c r="E102" s="16" t="n">
        <v>679</v>
      </c>
      <c r="F102" s="16">
        <f>D102*E102</f>
        <v/>
      </c>
    </row>
    <row r="103">
      <c r="A103" s="13" t="inlineStr">
        <is>
          <t>0114</t>
        </is>
      </c>
      <c r="B103" s="14" t="inlineStr">
        <is>
          <t>Beldar</t>
        </is>
      </c>
      <c r="C103" s="13" t="inlineStr">
        <is>
          <t>day</t>
        </is>
      </c>
      <c r="D103" s="15" t="n">
        <v>1.59</v>
      </c>
      <c r="E103" s="16" t="n">
        <v>558</v>
      </c>
      <c r="F103" s="16">
        <f>D103*E103</f>
        <v/>
      </c>
    </row>
    <row r="104">
      <c r="A104" s="13" t="inlineStr">
        <is>
          <t>0115</t>
        </is>
      </c>
      <c r="B104" s="14" t="inlineStr">
        <is>
          <t>Coolie</t>
        </is>
      </c>
      <c r="C104" s="13" t="inlineStr">
        <is>
          <t>day</t>
        </is>
      </c>
      <c r="D104" s="15" t="n">
        <v>0.71</v>
      </c>
      <c r="E104" s="16" t="n">
        <v>558</v>
      </c>
      <c r="F104" s="16">
        <f>D104*E104</f>
        <v/>
      </c>
    </row>
    <row r="105">
      <c r="A105" s="13" t="inlineStr">
        <is>
          <t>0101</t>
        </is>
      </c>
      <c r="B105" s="14" t="inlineStr">
        <is>
          <t>Bhisti</t>
        </is>
      </c>
      <c r="C105" s="13" t="inlineStr">
        <is>
          <t>day</t>
        </is>
      </c>
      <c r="D105" s="15" t="n">
        <v>0.09</v>
      </c>
      <c r="E105" s="16" t="n">
        <v>617</v>
      </c>
      <c r="F105" s="16">
        <f>D105*E105</f>
        <v/>
      </c>
    </row>
    <row r="106">
      <c r="A106" s="13" t="inlineStr">
        <is>
          <t>0115</t>
        </is>
      </c>
      <c r="B106" s="14" t="inlineStr">
        <is>
          <t>Coolie</t>
        </is>
      </c>
      <c r="C106" s="13" t="inlineStr">
        <is>
          <t>day</t>
        </is>
      </c>
      <c r="D106" s="15" t="n">
        <v>1.13</v>
      </c>
      <c r="E106" s="16" t="n">
        <v>558</v>
      </c>
      <c r="F106" s="16">
        <f>D106*E106</f>
        <v/>
      </c>
    </row>
    <row r="107">
      <c r="A107" s="13" t="inlineStr">
        <is>
          <t>9999</t>
        </is>
      </c>
      <c r="B107" s="14" t="inlineStr">
        <is>
          <t>Sundries, scaffolding etc.</t>
        </is>
      </c>
      <c r="C107" s="13" t="inlineStr">
        <is>
          <t>L.S.</t>
        </is>
      </c>
      <c r="D107" s="15" t="n">
        <v>37.7</v>
      </c>
      <c r="E107" s="16" t="n">
        <v>2</v>
      </c>
      <c r="F107" s="16">
        <f>D107*E107</f>
        <v/>
      </c>
    </row>
    <row r="108">
      <c r="A108" s="17" t="inlineStr">
        <is>
          <t>Resource Total (Material + Labour + Machinery, as printed)</t>
        </is>
      </c>
      <c r="B108" s="18" t="n"/>
      <c r="C108" s="18" t="n"/>
      <c r="D108" s="18" t="n"/>
      <c r="E108" s="18" t="n"/>
      <c r="F108" s="19">
        <f>SUM(F98:F107)</f>
        <v/>
      </c>
    </row>
    <row r="109">
      <c r="A109" s="20" t="inlineStr">
        <is>
          <t>SAY (Rs.) — final DAR rate</t>
        </is>
      </c>
      <c r="B109" s="21" t="n"/>
      <c r="C109" s="21" t="n"/>
      <c r="D109" s="21" t="n"/>
      <c r="E109" s="21" t="n"/>
      <c r="F109" s="22" t="n">
        <v>8718</v>
      </c>
    </row>
    <row r="111" ht="18" customHeight="1">
      <c r="A111" s="9" t="inlineStr">
        <is>
          <t>7.8.2</t>
        </is>
      </c>
      <c r="B111" s="10" t="inlineStr">
        <is>
          <t>Masonry work (second sort), in cement mortar 1:6 (1 cement: 6 coarse sand)</t>
        </is>
      </c>
      <c r="C111" s="11" t="n"/>
      <c r="D111" s="11" t="n"/>
      <c r="E111" s="11" t="n"/>
      <c r="F111" s="11" t="n"/>
    </row>
    <row r="112">
      <c r="A112" s="12" t="inlineStr">
        <is>
          <t>Rate basis: per cum  (source: cost for 1 cum)</t>
        </is>
      </c>
    </row>
    <row r="113">
      <c r="A113" s="5" t="inlineStr">
        <is>
          <t>Code</t>
        </is>
      </c>
      <c r="B113" s="5" t="inlineStr">
        <is>
          <t>Description</t>
        </is>
      </c>
      <c r="C113" s="5" t="inlineStr">
        <is>
          <t>Unit</t>
        </is>
      </c>
      <c r="D113" s="5" t="inlineStr">
        <is>
          <t>Quantity</t>
        </is>
      </c>
      <c r="E113" s="5" t="inlineStr">
        <is>
          <t>Rate (Rs.)</t>
        </is>
      </c>
      <c r="F113" s="5" t="inlineStr">
        <is>
          <t>Amount (Rs.)</t>
        </is>
      </c>
    </row>
    <row r="114">
      <c r="A114" s="13" t="inlineStr">
        <is>
          <t>3.11</t>
        </is>
      </c>
      <c r="B114" s="14" t="inlineStr">
        <is>
          <t>Rate as per SH: 3.11</t>
        </is>
      </c>
      <c r="C114" s="13" t="inlineStr">
        <is>
          <t>cum</t>
        </is>
      </c>
      <c r="D114" s="15" t="n">
        <v>0.3</v>
      </c>
      <c r="E114" s="16" t="n">
        <v>3356.15</v>
      </c>
      <c r="F114" s="16">
        <f>D114*E114</f>
        <v/>
      </c>
    </row>
    <row r="115">
      <c r="A115" s="13" t="inlineStr">
        <is>
          <t>1157</t>
        </is>
      </c>
      <c r="B115" s="14" t="inlineStr">
        <is>
          <t>Stone for masonry work</t>
        </is>
      </c>
      <c r="C115" s="13" t="inlineStr">
        <is>
          <t>cum</t>
        </is>
      </c>
      <c r="D115" s="15" t="n">
        <v>1.1</v>
      </c>
      <c r="E115" s="16" t="n">
        <v>1100</v>
      </c>
      <c r="F115" s="16">
        <f>D115*E115</f>
        <v/>
      </c>
    </row>
    <row r="116">
      <c r="A116" s="13" t="inlineStr">
        <is>
          <t>1154</t>
        </is>
      </c>
      <c r="B116" s="14" t="inlineStr">
        <is>
          <t>Through and bond stone size 24 x24 x39 cm</t>
        </is>
      </c>
      <c r="C116" s="13" t="inlineStr">
        <is>
          <t>100 Nos</t>
        </is>
      </c>
      <c r="D116" s="15" t="n">
        <v>0.07000000000000001</v>
      </c>
      <c r="E116" s="16" t="n">
        <v>5000</v>
      </c>
      <c r="F116" s="16">
        <f>D116*E116</f>
        <v/>
      </c>
    </row>
    <row r="117">
      <c r="A117" s="13" t="inlineStr">
        <is>
          <t>2215</t>
        </is>
      </c>
      <c r="B117" s="14" t="inlineStr">
        <is>
          <t>Carriage of Soling stone &amp; masonry stone</t>
        </is>
      </c>
      <c r="C117" s="13" t="inlineStr">
        <is>
          <t>cum</t>
        </is>
      </c>
      <c r="D117" s="15" t="n">
        <v>1.26</v>
      </c>
      <c r="E117" s="16" t="n">
        <v>122.08</v>
      </c>
      <c r="F117" s="16">
        <f>D117*E117</f>
        <v/>
      </c>
    </row>
    <row r="118">
      <c r="A118" s="13" t="inlineStr">
        <is>
          <t>0125</t>
        </is>
      </c>
      <c r="B118" s="14" t="inlineStr">
        <is>
          <t>Mason (for plain stone work) 2nd class)</t>
        </is>
      </c>
      <c r="C118" s="13" t="inlineStr">
        <is>
          <t>day</t>
        </is>
      </c>
      <c r="D118" s="15" t="n">
        <v>2.02</v>
      </c>
      <c r="E118" s="16" t="n">
        <v>679</v>
      </c>
      <c r="F118" s="16">
        <f>D118*E118</f>
        <v/>
      </c>
    </row>
    <row r="119">
      <c r="A119" s="13" t="inlineStr">
        <is>
          <t>0114</t>
        </is>
      </c>
      <c r="B119" s="14" t="inlineStr">
        <is>
          <t>Beldar</t>
        </is>
      </c>
      <c r="C119" s="13" t="inlineStr">
        <is>
          <t>day</t>
        </is>
      </c>
      <c r="D119" s="15" t="n">
        <v>1.59</v>
      </c>
      <c r="E119" s="16" t="n">
        <v>558</v>
      </c>
      <c r="F119" s="16">
        <f>D119*E119</f>
        <v/>
      </c>
    </row>
    <row r="120">
      <c r="A120" s="13" t="inlineStr">
        <is>
          <t>0115</t>
        </is>
      </c>
      <c r="B120" s="14" t="inlineStr">
        <is>
          <t>Coolie</t>
        </is>
      </c>
      <c r="C120" s="13" t="inlineStr">
        <is>
          <t>day</t>
        </is>
      </c>
      <c r="D120" s="15" t="n">
        <v>0.71</v>
      </c>
      <c r="E120" s="16" t="n">
        <v>558</v>
      </c>
      <c r="F120" s="16">
        <f>D120*E120</f>
        <v/>
      </c>
    </row>
    <row r="121">
      <c r="A121" s="13" t="inlineStr">
        <is>
          <t>0101</t>
        </is>
      </c>
      <c r="B121" s="14" t="inlineStr">
        <is>
          <t>Bhisti</t>
        </is>
      </c>
      <c r="C121" s="13" t="inlineStr">
        <is>
          <t>day</t>
        </is>
      </c>
      <c r="D121" s="15" t="n">
        <v>0.09</v>
      </c>
      <c r="E121" s="16" t="n">
        <v>617</v>
      </c>
      <c r="F121" s="16">
        <f>D121*E121</f>
        <v/>
      </c>
    </row>
    <row r="122">
      <c r="A122" s="13" t="inlineStr">
        <is>
          <t>0115</t>
        </is>
      </c>
      <c r="B122" s="14" t="inlineStr">
        <is>
          <t>Coolie</t>
        </is>
      </c>
      <c r="C122" s="13" t="inlineStr">
        <is>
          <t>day</t>
        </is>
      </c>
      <c r="D122" s="15" t="n">
        <v>1.13</v>
      </c>
      <c r="E122" s="16" t="n">
        <v>558</v>
      </c>
      <c r="F122" s="16">
        <f>D122*E122</f>
        <v/>
      </c>
    </row>
    <row r="123">
      <c r="A123" s="13" t="inlineStr">
        <is>
          <t>9999</t>
        </is>
      </c>
      <c r="B123" s="14" t="inlineStr">
        <is>
          <t>Sundries, scaffolding etc.</t>
        </is>
      </c>
      <c r="C123" s="13" t="inlineStr">
        <is>
          <t>L.S.</t>
        </is>
      </c>
      <c r="D123" s="15" t="n">
        <v>37.7</v>
      </c>
      <c r="E123" s="16" t="n">
        <v>2</v>
      </c>
      <c r="F123" s="16">
        <f>D123*E123</f>
        <v/>
      </c>
    </row>
    <row r="124">
      <c r="A124" s="17" t="inlineStr">
        <is>
          <t>Resource Total (Material + Labour + Machinery, as printed)</t>
        </is>
      </c>
      <c r="B124" s="18" t="n"/>
      <c r="C124" s="18" t="n"/>
      <c r="D124" s="18" t="n"/>
      <c r="E124" s="18" t="n"/>
      <c r="F124" s="19">
        <f>SUM(F114:F123)</f>
        <v/>
      </c>
    </row>
    <row r="125">
      <c r="A125" s="20" t="inlineStr">
        <is>
          <t>SAY (Rs.) — final DAR rate</t>
        </is>
      </c>
      <c r="B125" s="21" t="n"/>
      <c r="C125" s="21" t="n"/>
      <c r="D125" s="21" t="n"/>
      <c r="E125" s="21" t="n"/>
      <c r="F125" s="22" t="n">
        <v>8211.1</v>
      </c>
    </row>
    <row r="127" ht="18" customHeight="1">
      <c r="A127" s="9" t="inlineStr">
        <is>
          <t>7.10.1</t>
        </is>
      </c>
      <c r="B127" s="10" t="inlineStr">
        <is>
          <t>Square or rectangular pillars</t>
        </is>
      </c>
      <c r="C127" s="11" t="n"/>
      <c r="D127" s="11" t="n"/>
      <c r="E127" s="11" t="n"/>
      <c r="F127" s="11" t="n"/>
    </row>
    <row r="128">
      <c r="A128" s="12" t="inlineStr">
        <is>
          <t>Rate basis: per cum  (source: cost for 1 cum)</t>
        </is>
      </c>
    </row>
    <row r="129">
      <c r="A129" s="5" t="inlineStr">
        <is>
          <t>Code</t>
        </is>
      </c>
      <c r="B129" s="5" t="inlineStr">
        <is>
          <t>Description</t>
        </is>
      </c>
      <c r="C129" s="5" t="inlineStr">
        <is>
          <t>Unit</t>
        </is>
      </c>
      <c r="D129" s="5" t="inlineStr">
        <is>
          <t>Quantity</t>
        </is>
      </c>
      <c r="E129" s="5" t="inlineStr">
        <is>
          <t>Rate (Rs.)</t>
        </is>
      </c>
      <c r="F129" s="5" t="inlineStr">
        <is>
          <t>Amount (Rs.)</t>
        </is>
      </c>
    </row>
    <row r="130">
      <c r="A130" s="13" t="inlineStr">
        <is>
          <t>0125</t>
        </is>
      </c>
      <c r="B130" s="14" t="inlineStr">
        <is>
          <t>Mason (for plain stone work) 2nd class)</t>
        </is>
      </c>
      <c r="C130" s="13" t="inlineStr">
        <is>
          <t>day</t>
        </is>
      </c>
      <c r="D130" s="15" t="n">
        <v>0.67</v>
      </c>
      <c r="E130" s="16" t="n">
        <v>679</v>
      </c>
      <c r="F130" s="16">
        <f>D130*E130</f>
        <v/>
      </c>
    </row>
    <row r="131">
      <c r="A131" s="13" t="inlineStr">
        <is>
          <t>0115</t>
        </is>
      </c>
      <c r="B131" s="14" t="inlineStr">
        <is>
          <t>Coolie</t>
        </is>
      </c>
      <c r="C131" s="13" t="inlineStr">
        <is>
          <t>day</t>
        </is>
      </c>
      <c r="D131" s="15" t="n">
        <v>0.27</v>
      </c>
      <c r="E131" s="16" t="n">
        <v>558</v>
      </c>
      <c r="F131" s="16">
        <f>D131*E131</f>
        <v/>
      </c>
    </row>
    <row r="132">
      <c r="A132" s="17" t="inlineStr">
        <is>
          <t>Resource Total (Material + Labour + Machinery, as printed)</t>
        </is>
      </c>
      <c r="B132" s="18" t="n"/>
      <c r="C132" s="18" t="n"/>
      <c r="D132" s="18" t="n"/>
      <c r="E132" s="18" t="n"/>
      <c r="F132" s="19">
        <f>SUM(F130:F131)</f>
        <v/>
      </c>
    </row>
    <row r="133">
      <c r="A133" s="20" t="inlineStr">
        <is>
          <t>SAY (Rs.) — final DAR rate</t>
        </is>
      </c>
      <c r="B133" s="21" t="n"/>
      <c r="C133" s="21" t="n"/>
      <c r="D133" s="21" t="n"/>
      <c r="E133" s="21" t="n"/>
      <c r="F133" s="22" t="n">
        <v>603.15</v>
      </c>
    </row>
    <row r="135" ht="18" customHeight="1">
      <c r="A135" s="9" t="inlineStr">
        <is>
          <t>7.10.2</t>
        </is>
      </c>
      <c r="B135" s="10" t="inlineStr">
        <is>
          <t>Circular pillars</t>
        </is>
      </c>
      <c r="C135" s="11" t="n"/>
      <c r="D135" s="11" t="n"/>
      <c r="E135" s="11" t="n"/>
      <c r="F135" s="11" t="n"/>
    </row>
    <row r="136">
      <c r="A136" s="12" t="inlineStr">
        <is>
          <t>Rate basis: per cum  (source: cost for 1 cum)</t>
        </is>
      </c>
    </row>
    <row r="137">
      <c r="A137" s="5" t="inlineStr">
        <is>
          <t>Code</t>
        </is>
      </c>
      <c r="B137" s="5" t="inlineStr">
        <is>
          <t>Description</t>
        </is>
      </c>
      <c r="C137" s="5" t="inlineStr">
        <is>
          <t>Unit</t>
        </is>
      </c>
      <c r="D137" s="5" t="inlineStr">
        <is>
          <t>Quantity</t>
        </is>
      </c>
      <c r="E137" s="5" t="inlineStr">
        <is>
          <t>Rate (Rs.)</t>
        </is>
      </c>
      <c r="F137" s="5" t="inlineStr">
        <is>
          <t>Amount (Rs.)</t>
        </is>
      </c>
    </row>
    <row r="138">
      <c r="A138" s="13" t="inlineStr">
        <is>
          <t>1157</t>
        </is>
      </c>
      <c r="B138" s="14" t="inlineStr">
        <is>
          <t>Stone for masonry work</t>
        </is>
      </c>
      <c r="C138" s="13" t="inlineStr">
        <is>
          <t>cum</t>
        </is>
      </c>
      <c r="D138" s="15" t="n">
        <v>0.32</v>
      </c>
      <c r="E138" s="16" t="n">
        <v>1100</v>
      </c>
      <c r="F138" s="16">
        <f>D138*E138</f>
        <v/>
      </c>
    </row>
    <row r="139">
      <c r="A139" s="13" t="inlineStr">
        <is>
          <t>2215</t>
        </is>
      </c>
      <c r="B139" s="14" t="inlineStr">
        <is>
          <t>Carriage of Soling stone &amp; masonry stone</t>
        </is>
      </c>
      <c r="C139" s="13" t="inlineStr">
        <is>
          <t>cum</t>
        </is>
      </c>
      <c r="D139" s="15" t="n">
        <v>0.32</v>
      </c>
      <c r="E139" s="16" t="n">
        <v>122.08</v>
      </c>
      <c r="F139" s="16">
        <f>D139*E139</f>
        <v/>
      </c>
    </row>
    <row r="140">
      <c r="A140" s="13" t="inlineStr">
        <is>
          <t>0125</t>
        </is>
      </c>
      <c r="B140" s="14" t="inlineStr">
        <is>
          <t>Mason (for plain stone work) 2nd class)</t>
        </is>
      </c>
      <c r="C140" s="13" t="inlineStr">
        <is>
          <t>day</t>
        </is>
      </c>
      <c r="D140" s="15" t="n">
        <v>1.67</v>
      </c>
      <c r="E140" s="16" t="n">
        <v>679</v>
      </c>
      <c r="F140" s="16">
        <f>D140*E140</f>
        <v/>
      </c>
    </row>
    <row r="141">
      <c r="A141" s="13" t="inlineStr">
        <is>
          <t>0115</t>
        </is>
      </c>
      <c r="B141" s="14" t="inlineStr">
        <is>
          <t>Coolie</t>
        </is>
      </c>
      <c r="C141" s="13" t="inlineStr">
        <is>
          <t>day</t>
        </is>
      </c>
      <c r="D141" s="15" t="n">
        <v>0.35</v>
      </c>
      <c r="E141" s="16" t="n">
        <v>558</v>
      </c>
      <c r="F141" s="16">
        <f>D141*E141</f>
        <v/>
      </c>
    </row>
    <row r="142">
      <c r="A142" s="17" t="inlineStr">
        <is>
          <t>Resource Total (Material + Labour + Machinery, as printed)</t>
        </is>
      </c>
      <c r="B142" s="18" t="n"/>
      <c r="C142" s="18" t="n"/>
      <c r="D142" s="18" t="n"/>
      <c r="E142" s="18" t="n"/>
      <c r="F142" s="19">
        <f>SUM(F138:F141)</f>
        <v/>
      </c>
    </row>
    <row r="143">
      <c r="A143" s="20" t="inlineStr">
        <is>
          <t>SAY (Rs.) — final DAR rate</t>
        </is>
      </c>
      <c r="B143" s="21" t="n"/>
      <c r="C143" s="21" t="n"/>
      <c r="D143" s="21" t="n"/>
      <c r="E143" s="21" t="n"/>
      <c r="F143" s="22" t="n">
        <v>2301.65</v>
      </c>
    </row>
    <row r="145" ht="28" customHeight="1">
      <c r="A145" s="9" t="inlineStr">
        <is>
          <t>7.11</t>
        </is>
      </c>
      <c r="B145" s="10" t="inlineStr">
        <is>
          <t>Extra for coursed rubble masonry with hard stone (first or second sort) curved on plan for a mean radius not exceeding 6 m.</t>
        </is>
      </c>
      <c r="C145" s="11" t="n"/>
      <c r="D145" s="11" t="n"/>
      <c r="E145" s="11" t="n"/>
      <c r="F145" s="11" t="n"/>
    </row>
    <row r="146">
      <c r="A146" s="12" t="inlineStr">
        <is>
          <t>Rate basis: per cum  (source: cost for 1 cum)</t>
        </is>
      </c>
    </row>
    <row r="147">
      <c r="A147" s="5" t="inlineStr">
        <is>
          <t>Code</t>
        </is>
      </c>
      <c r="B147" s="5" t="inlineStr">
        <is>
          <t>Description</t>
        </is>
      </c>
      <c r="C147" s="5" t="inlineStr">
        <is>
          <t>Unit</t>
        </is>
      </c>
      <c r="D147" s="5" t="inlineStr">
        <is>
          <t>Quantity</t>
        </is>
      </c>
      <c r="E147" s="5" t="inlineStr">
        <is>
          <t>Rate (Rs.)</t>
        </is>
      </c>
      <c r="F147" s="5" t="inlineStr">
        <is>
          <t>Amount (Rs.)</t>
        </is>
      </c>
    </row>
    <row r="148">
      <c r="A148" s="13" t="inlineStr">
        <is>
          <t>1157</t>
        </is>
      </c>
      <c r="B148" s="14" t="inlineStr">
        <is>
          <t>Stone for masonry work</t>
        </is>
      </c>
      <c r="C148" s="13" t="inlineStr">
        <is>
          <t>cum</t>
        </is>
      </c>
      <c r="D148" s="15" t="n">
        <v>0.11</v>
      </c>
      <c r="E148" s="16" t="n">
        <v>1100</v>
      </c>
      <c r="F148" s="16">
        <f>D148*E148</f>
        <v/>
      </c>
    </row>
    <row r="149">
      <c r="A149" s="13" t="inlineStr">
        <is>
          <t>2215</t>
        </is>
      </c>
      <c r="B149" s="14" t="inlineStr">
        <is>
          <t>Carriage of Soling stone &amp; masonry stone</t>
        </is>
      </c>
      <c r="C149" s="13" t="inlineStr">
        <is>
          <t>cum</t>
        </is>
      </c>
      <c r="D149" s="15" t="n">
        <v>0.11</v>
      </c>
      <c r="E149" s="16" t="n">
        <v>122.08</v>
      </c>
      <c r="F149" s="16">
        <f>D149*E149</f>
        <v/>
      </c>
    </row>
    <row r="150">
      <c r="A150" s="13" t="inlineStr">
        <is>
          <t>0125</t>
        </is>
      </c>
      <c r="B150" s="14" t="inlineStr">
        <is>
          <t>Mason (for plain stone work) 2nd class)</t>
        </is>
      </c>
      <c r="C150" s="13" t="inlineStr">
        <is>
          <t>day</t>
        </is>
      </c>
      <c r="D150" s="15" t="n">
        <v>0.33</v>
      </c>
      <c r="E150" s="16" t="n">
        <v>679</v>
      </c>
      <c r="F150" s="16">
        <f>D150*E150</f>
        <v/>
      </c>
    </row>
    <row r="151">
      <c r="A151" s="13" t="inlineStr">
        <is>
          <t>0115</t>
        </is>
      </c>
      <c r="B151" s="14" t="inlineStr">
        <is>
          <t>Coolie</t>
        </is>
      </c>
      <c r="C151" s="13" t="inlineStr">
        <is>
          <t>day</t>
        </is>
      </c>
      <c r="D151" s="15" t="n">
        <v>0.53</v>
      </c>
      <c r="E151" s="16" t="n">
        <v>558</v>
      </c>
      <c r="F151" s="16">
        <f>D151*E151</f>
        <v/>
      </c>
    </row>
    <row r="152">
      <c r="A152" s="17" t="inlineStr">
        <is>
          <t>Resource Total (Material + Labour + Machinery, as printed)</t>
        </is>
      </c>
      <c r="B152" s="18" t="n"/>
      <c r="C152" s="18" t="n"/>
      <c r="D152" s="18" t="n"/>
      <c r="E152" s="18" t="n"/>
      <c r="F152" s="19">
        <f>SUM(F148:F151)</f>
        <v/>
      </c>
    </row>
    <row r="153">
      <c r="A153" s="20" t="inlineStr">
        <is>
          <t>SAY (Rs.) — final DAR rate</t>
        </is>
      </c>
      <c r="B153" s="21" t="n"/>
      <c r="C153" s="21" t="n"/>
      <c r="D153" s="21" t="n"/>
      <c r="E153" s="21" t="n"/>
      <c r="F153" s="22" t="n">
        <v>875.35</v>
      </c>
    </row>
    <row r="155" ht="18" customHeight="1">
      <c r="A155" s="9" t="inlineStr">
        <is>
          <t>7.12.1.1</t>
        </is>
      </c>
      <c r="B155" s="10" t="inlineStr">
        <is>
          <t>Red sand stone</t>
        </is>
      </c>
      <c r="C155" s="11" t="n"/>
      <c r="D155" s="11" t="n"/>
      <c r="E155" s="11" t="n"/>
      <c r="F155" s="11" t="n"/>
    </row>
    <row r="156">
      <c r="A156" s="12" t="inlineStr">
        <is>
          <t>Rate basis: per cudm  (source: cost for 10 cudm)</t>
        </is>
      </c>
    </row>
    <row r="157">
      <c r="A157" s="5" t="inlineStr">
        <is>
          <t>Code</t>
        </is>
      </c>
      <c r="B157" s="5" t="inlineStr">
        <is>
          <t>Description</t>
        </is>
      </c>
      <c r="C157" s="5" t="inlineStr">
        <is>
          <t>Unit</t>
        </is>
      </c>
      <c r="D157" s="5" t="inlineStr">
        <is>
          <t>Quantity</t>
        </is>
      </c>
      <c r="E157" s="5" t="inlineStr">
        <is>
          <t>Rate (Rs.)</t>
        </is>
      </c>
      <c r="F157" s="5" t="inlineStr">
        <is>
          <t>Amount (Rs.)</t>
        </is>
      </c>
    </row>
    <row r="158">
      <c r="A158" s="13" t="inlineStr">
        <is>
          <t>2216</t>
        </is>
      </c>
      <c r="B158" s="14" t="inlineStr">
        <is>
          <t>Carriage of Stone blocks white &amp; red sand stone &amp; kota stone slab</t>
        </is>
      </c>
      <c r="C158" s="13" t="inlineStr">
        <is>
          <t>tonne</t>
        </is>
      </c>
      <c r="D158" s="15" t="n">
        <v>0.031</v>
      </c>
      <c r="E158" s="16" t="n">
        <v>92.23999999999999</v>
      </c>
      <c r="F158" s="16">
        <f>D158*E158</f>
        <v/>
      </c>
    </row>
    <row r="159">
      <c r="A159" s="13" t="inlineStr">
        <is>
          <t>0115</t>
        </is>
      </c>
      <c r="B159" s="14" t="inlineStr">
        <is>
          <t>Coolie</t>
        </is>
      </c>
      <c r="C159" s="13" t="inlineStr">
        <is>
          <t>day</t>
        </is>
      </c>
      <c r="D159" s="15" t="n">
        <v>0.015</v>
      </c>
      <c r="E159" s="16" t="n">
        <v>558</v>
      </c>
      <c r="F159" s="16">
        <f>D159*E159</f>
        <v/>
      </c>
    </row>
    <row r="160">
      <c r="A160" s="13" t="inlineStr">
        <is>
          <t>0125</t>
        </is>
      </c>
      <c r="B160" s="14" t="inlineStr">
        <is>
          <t>Mason (for plain stone work) 2nd class)</t>
        </is>
      </c>
      <c r="C160" s="13" t="inlineStr">
        <is>
          <t>day</t>
        </is>
      </c>
      <c r="D160" s="15" t="n">
        <v>0.08799999999999999</v>
      </c>
      <c r="E160" s="16" t="n">
        <v>679</v>
      </c>
      <c r="F160" s="16">
        <f>D160*E160</f>
        <v/>
      </c>
    </row>
    <row r="161">
      <c r="A161" s="13" t="inlineStr">
        <is>
          <t>0102</t>
        </is>
      </c>
      <c r="B161" s="14" t="inlineStr">
        <is>
          <t>Blacksmith 1st class</t>
        </is>
      </c>
      <c r="C161" s="13" t="inlineStr">
        <is>
          <t>day</t>
        </is>
      </c>
      <c r="D161" s="15" t="n">
        <v>0.006</v>
      </c>
      <c r="E161" s="16" t="n">
        <v>738</v>
      </c>
      <c r="F161" s="16">
        <f>D161*E161</f>
        <v/>
      </c>
    </row>
    <row r="162">
      <c r="A162" s="13" t="inlineStr">
        <is>
          <t>0114</t>
        </is>
      </c>
      <c r="B162" s="14" t="inlineStr">
        <is>
          <t>Beldar</t>
        </is>
      </c>
      <c r="C162" s="13" t="inlineStr">
        <is>
          <t>day</t>
        </is>
      </c>
      <c r="D162" s="15" t="n">
        <v>0.044</v>
      </c>
      <c r="E162" s="16" t="n">
        <v>558</v>
      </c>
      <c r="F162" s="16">
        <f>D162*E162</f>
        <v/>
      </c>
    </row>
    <row r="163">
      <c r="A163" s="13" t="inlineStr">
        <is>
          <t>0115</t>
        </is>
      </c>
      <c r="B163" s="14" t="inlineStr">
        <is>
          <t>Coolie</t>
        </is>
      </c>
      <c r="C163" s="13" t="inlineStr">
        <is>
          <t>day</t>
        </is>
      </c>
      <c r="D163" s="15" t="n">
        <v>0.022</v>
      </c>
      <c r="E163" s="16" t="n">
        <v>558</v>
      </c>
      <c r="F163" s="16">
        <f>D163*E163</f>
        <v/>
      </c>
    </row>
    <row r="164">
      <c r="A164" s="13" t="inlineStr">
        <is>
          <t>0100</t>
        </is>
      </c>
      <c r="B164" s="14" t="inlineStr">
        <is>
          <t>Bandhani</t>
        </is>
      </c>
      <c r="C164" s="13" t="inlineStr">
        <is>
          <t>day</t>
        </is>
      </c>
      <c r="D164" s="15" t="n">
        <v>0.044</v>
      </c>
      <c r="E164" s="16" t="n">
        <v>617</v>
      </c>
      <c r="F164" s="16">
        <f>D164*E164</f>
        <v/>
      </c>
    </row>
    <row r="165">
      <c r="A165" s="13" t="inlineStr">
        <is>
          <t>0125</t>
        </is>
      </c>
      <c r="B165" s="14" t="inlineStr">
        <is>
          <t>Mason (for plain stone work) 2nd class)</t>
        </is>
      </c>
      <c r="C165" s="13" t="inlineStr">
        <is>
          <t>day</t>
        </is>
      </c>
      <c r="D165" s="15" t="n">
        <v>0.044</v>
      </c>
      <c r="E165" s="16" t="n">
        <v>679</v>
      </c>
      <c r="F165" s="16">
        <f>D165*E165</f>
        <v/>
      </c>
    </row>
    <row r="166">
      <c r="A166" s="13" t="inlineStr">
        <is>
          <t>0102</t>
        </is>
      </c>
      <c r="B166" s="14" t="inlineStr">
        <is>
          <t>Blacksmith 1st class</t>
        </is>
      </c>
      <c r="C166" s="13" t="inlineStr">
        <is>
          <t>day</t>
        </is>
      </c>
      <c r="D166" s="15" t="n">
        <v>0.006</v>
      </c>
      <c r="E166" s="16" t="n">
        <v>738</v>
      </c>
      <c r="F166" s="16">
        <f>D166*E166</f>
        <v/>
      </c>
    </row>
    <row r="167">
      <c r="A167" s="13" t="inlineStr">
        <is>
          <t>0114</t>
        </is>
      </c>
      <c r="B167" s="14" t="inlineStr">
        <is>
          <t>Beldar</t>
        </is>
      </c>
      <c r="C167" s="13" t="inlineStr">
        <is>
          <t>day</t>
        </is>
      </c>
      <c r="D167" s="15" t="n">
        <v>0.022</v>
      </c>
      <c r="E167" s="16" t="n">
        <v>558</v>
      </c>
      <c r="F167" s="16">
        <f>D167*E167</f>
        <v/>
      </c>
    </row>
    <row r="168">
      <c r="A168" s="13" t="inlineStr">
        <is>
          <t>0115</t>
        </is>
      </c>
      <c r="B168" s="14" t="inlineStr">
        <is>
          <t>Coolie</t>
        </is>
      </c>
      <c r="C168" s="13" t="inlineStr">
        <is>
          <t>day</t>
        </is>
      </c>
      <c r="D168" s="15" t="n">
        <v>0.022</v>
      </c>
      <c r="E168" s="16" t="n">
        <v>558</v>
      </c>
      <c r="F168" s="16">
        <f>D168*E168</f>
        <v/>
      </c>
    </row>
    <row r="169">
      <c r="A169" s="13" t="inlineStr">
        <is>
          <t>0100</t>
        </is>
      </c>
      <c r="B169" s="14" t="inlineStr">
        <is>
          <t>Bandhani</t>
        </is>
      </c>
      <c r="C169" s="13" t="inlineStr">
        <is>
          <t>day</t>
        </is>
      </c>
      <c r="D169" s="15" t="n">
        <v>0.022</v>
      </c>
      <c r="E169" s="16" t="n">
        <v>617</v>
      </c>
      <c r="F169" s="16">
        <f>D169*E169</f>
        <v/>
      </c>
    </row>
    <row r="170">
      <c r="A170" s="13" t="inlineStr">
        <is>
          <t>0101</t>
        </is>
      </c>
      <c r="B170" s="14" t="inlineStr">
        <is>
          <t>Bhisti</t>
        </is>
      </c>
      <c r="C170" s="13" t="inlineStr">
        <is>
          <t>day</t>
        </is>
      </c>
      <c r="D170" s="15" t="n">
        <v>0.022</v>
      </c>
      <c r="E170" s="16" t="n">
        <v>617</v>
      </c>
      <c r="F170" s="16">
        <f>D170*E170</f>
        <v/>
      </c>
    </row>
    <row r="171">
      <c r="A171" s="13" t="inlineStr">
        <is>
          <t>9999</t>
        </is>
      </c>
      <c r="B171" s="14" t="inlineStr">
        <is>
          <t>Scafolding</t>
        </is>
      </c>
      <c r="C171" s="13" t="inlineStr">
        <is>
          <t>L.S.</t>
        </is>
      </c>
      <c r="D171" s="15" t="n">
        <v>2.73</v>
      </c>
      <c r="E171" s="16" t="n">
        <v>2</v>
      </c>
      <c r="F171" s="16">
        <f>D171*E171</f>
        <v/>
      </c>
    </row>
    <row r="172">
      <c r="A172" s="13" t="inlineStr">
        <is>
          <t>9999</t>
        </is>
      </c>
      <c r="B172" s="14" t="inlineStr">
        <is>
          <t>Mortar for laying and pointing</t>
        </is>
      </c>
      <c r="C172" s="13" t="inlineStr">
        <is>
          <t>L.S.</t>
        </is>
      </c>
      <c r="D172" s="15" t="n">
        <v>8.06</v>
      </c>
      <c r="E172" s="16" t="n">
        <v>2</v>
      </c>
      <c r="F172" s="16">
        <f>D172*E172</f>
        <v/>
      </c>
    </row>
    <row r="173">
      <c r="A173" s="17" t="inlineStr">
        <is>
          <t>Resource Total (Material + Labour + Machinery, as printed)</t>
        </is>
      </c>
      <c r="B173" s="18" t="n"/>
      <c r="C173" s="18" t="n"/>
      <c r="D173" s="18" t="n"/>
      <c r="E173" s="18" t="n"/>
      <c r="F173" s="19">
        <f>SUM(F158:F172)</f>
        <v/>
      </c>
    </row>
    <row r="174">
      <c r="A174" s="20" t="inlineStr">
        <is>
          <t>SAY (Rs.) — final DAR rate</t>
        </is>
      </c>
      <c r="B174" s="21" t="n"/>
      <c r="C174" s="21" t="n"/>
      <c r="D174" s="21" t="n"/>
      <c r="E174" s="21" t="n"/>
      <c r="F174" s="22" t="n">
        <v>47132</v>
      </c>
    </row>
    <row r="176" ht="18" customHeight="1">
      <c r="A176" s="9" t="inlineStr">
        <is>
          <t>7.12.1.2</t>
        </is>
      </c>
      <c r="B176" s="10" t="inlineStr">
        <is>
          <t>White sand stone</t>
        </is>
      </c>
      <c r="C176" s="11" t="n"/>
      <c r="D176" s="11" t="n"/>
      <c r="E176" s="11" t="n"/>
      <c r="F176" s="11" t="n"/>
    </row>
    <row r="177">
      <c r="A177" s="12" t="inlineStr">
        <is>
          <t>Rate basis: per cudm  (source: cost for 10 cudm)</t>
        </is>
      </c>
    </row>
    <row r="178">
      <c r="A178" s="5" t="inlineStr">
        <is>
          <t>Code</t>
        </is>
      </c>
      <c r="B178" s="5" t="inlineStr">
        <is>
          <t>Description</t>
        </is>
      </c>
      <c r="C178" s="5" t="inlineStr">
        <is>
          <t>Unit</t>
        </is>
      </c>
      <c r="D178" s="5" t="inlineStr">
        <is>
          <t>Quantity</t>
        </is>
      </c>
      <c r="E178" s="5" t="inlineStr">
        <is>
          <t>Rate (Rs.)</t>
        </is>
      </c>
      <c r="F178" s="5" t="inlineStr">
        <is>
          <t>Amount (Rs.)</t>
        </is>
      </c>
    </row>
    <row r="179">
      <c r="A179" s="13" t="inlineStr">
        <is>
          <t>2216</t>
        </is>
      </c>
      <c r="B179" s="14" t="inlineStr">
        <is>
          <t>Carriage of Stone blocks white &amp; red sand stone &amp; kota stone slab</t>
        </is>
      </c>
      <c r="C179" s="13" t="inlineStr">
        <is>
          <t>tonne</t>
        </is>
      </c>
      <c r="D179" s="15" t="n">
        <v>0.031</v>
      </c>
      <c r="E179" s="16" t="n">
        <v>92.23999999999999</v>
      </c>
      <c r="F179" s="16">
        <f>D179*E179</f>
        <v/>
      </c>
    </row>
    <row r="180">
      <c r="A180" s="13" t="inlineStr">
        <is>
          <t>0115</t>
        </is>
      </c>
      <c r="B180" s="14" t="inlineStr">
        <is>
          <t>Coolie</t>
        </is>
      </c>
      <c r="C180" s="13" t="inlineStr">
        <is>
          <t>day</t>
        </is>
      </c>
      <c r="D180" s="15" t="n">
        <v>0.015</v>
      </c>
      <c r="E180" s="16" t="n">
        <v>558</v>
      </c>
      <c r="F180" s="16">
        <f>D180*E180</f>
        <v/>
      </c>
    </row>
    <row r="181">
      <c r="A181" s="13" t="inlineStr">
        <is>
          <t>0125</t>
        </is>
      </c>
      <c r="B181" s="14" t="inlineStr">
        <is>
          <t>Mason (for plain stone work) 2nd class)</t>
        </is>
      </c>
      <c r="C181" s="13" t="inlineStr">
        <is>
          <t>day</t>
        </is>
      </c>
      <c r="D181" s="15" t="n">
        <v>0.08799999999999999</v>
      </c>
      <c r="E181" s="16" t="n">
        <v>679</v>
      </c>
      <c r="F181" s="16">
        <f>D181*E181</f>
        <v/>
      </c>
    </row>
    <row r="182">
      <c r="A182" s="13" t="inlineStr">
        <is>
          <t>0102</t>
        </is>
      </c>
      <c r="B182" s="14" t="inlineStr">
        <is>
          <t>Blacksmith 1st class</t>
        </is>
      </c>
      <c r="C182" s="13" t="inlineStr">
        <is>
          <t>day</t>
        </is>
      </c>
      <c r="D182" s="15" t="n">
        <v>0.006</v>
      </c>
      <c r="E182" s="16" t="n">
        <v>738</v>
      </c>
      <c r="F182" s="16">
        <f>D182*E182</f>
        <v/>
      </c>
    </row>
    <row r="183">
      <c r="A183" s="13" t="inlineStr">
        <is>
          <t>0114</t>
        </is>
      </c>
      <c r="B183" s="14" t="inlineStr">
        <is>
          <t>Beldar</t>
        </is>
      </c>
      <c r="C183" s="13" t="inlineStr">
        <is>
          <t>day</t>
        </is>
      </c>
      <c r="D183" s="15" t="n">
        <v>0.044</v>
      </c>
      <c r="E183" s="16" t="n">
        <v>558</v>
      </c>
      <c r="F183" s="16">
        <f>D183*E183</f>
        <v/>
      </c>
    </row>
    <row r="184">
      <c r="A184" s="13" t="inlineStr">
        <is>
          <t>0115</t>
        </is>
      </c>
      <c r="B184" s="14" t="inlineStr">
        <is>
          <t>Coolie</t>
        </is>
      </c>
      <c r="C184" s="13" t="inlineStr">
        <is>
          <t>day</t>
        </is>
      </c>
      <c r="D184" s="15" t="n">
        <v>0.022</v>
      </c>
      <c r="E184" s="16" t="n">
        <v>558</v>
      </c>
      <c r="F184" s="16">
        <f>D184*E184</f>
        <v/>
      </c>
    </row>
    <row r="185">
      <c r="A185" s="13" t="inlineStr">
        <is>
          <t>0100</t>
        </is>
      </c>
      <c r="B185" s="14" t="inlineStr">
        <is>
          <t>Bandhani</t>
        </is>
      </c>
      <c r="C185" s="13" t="inlineStr">
        <is>
          <t>day</t>
        </is>
      </c>
      <c r="D185" s="15" t="n">
        <v>0.044</v>
      </c>
      <c r="E185" s="16" t="n">
        <v>617</v>
      </c>
      <c r="F185" s="16">
        <f>D185*E185</f>
        <v/>
      </c>
    </row>
    <row r="186">
      <c r="A186" s="13" t="inlineStr">
        <is>
          <t>0125</t>
        </is>
      </c>
      <c r="B186" s="14" t="inlineStr">
        <is>
          <t>Mason (for plain stone work) 2nd class)</t>
        </is>
      </c>
      <c r="C186" s="13" t="inlineStr">
        <is>
          <t>day</t>
        </is>
      </c>
      <c r="D186" s="15" t="n">
        <v>0.044</v>
      </c>
      <c r="E186" s="16" t="n">
        <v>679</v>
      </c>
      <c r="F186" s="16">
        <f>D186*E186</f>
        <v/>
      </c>
    </row>
    <row r="187">
      <c r="A187" s="13" t="inlineStr">
        <is>
          <t>0102</t>
        </is>
      </c>
      <c r="B187" s="14" t="inlineStr">
        <is>
          <t>Blacksmith 1st class</t>
        </is>
      </c>
      <c r="C187" s="13" t="inlineStr">
        <is>
          <t>day</t>
        </is>
      </c>
      <c r="D187" s="15" t="n">
        <v>0.006</v>
      </c>
      <c r="E187" s="16" t="n">
        <v>738</v>
      </c>
      <c r="F187" s="16">
        <f>D187*E187</f>
        <v/>
      </c>
    </row>
    <row r="188">
      <c r="A188" s="13" t="inlineStr">
        <is>
          <t>0114</t>
        </is>
      </c>
      <c r="B188" s="14" t="inlineStr">
        <is>
          <t>Beldar</t>
        </is>
      </c>
      <c r="C188" s="13" t="inlineStr">
        <is>
          <t>day</t>
        </is>
      </c>
      <c r="D188" s="15" t="n">
        <v>0.022</v>
      </c>
      <c r="E188" s="16" t="n">
        <v>558</v>
      </c>
      <c r="F188" s="16">
        <f>D188*E188</f>
        <v/>
      </c>
    </row>
    <row r="189">
      <c r="A189" s="13" t="inlineStr">
        <is>
          <t>0115</t>
        </is>
      </c>
      <c r="B189" s="14" t="inlineStr">
        <is>
          <t>Coolie</t>
        </is>
      </c>
      <c r="C189" s="13" t="inlineStr">
        <is>
          <t>day</t>
        </is>
      </c>
      <c r="D189" s="15" t="n">
        <v>0.022</v>
      </c>
      <c r="E189" s="16" t="n">
        <v>558</v>
      </c>
      <c r="F189" s="16">
        <f>D189*E189</f>
        <v/>
      </c>
    </row>
    <row r="190">
      <c r="A190" s="13" t="inlineStr">
        <is>
          <t>0100</t>
        </is>
      </c>
      <c r="B190" s="14" t="inlineStr">
        <is>
          <t>Bandhani</t>
        </is>
      </c>
      <c r="C190" s="13" t="inlineStr">
        <is>
          <t>day</t>
        </is>
      </c>
      <c r="D190" s="15" t="n">
        <v>0.022</v>
      </c>
      <c r="E190" s="16" t="n">
        <v>617</v>
      </c>
      <c r="F190" s="16">
        <f>D190*E190</f>
        <v/>
      </c>
    </row>
    <row r="191">
      <c r="A191" s="13" t="inlineStr">
        <is>
          <t>0101</t>
        </is>
      </c>
      <c r="B191" s="14" t="inlineStr">
        <is>
          <t>Bhisti</t>
        </is>
      </c>
      <c r="C191" s="13" t="inlineStr">
        <is>
          <t>day</t>
        </is>
      </c>
      <c r="D191" s="15" t="n">
        <v>0.022</v>
      </c>
      <c r="E191" s="16" t="n">
        <v>617</v>
      </c>
      <c r="F191" s="16">
        <f>D191*E191</f>
        <v/>
      </c>
    </row>
    <row r="192">
      <c r="A192" s="13" t="inlineStr">
        <is>
          <t>9999</t>
        </is>
      </c>
      <c r="B192" s="14" t="inlineStr">
        <is>
          <t>Scaffolding</t>
        </is>
      </c>
      <c r="C192" s="13" t="inlineStr">
        <is>
          <t>L.S.</t>
        </is>
      </c>
      <c r="D192" s="15" t="n">
        <v>2.73</v>
      </c>
      <c r="E192" s="16" t="n">
        <v>2</v>
      </c>
      <c r="F192" s="16">
        <f>D192*E192</f>
        <v/>
      </c>
    </row>
    <row r="193">
      <c r="A193" s="13" t="inlineStr">
        <is>
          <t>9999</t>
        </is>
      </c>
      <c r="B193" s="14" t="inlineStr">
        <is>
          <t>Mortar for laying and pointing</t>
        </is>
      </c>
      <c r="C193" s="13" t="inlineStr">
        <is>
          <t>L.S.</t>
        </is>
      </c>
      <c r="D193" s="15" t="n">
        <v>8.06</v>
      </c>
      <c r="E193" s="16" t="n">
        <v>2</v>
      </c>
      <c r="F193" s="16">
        <f>D193*E193</f>
        <v/>
      </c>
    </row>
    <row r="194">
      <c r="A194" s="17" t="inlineStr">
        <is>
          <t>Resource Total (Material + Labour + Machinery, as printed)</t>
        </is>
      </c>
      <c r="B194" s="18" t="n"/>
      <c r="C194" s="18" t="n"/>
      <c r="D194" s="18" t="n"/>
      <c r="E194" s="18" t="n"/>
      <c r="F194" s="19">
        <f>SUM(F179:F193)</f>
        <v/>
      </c>
    </row>
    <row r="195">
      <c r="A195" s="20" t="inlineStr">
        <is>
          <t>SAY (Rs.) — final DAR rate</t>
        </is>
      </c>
      <c r="B195" s="21" t="n"/>
      <c r="C195" s="21" t="n"/>
      <c r="D195" s="21" t="n"/>
      <c r="E195" s="21" t="n"/>
      <c r="F195" s="22" t="n">
        <v>69604</v>
      </c>
    </row>
    <row r="197" ht="18" customHeight="1">
      <c r="A197" s="9" t="inlineStr">
        <is>
          <t>7.12.2.1</t>
        </is>
      </c>
      <c r="B197" s="10" t="inlineStr">
        <is>
          <t>Red sand stone</t>
        </is>
      </c>
      <c r="C197" s="11" t="n"/>
      <c r="D197" s="11" t="n"/>
      <c r="E197" s="11" t="n"/>
      <c r="F197" s="11" t="n"/>
    </row>
    <row r="198">
      <c r="A198" s="12" t="inlineStr">
        <is>
          <t>Rate basis: per cudm  (source: cost for 10 cudm)</t>
        </is>
      </c>
    </row>
    <row r="199">
      <c r="A199" s="5" t="inlineStr">
        <is>
          <t>Code</t>
        </is>
      </c>
      <c r="B199" s="5" t="inlineStr">
        <is>
          <t>Description</t>
        </is>
      </c>
      <c r="C199" s="5" t="inlineStr">
        <is>
          <t>Unit</t>
        </is>
      </c>
      <c r="D199" s="5" t="inlineStr">
        <is>
          <t>Quantity</t>
        </is>
      </c>
      <c r="E199" s="5" t="inlineStr">
        <is>
          <t>Rate (Rs.)</t>
        </is>
      </c>
      <c r="F199" s="5" t="inlineStr">
        <is>
          <t>Amount (Rs.)</t>
        </is>
      </c>
    </row>
    <row r="200">
      <c r="A200" s="13" t="inlineStr">
        <is>
          <t>2216</t>
        </is>
      </c>
      <c r="B200" s="14" t="inlineStr">
        <is>
          <t>Carriage of Stone blocks white &amp; red sand stone &amp; kota stone slab</t>
        </is>
      </c>
      <c r="C200" s="13" t="inlineStr">
        <is>
          <t>tonne</t>
        </is>
      </c>
      <c r="D200" s="15" t="n">
        <v>0.031</v>
      </c>
      <c r="E200" s="16" t="n">
        <v>92.23999999999999</v>
      </c>
      <c r="F200" s="16">
        <f>D200*E200</f>
        <v/>
      </c>
    </row>
    <row r="201">
      <c r="A201" s="13" t="inlineStr">
        <is>
          <t>0115</t>
        </is>
      </c>
      <c r="B201" s="14" t="inlineStr">
        <is>
          <t>Coolie</t>
        </is>
      </c>
      <c r="C201" s="13" t="inlineStr">
        <is>
          <t>day</t>
        </is>
      </c>
      <c r="D201" s="15" t="n">
        <v>0.015</v>
      </c>
      <c r="E201" s="16" t="n">
        <v>558</v>
      </c>
      <c r="F201" s="16">
        <f>D201*E201</f>
        <v/>
      </c>
    </row>
    <row r="202">
      <c r="A202" s="13" t="inlineStr">
        <is>
          <t>0125</t>
        </is>
      </c>
      <c r="B202" s="14" t="inlineStr">
        <is>
          <t>Mason (for plain stone work) 2nd class)</t>
        </is>
      </c>
      <c r="C202" s="13" t="inlineStr">
        <is>
          <t>day</t>
        </is>
      </c>
      <c r="D202" s="15" t="n">
        <v>0.176</v>
      </c>
      <c r="E202" s="16" t="n">
        <v>679</v>
      </c>
      <c r="F202" s="16">
        <f>D202*E202</f>
        <v/>
      </c>
    </row>
    <row r="203">
      <c r="A203" s="13" t="inlineStr">
        <is>
          <t>0102</t>
        </is>
      </c>
      <c r="B203" s="14" t="inlineStr">
        <is>
          <t>Blacksmith 1st class</t>
        </is>
      </c>
      <c r="C203" s="13" t="inlineStr">
        <is>
          <t>day</t>
        </is>
      </c>
      <c r="D203" s="15" t="n">
        <v>0.012</v>
      </c>
      <c r="E203" s="16" t="n">
        <v>738</v>
      </c>
      <c r="F203" s="16">
        <f>D203*E203</f>
        <v/>
      </c>
    </row>
    <row r="204">
      <c r="A204" s="13" t="inlineStr">
        <is>
          <t>0114</t>
        </is>
      </c>
      <c r="B204" s="14" t="inlineStr">
        <is>
          <t>Beldar</t>
        </is>
      </c>
      <c r="C204" s="13" t="inlineStr">
        <is>
          <t>day</t>
        </is>
      </c>
      <c r="D204" s="15" t="n">
        <v>0.08799999999999999</v>
      </c>
      <c r="E204" s="16" t="n">
        <v>558</v>
      </c>
      <c r="F204" s="16">
        <f>D204*E204</f>
        <v/>
      </c>
    </row>
    <row r="205">
      <c r="A205" s="13" t="inlineStr">
        <is>
          <t>0115</t>
        </is>
      </c>
      <c r="B205" s="14" t="inlineStr">
        <is>
          <t>Coolie</t>
        </is>
      </c>
      <c r="C205" s="13" t="inlineStr">
        <is>
          <t>day</t>
        </is>
      </c>
      <c r="D205" s="15" t="n">
        <v>0.044</v>
      </c>
      <c r="E205" s="16" t="n">
        <v>558</v>
      </c>
      <c r="F205" s="16">
        <f>D205*E205</f>
        <v/>
      </c>
    </row>
    <row r="206">
      <c r="A206" s="13" t="inlineStr">
        <is>
          <t>0100</t>
        </is>
      </c>
      <c r="B206" s="14" t="inlineStr">
        <is>
          <t>Bandhani</t>
        </is>
      </c>
      <c r="C206" s="13" t="inlineStr">
        <is>
          <t>day</t>
        </is>
      </c>
      <c r="D206" s="15" t="n">
        <v>0.08799999999999999</v>
      </c>
      <c r="E206" s="16" t="n">
        <v>617</v>
      </c>
      <c r="F206" s="16">
        <f>D206*E206</f>
        <v/>
      </c>
    </row>
    <row r="207">
      <c r="A207" s="13" t="inlineStr">
        <is>
          <t>0125</t>
        </is>
      </c>
      <c r="B207" s="14" t="inlineStr">
        <is>
          <t>Mason (for plain stone work) 2nd class)</t>
        </is>
      </c>
      <c r="C207" s="13" t="inlineStr">
        <is>
          <t>day</t>
        </is>
      </c>
      <c r="D207" s="15" t="n">
        <v>0.044</v>
      </c>
      <c r="E207" s="16" t="n">
        <v>679</v>
      </c>
      <c r="F207" s="16">
        <f>D207*E207</f>
        <v/>
      </c>
    </row>
    <row r="208">
      <c r="A208" s="13" t="inlineStr">
        <is>
          <t>0102</t>
        </is>
      </c>
      <c r="B208" s="14" t="inlineStr">
        <is>
          <t>Blacksmith 1st class</t>
        </is>
      </c>
      <c r="C208" s="13" t="inlineStr">
        <is>
          <t>day</t>
        </is>
      </c>
      <c r="D208" s="15" t="n">
        <v>0.006</v>
      </c>
      <c r="E208" s="16" t="n">
        <v>738</v>
      </c>
      <c r="F208" s="16">
        <f>D208*E208</f>
        <v/>
      </c>
    </row>
    <row r="209">
      <c r="A209" s="13" t="inlineStr">
        <is>
          <t>0114</t>
        </is>
      </c>
      <c r="B209" s="14" t="inlineStr">
        <is>
          <t>Beldar</t>
        </is>
      </c>
      <c r="C209" s="13" t="inlineStr">
        <is>
          <t>day</t>
        </is>
      </c>
      <c r="D209" s="15" t="n">
        <v>0.022</v>
      </c>
      <c r="E209" s="16" t="n">
        <v>558</v>
      </c>
      <c r="F209" s="16">
        <f>D209*E209</f>
        <v/>
      </c>
    </row>
    <row r="210">
      <c r="A210" s="13" t="inlineStr">
        <is>
          <t>0115</t>
        </is>
      </c>
      <c r="B210" s="14" t="inlineStr">
        <is>
          <t>Coolie</t>
        </is>
      </c>
      <c r="C210" s="13" t="inlineStr">
        <is>
          <t>day</t>
        </is>
      </c>
      <c r="D210" s="15" t="n">
        <v>0.022</v>
      </c>
      <c r="E210" s="16" t="n">
        <v>558</v>
      </c>
      <c r="F210" s="16">
        <f>D210*E210</f>
        <v/>
      </c>
    </row>
    <row r="211">
      <c r="A211" s="13" t="inlineStr">
        <is>
          <t>0100</t>
        </is>
      </c>
      <c r="B211" s="14" t="inlineStr">
        <is>
          <t>Bandhani</t>
        </is>
      </c>
      <c r="C211" s="13" t="inlineStr">
        <is>
          <t>day</t>
        </is>
      </c>
      <c r="D211" s="15" t="n">
        <v>0.022</v>
      </c>
      <c r="E211" s="16" t="n">
        <v>617</v>
      </c>
      <c r="F211" s="16">
        <f>D211*E211</f>
        <v/>
      </c>
    </row>
    <row r="212">
      <c r="A212" s="13" t="inlineStr">
        <is>
          <t>0101</t>
        </is>
      </c>
      <c r="B212" s="14" t="inlineStr">
        <is>
          <t>Bhisti</t>
        </is>
      </c>
      <c r="C212" s="13" t="inlineStr">
        <is>
          <t>day</t>
        </is>
      </c>
      <c r="D212" s="15" t="n">
        <v>0.022</v>
      </c>
      <c r="E212" s="16" t="n">
        <v>617</v>
      </c>
      <c r="F212" s="16">
        <f>D212*E212</f>
        <v/>
      </c>
    </row>
    <row r="213">
      <c r="A213" s="13" t="inlineStr">
        <is>
          <t>9999</t>
        </is>
      </c>
      <c r="B213" s="14" t="inlineStr">
        <is>
          <t>Scafolding</t>
        </is>
      </c>
      <c r="C213" s="13" t="inlineStr">
        <is>
          <t>L.S.</t>
        </is>
      </c>
      <c r="D213" s="15" t="n">
        <v>2.73</v>
      </c>
      <c r="E213" s="16" t="n">
        <v>2</v>
      </c>
      <c r="F213" s="16">
        <f>D213*E213</f>
        <v/>
      </c>
    </row>
    <row r="214">
      <c r="A214" s="13" t="inlineStr">
        <is>
          <t>9999</t>
        </is>
      </c>
      <c r="B214" s="14" t="inlineStr">
        <is>
          <t>Mortar for laying and pointing</t>
        </is>
      </c>
      <c r="C214" s="13" t="inlineStr">
        <is>
          <t>L.S.</t>
        </is>
      </c>
      <c r="D214" s="15" t="n">
        <v>8.06</v>
      </c>
      <c r="E214" s="16" t="n">
        <v>2</v>
      </c>
      <c r="F214" s="16">
        <f>D214*E214</f>
        <v/>
      </c>
    </row>
    <row r="215">
      <c r="A215" s="17" t="inlineStr">
        <is>
          <t>Resource Total (Material + Labour + Machinery, as printed)</t>
        </is>
      </c>
      <c r="B215" s="18" t="n"/>
      <c r="C215" s="18" t="n"/>
      <c r="D215" s="18" t="n"/>
      <c r="E215" s="18" t="n"/>
      <c r="F215" s="19">
        <f>SUM(F200:F214)</f>
        <v/>
      </c>
    </row>
    <row r="216">
      <c r="A216" s="20" t="inlineStr">
        <is>
          <t>SAY (Rs.) — final DAR rate</t>
        </is>
      </c>
      <c r="B216" s="21" t="n"/>
      <c r="C216" s="21" t="n"/>
      <c r="D216" s="21" t="n"/>
      <c r="E216" s="21" t="n"/>
      <c r="F216" s="22" t="n">
        <v>64279</v>
      </c>
    </row>
    <row r="218" ht="18" customHeight="1">
      <c r="A218" s="9" t="inlineStr">
        <is>
          <t>7.12.2.2</t>
        </is>
      </c>
      <c r="B218" s="10" t="inlineStr">
        <is>
          <t>White sand stone</t>
        </is>
      </c>
      <c r="C218" s="11" t="n"/>
      <c r="D218" s="11" t="n"/>
      <c r="E218" s="11" t="n"/>
      <c r="F218" s="11" t="n"/>
    </row>
    <row r="219">
      <c r="A219" s="12" t="inlineStr">
        <is>
          <t>Rate basis: per cudm  (source: cost for 10 cudm)</t>
        </is>
      </c>
    </row>
    <row r="220">
      <c r="A220" s="5" t="inlineStr">
        <is>
          <t>Code</t>
        </is>
      </c>
      <c r="B220" s="5" t="inlineStr">
        <is>
          <t>Description</t>
        </is>
      </c>
      <c r="C220" s="5" t="inlineStr">
        <is>
          <t>Unit</t>
        </is>
      </c>
      <c r="D220" s="5" t="inlineStr">
        <is>
          <t>Quantity</t>
        </is>
      </c>
      <c r="E220" s="5" t="inlineStr">
        <is>
          <t>Rate (Rs.)</t>
        </is>
      </c>
      <c r="F220" s="5" t="inlineStr">
        <is>
          <t>Amount (Rs.)</t>
        </is>
      </c>
    </row>
    <row r="221">
      <c r="A221" s="13" t="inlineStr">
        <is>
          <t>2216</t>
        </is>
      </c>
      <c r="B221" s="14" t="inlineStr">
        <is>
          <t>Carriage of Stone blocks white &amp; red sand stone &amp; kota stone slab @ 2.30kg/cudm = 13.33x2.30 = 30.659 kg = 0.03065 tonne say 0.031 t.</t>
        </is>
      </c>
      <c r="C221" s="13" t="inlineStr">
        <is>
          <t>tonne</t>
        </is>
      </c>
      <c r="D221" s="15" t="n">
        <v>0.031</v>
      </c>
      <c r="E221" s="16" t="n">
        <v>92.23999999999999</v>
      </c>
      <c r="F221" s="16">
        <f>D221*E221</f>
        <v/>
      </c>
    </row>
    <row r="222">
      <c r="A222" s="13" t="inlineStr">
        <is>
          <t>0115</t>
        </is>
      </c>
      <c r="B222" s="14" t="inlineStr">
        <is>
          <t>Coolie</t>
        </is>
      </c>
      <c r="C222" s="13" t="inlineStr">
        <is>
          <t>day</t>
        </is>
      </c>
      <c r="D222" s="15" t="n">
        <v>0.015</v>
      </c>
      <c r="E222" s="16" t="n">
        <v>558</v>
      </c>
      <c r="F222" s="16">
        <f>D222*E222</f>
        <v/>
      </c>
    </row>
    <row r="223">
      <c r="A223" s="13" t="inlineStr">
        <is>
          <t>0125</t>
        </is>
      </c>
      <c r="B223" s="14" t="inlineStr">
        <is>
          <t>Mason (for plain stone work) 2nd class)</t>
        </is>
      </c>
      <c r="C223" s="13" t="inlineStr">
        <is>
          <t>day</t>
        </is>
      </c>
      <c r="D223" s="15" t="n">
        <v>0.176</v>
      </c>
      <c r="E223" s="16" t="n">
        <v>679</v>
      </c>
      <c r="F223" s="16">
        <f>D223*E223</f>
        <v/>
      </c>
    </row>
    <row r="224">
      <c r="A224" s="13" t="inlineStr">
        <is>
          <t>0102</t>
        </is>
      </c>
      <c r="B224" s="14" t="inlineStr">
        <is>
          <t>Blacksmith 1st class</t>
        </is>
      </c>
      <c r="C224" s="13" t="inlineStr">
        <is>
          <t>day</t>
        </is>
      </c>
      <c r="D224" s="15" t="n">
        <v>0.012</v>
      </c>
      <c r="E224" s="16" t="n">
        <v>738</v>
      </c>
      <c r="F224" s="16">
        <f>D224*E224</f>
        <v/>
      </c>
    </row>
    <row r="225">
      <c r="A225" s="13" t="inlineStr">
        <is>
          <t>0114</t>
        </is>
      </c>
      <c r="B225" s="14" t="inlineStr">
        <is>
          <t>Beldar</t>
        </is>
      </c>
      <c r="C225" s="13" t="inlineStr">
        <is>
          <t>day</t>
        </is>
      </c>
      <c r="D225" s="15" t="n">
        <v>0.08799999999999999</v>
      </c>
      <c r="E225" s="16" t="n">
        <v>558</v>
      </c>
      <c r="F225" s="16">
        <f>D225*E225</f>
        <v/>
      </c>
    </row>
    <row r="226">
      <c r="A226" s="13" t="inlineStr">
        <is>
          <t>0115</t>
        </is>
      </c>
      <c r="B226" s="14" t="inlineStr">
        <is>
          <t>Coolie</t>
        </is>
      </c>
      <c r="C226" s="13" t="inlineStr">
        <is>
          <t>day</t>
        </is>
      </c>
      <c r="D226" s="15" t="n">
        <v>0.044</v>
      </c>
      <c r="E226" s="16" t="n">
        <v>558</v>
      </c>
      <c r="F226" s="16">
        <f>D226*E226</f>
        <v/>
      </c>
    </row>
    <row r="227">
      <c r="A227" s="13" t="inlineStr">
        <is>
          <t>0100</t>
        </is>
      </c>
      <c r="B227" s="14" t="inlineStr">
        <is>
          <t>Bandhani</t>
        </is>
      </c>
      <c r="C227" s="13" t="inlineStr">
        <is>
          <t>day</t>
        </is>
      </c>
      <c r="D227" s="15" t="n">
        <v>0.08799999999999999</v>
      </c>
      <c r="E227" s="16" t="n">
        <v>617</v>
      </c>
      <c r="F227" s="16">
        <f>D227*E227</f>
        <v/>
      </c>
    </row>
    <row r="228">
      <c r="A228" s="13" t="inlineStr">
        <is>
          <t>0125</t>
        </is>
      </c>
      <c r="B228" s="14" t="inlineStr">
        <is>
          <t>Mason (for plain stone work) 2nd class)</t>
        </is>
      </c>
      <c r="C228" s="13" t="inlineStr">
        <is>
          <t>day</t>
        </is>
      </c>
      <c r="D228" s="15" t="n">
        <v>0.044</v>
      </c>
      <c r="E228" s="16" t="n">
        <v>679</v>
      </c>
      <c r="F228" s="16">
        <f>D228*E228</f>
        <v/>
      </c>
    </row>
    <row r="229">
      <c r="A229" s="13" t="inlineStr">
        <is>
          <t>0102</t>
        </is>
      </c>
      <c r="B229" s="14" t="inlineStr">
        <is>
          <t>Blacksmith 1st class</t>
        </is>
      </c>
      <c r="C229" s="13" t="inlineStr">
        <is>
          <t>day</t>
        </is>
      </c>
      <c r="D229" s="15" t="n">
        <v>0.006</v>
      </c>
      <c r="E229" s="16" t="n">
        <v>738</v>
      </c>
      <c r="F229" s="16">
        <f>D229*E229</f>
        <v/>
      </c>
    </row>
    <row r="230">
      <c r="A230" s="13" t="inlineStr">
        <is>
          <t>0114</t>
        </is>
      </c>
      <c r="B230" s="14" t="inlineStr">
        <is>
          <t>Beldar</t>
        </is>
      </c>
      <c r="C230" s="13" t="inlineStr">
        <is>
          <t>day</t>
        </is>
      </c>
      <c r="D230" s="15" t="n">
        <v>0.022</v>
      </c>
      <c r="E230" s="16" t="n">
        <v>558</v>
      </c>
      <c r="F230" s="16">
        <f>D230*E230</f>
        <v/>
      </c>
    </row>
    <row r="231">
      <c r="A231" s="13" t="inlineStr">
        <is>
          <t>0115</t>
        </is>
      </c>
      <c r="B231" s="14" t="inlineStr">
        <is>
          <t>Coolie</t>
        </is>
      </c>
      <c r="C231" s="13" t="inlineStr">
        <is>
          <t>day</t>
        </is>
      </c>
      <c r="D231" s="15" t="n">
        <v>0.022</v>
      </c>
      <c r="E231" s="16" t="n">
        <v>558</v>
      </c>
      <c r="F231" s="16">
        <f>D231*E231</f>
        <v/>
      </c>
    </row>
    <row r="232">
      <c r="A232" s="13" t="inlineStr">
        <is>
          <t>0100</t>
        </is>
      </c>
      <c r="B232" s="14" t="inlineStr">
        <is>
          <t>Bandhani</t>
        </is>
      </c>
      <c r="C232" s="13" t="inlineStr">
        <is>
          <t>day</t>
        </is>
      </c>
      <c r="D232" s="15" t="n">
        <v>0.022</v>
      </c>
      <c r="E232" s="16" t="n">
        <v>617</v>
      </c>
      <c r="F232" s="16">
        <f>D232*E232</f>
        <v/>
      </c>
    </row>
    <row r="233">
      <c r="A233" s="13" t="inlineStr">
        <is>
          <t>0101</t>
        </is>
      </c>
      <c r="B233" s="14" t="inlineStr">
        <is>
          <t>Bhisti</t>
        </is>
      </c>
      <c r="C233" s="13" t="inlineStr">
        <is>
          <t>day</t>
        </is>
      </c>
      <c r="D233" s="15" t="n">
        <v>0.022</v>
      </c>
      <c r="E233" s="16" t="n">
        <v>617</v>
      </c>
      <c r="F233" s="16">
        <f>D233*E233</f>
        <v/>
      </c>
    </row>
    <row r="234">
      <c r="A234" s="13" t="inlineStr">
        <is>
          <t>9999</t>
        </is>
      </c>
      <c r="B234" s="14" t="inlineStr">
        <is>
          <t>Scaffolding</t>
        </is>
      </c>
      <c r="C234" s="13" t="inlineStr">
        <is>
          <t>L.S.</t>
        </is>
      </c>
      <c r="D234" s="15" t="n">
        <v>2.73</v>
      </c>
      <c r="E234" s="16" t="n">
        <v>2</v>
      </c>
      <c r="F234" s="16">
        <f>D234*E234</f>
        <v/>
      </c>
    </row>
    <row r="235">
      <c r="A235" s="13" t="inlineStr">
        <is>
          <t>9999</t>
        </is>
      </c>
      <c r="B235" s="14" t="inlineStr">
        <is>
          <t>Mortar for laying and pointing</t>
        </is>
      </c>
      <c r="C235" s="13" t="inlineStr">
        <is>
          <t>L.S.</t>
        </is>
      </c>
      <c r="D235" s="15" t="n">
        <v>8.06</v>
      </c>
      <c r="E235" s="16" t="n">
        <v>2</v>
      </c>
      <c r="F235" s="16">
        <f>D235*E235</f>
        <v/>
      </c>
    </row>
    <row r="236">
      <c r="A236" s="17" t="inlineStr">
        <is>
          <t>Resource Total (Material + Labour + Machinery, as printed)</t>
        </is>
      </c>
      <c r="B236" s="18" t="n"/>
      <c r="C236" s="18" t="n"/>
      <c r="D236" s="18" t="n"/>
      <c r="E236" s="18" t="n"/>
      <c r="F236" s="19">
        <f>SUM(F221:F235)</f>
        <v/>
      </c>
    </row>
    <row r="237">
      <c r="A237" s="20" t="inlineStr">
        <is>
          <t>SAY (Rs.) — final DAR rate</t>
        </is>
      </c>
      <c r="B237" s="21" t="n"/>
      <c r="C237" s="21" t="n"/>
      <c r="D237" s="21" t="n"/>
      <c r="E237" s="21" t="n"/>
      <c r="F237" s="22" t="n">
        <v>86751</v>
      </c>
    </row>
    <row r="239" ht="18" customHeight="1">
      <c r="A239" s="9" t="inlineStr">
        <is>
          <t>7.13.1.1</t>
        </is>
      </c>
      <c r="B239" s="10" t="inlineStr">
        <is>
          <t>Red sand stone</t>
        </is>
      </c>
      <c r="C239" s="11" t="n"/>
      <c r="D239" s="11" t="n"/>
      <c r="E239" s="11" t="n"/>
      <c r="F239" s="11" t="n"/>
    </row>
    <row r="240">
      <c r="A240" s="12" t="inlineStr">
        <is>
          <t>Rate basis: per cudm  (source: cost for 10 cudm)</t>
        </is>
      </c>
    </row>
    <row r="241">
      <c r="A241" s="5" t="inlineStr">
        <is>
          <t>Code</t>
        </is>
      </c>
      <c r="B241" s="5" t="inlineStr">
        <is>
          <t>Description</t>
        </is>
      </c>
      <c r="C241" s="5" t="inlineStr">
        <is>
          <t>Unit</t>
        </is>
      </c>
      <c r="D241" s="5" t="inlineStr">
        <is>
          <t>Quantity</t>
        </is>
      </c>
      <c r="E241" s="5" t="inlineStr">
        <is>
          <t>Rate (Rs.)</t>
        </is>
      </c>
      <c r="F241" s="5" t="inlineStr">
        <is>
          <t>Amount (Rs.)</t>
        </is>
      </c>
    </row>
    <row r="242">
      <c r="A242" s="13" t="inlineStr">
        <is>
          <t>2216</t>
        </is>
      </c>
      <c r="B242" s="14" t="inlineStr">
        <is>
          <t>Carriage of Stone blocks white &amp; red sand stone &amp; kota stone slab</t>
        </is>
      </c>
      <c r="C242" s="13" t="inlineStr">
        <is>
          <t>tonne</t>
        </is>
      </c>
      <c r="D242" s="15" t="n">
        <v>0.031</v>
      </c>
      <c r="E242" s="16" t="n">
        <v>92.23999999999999</v>
      </c>
      <c r="F242" s="16">
        <f>D242*E242</f>
        <v/>
      </c>
    </row>
    <row r="243">
      <c r="A243" s="13" t="inlineStr">
        <is>
          <t>0125</t>
        </is>
      </c>
      <c r="B243" s="14" t="inlineStr">
        <is>
          <t>Mason (for plain stone work) 2nd class)</t>
        </is>
      </c>
      <c r="C243" s="13" t="inlineStr">
        <is>
          <t>day</t>
        </is>
      </c>
      <c r="D243" s="15" t="n">
        <v>0.08799999999999999</v>
      </c>
      <c r="E243" s="16" t="n">
        <v>679</v>
      </c>
      <c r="F243" s="16">
        <f>D243*E243</f>
        <v/>
      </c>
    </row>
    <row r="244">
      <c r="A244" s="13" t="inlineStr">
        <is>
          <t>0102</t>
        </is>
      </c>
      <c r="B244" s="14" t="inlineStr">
        <is>
          <t>Blacksmith 1st class</t>
        </is>
      </c>
      <c r="C244" s="13" t="inlineStr">
        <is>
          <t>day</t>
        </is>
      </c>
      <c r="D244" s="15" t="n">
        <v>0.006</v>
      </c>
      <c r="E244" s="16" t="n">
        <v>738</v>
      </c>
      <c r="F244" s="16">
        <f>D244*E244</f>
        <v/>
      </c>
    </row>
    <row r="245">
      <c r="A245" s="13" t="inlineStr">
        <is>
          <t>0114</t>
        </is>
      </c>
      <c r="B245" s="14" t="inlineStr">
        <is>
          <t>Beldar</t>
        </is>
      </c>
      <c r="C245" s="13" t="inlineStr">
        <is>
          <t>day</t>
        </is>
      </c>
      <c r="D245" s="15" t="n">
        <v>0.044</v>
      </c>
      <c r="E245" s="16" t="n">
        <v>558</v>
      </c>
      <c r="F245" s="16">
        <f>D245*E245</f>
        <v/>
      </c>
    </row>
    <row r="246">
      <c r="A246" s="13" t="inlineStr">
        <is>
          <t>0115</t>
        </is>
      </c>
      <c r="B246" s="14" t="inlineStr">
        <is>
          <t>Coolie</t>
        </is>
      </c>
      <c r="C246" s="13" t="inlineStr">
        <is>
          <t>day</t>
        </is>
      </c>
      <c r="D246" s="15" t="n">
        <v>0.022</v>
      </c>
      <c r="E246" s="16" t="n">
        <v>558</v>
      </c>
      <c r="F246" s="16">
        <f>D246*E246</f>
        <v/>
      </c>
    </row>
    <row r="247">
      <c r="A247" s="13" t="inlineStr">
        <is>
          <t>0100</t>
        </is>
      </c>
      <c r="B247" s="14" t="inlineStr">
        <is>
          <t>Bandhani</t>
        </is>
      </c>
      <c r="C247" s="13" t="inlineStr">
        <is>
          <t>day</t>
        </is>
      </c>
      <c r="D247" s="15" t="n">
        <v>0.044</v>
      </c>
      <c r="E247" s="16" t="n">
        <v>617</v>
      </c>
      <c r="F247" s="16">
        <f>D247*E247</f>
        <v/>
      </c>
    </row>
    <row r="248">
      <c r="A248" s="13" t="inlineStr">
        <is>
          <t>0125</t>
        </is>
      </c>
      <c r="B248" s="14" t="inlineStr">
        <is>
          <t>Mason (for plain stone work) 2nd class)</t>
        </is>
      </c>
      <c r="C248" s="13" t="inlineStr">
        <is>
          <t>day</t>
        </is>
      </c>
      <c r="D248" s="15" t="n">
        <v>0.044</v>
      </c>
      <c r="E248" s="16" t="n">
        <v>679</v>
      </c>
      <c r="F248" s="16">
        <f>D248*E248</f>
        <v/>
      </c>
    </row>
    <row r="249">
      <c r="A249" s="13" t="inlineStr">
        <is>
          <t>0102</t>
        </is>
      </c>
      <c r="B249" s="14" t="inlineStr">
        <is>
          <t>Blacksmith 1st class</t>
        </is>
      </c>
      <c r="C249" s="13" t="inlineStr">
        <is>
          <t>day</t>
        </is>
      </c>
      <c r="D249" s="15" t="n">
        <v>0.006</v>
      </c>
      <c r="E249" s="16" t="n">
        <v>738</v>
      </c>
      <c r="F249" s="16">
        <f>D249*E249</f>
        <v/>
      </c>
    </row>
    <row r="250">
      <c r="A250" s="13" t="inlineStr">
        <is>
          <t>0114</t>
        </is>
      </c>
      <c r="B250" s="14" t="inlineStr">
        <is>
          <t>Beldar</t>
        </is>
      </c>
      <c r="C250" s="13" t="inlineStr">
        <is>
          <t>day</t>
        </is>
      </c>
      <c r="D250" s="15" t="n">
        <v>0.022</v>
      </c>
      <c r="E250" s="16" t="n">
        <v>558</v>
      </c>
      <c r="F250" s="16">
        <f>D250*E250</f>
        <v/>
      </c>
    </row>
    <row r="251">
      <c r="A251" s="13" t="inlineStr">
        <is>
          <t>0115</t>
        </is>
      </c>
      <c r="B251" s="14" t="inlineStr">
        <is>
          <t>Coolie</t>
        </is>
      </c>
      <c r="C251" s="13" t="inlineStr">
        <is>
          <t>day</t>
        </is>
      </c>
      <c r="D251" s="15" t="n">
        <v>0.022</v>
      </c>
      <c r="E251" s="16" t="n">
        <v>558</v>
      </c>
      <c r="F251" s="16">
        <f>D251*E251</f>
        <v/>
      </c>
    </row>
    <row r="252">
      <c r="A252" s="13" t="inlineStr">
        <is>
          <t>0100</t>
        </is>
      </c>
      <c r="B252" s="14" t="inlineStr">
        <is>
          <t>Bandhani</t>
        </is>
      </c>
      <c r="C252" s="13" t="inlineStr">
        <is>
          <t>day</t>
        </is>
      </c>
      <c r="D252" s="15" t="n">
        <v>0.022</v>
      </c>
      <c r="E252" s="16" t="n">
        <v>617</v>
      </c>
      <c r="F252" s="16">
        <f>D252*E252</f>
        <v/>
      </c>
    </row>
    <row r="253">
      <c r="A253" s="13" t="inlineStr">
        <is>
          <t>0101</t>
        </is>
      </c>
      <c r="B253" s="14" t="inlineStr">
        <is>
          <t>Bhisti</t>
        </is>
      </c>
      <c r="C253" s="13" t="inlineStr">
        <is>
          <t>day</t>
        </is>
      </c>
      <c r="D253" s="15" t="n">
        <v>0.022</v>
      </c>
      <c r="E253" s="16" t="n">
        <v>617</v>
      </c>
      <c r="F253" s="16">
        <f>D253*E253</f>
        <v/>
      </c>
    </row>
    <row r="254">
      <c r="A254" s="13" t="inlineStr">
        <is>
          <t>9999</t>
        </is>
      </c>
      <c r="B254" s="14" t="inlineStr">
        <is>
          <t>Scaffolding</t>
        </is>
      </c>
      <c r="C254" s="13" t="inlineStr">
        <is>
          <t>L.S.</t>
        </is>
      </c>
      <c r="D254" s="15" t="n">
        <v>2.73</v>
      </c>
      <c r="E254" s="16" t="n">
        <v>2</v>
      </c>
      <c r="F254" s="16">
        <f>D254*E254</f>
        <v/>
      </c>
    </row>
    <row r="255">
      <c r="A255" s="13" t="inlineStr">
        <is>
          <t>9999</t>
        </is>
      </c>
      <c r="B255" s="14" t="inlineStr">
        <is>
          <t>Mortar for laying and pointing</t>
        </is>
      </c>
      <c r="C255" s="13" t="inlineStr">
        <is>
          <t>L.S.</t>
        </is>
      </c>
      <c r="D255" s="15" t="n">
        <v>8.06</v>
      </c>
      <c r="E255" s="16" t="n">
        <v>2</v>
      </c>
      <c r="F255" s="16">
        <f>D255*E255</f>
        <v/>
      </c>
    </row>
    <row r="256">
      <c r="A256" s="13" t="inlineStr">
        <is>
          <t>9999</t>
        </is>
      </c>
      <c r="B256" s="14" t="inlineStr">
        <is>
          <t>Centering and shuttering</t>
        </is>
      </c>
      <c r="C256" s="13" t="inlineStr">
        <is>
          <t>L.S.</t>
        </is>
      </c>
      <c r="D256" s="15" t="n">
        <v>13.52</v>
      </c>
      <c r="E256" s="16" t="n">
        <v>2</v>
      </c>
      <c r="F256" s="16">
        <f>D256*E256</f>
        <v/>
      </c>
    </row>
    <row r="257">
      <c r="A257" s="13" t="inlineStr">
        <is>
          <t>9999</t>
        </is>
      </c>
      <c r="B257" s="14" t="inlineStr">
        <is>
          <t>Extra for using white cement</t>
        </is>
      </c>
      <c r="C257" s="13" t="inlineStr">
        <is>
          <t>L.S.</t>
        </is>
      </c>
      <c r="D257" s="15" t="n">
        <v>8.06</v>
      </c>
      <c r="E257" s="16" t="n">
        <v>2</v>
      </c>
      <c r="F257" s="16">
        <f>D257*E257</f>
        <v/>
      </c>
    </row>
    <row r="258">
      <c r="A258" s="13" t="inlineStr">
        <is>
          <t>0115</t>
        </is>
      </c>
      <c r="B258" s="14" t="inlineStr">
        <is>
          <t>Coolie</t>
        </is>
      </c>
      <c r="C258" s="13" t="inlineStr">
        <is>
          <t>day</t>
        </is>
      </c>
      <c r="D258" s="15" t="n">
        <v>0.015</v>
      </c>
      <c r="E258" s="16" t="n">
        <v>558</v>
      </c>
      <c r="F258" s="16">
        <f>D258*E258</f>
        <v/>
      </c>
    </row>
    <row r="259">
      <c r="A259" s="17" t="inlineStr">
        <is>
          <t>Resource Total (Material + Labour + Machinery, as printed)</t>
        </is>
      </c>
      <c r="B259" s="18" t="n"/>
      <c r="C259" s="18" t="n"/>
      <c r="D259" s="18" t="n"/>
      <c r="E259" s="18" t="n"/>
      <c r="F259" s="19">
        <f>SUM(F242:F258)</f>
        <v/>
      </c>
    </row>
    <row r="260">
      <c r="A260" s="20" t="inlineStr">
        <is>
          <t>SAY (Rs.) — final DAR rate</t>
        </is>
      </c>
      <c r="B260" s="21" t="n"/>
      <c r="C260" s="21" t="n"/>
      <c r="D260" s="21" t="n"/>
      <c r="E260" s="21" t="n"/>
      <c r="F260" s="22" t="n">
        <v>52907</v>
      </c>
    </row>
    <row r="262" ht="18" customHeight="1">
      <c r="A262" s="9" t="inlineStr">
        <is>
          <t>7.13.1.2</t>
        </is>
      </c>
      <c r="B262" s="10" t="inlineStr">
        <is>
          <t>White sand stone</t>
        </is>
      </c>
      <c r="C262" s="11" t="n"/>
      <c r="D262" s="11" t="n"/>
      <c r="E262" s="11" t="n"/>
      <c r="F262" s="11" t="n"/>
    </row>
    <row r="263">
      <c r="A263" s="12" t="inlineStr">
        <is>
          <t>Rate basis: per cudm  (source: cost for 10 cudm)</t>
        </is>
      </c>
    </row>
    <row r="264">
      <c r="A264" s="5" t="inlineStr">
        <is>
          <t>Code</t>
        </is>
      </c>
      <c r="B264" s="5" t="inlineStr">
        <is>
          <t>Description</t>
        </is>
      </c>
      <c r="C264" s="5" t="inlineStr">
        <is>
          <t>Unit</t>
        </is>
      </c>
      <c r="D264" s="5" t="inlineStr">
        <is>
          <t>Quantity</t>
        </is>
      </c>
      <c r="E264" s="5" t="inlineStr">
        <is>
          <t>Rate (Rs.)</t>
        </is>
      </c>
      <c r="F264" s="5" t="inlineStr">
        <is>
          <t>Amount (Rs.)</t>
        </is>
      </c>
    </row>
    <row r="265">
      <c r="A265" s="13" t="inlineStr">
        <is>
          <t>2216</t>
        </is>
      </c>
      <c r="B265" s="14" t="inlineStr">
        <is>
          <t>Carriage of Stone blocks white &amp; red sand stone &amp; kota stone slab</t>
        </is>
      </c>
      <c r="C265" s="13" t="inlineStr">
        <is>
          <t>tonne</t>
        </is>
      </c>
      <c r="D265" s="15" t="n">
        <v>0.031</v>
      </c>
      <c r="E265" s="16" t="n">
        <v>92.23999999999999</v>
      </c>
      <c r="F265" s="16">
        <f>D265*E265</f>
        <v/>
      </c>
    </row>
    <row r="266">
      <c r="A266" s="13" t="inlineStr">
        <is>
          <t>0125</t>
        </is>
      </c>
      <c r="B266" s="14" t="inlineStr">
        <is>
          <t>Mason (for plain stone work) 2nd class)</t>
        </is>
      </c>
      <c r="C266" s="13" t="inlineStr">
        <is>
          <t>day</t>
        </is>
      </c>
      <c r="D266" s="15" t="n">
        <v>0.08799999999999999</v>
      </c>
      <c r="E266" s="16" t="n">
        <v>679</v>
      </c>
      <c r="F266" s="16">
        <f>D266*E266</f>
        <v/>
      </c>
    </row>
    <row r="267">
      <c r="A267" s="13" t="inlineStr">
        <is>
          <t>0102</t>
        </is>
      </c>
      <c r="B267" s="14" t="inlineStr">
        <is>
          <t>Blacksmith 1st class</t>
        </is>
      </c>
      <c r="C267" s="13" t="inlineStr">
        <is>
          <t>day</t>
        </is>
      </c>
      <c r="D267" s="15" t="n">
        <v>0.006</v>
      </c>
      <c r="E267" s="16" t="n">
        <v>738</v>
      </c>
      <c r="F267" s="16">
        <f>D267*E267</f>
        <v/>
      </c>
    </row>
    <row r="268">
      <c r="A268" s="13" t="inlineStr">
        <is>
          <t>0114</t>
        </is>
      </c>
      <c r="B268" s="14" t="inlineStr">
        <is>
          <t>Beldar</t>
        </is>
      </c>
      <c r="C268" s="13" t="inlineStr">
        <is>
          <t>day</t>
        </is>
      </c>
      <c r="D268" s="15" t="n">
        <v>0.044</v>
      </c>
      <c r="E268" s="16" t="n">
        <v>558</v>
      </c>
      <c r="F268" s="16">
        <f>D268*E268</f>
        <v/>
      </c>
    </row>
    <row r="269">
      <c r="A269" s="13" t="inlineStr">
        <is>
          <t>0115</t>
        </is>
      </c>
      <c r="B269" s="14" t="inlineStr">
        <is>
          <t>Coolie</t>
        </is>
      </c>
      <c r="C269" s="13" t="inlineStr">
        <is>
          <t>day</t>
        </is>
      </c>
      <c r="D269" s="15" t="n">
        <v>0.022</v>
      </c>
      <c r="E269" s="16" t="n">
        <v>558</v>
      </c>
      <c r="F269" s="16">
        <f>D269*E269</f>
        <v/>
      </c>
    </row>
    <row r="270">
      <c r="A270" s="13" t="inlineStr">
        <is>
          <t>0100</t>
        </is>
      </c>
      <c r="B270" s="14" t="inlineStr">
        <is>
          <t>Bandhani</t>
        </is>
      </c>
      <c r="C270" s="13" t="inlineStr">
        <is>
          <t>day</t>
        </is>
      </c>
      <c r="D270" s="15" t="n">
        <v>0.044</v>
      </c>
      <c r="E270" s="16" t="n">
        <v>617</v>
      </c>
      <c r="F270" s="16">
        <f>D270*E270</f>
        <v/>
      </c>
    </row>
    <row r="271">
      <c r="A271" s="13" t="inlineStr">
        <is>
          <t>0125</t>
        </is>
      </c>
      <c r="B271" s="14" t="inlineStr">
        <is>
          <t>Mason (for plain stone work) 2nd class)</t>
        </is>
      </c>
      <c r="C271" s="13" t="inlineStr">
        <is>
          <t>day</t>
        </is>
      </c>
      <c r="D271" s="15" t="n">
        <v>0.044</v>
      </c>
      <c r="E271" s="16" t="n">
        <v>679</v>
      </c>
      <c r="F271" s="16">
        <f>D271*E271</f>
        <v/>
      </c>
    </row>
    <row r="272">
      <c r="A272" s="13" t="inlineStr">
        <is>
          <t>0102</t>
        </is>
      </c>
      <c r="B272" s="14" t="inlineStr">
        <is>
          <t>Blacksmith 1st class</t>
        </is>
      </c>
      <c r="C272" s="13" t="inlineStr">
        <is>
          <t>day</t>
        </is>
      </c>
      <c r="D272" s="15" t="n">
        <v>0.006</v>
      </c>
      <c r="E272" s="16" t="n">
        <v>738</v>
      </c>
      <c r="F272" s="16">
        <f>D272*E272</f>
        <v/>
      </c>
    </row>
    <row r="273">
      <c r="A273" s="13" t="inlineStr">
        <is>
          <t>0114</t>
        </is>
      </c>
      <c r="B273" s="14" t="inlineStr">
        <is>
          <t>Beldar</t>
        </is>
      </c>
      <c r="C273" s="13" t="inlineStr">
        <is>
          <t>day</t>
        </is>
      </c>
      <c r="D273" s="15" t="n">
        <v>0.022</v>
      </c>
      <c r="E273" s="16" t="n">
        <v>558</v>
      </c>
      <c r="F273" s="16">
        <f>D273*E273</f>
        <v/>
      </c>
    </row>
    <row r="274">
      <c r="A274" s="13" t="inlineStr">
        <is>
          <t>0115</t>
        </is>
      </c>
      <c r="B274" s="14" t="inlineStr">
        <is>
          <t>Coolie</t>
        </is>
      </c>
      <c r="C274" s="13" t="inlineStr">
        <is>
          <t>day</t>
        </is>
      </c>
      <c r="D274" s="15" t="n">
        <v>0.022</v>
      </c>
      <c r="E274" s="16" t="n">
        <v>558</v>
      </c>
      <c r="F274" s="16">
        <f>D274*E274</f>
        <v/>
      </c>
    </row>
    <row r="275">
      <c r="A275" s="13" t="inlineStr">
        <is>
          <t>0100</t>
        </is>
      </c>
      <c r="B275" s="14" t="inlineStr">
        <is>
          <t>Bandhani</t>
        </is>
      </c>
      <c r="C275" s="13" t="inlineStr">
        <is>
          <t>day</t>
        </is>
      </c>
      <c r="D275" s="15" t="n">
        <v>0.022</v>
      </c>
      <c r="E275" s="16" t="n">
        <v>617</v>
      </c>
      <c r="F275" s="16">
        <f>D275*E275</f>
        <v/>
      </c>
    </row>
    <row r="276">
      <c r="A276" s="13" t="inlineStr">
        <is>
          <t>0101</t>
        </is>
      </c>
      <c r="B276" s="14" t="inlineStr">
        <is>
          <t>Bhisti</t>
        </is>
      </c>
      <c r="C276" s="13" t="inlineStr">
        <is>
          <t>day</t>
        </is>
      </c>
      <c r="D276" s="15" t="n">
        <v>0.022</v>
      </c>
      <c r="E276" s="16" t="n">
        <v>617</v>
      </c>
      <c r="F276" s="16">
        <f>D276*E276</f>
        <v/>
      </c>
    </row>
    <row r="277">
      <c r="A277" s="13" t="inlineStr">
        <is>
          <t>9999</t>
        </is>
      </c>
      <c r="B277" s="14" t="inlineStr">
        <is>
          <t>Scaffolding</t>
        </is>
      </c>
      <c r="C277" s="13" t="inlineStr">
        <is>
          <t>L.S.</t>
        </is>
      </c>
      <c r="D277" s="15" t="n">
        <v>2.73</v>
      </c>
      <c r="E277" s="16" t="n">
        <v>2</v>
      </c>
      <c r="F277" s="16">
        <f>D277*E277</f>
        <v/>
      </c>
    </row>
    <row r="278">
      <c r="A278" s="13" t="inlineStr">
        <is>
          <t>9999</t>
        </is>
      </c>
      <c r="B278" s="14" t="inlineStr">
        <is>
          <t>Mortar for laying and pointing</t>
        </is>
      </c>
      <c r="C278" s="13" t="inlineStr">
        <is>
          <t>L.S.</t>
        </is>
      </c>
      <c r="D278" s="15" t="n">
        <v>8.06</v>
      </c>
      <c r="E278" s="16" t="n">
        <v>2</v>
      </c>
      <c r="F278" s="16">
        <f>D278*E278</f>
        <v/>
      </c>
    </row>
    <row r="279">
      <c r="A279" s="13" t="inlineStr">
        <is>
          <t>9999</t>
        </is>
      </c>
      <c r="B279" s="14" t="inlineStr">
        <is>
          <t>Centering and shuttering</t>
        </is>
      </c>
      <c r="C279" s="13" t="inlineStr">
        <is>
          <t>L.S.</t>
        </is>
      </c>
      <c r="D279" s="15" t="n">
        <v>13.52</v>
      </c>
      <c r="E279" s="16" t="n">
        <v>2</v>
      </c>
      <c r="F279" s="16">
        <f>D279*E279</f>
        <v/>
      </c>
    </row>
    <row r="280">
      <c r="A280" s="13" t="inlineStr">
        <is>
          <t>9999</t>
        </is>
      </c>
      <c r="B280" s="14" t="inlineStr">
        <is>
          <t>Extra for using white cement</t>
        </is>
      </c>
      <c r="C280" s="13" t="inlineStr">
        <is>
          <t>L.S.</t>
        </is>
      </c>
      <c r="D280" s="15" t="n">
        <v>8.06</v>
      </c>
      <c r="E280" s="16" t="n">
        <v>2</v>
      </c>
      <c r="F280" s="16">
        <f>D280*E280</f>
        <v/>
      </c>
    </row>
    <row r="281">
      <c r="A281" s="13" t="inlineStr">
        <is>
          <t>0115</t>
        </is>
      </c>
      <c r="B281" s="14" t="inlineStr">
        <is>
          <t>Coolie</t>
        </is>
      </c>
      <c r="C281" s="13" t="inlineStr">
        <is>
          <t>day</t>
        </is>
      </c>
      <c r="D281" s="15" t="n">
        <v>0.015</v>
      </c>
      <c r="E281" s="16" t="n">
        <v>558</v>
      </c>
      <c r="F281" s="16">
        <f>D281*E281</f>
        <v/>
      </c>
    </row>
    <row r="282">
      <c r="A282" s="17" t="inlineStr">
        <is>
          <t>Resource Total (Material + Labour + Machinery, as printed)</t>
        </is>
      </c>
      <c r="B282" s="18" t="n"/>
      <c r="C282" s="18" t="n"/>
      <c r="D282" s="18" t="n"/>
      <c r="E282" s="18" t="n"/>
      <c r="F282" s="19">
        <f>SUM(F265:F281)</f>
        <v/>
      </c>
    </row>
    <row r="283">
      <c r="A283" s="20" t="inlineStr">
        <is>
          <t>SAY (Rs.) — final DAR rate</t>
        </is>
      </c>
      <c r="B283" s="21" t="n"/>
      <c r="C283" s="21" t="n"/>
      <c r="D283" s="21" t="n"/>
      <c r="E283" s="21" t="n"/>
      <c r="F283" s="22" t="n">
        <v>75379</v>
      </c>
    </row>
    <row r="285" ht="18" customHeight="1">
      <c r="A285" s="9" t="inlineStr">
        <is>
          <t>7.13.2.1</t>
        </is>
      </c>
      <c r="B285" s="10" t="inlineStr">
        <is>
          <t>Red sand stone</t>
        </is>
      </c>
      <c r="C285" s="11" t="n"/>
      <c r="D285" s="11" t="n"/>
      <c r="E285" s="11" t="n"/>
      <c r="F285" s="11" t="n"/>
    </row>
    <row r="286">
      <c r="A286" s="12" t="inlineStr">
        <is>
          <t>Rate basis: per cudm  (source: cost for 10 cudm)</t>
        </is>
      </c>
    </row>
    <row r="287">
      <c r="A287" s="5" t="inlineStr">
        <is>
          <t>Code</t>
        </is>
      </c>
      <c r="B287" s="5" t="inlineStr">
        <is>
          <t>Description</t>
        </is>
      </c>
      <c r="C287" s="5" t="inlineStr">
        <is>
          <t>Unit</t>
        </is>
      </c>
      <c r="D287" s="5" t="inlineStr">
        <is>
          <t>Quantity</t>
        </is>
      </c>
      <c r="E287" s="5" t="inlineStr">
        <is>
          <t>Rate (Rs.)</t>
        </is>
      </c>
      <c r="F287" s="5" t="inlineStr">
        <is>
          <t>Amount (Rs.)</t>
        </is>
      </c>
    </row>
    <row r="288">
      <c r="A288" s="13" t="inlineStr">
        <is>
          <t>2216</t>
        </is>
      </c>
      <c r="B288" s="14" t="inlineStr">
        <is>
          <t>Carriage of Stone blocks white &amp; red sand stone &amp; kota stone slab</t>
        </is>
      </c>
      <c r="C288" s="13" t="inlineStr">
        <is>
          <t>tonne</t>
        </is>
      </c>
      <c r="D288" s="15" t="n">
        <v>0.031</v>
      </c>
      <c r="E288" s="16" t="n">
        <v>92.23999999999999</v>
      </c>
      <c r="F288" s="16">
        <f>D288*E288</f>
        <v/>
      </c>
    </row>
    <row r="289">
      <c r="A289" s="13" t="inlineStr">
        <is>
          <t>0125</t>
        </is>
      </c>
      <c r="B289" s="14" t="inlineStr">
        <is>
          <t>Mason (for plain stone work) 2nd class)</t>
        </is>
      </c>
      <c r="C289" s="13" t="inlineStr">
        <is>
          <t>day</t>
        </is>
      </c>
      <c r="D289" s="15" t="n">
        <v>0.176</v>
      </c>
      <c r="E289" s="16" t="n">
        <v>679</v>
      </c>
      <c r="F289" s="16">
        <f>D289*E289</f>
        <v/>
      </c>
    </row>
    <row r="290">
      <c r="A290" s="13" t="inlineStr">
        <is>
          <t>0102</t>
        </is>
      </c>
      <c r="B290" s="14" t="inlineStr">
        <is>
          <t>Blacksmith 1st class</t>
        </is>
      </c>
      <c r="C290" s="13" t="inlineStr">
        <is>
          <t>day</t>
        </is>
      </c>
      <c r="D290" s="15" t="n">
        <v>0.012</v>
      </c>
      <c r="E290" s="16" t="n">
        <v>738</v>
      </c>
      <c r="F290" s="16">
        <f>D290*E290</f>
        <v/>
      </c>
    </row>
    <row r="291">
      <c r="A291" s="13" t="inlineStr">
        <is>
          <t>0114</t>
        </is>
      </c>
      <c r="B291" s="14" t="inlineStr">
        <is>
          <t>Beldar</t>
        </is>
      </c>
      <c r="C291" s="13" t="inlineStr">
        <is>
          <t>day</t>
        </is>
      </c>
      <c r="D291" s="15" t="n">
        <v>0.08799999999999999</v>
      </c>
      <c r="E291" s="16" t="n">
        <v>558</v>
      </c>
      <c r="F291" s="16">
        <f>D291*E291</f>
        <v/>
      </c>
    </row>
    <row r="292">
      <c r="A292" s="13" t="inlineStr">
        <is>
          <t>0115</t>
        </is>
      </c>
      <c r="B292" s="14" t="inlineStr">
        <is>
          <t>Coolie</t>
        </is>
      </c>
      <c r="C292" s="13" t="inlineStr">
        <is>
          <t>day</t>
        </is>
      </c>
      <c r="D292" s="15" t="n">
        <v>0.044</v>
      </c>
      <c r="E292" s="16" t="n">
        <v>558</v>
      </c>
      <c r="F292" s="16">
        <f>D292*E292</f>
        <v/>
      </c>
    </row>
    <row r="293">
      <c r="A293" s="13" t="inlineStr">
        <is>
          <t>0100</t>
        </is>
      </c>
      <c r="B293" s="14" t="inlineStr">
        <is>
          <t>Bandhani</t>
        </is>
      </c>
      <c r="C293" s="13" t="inlineStr">
        <is>
          <t>day</t>
        </is>
      </c>
      <c r="D293" s="15" t="n">
        <v>0.08799999999999999</v>
      </c>
      <c r="E293" s="16" t="n">
        <v>617</v>
      </c>
      <c r="F293" s="16">
        <f>D293*E293</f>
        <v/>
      </c>
    </row>
    <row r="294">
      <c r="A294" s="13" t="inlineStr">
        <is>
          <t>0125</t>
        </is>
      </c>
      <c r="B294" s="14" t="inlineStr">
        <is>
          <t>Mason (for plain stone work) 2nd class)</t>
        </is>
      </c>
      <c r="C294" s="13" t="inlineStr">
        <is>
          <t>day</t>
        </is>
      </c>
      <c r="D294" s="15" t="n">
        <v>0.044</v>
      </c>
      <c r="E294" s="16" t="n">
        <v>679</v>
      </c>
      <c r="F294" s="16">
        <f>D294*E294</f>
        <v/>
      </c>
    </row>
    <row r="295">
      <c r="A295" s="13" t="inlineStr">
        <is>
          <t>0102</t>
        </is>
      </c>
      <c r="B295" s="14" t="inlineStr">
        <is>
          <t>Blacksmith 1st class</t>
        </is>
      </c>
      <c r="C295" s="13" t="inlineStr">
        <is>
          <t>day</t>
        </is>
      </c>
      <c r="D295" s="15" t="n">
        <v>0.006</v>
      </c>
      <c r="E295" s="16" t="n">
        <v>738</v>
      </c>
      <c r="F295" s="16">
        <f>D295*E295</f>
        <v/>
      </c>
    </row>
    <row r="296">
      <c r="A296" s="13" t="inlineStr">
        <is>
          <t>0114</t>
        </is>
      </c>
      <c r="B296" s="14" t="inlineStr">
        <is>
          <t>Beldar</t>
        </is>
      </c>
      <c r="C296" s="13" t="inlineStr">
        <is>
          <t>day</t>
        </is>
      </c>
      <c r="D296" s="15" t="n">
        <v>0.022</v>
      </c>
      <c r="E296" s="16" t="n">
        <v>558</v>
      </c>
      <c r="F296" s="16">
        <f>D296*E296</f>
        <v/>
      </c>
    </row>
    <row r="297">
      <c r="A297" s="13" t="inlineStr">
        <is>
          <t>0115</t>
        </is>
      </c>
      <c r="B297" s="14" t="inlineStr">
        <is>
          <t>Coolie</t>
        </is>
      </c>
      <c r="C297" s="13" t="inlineStr">
        <is>
          <t>day</t>
        </is>
      </c>
      <c r="D297" s="15" t="n">
        <v>0.022</v>
      </c>
      <c r="E297" s="16" t="n">
        <v>558</v>
      </c>
      <c r="F297" s="16">
        <f>D297*E297</f>
        <v/>
      </c>
    </row>
    <row r="298">
      <c r="A298" s="13" t="inlineStr">
        <is>
          <t>0100</t>
        </is>
      </c>
      <c r="B298" s="14" t="inlineStr">
        <is>
          <t>Bandhani</t>
        </is>
      </c>
      <c r="C298" s="13" t="inlineStr">
        <is>
          <t>day</t>
        </is>
      </c>
      <c r="D298" s="15" t="n">
        <v>0.022</v>
      </c>
      <c r="E298" s="16" t="n">
        <v>617</v>
      </c>
      <c r="F298" s="16">
        <f>D298*E298</f>
        <v/>
      </c>
    </row>
    <row r="299">
      <c r="A299" s="13" t="inlineStr">
        <is>
          <t>0101</t>
        </is>
      </c>
      <c r="B299" s="14" t="inlineStr">
        <is>
          <t>Bhisti</t>
        </is>
      </c>
      <c r="C299" s="13" t="inlineStr">
        <is>
          <t>day</t>
        </is>
      </c>
      <c r="D299" s="15" t="n">
        <v>0.022</v>
      </c>
      <c r="E299" s="16" t="n">
        <v>617</v>
      </c>
      <c r="F299" s="16">
        <f>D299*E299</f>
        <v/>
      </c>
    </row>
    <row r="300">
      <c r="A300" s="13" t="inlineStr">
        <is>
          <t>9999</t>
        </is>
      </c>
      <c r="B300" s="14" t="inlineStr">
        <is>
          <t>Scaffolding</t>
        </is>
      </c>
      <c r="C300" s="13" t="inlineStr">
        <is>
          <t>L.S.</t>
        </is>
      </c>
      <c r="D300" s="15" t="n">
        <v>2.73</v>
      </c>
      <c r="E300" s="16" t="n">
        <v>2</v>
      </c>
      <c r="F300" s="16">
        <f>D300*E300</f>
        <v/>
      </c>
    </row>
    <row r="301">
      <c r="A301" s="13" t="inlineStr">
        <is>
          <t>9999</t>
        </is>
      </c>
      <c r="B301" s="14" t="inlineStr">
        <is>
          <t>Mortar for laying and pointing</t>
        </is>
      </c>
      <c r="C301" s="13" t="inlineStr">
        <is>
          <t>L.S.</t>
        </is>
      </c>
      <c r="D301" s="15" t="n">
        <v>8.06</v>
      </c>
      <c r="E301" s="16" t="n">
        <v>2</v>
      </c>
      <c r="F301" s="16">
        <f>D301*E301</f>
        <v/>
      </c>
    </row>
    <row r="302">
      <c r="A302" s="13" t="inlineStr">
        <is>
          <t>9999</t>
        </is>
      </c>
      <c r="B302" s="14" t="inlineStr">
        <is>
          <t>Centering and shuttering</t>
        </is>
      </c>
      <c r="C302" s="13" t="inlineStr">
        <is>
          <t>L.S.</t>
        </is>
      </c>
      <c r="D302" s="15" t="n">
        <v>13.52</v>
      </c>
      <c r="E302" s="16" t="n">
        <v>2</v>
      </c>
      <c r="F302" s="16">
        <f>D302*E302</f>
        <v/>
      </c>
    </row>
    <row r="303">
      <c r="A303" s="13" t="inlineStr">
        <is>
          <t>9999</t>
        </is>
      </c>
      <c r="B303" s="14" t="inlineStr">
        <is>
          <t>Extra for using white cement</t>
        </is>
      </c>
      <c r="C303" s="13" t="inlineStr">
        <is>
          <t>L.S.</t>
        </is>
      </c>
      <c r="D303" s="15" t="n">
        <v>8.06</v>
      </c>
      <c r="E303" s="16" t="n">
        <v>2</v>
      </c>
      <c r="F303" s="16">
        <f>D303*E303</f>
        <v/>
      </c>
    </row>
    <row r="304">
      <c r="A304" s="13" t="inlineStr">
        <is>
          <t>0115</t>
        </is>
      </c>
      <c r="B304" s="14" t="inlineStr">
        <is>
          <t>Coolie</t>
        </is>
      </c>
      <c r="C304" s="13" t="inlineStr">
        <is>
          <t>day</t>
        </is>
      </c>
      <c r="D304" s="15" t="n">
        <v>0.015</v>
      </c>
      <c r="E304" s="16" t="n">
        <v>558</v>
      </c>
      <c r="F304" s="16">
        <f>D304*E304</f>
        <v/>
      </c>
    </row>
    <row r="305">
      <c r="A305" s="17" t="inlineStr">
        <is>
          <t>Resource Total (Material + Labour + Machinery, as printed)</t>
        </is>
      </c>
      <c r="B305" s="18" t="n"/>
      <c r="C305" s="18" t="n"/>
      <c r="D305" s="18" t="n"/>
      <c r="E305" s="18" t="n"/>
      <c r="F305" s="19">
        <f>SUM(F288:F304)</f>
        <v/>
      </c>
    </row>
    <row r="306">
      <c r="A306" s="20" t="inlineStr">
        <is>
          <t>SAY (Rs.) — final DAR rate</t>
        </is>
      </c>
      <c r="B306" s="21" t="n"/>
      <c r="C306" s="21" t="n"/>
      <c r="D306" s="21" t="n"/>
      <c r="E306" s="21" t="n"/>
      <c r="F306" s="22" t="n">
        <v>70053</v>
      </c>
    </row>
    <row r="308" ht="18" customHeight="1">
      <c r="A308" s="9" t="inlineStr">
        <is>
          <t>7.13.2.2</t>
        </is>
      </c>
      <c r="B308" s="10" t="inlineStr">
        <is>
          <t>White sand stone</t>
        </is>
      </c>
      <c r="C308" s="11" t="n"/>
      <c r="D308" s="11" t="n"/>
      <c r="E308" s="11" t="n"/>
      <c r="F308" s="11" t="n"/>
    </row>
    <row r="309">
      <c r="A309" s="12" t="inlineStr">
        <is>
          <t>Rate basis: per cudm  (source: cost for 10 cudm)</t>
        </is>
      </c>
    </row>
    <row r="310">
      <c r="A310" s="5" t="inlineStr">
        <is>
          <t>Code</t>
        </is>
      </c>
      <c r="B310" s="5" t="inlineStr">
        <is>
          <t>Description</t>
        </is>
      </c>
      <c r="C310" s="5" t="inlineStr">
        <is>
          <t>Unit</t>
        </is>
      </c>
      <c r="D310" s="5" t="inlineStr">
        <is>
          <t>Quantity</t>
        </is>
      </c>
      <c r="E310" s="5" t="inlineStr">
        <is>
          <t>Rate (Rs.)</t>
        </is>
      </c>
      <c r="F310" s="5" t="inlineStr">
        <is>
          <t>Amount (Rs.)</t>
        </is>
      </c>
    </row>
    <row r="311">
      <c r="A311" s="13" t="inlineStr">
        <is>
          <t>2216</t>
        </is>
      </c>
      <c r="B311" s="14" t="inlineStr">
        <is>
          <t>Carriage of Stone blocks white &amp; red sand stone &amp; kota stone slab</t>
        </is>
      </c>
      <c r="C311" s="13" t="inlineStr">
        <is>
          <t>tonne</t>
        </is>
      </c>
      <c r="D311" s="15" t="n">
        <v>0.031</v>
      </c>
      <c r="E311" s="16" t="n">
        <v>92.23999999999999</v>
      </c>
      <c r="F311" s="16">
        <f>D311*E311</f>
        <v/>
      </c>
    </row>
    <row r="312">
      <c r="A312" s="13" t="inlineStr">
        <is>
          <t>0125</t>
        </is>
      </c>
      <c r="B312" s="14" t="inlineStr">
        <is>
          <t>Mason (for plain stone work) 2nd class)</t>
        </is>
      </c>
      <c r="C312" s="13" t="inlineStr">
        <is>
          <t>day</t>
        </is>
      </c>
      <c r="D312" s="15" t="n">
        <v>0.176</v>
      </c>
      <c r="E312" s="16" t="n">
        <v>679</v>
      </c>
      <c r="F312" s="16">
        <f>D312*E312</f>
        <v/>
      </c>
    </row>
    <row r="313">
      <c r="A313" s="13" t="inlineStr">
        <is>
          <t>0102</t>
        </is>
      </c>
      <c r="B313" s="14" t="inlineStr">
        <is>
          <t>Blacksmith 1st class</t>
        </is>
      </c>
      <c r="C313" s="13" t="inlineStr">
        <is>
          <t>day</t>
        </is>
      </c>
      <c r="D313" s="15" t="n">
        <v>0.012</v>
      </c>
      <c r="E313" s="16" t="n">
        <v>738</v>
      </c>
      <c r="F313" s="16">
        <f>D313*E313</f>
        <v/>
      </c>
    </row>
    <row r="314">
      <c r="A314" s="13" t="inlineStr">
        <is>
          <t>0114</t>
        </is>
      </c>
      <c r="B314" s="14" t="inlineStr">
        <is>
          <t>Beldar</t>
        </is>
      </c>
      <c r="C314" s="13" t="inlineStr">
        <is>
          <t>day</t>
        </is>
      </c>
      <c r="D314" s="15" t="n">
        <v>0.08799999999999999</v>
      </c>
      <c r="E314" s="16" t="n">
        <v>558</v>
      </c>
      <c r="F314" s="16">
        <f>D314*E314</f>
        <v/>
      </c>
    </row>
    <row r="315">
      <c r="A315" s="13" t="inlineStr">
        <is>
          <t>0115</t>
        </is>
      </c>
      <c r="B315" s="14" t="inlineStr">
        <is>
          <t>Coolie</t>
        </is>
      </c>
      <c r="C315" s="13" t="inlineStr">
        <is>
          <t>day</t>
        </is>
      </c>
      <c r="D315" s="15" t="n">
        <v>0.044</v>
      </c>
      <c r="E315" s="16" t="n">
        <v>558</v>
      </c>
      <c r="F315" s="16">
        <f>D315*E315</f>
        <v/>
      </c>
    </row>
    <row r="316">
      <c r="A316" s="13" t="inlineStr">
        <is>
          <t>0100</t>
        </is>
      </c>
      <c r="B316" s="14" t="inlineStr">
        <is>
          <t>Bandhani</t>
        </is>
      </c>
      <c r="C316" s="13" t="inlineStr">
        <is>
          <t>day</t>
        </is>
      </c>
      <c r="D316" s="15" t="n">
        <v>0.08799999999999999</v>
      </c>
      <c r="E316" s="16" t="n">
        <v>617</v>
      </c>
      <c r="F316" s="16">
        <f>D316*E316</f>
        <v/>
      </c>
    </row>
    <row r="317">
      <c r="A317" s="13" t="inlineStr">
        <is>
          <t>0125</t>
        </is>
      </c>
      <c r="B317" s="14" t="inlineStr">
        <is>
          <t>Mason (for plain stone work) 2nd class)</t>
        </is>
      </c>
      <c r="C317" s="13" t="inlineStr">
        <is>
          <t>day</t>
        </is>
      </c>
      <c r="D317" s="15" t="n">
        <v>0.044</v>
      </c>
      <c r="E317" s="16" t="n">
        <v>679</v>
      </c>
      <c r="F317" s="16">
        <f>D317*E317</f>
        <v/>
      </c>
    </row>
    <row r="318">
      <c r="A318" s="13" t="inlineStr">
        <is>
          <t>0102</t>
        </is>
      </c>
      <c r="B318" s="14" t="inlineStr">
        <is>
          <t>Blacksmith 1st class</t>
        </is>
      </c>
      <c r="C318" s="13" t="inlineStr">
        <is>
          <t>day</t>
        </is>
      </c>
      <c r="D318" s="15" t="n">
        <v>0.006</v>
      </c>
      <c r="E318" s="16" t="n">
        <v>738</v>
      </c>
      <c r="F318" s="16">
        <f>D318*E318</f>
        <v/>
      </c>
    </row>
    <row r="319">
      <c r="A319" s="13" t="inlineStr">
        <is>
          <t>0114</t>
        </is>
      </c>
      <c r="B319" s="14" t="inlineStr">
        <is>
          <t>Beldar</t>
        </is>
      </c>
      <c r="C319" s="13" t="inlineStr">
        <is>
          <t>day</t>
        </is>
      </c>
      <c r="D319" s="15" t="n">
        <v>0.022</v>
      </c>
      <c r="E319" s="16" t="n">
        <v>558</v>
      </c>
      <c r="F319" s="16">
        <f>D319*E319</f>
        <v/>
      </c>
    </row>
    <row r="320">
      <c r="A320" s="13" t="inlineStr">
        <is>
          <t>0115</t>
        </is>
      </c>
      <c r="B320" s="14" t="inlineStr">
        <is>
          <t>Coolie</t>
        </is>
      </c>
      <c r="C320" s="13" t="inlineStr">
        <is>
          <t>day</t>
        </is>
      </c>
      <c r="D320" s="15" t="n">
        <v>0.022</v>
      </c>
      <c r="E320" s="16" t="n">
        <v>558</v>
      </c>
      <c r="F320" s="16">
        <f>D320*E320</f>
        <v/>
      </c>
    </row>
    <row r="321">
      <c r="A321" s="13" t="inlineStr">
        <is>
          <t>0100</t>
        </is>
      </c>
      <c r="B321" s="14" t="inlineStr">
        <is>
          <t>Bandhani</t>
        </is>
      </c>
      <c r="C321" s="13" t="inlineStr">
        <is>
          <t>day</t>
        </is>
      </c>
      <c r="D321" s="15" t="n">
        <v>0.022</v>
      </c>
      <c r="E321" s="16" t="n">
        <v>617</v>
      </c>
      <c r="F321" s="16">
        <f>D321*E321</f>
        <v/>
      </c>
    </row>
    <row r="322">
      <c r="A322" s="13" t="inlineStr">
        <is>
          <t>0101</t>
        </is>
      </c>
      <c r="B322" s="14" t="inlineStr">
        <is>
          <t>Bhisti</t>
        </is>
      </c>
      <c r="C322" s="13" t="inlineStr">
        <is>
          <t>day</t>
        </is>
      </c>
      <c r="D322" s="15" t="n">
        <v>0.022</v>
      </c>
      <c r="E322" s="16" t="n">
        <v>617</v>
      </c>
      <c r="F322" s="16">
        <f>D322*E322</f>
        <v/>
      </c>
    </row>
    <row r="323">
      <c r="A323" s="13" t="inlineStr">
        <is>
          <t>9999</t>
        </is>
      </c>
      <c r="B323" s="14" t="inlineStr">
        <is>
          <t>Scaffolding</t>
        </is>
      </c>
      <c r="C323" s="13" t="inlineStr">
        <is>
          <t>L.S.</t>
        </is>
      </c>
      <c r="D323" s="15" t="n">
        <v>2.73</v>
      </c>
      <c r="E323" s="16" t="n">
        <v>2</v>
      </c>
      <c r="F323" s="16">
        <f>D323*E323</f>
        <v/>
      </c>
    </row>
    <row r="324">
      <c r="A324" s="13" t="inlineStr">
        <is>
          <t>9999</t>
        </is>
      </c>
      <c r="B324" s="14" t="inlineStr">
        <is>
          <t>Mortar for laying and pointing</t>
        </is>
      </c>
      <c r="C324" s="13" t="inlineStr">
        <is>
          <t>L.S.</t>
        </is>
      </c>
      <c r="D324" s="15" t="n">
        <v>8.06</v>
      </c>
      <c r="E324" s="16" t="n">
        <v>2</v>
      </c>
      <c r="F324" s="16">
        <f>D324*E324</f>
        <v/>
      </c>
    </row>
    <row r="325">
      <c r="A325" s="13" t="inlineStr">
        <is>
          <t>9999</t>
        </is>
      </c>
      <c r="B325" s="14" t="inlineStr">
        <is>
          <t>Centering and shuttering</t>
        </is>
      </c>
      <c r="C325" s="13" t="inlineStr">
        <is>
          <t>L.S.</t>
        </is>
      </c>
      <c r="D325" s="15" t="n">
        <v>13.52</v>
      </c>
      <c r="E325" s="16" t="n">
        <v>2</v>
      </c>
      <c r="F325" s="16">
        <f>D325*E325</f>
        <v/>
      </c>
    </row>
    <row r="326">
      <c r="A326" s="13" t="inlineStr">
        <is>
          <t>9999</t>
        </is>
      </c>
      <c r="B326" s="14" t="inlineStr">
        <is>
          <t>Extra for using white cement</t>
        </is>
      </c>
      <c r="C326" s="13" t="inlineStr">
        <is>
          <t>L.S.</t>
        </is>
      </c>
      <c r="D326" s="15" t="n">
        <v>8.06</v>
      </c>
      <c r="E326" s="16" t="n">
        <v>2</v>
      </c>
      <c r="F326" s="16">
        <f>D326*E326</f>
        <v/>
      </c>
    </row>
    <row r="327">
      <c r="A327" s="13" t="inlineStr">
        <is>
          <t>0115</t>
        </is>
      </c>
      <c r="B327" s="14" t="inlineStr">
        <is>
          <t>Coolie</t>
        </is>
      </c>
      <c r="C327" s="13" t="inlineStr">
        <is>
          <t>day</t>
        </is>
      </c>
      <c r="D327" s="15" t="n">
        <v>0.015</v>
      </c>
      <c r="E327" s="16" t="n">
        <v>558</v>
      </c>
      <c r="F327" s="16">
        <f>D327*E327</f>
        <v/>
      </c>
    </row>
    <row r="328">
      <c r="A328" s="17" t="inlineStr">
        <is>
          <t>Resource Total (Material + Labour + Machinery, as printed)</t>
        </is>
      </c>
      <c r="B328" s="18" t="n"/>
      <c r="C328" s="18" t="n"/>
      <c r="D328" s="18" t="n"/>
      <c r="E328" s="18" t="n"/>
      <c r="F328" s="19">
        <f>SUM(F311:F327)</f>
        <v/>
      </c>
    </row>
    <row r="329">
      <c r="A329" s="20" t="inlineStr">
        <is>
          <t>SAY (Rs.) — final DAR rate</t>
        </is>
      </c>
      <c r="B329" s="21" t="n"/>
      <c r="C329" s="21" t="n"/>
      <c r="D329" s="21" t="n"/>
      <c r="E329" s="21" t="n"/>
      <c r="F329" s="22" t="n">
        <v>92525</v>
      </c>
    </row>
    <row r="331" ht="18" customHeight="1">
      <c r="A331" s="9" t="inlineStr">
        <is>
          <t>7.14.1.1</t>
        </is>
      </c>
      <c r="B331" s="10" t="inlineStr">
        <is>
          <t>Red sand stone</t>
        </is>
      </c>
      <c r="C331" s="11" t="n"/>
      <c r="D331" s="11" t="n"/>
      <c r="E331" s="11" t="n"/>
      <c r="F331" s="11" t="n"/>
    </row>
    <row r="332">
      <c r="A332" s="12" t="inlineStr">
        <is>
          <t>Rate basis: per cudm  (source: cost for 10 cudm)</t>
        </is>
      </c>
    </row>
    <row r="333">
      <c r="A333" s="5" t="inlineStr">
        <is>
          <t>Code</t>
        </is>
      </c>
      <c r="B333" s="5" t="inlineStr">
        <is>
          <t>Description</t>
        </is>
      </c>
      <c r="C333" s="5" t="inlineStr">
        <is>
          <t>Unit</t>
        </is>
      </c>
      <c r="D333" s="5" t="inlineStr">
        <is>
          <t>Quantity</t>
        </is>
      </c>
      <c r="E333" s="5" t="inlineStr">
        <is>
          <t>Rate (Rs.)</t>
        </is>
      </c>
      <c r="F333" s="5" t="inlineStr">
        <is>
          <t>Amount (Rs.)</t>
        </is>
      </c>
    </row>
    <row r="334">
      <c r="A334" s="13" t="inlineStr">
        <is>
          <t>2216</t>
        </is>
      </c>
      <c r="B334" s="14" t="inlineStr">
        <is>
          <t>Carriage of Stone blocks white &amp; red sand stone &amp; kota stone slab</t>
        </is>
      </c>
      <c r="C334" s="13" t="inlineStr">
        <is>
          <t>tonne</t>
        </is>
      </c>
      <c r="D334" s="15" t="n">
        <v>0.031</v>
      </c>
      <c r="E334" s="16" t="n">
        <v>92.23999999999999</v>
      </c>
      <c r="F334" s="16">
        <f>D334*E334</f>
        <v/>
      </c>
    </row>
    <row r="335">
      <c r="A335" s="13" t="inlineStr">
        <is>
          <t>0125</t>
        </is>
      </c>
      <c r="B335" s="14" t="inlineStr">
        <is>
          <t>Mason (for plain stone work) 2nd class)</t>
        </is>
      </c>
      <c r="C335" s="13" t="inlineStr">
        <is>
          <t>day</t>
        </is>
      </c>
      <c r="D335" s="15" t="n">
        <v>0.176</v>
      </c>
      <c r="E335" s="16" t="n">
        <v>679</v>
      </c>
      <c r="F335" s="16">
        <f>D335*E335</f>
        <v/>
      </c>
    </row>
    <row r="336">
      <c r="A336" s="13" t="inlineStr">
        <is>
          <t>0102</t>
        </is>
      </c>
      <c r="B336" s="14" t="inlineStr">
        <is>
          <t>Blacksmith 1st class</t>
        </is>
      </c>
      <c r="C336" s="13" t="inlineStr">
        <is>
          <t>day</t>
        </is>
      </c>
      <c r="D336" s="15" t="n">
        <v>0.006</v>
      </c>
      <c r="E336" s="16" t="n">
        <v>738</v>
      </c>
      <c r="F336" s="16">
        <f>D336*E336</f>
        <v/>
      </c>
    </row>
    <row r="337">
      <c r="A337" s="13" t="inlineStr">
        <is>
          <t>0126</t>
        </is>
      </c>
      <c r="B337" s="14" t="inlineStr">
        <is>
          <t>Mason (for ornamental stone work) 1st class</t>
        </is>
      </c>
      <c r="C337" s="13" t="inlineStr">
        <is>
          <t>day</t>
        </is>
      </c>
      <c r="D337" s="15" t="n">
        <v>0.176</v>
      </c>
      <c r="E337" s="16" t="n">
        <v>738</v>
      </c>
      <c r="F337" s="16">
        <f>D337*E337</f>
        <v/>
      </c>
    </row>
    <row r="338">
      <c r="A338" s="13" t="inlineStr">
        <is>
          <t>0114</t>
        </is>
      </c>
      <c r="B338" s="14" t="inlineStr">
        <is>
          <t>Beldar</t>
        </is>
      </c>
      <c r="C338" s="13" t="inlineStr">
        <is>
          <t>day</t>
        </is>
      </c>
      <c r="D338" s="15" t="n">
        <v>0.044</v>
      </c>
      <c r="E338" s="16" t="n">
        <v>558</v>
      </c>
      <c r="F338" s="16">
        <f>D338*E338</f>
        <v/>
      </c>
    </row>
    <row r="339">
      <c r="A339" s="13" t="inlineStr">
        <is>
          <t>0115</t>
        </is>
      </c>
      <c r="B339" s="14" t="inlineStr">
        <is>
          <t>Coolie</t>
        </is>
      </c>
      <c r="C339" s="13" t="inlineStr">
        <is>
          <t>day</t>
        </is>
      </c>
      <c r="D339" s="15" t="n">
        <v>0.022</v>
      </c>
      <c r="E339" s="16" t="n">
        <v>558</v>
      </c>
      <c r="F339" s="16">
        <f>D339*E339</f>
        <v/>
      </c>
    </row>
    <row r="340">
      <c r="A340" s="13" t="inlineStr">
        <is>
          <t>0100</t>
        </is>
      </c>
      <c r="B340" s="14" t="inlineStr">
        <is>
          <t>Bandhani</t>
        </is>
      </c>
      <c r="C340" s="13" t="inlineStr">
        <is>
          <t>day</t>
        </is>
      </c>
      <c r="D340" s="15" t="n">
        <v>0.044</v>
      </c>
      <c r="E340" s="16" t="n">
        <v>617</v>
      </c>
      <c r="F340" s="16">
        <f>D340*E340</f>
        <v/>
      </c>
    </row>
    <row r="341">
      <c r="A341" s="13" t="inlineStr">
        <is>
          <t>0125</t>
        </is>
      </c>
      <c r="B341" s="14" t="inlineStr">
        <is>
          <t>Mason (for plain stone work) 2nd class)</t>
        </is>
      </c>
      <c r="C341" s="13" t="inlineStr">
        <is>
          <t>day</t>
        </is>
      </c>
      <c r="D341" s="15" t="n">
        <v>0.044</v>
      </c>
      <c r="E341" s="16" t="n">
        <v>679</v>
      </c>
      <c r="F341" s="16">
        <f>D341*E341</f>
        <v/>
      </c>
    </row>
    <row r="342">
      <c r="A342" s="13" t="inlineStr">
        <is>
          <t>0102</t>
        </is>
      </c>
      <c r="B342" s="14" t="inlineStr">
        <is>
          <t>Blacksmith 1st class</t>
        </is>
      </c>
      <c r="C342" s="13" t="inlineStr">
        <is>
          <t>day</t>
        </is>
      </c>
      <c r="D342" s="15" t="n">
        <v>0.006</v>
      </c>
      <c r="E342" s="16" t="n">
        <v>738</v>
      </c>
      <c r="F342" s="16">
        <f>D342*E342</f>
        <v/>
      </c>
    </row>
    <row r="343">
      <c r="A343" s="13" t="inlineStr">
        <is>
          <t>0114</t>
        </is>
      </c>
      <c r="B343" s="14" t="inlineStr">
        <is>
          <t>Beldar</t>
        </is>
      </c>
      <c r="C343" s="13" t="inlineStr">
        <is>
          <t>day</t>
        </is>
      </c>
      <c r="D343" s="15" t="n">
        <v>0.022</v>
      </c>
      <c r="E343" s="16" t="n">
        <v>558</v>
      </c>
      <c r="F343" s="16">
        <f>D343*E343</f>
        <v/>
      </c>
    </row>
    <row r="344">
      <c r="A344" s="13" t="inlineStr">
        <is>
          <t>0115</t>
        </is>
      </c>
      <c r="B344" s="14" t="inlineStr">
        <is>
          <t>Coolie</t>
        </is>
      </c>
      <c r="C344" s="13" t="inlineStr">
        <is>
          <t>day</t>
        </is>
      </c>
      <c r="D344" s="15" t="n">
        <v>0.022</v>
      </c>
      <c r="E344" s="16" t="n">
        <v>558</v>
      </c>
      <c r="F344" s="16">
        <f>D344*E344</f>
        <v/>
      </c>
    </row>
    <row r="345">
      <c r="A345" s="13" t="inlineStr">
        <is>
          <t>0100</t>
        </is>
      </c>
      <c r="B345" s="14" t="inlineStr">
        <is>
          <t>Bandhani</t>
        </is>
      </c>
      <c r="C345" s="13" t="inlineStr">
        <is>
          <t>day</t>
        </is>
      </c>
      <c r="D345" s="15" t="n">
        <v>0.022</v>
      </c>
      <c r="E345" s="16" t="n">
        <v>617</v>
      </c>
      <c r="F345" s="16">
        <f>D345*E345</f>
        <v/>
      </c>
    </row>
    <row r="346">
      <c r="A346" s="13" t="inlineStr">
        <is>
          <t>0101</t>
        </is>
      </c>
      <c r="B346" s="14" t="inlineStr">
        <is>
          <t>Bhisti</t>
        </is>
      </c>
      <c r="C346" s="13" t="inlineStr">
        <is>
          <t>day</t>
        </is>
      </c>
      <c r="D346" s="15" t="n">
        <v>0.022</v>
      </c>
      <c r="E346" s="16" t="n">
        <v>617</v>
      </c>
      <c r="F346" s="16">
        <f>D346*E346</f>
        <v/>
      </c>
    </row>
    <row r="347">
      <c r="A347" s="13" t="inlineStr">
        <is>
          <t>9999</t>
        </is>
      </c>
      <c r="B347" s="14" t="inlineStr">
        <is>
          <t>Scaffolding</t>
        </is>
      </c>
      <c r="C347" s="13" t="inlineStr">
        <is>
          <t>L.S.</t>
        </is>
      </c>
      <c r="D347" s="15" t="n">
        <v>2.73</v>
      </c>
      <c r="E347" s="16" t="n">
        <v>2</v>
      </c>
      <c r="F347" s="16">
        <f>D347*E347</f>
        <v/>
      </c>
    </row>
    <row r="348">
      <c r="A348" s="13" t="inlineStr">
        <is>
          <t>9999</t>
        </is>
      </c>
      <c r="B348" s="14" t="inlineStr">
        <is>
          <t>Mortar for laying and pointing</t>
        </is>
      </c>
      <c r="C348" s="13" t="inlineStr">
        <is>
          <t>L.S.</t>
        </is>
      </c>
      <c r="D348" s="15" t="n">
        <v>8.06</v>
      </c>
      <c r="E348" s="16" t="n">
        <v>2</v>
      </c>
      <c r="F348" s="16">
        <f>D348*E348</f>
        <v/>
      </c>
    </row>
    <row r="349">
      <c r="A349" s="13" t="inlineStr">
        <is>
          <t>9999</t>
        </is>
      </c>
      <c r="B349" s="14" t="inlineStr">
        <is>
          <t>Centring and shuttering</t>
        </is>
      </c>
      <c r="C349" s="13" t="inlineStr">
        <is>
          <t>L.S.</t>
        </is>
      </c>
      <c r="D349" s="15" t="n">
        <v>33.15</v>
      </c>
      <c r="E349" s="16" t="n">
        <v>2</v>
      </c>
      <c r="F349" s="16">
        <f>D349*E349</f>
        <v/>
      </c>
    </row>
    <row r="350">
      <c r="A350" s="13" t="inlineStr">
        <is>
          <t>9999</t>
        </is>
      </c>
      <c r="B350" s="14" t="inlineStr">
        <is>
          <t>Extra for using white cement</t>
        </is>
      </c>
      <c r="C350" s="13" t="inlineStr">
        <is>
          <t>L.S.</t>
        </is>
      </c>
      <c r="D350" s="15" t="n">
        <v>8.06</v>
      </c>
      <c r="E350" s="16" t="n">
        <v>2</v>
      </c>
      <c r="F350" s="16">
        <f>D350*E350</f>
        <v/>
      </c>
    </row>
    <row r="351">
      <c r="A351" s="13" t="inlineStr">
        <is>
          <t>0115</t>
        </is>
      </c>
      <c r="B351" s="14" t="inlineStr">
        <is>
          <t>Coolie</t>
        </is>
      </c>
      <c r="C351" s="13" t="inlineStr">
        <is>
          <t>day</t>
        </is>
      </c>
      <c r="D351" s="15" t="n">
        <v>0.015</v>
      </c>
      <c r="E351" s="16" t="n">
        <v>558</v>
      </c>
      <c r="F351" s="16">
        <f>D351*E351</f>
        <v/>
      </c>
    </row>
    <row r="352">
      <c r="A352" s="17" t="inlineStr">
        <is>
          <t>Resource Total (Material + Labour + Machinery, as printed)</t>
        </is>
      </c>
      <c r="B352" s="18" t="n"/>
      <c r="C352" s="18" t="n"/>
      <c r="D352" s="18" t="n"/>
      <c r="E352" s="18" t="n"/>
      <c r="F352" s="19">
        <f>SUM(F334:F351)</f>
        <v/>
      </c>
    </row>
    <row r="353">
      <c r="A353" s="20" t="inlineStr">
        <is>
          <t>SAY (Rs.) — final DAR rate</t>
        </is>
      </c>
      <c r="B353" s="21" t="n"/>
      <c r="C353" s="21" t="n"/>
      <c r="D353" s="21" t="n"/>
      <c r="E353" s="21" t="n"/>
      <c r="F353" s="22" t="n">
        <v>83532</v>
      </c>
    </row>
    <row r="355" ht="18" customHeight="1">
      <c r="A355" s="9" t="inlineStr">
        <is>
          <t>7.14.1.2</t>
        </is>
      </c>
      <c r="B355" s="10" t="inlineStr">
        <is>
          <t>White sand stone</t>
        </is>
      </c>
      <c r="C355" s="11" t="n"/>
      <c r="D355" s="11" t="n"/>
      <c r="E355" s="11" t="n"/>
      <c r="F355" s="11" t="n"/>
    </row>
    <row r="356">
      <c r="A356" s="12" t="inlineStr">
        <is>
          <t>Rate basis: per cudm  (source: cost for 10 cudm)</t>
        </is>
      </c>
    </row>
    <row r="357">
      <c r="A357" s="5" t="inlineStr">
        <is>
          <t>Code</t>
        </is>
      </c>
      <c r="B357" s="5" t="inlineStr">
        <is>
          <t>Description</t>
        </is>
      </c>
      <c r="C357" s="5" t="inlineStr">
        <is>
          <t>Unit</t>
        </is>
      </c>
      <c r="D357" s="5" t="inlineStr">
        <is>
          <t>Quantity</t>
        </is>
      </c>
      <c r="E357" s="5" t="inlineStr">
        <is>
          <t>Rate (Rs.)</t>
        </is>
      </c>
      <c r="F357" s="5" t="inlineStr">
        <is>
          <t>Amount (Rs.)</t>
        </is>
      </c>
    </row>
    <row r="358">
      <c r="A358" s="13" t="inlineStr">
        <is>
          <t>2216</t>
        </is>
      </c>
      <c r="B358" s="14" t="inlineStr">
        <is>
          <t>Carriage of Stone blocks white &amp; red sand stone &amp; kota stone slab</t>
        </is>
      </c>
      <c r="C358" s="13" t="inlineStr">
        <is>
          <t>tonne</t>
        </is>
      </c>
      <c r="D358" s="15" t="n">
        <v>0.031</v>
      </c>
      <c r="E358" s="16" t="n">
        <v>92.23999999999999</v>
      </c>
      <c r="F358" s="16">
        <f>D358*E358</f>
        <v/>
      </c>
    </row>
    <row r="359">
      <c r="A359" s="13" t="inlineStr">
        <is>
          <t>0125</t>
        </is>
      </c>
      <c r="B359" s="14" t="inlineStr">
        <is>
          <t>Mason (for plain stone work) 2nd class)</t>
        </is>
      </c>
      <c r="C359" s="13" t="inlineStr">
        <is>
          <t>day</t>
        </is>
      </c>
      <c r="D359" s="15" t="n">
        <v>0.176</v>
      </c>
      <c r="E359" s="16" t="n">
        <v>679</v>
      </c>
      <c r="F359" s="16">
        <f>D359*E359</f>
        <v/>
      </c>
    </row>
    <row r="360">
      <c r="A360" s="13" t="inlineStr">
        <is>
          <t>0102</t>
        </is>
      </c>
      <c r="B360" s="14" t="inlineStr">
        <is>
          <t>Blacksmith 1st class</t>
        </is>
      </c>
      <c r="C360" s="13" t="inlineStr">
        <is>
          <t>day</t>
        </is>
      </c>
      <c r="D360" s="15" t="n">
        <v>0.006</v>
      </c>
      <c r="E360" s="16" t="n">
        <v>738</v>
      </c>
      <c r="F360" s="16">
        <f>D360*E360</f>
        <v/>
      </c>
    </row>
    <row r="361">
      <c r="A361" s="13" t="inlineStr">
        <is>
          <t>0126</t>
        </is>
      </c>
      <c r="B361" s="14" t="inlineStr">
        <is>
          <t>Mason (for ornamental stone work) 1st class</t>
        </is>
      </c>
      <c r="C361" s="13" t="inlineStr">
        <is>
          <t>day</t>
        </is>
      </c>
      <c r="D361" s="15" t="n">
        <v>0.176</v>
      </c>
      <c r="E361" s="16" t="n">
        <v>738</v>
      </c>
      <c r="F361" s="16">
        <f>D361*E361</f>
        <v/>
      </c>
    </row>
    <row r="362">
      <c r="A362" s="13" t="inlineStr">
        <is>
          <t>0114</t>
        </is>
      </c>
      <c r="B362" s="14" t="inlineStr">
        <is>
          <t>Beldar</t>
        </is>
      </c>
      <c r="C362" s="13" t="inlineStr">
        <is>
          <t>day</t>
        </is>
      </c>
      <c r="D362" s="15" t="n">
        <v>0.044</v>
      </c>
      <c r="E362" s="16" t="n">
        <v>558</v>
      </c>
      <c r="F362" s="16">
        <f>D362*E362</f>
        <v/>
      </c>
    </row>
    <row r="363">
      <c r="A363" s="13" t="inlineStr">
        <is>
          <t>0115</t>
        </is>
      </c>
      <c r="B363" s="14" t="inlineStr">
        <is>
          <t>Coolie</t>
        </is>
      </c>
      <c r="C363" s="13" t="inlineStr">
        <is>
          <t>day</t>
        </is>
      </c>
      <c r="D363" s="15" t="n">
        <v>0.022</v>
      </c>
      <c r="E363" s="16" t="n">
        <v>558</v>
      </c>
      <c r="F363" s="16">
        <f>D363*E363</f>
        <v/>
      </c>
    </row>
    <row r="364">
      <c r="A364" s="13" t="inlineStr">
        <is>
          <t>0100</t>
        </is>
      </c>
      <c r="B364" s="14" t="inlineStr">
        <is>
          <t>Bandhani</t>
        </is>
      </c>
      <c r="C364" s="13" t="inlineStr">
        <is>
          <t>day</t>
        </is>
      </c>
      <c r="D364" s="15" t="n">
        <v>0.044</v>
      </c>
      <c r="E364" s="16" t="n">
        <v>617</v>
      </c>
      <c r="F364" s="16">
        <f>D364*E364</f>
        <v/>
      </c>
    </row>
    <row r="365">
      <c r="A365" s="13" t="inlineStr">
        <is>
          <t>0125</t>
        </is>
      </c>
      <c r="B365" s="14" t="inlineStr">
        <is>
          <t>Mason (for plain stone work) 2nd class)</t>
        </is>
      </c>
      <c r="C365" s="13" t="inlineStr">
        <is>
          <t>day</t>
        </is>
      </c>
      <c r="D365" s="15" t="n">
        <v>0.044</v>
      </c>
      <c r="E365" s="16" t="n">
        <v>679</v>
      </c>
      <c r="F365" s="16">
        <f>D365*E365</f>
        <v/>
      </c>
    </row>
    <row r="366">
      <c r="A366" s="13" t="inlineStr">
        <is>
          <t>0102</t>
        </is>
      </c>
      <c r="B366" s="14" t="inlineStr">
        <is>
          <t>Blacksmith 1st class</t>
        </is>
      </c>
      <c r="C366" s="13" t="inlineStr">
        <is>
          <t>day</t>
        </is>
      </c>
      <c r="D366" s="15" t="n">
        <v>0.006</v>
      </c>
      <c r="E366" s="16" t="n">
        <v>738</v>
      </c>
      <c r="F366" s="16">
        <f>D366*E366</f>
        <v/>
      </c>
    </row>
    <row r="367">
      <c r="A367" s="13" t="inlineStr">
        <is>
          <t>0114</t>
        </is>
      </c>
      <c r="B367" s="14" t="inlineStr">
        <is>
          <t>Beldar</t>
        </is>
      </c>
      <c r="C367" s="13" t="inlineStr">
        <is>
          <t>day</t>
        </is>
      </c>
      <c r="D367" s="15" t="n">
        <v>0.022</v>
      </c>
      <c r="E367" s="16" t="n">
        <v>558</v>
      </c>
      <c r="F367" s="16">
        <f>D367*E367</f>
        <v/>
      </c>
    </row>
    <row r="368">
      <c r="A368" s="13" t="inlineStr">
        <is>
          <t>0115</t>
        </is>
      </c>
      <c r="B368" s="14" t="inlineStr">
        <is>
          <t>Coolie</t>
        </is>
      </c>
      <c r="C368" s="13" t="inlineStr">
        <is>
          <t>day</t>
        </is>
      </c>
      <c r="D368" s="15" t="n">
        <v>0.022</v>
      </c>
      <c r="E368" s="16" t="n">
        <v>558</v>
      </c>
      <c r="F368" s="16">
        <f>D368*E368</f>
        <v/>
      </c>
    </row>
    <row r="369">
      <c r="A369" s="13" t="inlineStr">
        <is>
          <t>0100</t>
        </is>
      </c>
      <c r="B369" s="14" t="inlineStr">
        <is>
          <t>Bandhani</t>
        </is>
      </c>
      <c r="C369" s="13" t="inlineStr">
        <is>
          <t>day</t>
        </is>
      </c>
      <c r="D369" s="15" t="n">
        <v>0.022</v>
      </c>
      <c r="E369" s="16" t="n">
        <v>617</v>
      </c>
      <c r="F369" s="16">
        <f>D369*E369</f>
        <v/>
      </c>
    </row>
    <row r="370">
      <c r="A370" s="13" t="inlineStr">
        <is>
          <t>0101</t>
        </is>
      </c>
      <c r="B370" s="14" t="inlineStr">
        <is>
          <t>Bhisti</t>
        </is>
      </c>
      <c r="C370" s="13" t="inlineStr">
        <is>
          <t>day</t>
        </is>
      </c>
      <c r="D370" s="15" t="n">
        <v>0.022</v>
      </c>
      <c r="E370" s="16" t="n">
        <v>617</v>
      </c>
      <c r="F370" s="16">
        <f>D370*E370</f>
        <v/>
      </c>
    </row>
    <row r="371">
      <c r="A371" s="13" t="inlineStr">
        <is>
          <t>9999</t>
        </is>
      </c>
      <c r="B371" s="14" t="inlineStr">
        <is>
          <t>Scaffolding</t>
        </is>
      </c>
      <c r="C371" s="13" t="inlineStr">
        <is>
          <t>L.S.</t>
        </is>
      </c>
      <c r="D371" s="15" t="n">
        <v>2.73</v>
      </c>
      <c r="E371" s="16" t="n">
        <v>2</v>
      </c>
      <c r="F371" s="16">
        <f>D371*E371</f>
        <v/>
      </c>
    </row>
    <row r="372">
      <c r="A372" s="13" t="inlineStr">
        <is>
          <t>9999</t>
        </is>
      </c>
      <c r="B372" s="14" t="inlineStr">
        <is>
          <t>Mortar for laying and pointing</t>
        </is>
      </c>
      <c r="C372" s="13" t="inlineStr">
        <is>
          <t>L.S.</t>
        </is>
      </c>
      <c r="D372" s="15" t="n">
        <v>8.06</v>
      </c>
      <c r="E372" s="16" t="n">
        <v>2</v>
      </c>
      <c r="F372" s="16">
        <f>D372*E372</f>
        <v/>
      </c>
    </row>
    <row r="373">
      <c r="A373" s="13" t="inlineStr">
        <is>
          <t>9999</t>
        </is>
      </c>
      <c r="B373" s="14" t="inlineStr">
        <is>
          <t>Centring and shuttering</t>
        </is>
      </c>
      <c r="C373" s="13" t="inlineStr">
        <is>
          <t>L.S.</t>
        </is>
      </c>
      <c r="D373" s="15" t="n">
        <v>33.15</v>
      </c>
      <c r="E373" s="16" t="n">
        <v>2</v>
      </c>
      <c r="F373" s="16">
        <f>D373*E373</f>
        <v/>
      </c>
    </row>
    <row r="374">
      <c r="A374" s="13" t="inlineStr">
        <is>
          <t>9999</t>
        </is>
      </c>
      <c r="B374" s="14" t="inlineStr">
        <is>
          <t>Extra for using white cement</t>
        </is>
      </c>
      <c r="C374" s="13" t="inlineStr">
        <is>
          <t>L.S.</t>
        </is>
      </c>
      <c r="D374" s="15" t="n">
        <v>8.06</v>
      </c>
      <c r="E374" s="16" t="n">
        <v>2</v>
      </c>
      <c r="F374" s="16">
        <f>D374*E374</f>
        <v/>
      </c>
    </row>
    <row r="375">
      <c r="A375" s="13" t="inlineStr">
        <is>
          <t>0115</t>
        </is>
      </c>
      <c r="B375" s="14" t="inlineStr">
        <is>
          <t>Coolie</t>
        </is>
      </c>
      <c r="C375" s="13" t="inlineStr">
        <is>
          <t>day</t>
        </is>
      </c>
      <c r="D375" s="15" t="n">
        <v>0.015</v>
      </c>
      <c r="E375" s="16" t="n">
        <v>558</v>
      </c>
      <c r="F375" s="16">
        <f>D375*E375</f>
        <v/>
      </c>
    </row>
    <row r="376">
      <c r="A376" s="17" t="inlineStr">
        <is>
          <t>Resource Total (Material + Labour + Machinery, as printed)</t>
        </is>
      </c>
      <c r="B376" s="18" t="n"/>
      <c r="C376" s="18" t="n"/>
      <c r="D376" s="18" t="n"/>
      <c r="E376" s="18" t="n"/>
      <c r="F376" s="19">
        <f>SUM(F358:F375)</f>
        <v/>
      </c>
    </row>
    <row r="377">
      <c r="A377" s="20" t="inlineStr">
        <is>
          <t>SAY (Rs.) — final DAR rate</t>
        </is>
      </c>
      <c r="B377" s="21" t="n"/>
      <c r="C377" s="21" t="n"/>
      <c r="D377" s="21" t="n"/>
      <c r="E377" s="21" t="n"/>
      <c r="F377" s="22" t="n">
        <v>106004</v>
      </c>
    </row>
    <row r="379" ht="18" customHeight="1">
      <c r="A379" s="9" t="inlineStr">
        <is>
          <t>7.14.2.1</t>
        </is>
      </c>
      <c r="B379" s="10" t="inlineStr">
        <is>
          <t>Red sand stone</t>
        </is>
      </c>
      <c r="C379" s="11" t="n"/>
      <c r="D379" s="11" t="n"/>
      <c r="E379" s="11" t="n"/>
      <c r="F379" s="11" t="n"/>
    </row>
    <row r="380">
      <c r="A380" s="12" t="inlineStr">
        <is>
          <t>Rate basis: per cudm  (source: cost for 10 cudm)</t>
        </is>
      </c>
    </row>
    <row r="381">
      <c r="A381" s="5" t="inlineStr">
        <is>
          <t>Code</t>
        </is>
      </c>
      <c r="B381" s="5" t="inlineStr">
        <is>
          <t>Description</t>
        </is>
      </c>
      <c r="C381" s="5" t="inlineStr">
        <is>
          <t>Unit</t>
        </is>
      </c>
      <c r="D381" s="5" t="inlineStr">
        <is>
          <t>Quantity</t>
        </is>
      </c>
      <c r="E381" s="5" t="inlineStr">
        <is>
          <t>Rate (Rs.)</t>
        </is>
      </c>
      <c r="F381" s="5" t="inlineStr">
        <is>
          <t>Amount (Rs.)</t>
        </is>
      </c>
    </row>
    <row r="382">
      <c r="A382" s="13" t="inlineStr">
        <is>
          <t>2216</t>
        </is>
      </c>
      <c r="B382" s="14" t="inlineStr">
        <is>
          <t>Carriage of Stone blocks white &amp; red sand stone &amp; kota stone slab</t>
        </is>
      </c>
      <c r="C382" s="13" t="inlineStr">
        <is>
          <t>tonne</t>
        </is>
      </c>
      <c r="D382" s="15" t="n">
        <v>0.031</v>
      </c>
      <c r="E382" s="16" t="n">
        <v>92.23999999999999</v>
      </c>
      <c r="F382" s="16">
        <f>D382*E382</f>
        <v/>
      </c>
    </row>
    <row r="383">
      <c r="A383" s="13" t="inlineStr">
        <is>
          <t>0125</t>
        </is>
      </c>
      <c r="B383" s="14" t="inlineStr">
        <is>
          <t>Mason (for plain stone work) 2nd class)</t>
        </is>
      </c>
      <c r="C383" s="13" t="inlineStr">
        <is>
          <t>day</t>
        </is>
      </c>
      <c r="D383" s="15" t="n">
        <v>0.352</v>
      </c>
      <c r="E383" s="16" t="n">
        <v>679</v>
      </c>
      <c r="F383" s="16">
        <f>D383*E383</f>
        <v/>
      </c>
    </row>
    <row r="384">
      <c r="A384" s="13" t="inlineStr">
        <is>
          <t>0102</t>
        </is>
      </c>
      <c r="B384" s="14" t="inlineStr">
        <is>
          <t>Blacksmith 1st class</t>
        </is>
      </c>
      <c r="C384" s="13" t="inlineStr">
        <is>
          <t>day</t>
        </is>
      </c>
      <c r="D384" s="15" t="n">
        <v>0.012</v>
      </c>
      <c r="E384" s="16" t="n">
        <v>738</v>
      </c>
      <c r="F384" s="16">
        <f>D384*E384</f>
        <v/>
      </c>
    </row>
    <row r="385">
      <c r="A385" s="13" t="inlineStr">
        <is>
          <t>0126</t>
        </is>
      </c>
      <c r="B385" s="14" t="inlineStr">
        <is>
          <t>Mason (for ornamental stone work) 1st class</t>
        </is>
      </c>
      <c r="C385" s="13" t="inlineStr">
        <is>
          <t>day</t>
        </is>
      </c>
      <c r="D385" s="15" t="n">
        <v>0.352</v>
      </c>
      <c r="E385" s="16" t="n">
        <v>738</v>
      </c>
      <c r="F385" s="16">
        <f>D385*E385</f>
        <v/>
      </c>
    </row>
    <row r="386">
      <c r="A386" s="13" t="inlineStr">
        <is>
          <t>0114</t>
        </is>
      </c>
      <c r="B386" s="14" t="inlineStr">
        <is>
          <t>Beldar</t>
        </is>
      </c>
      <c r="C386" s="13" t="inlineStr">
        <is>
          <t>day</t>
        </is>
      </c>
      <c r="D386" s="15" t="n">
        <v>0.08799999999999999</v>
      </c>
      <c r="E386" s="16" t="n">
        <v>558</v>
      </c>
      <c r="F386" s="16">
        <f>D386*E386</f>
        <v/>
      </c>
    </row>
    <row r="387">
      <c r="A387" s="13" t="inlineStr">
        <is>
          <t>0115</t>
        </is>
      </c>
      <c r="B387" s="14" t="inlineStr">
        <is>
          <t>Coolie</t>
        </is>
      </c>
      <c r="C387" s="13" t="inlineStr">
        <is>
          <t>day</t>
        </is>
      </c>
      <c r="D387" s="15" t="n">
        <v>0.044</v>
      </c>
      <c r="E387" s="16" t="n">
        <v>558</v>
      </c>
      <c r="F387" s="16">
        <f>D387*E387</f>
        <v/>
      </c>
    </row>
    <row r="388">
      <c r="A388" s="13" t="inlineStr">
        <is>
          <t>0100</t>
        </is>
      </c>
      <c r="B388" s="14" t="inlineStr">
        <is>
          <t>Bandhani</t>
        </is>
      </c>
      <c r="C388" s="13" t="inlineStr">
        <is>
          <t>day</t>
        </is>
      </c>
      <c r="D388" s="15" t="n">
        <v>0.08799999999999999</v>
      </c>
      <c r="E388" s="16" t="n">
        <v>617</v>
      </c>
      <c r="F388" s="16">
        <f>D388*E388</f>
        <v/>
      </c>
    </row>
    <row r="389">
      <c r="A389" s="13" t="inlineStr">
        <is>
          <t>0125</t>
        </is>
      </c>
      <c r="B389" s="14" t="inlineStr">
        <is>
          <t>Mason (for plain stone work) 2nd class)</t>
        </is>
      </c>
      <c r="C389" s="13" t="inlineStr">
        <is>
          <t>day</t>
        </is>
      </c>
      <c r="D389" s="15" t="n">
        <v>0.044</v>
      </c>
      <c r="E389" s="16" t="n">
        <v>679</v>
      </c>
      <c r="F389" s="16">
        <f>D389*E389</f>
        <v/>
      </c>
    </row>
    <row r="390">
      <c r="A390" s="13" t="inlineStr">
        <is>
          <t>0102</t>
        </is>
      </c>
      <c r="B390" s="14" t="inlineStr">
        <is>
          <t>Blacksmith 1st class</t>
        </is>
      </c>
      <c r="C390" s="13" t="inlineStr">
        <is>
          <t>day</t>
        </is>
      </c>
      <c r="D390" s="15" t="n">
        <v>0.006</v>
      </c>
      <c r="E390" s="16" t="n">
        <v>738</v>
      </c>
      <c r="F390" s="16">
        <f>D390*E390</f>
        <v/>
      </c>
    </row>
    <row r="391">
      <c r="A391" s="13" t="inlineStr">
        <is>
          <t>0114</t>
        </is>
      </c>
      <c r="B391" s="14" t="inlineStr">
        <is>
          <t>Beldar</t>
        </is>
      </c>
      <c r="C391" s="13" t="inlineStr">
        <is>
          <t>day</t>
        </is>
      </c>
      <c r="D391" s="15" t="n">
        <v>0.022</v>
      </c>
      <c r="E391" s="16" t="n">
        <v>558</v>
      </c>
      <c r="F391" s="16">
        <f>D391*E391</f>
        <v/>
      </c>
    </row>
    <row r="392">
      <c r="A392" s="13" t="inlineStr">
        <is>
          <t>0115</t>
        </is>
      </c>
      <c r="B392" s="14" t="inlineStr">
        <is>
          <t>Coolie</t>
        </is>
      </c>
      <c r="C392" s="13" t="inlineStr">
        <is>
          <t>day</t>
        </is>
      </c>
      <c r="D392" s="15" t="n">
        <v>0.022</v>
      </c>
      <c r="E392" s="16" t="n">
        <v>558</v>
      </c>
      <c r="F392" s="16">
        <f>D392*E392</f>
        <v/>
      </c>
    </row>
    <row r="393">
      <c r="A393" s="13" t="inlineStr">
        <is>
          <t>0100</t>
        </is>
      </c>
      <c r="B393" s="14" t="inlineStr">
        <is>
          <t>Bandhani</t>
        </is>
      </c>
      <c r="C393" s="13" t="inlineStr">
        <is>
          <t>day</t>
        </is>
      </c>
      <c r="D393" s="15" t="n">
        <v>0.022</v>
      </c>
      <c r="E393" s="16" t="n">
        <v>617</v>
      </c>
      <c r="F393" s="16">
        <f>D393*E393</f>
        <v/>
      </c>
    </row>
    <row r="394">
      <c r="A394" s="13" t="inlineStr">
        <is>
          <t>0101</t>
        </is>
      </c>
      <c r="B394" s="14" t="inlineStr">
        <is>
          <t>Bhisti</t>
        </is>
      </c>
      <c r="C394" s="13" t="inlineStr">
        <is>
          <t>day</t>
        </is>
      </c>
      <c r="D394" s="15" t="n">
        <v>0.022</v>
      </c>
      <c r="E394" s="16" t="n">
        <v>617</v>
      </c>
      <c r="F394" s="16">
        <f>D394*E394</f>
        <v/>
      </c>
    </row>
    <row r="395">
      <c r="A395" s="13" t="inlineStr">
        <is>
          <t>9999</t>
        </is>
      </c>
      <c r="B395" s="14" t="inlineStr">
        <is>
          <t>Scaffolding</t>
        </is>
      </c>
      <c r="C395" s="13" t="inlineStr">
        <is>
          <t>L.S.</t>
        </is>
      </c>
      <c r="D395" s="15" t="n">
        <v>2.73</v>
      </c>
      <c r="E395" s="16" t="n">
        <v>2</v>
      </c>
      <c r="F395" s="16">
        <f>D395*E395</f>
        <v/>
      </c>
    </row>
    <row r="396">
      <c r="A396" s="13" t="inlineStr">
        <is>
          <t>9999</t>
        </is>
      </c>
      <c r="B396" s="14" t="inlineStr">
        <is>
          <t>Mortar for laying and pointing</t>
        </is>
      </c>
      <c r="C396" s="13" t="inlineStr">
        <is>
          <t>L.S.</t>
        </is>
      </c>
      <c r="D396" s="15" t="n">
        <v>8.06</v>
      </c>
      <c r="E396" s="16" t="n">
        <v>2</v>
      </c>
      <c r="F396" s="16">
        <f>D396*E396</f>
        <v/>
      </c>
    </row>
    <row r="397">
      <c r="A397" s="13" t="inlineStr">
        <is>
          <t>9999</t>
        </is>
      </c>
      <c r="B397" s="14" t="inlineStr">
        <is>
          <t>Centring and shuttering</t>
        </is>
      </c>
      <c r="C397" s="13" t="inlineStr">
        <is>
          <t>L.S.</t>
        </is>
      </c>
      <c r="D397" s="15" t="n">
        <v>33.15</v>
      </c>
      <c r="E397" s="16" t="n">
        <v>2</v>
      </c>
      <c r="F397" s="16">
        <f>D397*E397</f>
        <v/>
      </c>
    </row>
    <row r="398">
      <c r="A398" s="13" t="inlineStr">
        <is>
          <t>9999</t>
        </is>
      </c>
      <c r="B398" s="14" t="inlineStr">
        <is>
          <t>Extra for using white cement</t>
        </is>
      </c>
      <c r="C398" s="13" t="inlineStr">
        <is>
          <t>L.S.</t>
        </is>
      </c>
      <c r="D398" s="15" t="n">
        <v>8.06</v>
      </c>
      <c r="E398" s="16" t="n">
        <v>2</v>
      </c>
      <c r="F398" s="16">
        <f>D398*E398</f>
        <v/>
      </c>
    </row>
    <row r="399">
      <c r="A399" s="13" t="inlineStr">
        <is>
          <t>0115</t>
        </is>
      </c>
      <c r="B399" s="14" t="inlineStr">
        <is>
          <t>Coolie</t>
        </is>
      </c>
      <c r="C399" s="13" t="inlineStr">
        <is>
          <t>day</t>
        </is>
      </c>
      <c r="D399" s="15" t="n">
        <v>0.015</v>
      </c>
      <c r="E399" s="16" t="n">
        <v>558</v>
      </c>
      <c r="F399" s="16">
        <f>D399*E399</f>
        <v/>
      </c>
    </row>
    <row r="400">
      <c r="A400" s="17" t="inlineStr">
        <is>
          <t>Resource Total (Material + Labour + Machinery, as printed)</t>
        </is>
      </c>
      <c r="B400" s="18" t="n"/>
      <c r="C400" s="18" t="n"/>
      <c r="D400" s="18" t="n"/>
      <c r="E400" s="18" t="n"/>
      <c r="F400" s="19">
        <f>SUM(F382:F399)</f>
        <v/>
      </c>
    </row>
    <row r="401">
      <c r="A401" s="20" t="inlineStr">
        <is>
          <t>SAY (Rs.) — final DAR rate</t>
        </is>
      </c>
      <c r="B401" s="21" t="n"/>
      <c r="C401" s="21" t="n"/>
      <c r="D401" s="21" t="n"/>
      <c r="E401" s="21" t="n"/>
      <c r="F401" s="22" t="n">
        <v>126051</v>
      </c>
    </row>
    <row r="403" ht="18" customHeight="1">
      <c r="A403" s="9" t="inlineStr">
        <is>
          <t>7.14.2.2</t>
        </is>
      </c>
      <c r="B403" s="10" t="inlineStr">
        <is>
          <t>White sand stone</t>
        </is>
      </c>
      <c r="C403" s="11" t="n"/>
      <c r="D403" s="11" t="n"/>
      <c r="E403" s="11" t="n"/>
      <c r="F403" s="11" t="n"/>
    </row>
    <row r="404">
      <c r="A404" s="12" t="inlineStr">
        <is>
          <t>Rate basis: per cudm  (source: cost for 10 cudm)</t>
        </is>
      </c>
    </row>
    <row r="405">
      <c r="A405" s="5" t="inlineStr">
        <is>
          <t>Code</t>
        </is>
      </c>
      <c r="B405" s="5" t="inlineStr">
        <is>
          <t>Description</t>
        </is>
      </c>
      <c r="C405" s="5" t="inlineStr">
        <is>
          <t>Unit</t>
        </is>
      </c>
      <c r="D405" s="5" t="inlineStr">
        <is>
          <t>Quantity</t>
        </is>
      </c>
      <c r="E405" s="5" t="inlineStr">
        <is>
          <t>Rate (Rs.)</t>
        </is>
      </c>
      <c r="F405" s="5" t="inlineStr">
        <is>
          <t>Amount (Rs.)</t>
        </is>
      </c>
    </row>
    <row r="406">
      <c r="A406" s="13" t="inlineStr">
        <is>
          <t>2216</t>
        </is>
      </c>
      <c r="B406" s="14" t="inlineStr">
        <is>
          <t>Carriage of Stone blocks white &amp; red sand stone &amp; kota stone slab</t>
        </is>
      </c>
      <c r="C406" s="13" t="inlineStr">
        <is>
          <t>tonne</t>
        </is>
      </c>
      <c r="D406" s="15" t="n">
        <v>0.031</v>
      </c>
      <c r="E406" s="16" t="n">
        <v>92.23999999999999</v>
      </c>
      <c r="F406" s="16">
        <f>D406*E406</f>
        <v/>
      </c>
    </row>
    <row r="407">
      <c r="A407" s="13" t="inlineStr">
        <is>
          <t>0125</t>
        </is>
      </c>
      <c r="B407" s="14" t="inlineStr">
        <is>
          <t>Mason (for plain stone work) 2nd class)</t>
        </is>
      </c>
      <c r="C407" s="13" t="inlineStr">
        <is>
          <t>day</t>
        </is>
      </c>
      <c r="D407" s="15" t="n">
        <v>0.352</v>
      </c>
      <c r="E407" s="16" t="n">
        <v>679</v>
      </c>
      <c r="F407" s="16">
        <f>D407*E407</f>
        <v/>
      </c>
    </row>
    <row r="408">
      <c r="A408" s="13" t="inlineStr">
        <is>
          <t>0102</t>
        </is>
      </c>
      <c r="B408" s="14" t="inlineStr">
        <is>
          <t>Blacksmith 1st class</t>
        </is>
      </c>
      <c r="C408" s="13" t="inlineStr">
        <is>
          <t>day</t>
        </is>
      </c>
      <c r="D408" s="15" t="n">
        <v>0.012</v>
      </c>
      <c r="E408" s="16" t="n">
        <v>738</v>
      </c>
      <c r="F408" s="16">
        <f>D408*E408</f>
        <v/>
      </c>
    </row>
    <row r="409">
      <c r="A409" s="13" t="inlineStr">
        <is>
          <t>0126</t>
        </is>
      </c>
      <c r="B409" s="14" t="inlineStr">
        <is>
          <t>Mason (for ornamental stone work) 1st class</t>
        </is>
      </c>
      <c r="C409" s="13" t="inlineStr">
        <is>
          <t>day</t>
        </is>
      </c>
      <c r="D409" s="15" t="n">
        <v>0.352</v>
      </c>
      <c r="E409" s="16" t="n">
        <v>738</v>
      </c>
      <c r="F409" s="16">
        <f>D409*E409</f>
        <v/>
      </c>
    </row>
    <row r="410">
      <c r="A410" s="13" t="inlineStr">
        <is>
          <t>0114</t>
        </is>
      </c>
      <c r="B410" s="14" t="inlineStr">
        <is>
          <t>Beldar</t>
        </is>
      </c>
      <c r="C410" s="13" t="inlineStr">
        <is>
          <t>day</t>
        </is>
      </c>
      <c r="D410" s="15" t="n">
        <v>0.08799999999999999</v>
      </c>
      <c r="E410" s="16" t="n">
        <v>558</v>
      </c>
      <c r="F410" s="16">
        <f>D410*E410</f>
        <v/>
      </c>
    </row>
    <row r="411">
      <c r="A411" s="13" t="inlineStr">
        <is>
          <t>0115</t>
        </is>
      </c>
      <c r="B411" s="14" t="inlineStr">
        <is>
          <t>Coolie</t>
        </is>
      </c>
      <c r="C411" s="13" t="inlineStr">
        <is>
          <t>day</t>
        </is>
      </c>
      <c r="D411" s="15" t="n">
        <v>0.044</v>
      </c>
      <c r="E411" s="16" t="n">
        <v>558</v>
      </c>
      <c r="F411" s="16">
        <f>D411*E411</f>
        <v/>
      </c>
    </row>
    <row r="412">
      <c r="A412" s="13" t="inlineStr">
        <is>
          <t>0100</t>
        </is>
      </c>
      <c r="B412" s="14" t="inlineStr">
        <is>
          <t>Bandhani</t>
        </is>
      </c>
      <c r="C412" s="13" t="inlineStr">
        <is>
          <t>day</t>
        </is>
      </c>
      <c r="D412" s="15" t="n">
        <v>0.08799999999999999</v>
      </c>
      <c r="E412" s="16" t="n">
        <v>617</v>
      </c>
      <c r="F412" s="16">
        <f>D412*E412</f>
        <v/>
      </c>
    </row>
    <row r="413">
      <c r="A413" s="13" t="inlineStr">
        <is>
          <t>0125</t>
        </is>
      </c>
      <c r="B413" s="14" t="inlineStr">
        <is>
          <t>Mason (for plain stone work) 2nd class)</t>
        </is>
      </c>
      <c r="C413" s="13" t="inlineStr">
        <is>
          <t>day</t>
        </is>
      </c>
      <c r="D413" s="15" t="n">
        <v>0.044</v>
      </c>
      <c r="E413" s="16" t="n">
        <v>679</v>
      </c>
      <c r="F413" s="16">
        <f>D413*E413</f>
        <v/>
      </c>
    </row>
    <row r="414">
      <c r="A414" s="13" t="inlineStr">
        <is>
          <t>0102</t>
        </is>
      </c>
      <c r="B414" s="14" t="inlineStr">
        <is>
          <t>Blacksmith 1st class</t>
        </is>
      </c>
      <c r="C414" s="13" t="inlineStr">
        <is>
          <t>day</t>
        </is>
      </c>
      <c r="D414" s="15" t="n">
        <v>0.006</v>
      </c>
      <c r="E414" s="16" t="n">
        <v>738</v>
      </c>
      <c r="F414" s="16">
        <f>D414*E414</f>
        <v/>
      </c>
    </row>
    <row r="415">
      <c r="A415" s="13" t="inlineStr">
        <is>
          <t>0114</t>
        </is>
      </c>
      <c r="B415" s="14" t="inlineStr">
        <is>
          <t>Beldar</t>
        </is>
      </c>
      <c r="C415" s="13" t="inlineStr">
        <is>
          <t>day</t>
        </is>
      </c>
      <c r="D415" s="15" t="n">
        <v>0.022</v>
      </c>
      <c r="E415" s="16" t="n">
        <v>558</v>
      </c>
      <c r="F415" s="16">
        <f>D415*E415</f>
        <v/>
      </c>
    </row>
    <row r="416">
      <c r="A416" s="13" t="inlineStr">
        <is>
          <t>0115</t>
        </is>
      </c>
      <c r="B416" s="14" t="inlineStr">
        <is>
          <t>Coolie</t>
        </is>
      </c>
      <c r="C416" s="13" t="inlineStr">
        <is>
          <t>day</t>
        </is>
      </c>
      <c r="D416" s="15" t="n">
        <v>0.022</v>
      </c>
      <c r="E416" s="16" t="n">
        <v>558</v>
      </c>
      <c r="F416" s="16">
        <f>D416*E416</f>
        <v/>
      </c>
    </row>
    <row r="417">
      <c r="A417" s="13" t="inlineStr">
        <is>
          <t>0100</t>
        </is>
      </c>
      <c r="B417" s="14" t="inlineStr">
        <is>
          <t>Bandhani</t>
        </is>
      </c>
      <c r="C417" s="13" t="inlineStr">
        <is>
          <t>day</t>
        </is>
      </c>
      <c r="D417" s="15" t="n">
        <v>0.022</v>
      </c>
      <c r="E417" s="16" t="n">
        <v>617</v>
      </c>
      <c r="F417" s="16">
        <f>D417*E417</f>
        <v/>
      </c>
    </row>
    <row r="418">
      <c r="A418" s="13" t="inlineStr">
        <is>
          <t>0101</t>
        </is>
      </c>
      <c r="B418" s="14" t="inlineStr">
        <is>
          <t>Bhisti</t>
        </is>
      </c>
      <c r="C418" s="13" t="inlineStr">
        <is>
          <t>day</t>
        </is>
      </c>
      <c r="D418" s="15" t="n">
        <v>0.022</v>
      </c>
      <c r="E418" s="16" t="n">
        <v>617</v>
      </c>
      <c r="F418" s="16">
        <f>D418*E418</f>
        <v/>
      </c>
    </row>
    <row r="419">
      <c r="A419" s="13" t="inlineStr">
        <is>
          <t>9999</t>
        </is>
      </c>
      <c r="B419" s="14" t="inlineStr">
        <is>
          <t>Scaffolding</t>
        </is>
      </c>
      <c r="C419" s="13" t="inlineStr">
        <is>
          <t>L.S.</t>
        </is>
      </c>
      <c r="D419" s="15" t="n">
        <v>2.73</v>
      </c>
      <c r="E419" s="16" t="n">
        <v>2</v>
      </c>
      <c r="F419" s="16">
        <f>D419*E419</f>
        <v/>
      </c>
    </row>
    <row r="420">
      <c r="A420" s="13" t="inlineStr">
        <is>
          <t>9999</t>
        </is>
      </c>
      <c r="B420" s="14" t="inlineStr">
        <is>
          <t>Mortar for laying and pointing</t>
        </is>
      </c>
      <c r="C420" s="13" t="inlineStr">
        <is>
          <t>L.S.</t>
        </is>
      </c>
      <c r="D420" s="15" t="n">
        <v>8.06</v>
      </c>
      <c r="E420" s="16" t="n">
        <v>2</v>
      </c>
      <c r="F420" s="16">
        <f>D420*E420</f>
        <v/>
      </c>
    </row>
    <row r="421">
      <c r="A421" s="13" t="inlineStr">
        <is>
          <t>9999</t>
        </is>
      </c>
      <c r="B421" s="14" t="inlineStr">
        <is>
          <t>Centring and shuttering</t>
        </is>
      </c>
      <c r="C421" s="13" t="inlineStr">
        <is>
          <t>L.S.</t>
        </is>
      </c>
      <c r="D421" s="15" t="n">
        <v>33.15</v>
      </c>
      <c r="E421" s="16" t="n">
        <v>2</v>
      </c>
      <c r="F421" s="16">
        <f>D421*E421</f>
        <v/>
      </c>
    </row>
    <row r="422">
      <c r="A422" s="13" t="inlineStr">
        <is>
          <t>9999</t>
        </is>
      </c>
      <c r="B422" s="14" t="inlineStr">
        <is>
          <t>Extra for using white cement</t>
        </is>
      </c>
      <c r="C422" s="13" t="inlineStr">
        <is>
          <t>L.S.</t>
        </is>
      </c>
      <c r="D422" s="15" t="n">
        <v>8.06</v>
      </c>
      <c r="E422" s="16" t="n">
        <v>2</v>
      </c>
      <c r="F422" s="16">
        <f>D422*E422</f>
        <v/>
      </c>
    </row>
    <row r="423">
      <c r="A423" s="13" t="inlineStr">
        <is>
          <t>0115</t>
        </is>
      </c>
      <c r="B423" s="14" t="inlineStr">
        <is>
          <t>Coolie</t>
        </is>
      </c>
      <c r="C423" s="13" t="inlineStr">
        <is>
          <t>day</t>
        </is>
      </c>
      <c r="D423" s="15" t="n">
        <v>0.015</v>
      </c>
      <c r="E423" s="16" t="n">
        <v>558</v>
      </c>
      <c r="F423" s="16">
        <f>D423*E423</f>
        <v/>
      </c>
    </row>
    <row r="424">
      <c r="A424" s="17" t="inlineStr">
        <is>
          <t>Resource Total (Material + Labour + Machinery, as printed)</t>
        </is>
      </c>
      <c r="B424" s="18" t="n"/>
      <c r="C424" s="18" t="n"/>
      <c r="D424" s="18" t="n"/>
      <c r="E424" s="18" t="n"/>
      <c r="F424" s="19">
        <f>SUM(F406:F423)</f>
        <v/>
      </c>
    </row>
    <row r="425">
      <c r="A425" s="20" t="inlineStr">
        <is>
          <t>SAY (Rs.) — final DAR rate</t>
        </is>
      </c>
      <c r="B425" s="21" t="n"/>
      <c r="C425" s="21" t="n"/>
      <c r="D425" s="21" t="n"/>
      <c r="E425" s="21" t="n"/>
      <c r="F425" s="22" t="n">
        <v>148523</v>
      </c>
    </row>
    <row r="427" ht="18" customHeight="1">
      <c r="A427" s="9" t="inlineStr">
        <is>
          <t>7.15.1.1</t>
        </is>
      </c>
      <c r="B427" s="10" t="inlineStr">
        <is>
          <t>Red sand stone</t>
        </is>
      </c>
      <c r="C427" s="11" t="n"/>
      <c r="D427" s="11" t="n"/>
      <c r="E427" s="11" t="n"/>
      <c r="F427" s="11" t="n"/>
    </row>
    <row r="428">
      <c r="A428" s="12" t="inlineStr">
        <is>
          <t>Rate basis: per cudm  (source: cost for 10 cudm)</t>
        </is>
      </c>
    </row>
    <row r="429">
      <c r="A429" s="5" t="inlineStr">
        <is>
          <t>Code</t>
        </is>
      </c>
      <c r="B429" s="5" t="inlineStr">
        <is>
          <t>Description</t>
        </is>
      </c>
      <c r="C429" s="5" t="inlineStr">
        <is>
          <t>Unit</t>
        </is>
      </c>
      <c r="D429" s="5" t="inlineStr">
        <is>
          <t>Quantity</t>
        </is>
      </c>
      <c r="E429" s="5" t="inlineStr">
        <is>
          <t>Rate (Rs.)</t>
        </is>
      </c>
      <c r="F429" s="5" t="inlineStr">
        <is>
          <t>Amount (Rs.)</t>
        </is>
      </c>
    </row>
    <row r="430">
      <c r="A430" s="13" t="inlineStr">
        <is>
          <t>2216</t>
        </is>
      </c>
      <c r="B430" s="14" t="inlineStr">
        <is>
          <t>Carriage of Stone blocks white &amp; red sand stone &amp; kota stone slab</t>
        </is>
      </c>
      <c r="C430" s="13" t="inlineStr">
        <is>
          <t>tonne</t>
        </is>
      </c>
      <c r="D430" s="15" t="n">
        <v>0.031</v>
      </c>
      <c r="E430" s="16" t="n">
        <v>92.23999999999999</v>
      </c>
      <c r="F430" s="16">
        <f>D430*E430</f>
        <v/>
      </c>
    </row>
    <row r="431">
      <c r="A431" s="13" t="inlineStr">
        <is>
          <t>0125</t>
        </is>
      </c>
      <c r="B431" s="14" t="inlineStr">
        <is>
          <t>Mason (for plain stone work) 2nd class)</t>
        </is>
      </c>
      <c r="C431" s="13" t="inlineStr">
        <is>
          <t>day</t>
        </is>
      </c>
      <c r="D431" s="15" t="n">
        <v>0.059</v>
      </c>
      <c r="E431" s="16" t="n">
        <v>679</v>
      </c>
      <c r="F431" s="16">
        <f>D431*E431</f>
        <v/>
      </c>
    </row>
    <row r="432">
      <c r="A432" s="13" t="inlineStr">
        <is>
          <t>0102</t>
        </is>
      </c>
      <c r="B432" s="14" t="inlineStr">
        <is>
          <t>Blacksmith 1st class</t>
        </is>
      </c>
      <c r="C432" s="13" t="inlineStr">
        <is>
          <t>day</t>
        </is>
      </c>
      <c r="D432" s="15" t="n">
        <v>0.006</v>
      </c>
      <c r="E432" s="16" t="n">
        <v>738</v>
      </c>
      <c r="F432" s="16">
        <f>D432*E432</f>
        <v/>
      </c>
    </row>
    <row r="433">
      <c r="A433" s="13" t="inlineStr">
        <is>
          <t>0114</t>
        </is>
      </c>
      <c r="B433" s="14" t="inlineStr">
        <is>
          <t>Beldar</t>
        </is>
      </c>
      <c r="C433" s="13" t="inlineStr">
        <is>
          <t>day</t>
        </is>
      </c>
      <c r="D433" s="15" t="n">
        <v>0.044</v>
      </c>
      <c r="E433" s="16" t="n">
        <v>558</v>
      </c>
      <c r="F433" s="16">
        <f>D433*E433</f>
        <v/>
      </c>
    </row>
    <row r="434">
      <c r="A434" s="13" t="inlineStr">
        <is>
          <t>0115</t>
        </is>
      </c>
      <c r="B434" s="14" t="inlineStr">
        <is>
          <t>Coolie</t>
        </is>
      </c>
      <c r="C434" s="13" t="inlineStr">
        <is>
          <t>day</t>
        </is>
      </c>
      <c r="D434" s="15" t="n">
        <v>0.022</v>
      </c>
      <c r="E434" s="16" t="n">
        <v>558</v>
      </c>
      <c r="F434" s="16">
        <f>D434*E434</f>
        <v/>
      </c>
    </row>
    <row r="435">
      <c r="A435" s="13" t="inlineStr">
        <is>
          <t>0100</t>
        </is>
      </c>
      <c r="B435" s="14" t="inlineStr">
        <is>
          <t>Bandhani</t>
        </is>
      </c>
      <c r="C435" s="13" t="inlineStr">
        <is>
          <t>day</t>
        </is>
      </c>
      <c r="D435" s="15" t="n">
        <v>0.044</v>
      </c>
      <c r="E435" s="16" t="n">
        <v>617</v>
      </c>
      <c r="F435" s="16">
        <f>D435*E435</f>
        <v/>
      </c>
    </row>
    <row r="436">
      <c r="A436" s="13" t="inlineStr">
        <is>
          <t>0125</t>
        </is>
      </c>
      <c r="B436" s="14" t="inlineStr">
        <is>
          <t>Mason (for plain stone work) 2nd class)</t>
        </is>
      </c>
      <c r="C436" s="13" t="inlineStr">
        <is>
          <t>day</t>
        </is>
      </c>
      <c r="D436" s="15" t="n">
        <v>0.044</v>
      </c>
      <c r="E436" s="16" t="n">
        <v>679</v>
      </c>
      <c r="F436" s="16">
        <f>D436*E436</f>
        <v/>
      </c>
    </row>
    <row r="437">
      <c r="A437" s="13" t="inlineStr">
        <is>
          <t>0102</t>
        </is>
      </c>
      <c r="B437" s="14" t="inlineStr">
        <is>
          <t>Blacksmith 1st class</t>
        </is>
      </c>
      <c r="C437" s="13" t="inlineStr">
        <is>
          <t>day</t>
        </is>
      </c>
      <c r="D437" s="15" t="n">
        <v>0.006</v>
      </c>
      <c r="E437" s="16" t="n">
        <v>738</v>
      </c>
      <c r="F437" s="16">
        <f>D437*E437</f>
        <v/>
      </c>
    </row>
    <row r="438">
      <c r="A438" s="13" t="inlineStr">
        <is>
          <t>0114</t>
        </is>
      </c>
      <c r="B438" s="14" t="inlineStr">
        <is>
          <t>Beldar</t>
        </is>
      </c>
      <c r="C438" s="13" t="inlineStr">
        <is>
          <t>day</t>
        </is>
      </c>
      <c r="D438" s="15" t="n">
        <v>0.022</v>
      </c>
      <c r="E438" s="16" t="n">
        <v>558</v>
      </c>
      <c r="F438" s="16">
        <f>D438*E438</f>
        <v/>
      </c>
    </row>
    <row r="439">
      <c r="A439" s="13" t="inlineStr">
        <is>
          <t>0115</t>
        </is>
      </c>
      <c r="B439" s="14" t="inlineStr">
        <is>
          <t>Coolie</t>
        </is>
      </c>
      <c r="C439" s="13" t="inlineStr">
        <is>
          <t>day</t>
        </is>
      </c>
      <c r="D439" s="15" t="n">
        <v>0.022</v>
      </c>
      <c r="E439" s="16" t="n">
        <v>558</v>
      </c>
      <c r="F439" s="16">
        <f>D439*E439</f>
        <v/>
      </c>
    </row>
    <row r="440">
      <c r="A440" s="13" t="inlineStr">
        <is>
          <t>0100</t>
        </is>
      </c>
      <c r="B440" s="14" t="inlineStr">
        <is>
          <t>Bandhani</t>
        </is>
      </c>
      <c r="C440" s="13" t="inlineStr">
        <is>
          <t>day</t>
        </is>
      </c>
      <c r="D440" s="15" t="n">
        <v>0.022</v>
      </c>
      <c r="E440" s="16" t="n">
        <v>617</v>
      </c>
      <c r="F440" s="16">
        <f>D440*E440</f>
        <v/>
      </c>
    </row>
    <row r="441">
      <c r="A441" s="13" t="inlineStr">
        <is>
          <t>0101</t>
        </is>
      </c>
      <c r="B441" s="14" t="inlineStr">
        <is>
          <t>Bhisti</t>
        </is>
      </c>
      <c r="C441" s="13" t="inlineStr">
        <is>
          <t>day</t>
        </is>
      </c>
      <c r="D441" s="15" t="n">
        <v>0.022</v>
      </c>
      <c r="E441" s="16" t="n">
        <v>617</v>
      </c>
      <c r="F441" s="16">
        <f>D441*E441</f>
        <v/>
      </c>
    </row>
    <row r="442">
      <c r="A442" s="13" t="inlineStr">
        <is>
          <t>9999</t>
        </is>
      </c>
      <c r="B442" s="14" t="inlineStr">
        <is>
          <t>Scaffolding</t>
        </is>
      </c>
      <c r="C442" s="13" t="inlineStr">
        <is>
          <t>L.S.</t>
        </is>
      </c>
      <c r="D442" s="15" t="n">
        <v>2.73</v>
      </c>
      <c r="E442" s="16" t="n">
        <v>2</v>
      </c>
      <c r="F442" s="16">
        <f>D442*E442</f>
        <v/>
      </c>
    </row>
    <row r="443">
      <c r="A443" s="13" t="inlineStr">
        <is>
          <t>9999</t>
        </is>
      </c>
      <c r="B443" s="14" t="inlineStr">
        <is>
          <t>Mortar for laying and pointing</t>
        </is>
      </c>
      <c r="C443" s="13" t="inlineStr">
        <is>
          <t>L.S.</t>
        </is>
      </c>
      <c r="D443" s="15" t="n">
        <v>8.06</v>
      </c>
      <c r="E443" s="16" t="n">
        <v>2</v>
      </c>
      <c r="F443" s="16">
        <f>D443*E443</f>
        <v/>
      </c>
    </row>
    <row r="444">
      <c r="A444" s="13" t="inlineStr">
        <is>
          <t>0115</t>
        </is>
      </c>
      <c r="B444" s="14" t="inlineStr">
        <is>
          <t>Coolie</t>
        </is>
      </c>
      <c r="C444" s="13" t="inlineStr">
        <is>
          <t>day</t>
        </is>
      </c>
      <c r="D444" s="15" t="n">
        <v>0.015</v>
      </c>
      <c r="E444" s="16" t="n">
        <v>558</v>
      </c>
      <c r="F444" s="16">
        <f>D444*E444</f>
        <v/>
      </c>
    </row>
    <row r="445">
      <c r="A445" s="17" t="inlineStr">
        <is>
          <t>Resource Total (Material + Labour + Machinery, as printed)</t>
        </is>
      </c>
      <c r="B445" s="18" t="n"/>
      <c r="C445" s="18" t="n"/>
      <c r="D445" s="18" t="n"/>
      <c r="E445" s="18" t="n"/>
      <c r="F445" s="19">
        <f>SUM(F430:F444)</f>
        <v/>
      </c>
    </row>
    <row r="446">
      <c r="A446" s="20" t="inlineStr">
        <is>
          <t>SAY (Rs.) — final DAR rate</t>
        </is>
      </c>
      <c r="B446" s="21" t="n"/>
      <c r="C446" s="21" t="n"/>
      <c r="D446" s="21" t="n"/>
      <c r="E446" s="21" t="n"/>
      <c r="F446" s="22" t="n">
        <v>44498</v>
      </c>
    </row>
    <row r="448" ht="18" customHeight="1">
      <c r="A448" s="9" t="inlineStr">
        <is>
          <t>7.15.1.2</t>
        </is>
      </c>
      <c r="B448" s="10" t="inlineStr">
        <is>
          <t>White sand stone</t>
        </is>
      </c>
      <c r="C448" s="11" t="n"/>
      <c r="D448" s="11" t="n"/>
      <c r="E448" s="11" t="n"/>
      <c r="F448" s="11" t="n"/>
    </row>
    <row r="449">
      <c r="A449" s="12" t="inlineStr">
        <is>
          <t>Rate basis: per cudm  (source: cost for 10 cudm)</t>
        </is>
      </c>
    </row>
    <row r="450">
      <c r="A450" s="5" t="inlineStr">
        <is>
          <t>Code</t>
        </is>
      </c>
      <c r="B450" s="5" t="inlineStr">
        <is>
          <t>Description</t>
        </is>
      </c>
      <c r="C450" s="5" t="inlineStr">
        <is>
          <t>Unit</t>
        </is>
      </c>
      <c r="D450" s="5" t="inlineStr">
        <is>
          <t>Quantity</t>
        </is>
      </c>
      <c r="E450" s="5" t="inlineStr">
        <is>
          <t>Rate (Rs.)</t>
        </is>
      </c>
      <c r="F450" s="5" t="inlineStr">
        <is>
          <t>Amount (Rs.)</t>
        </is>
      </c>
    </row>
    <row r="451">
      <c r="A451" s="13" t="inlineStr">
        <is>
          <t>2216</t>
        </is>
      </c>
      <c r="B451" s="14" t="inlineStr">
        <is>
          <t>Carriage of Stone blocks white &amp; red sand stone &amp; kota stone slab</t>
        </is>
      </c>
      <c r="C451" s="13" t="inlineStr">
        <is>
          <t>tonne</t>
        </is>
      </c>
      <c r="D451" s="15" t="n">
        <v>0.031</v>
      </c>
      <c r="E451" s="16" t="n">
        <v>92.23999999999999</v>
      </c>
      <c r="F451" s="16">
        <f>D451*E451</f>
        <v/>
      </c>
    </row>
    <row r="452">
      <c r="A452" s="13" t="inlineStr">
        <is>
          <t>0125</t>
        </is>
      </c>
      <c r="B452" s="14" t="inlineStr">
        <is>
          <t>Mason (for plain stone work) 2nd class)</t>
        </is>
      </c>
      <c r="C452" s="13" t="inlineStr">
        <is>
          <t>day</t>
        </is>
      </c>
      <c r="D452" s="15" t="n">
        <v>0.059</v>
      </c>
      <c r="E452" s="16" t="n">
        <v>679</v>
      </c>
      <c r="F452" s="16">
        <f>D452*E452</f>
        <v/>
      </c>
    </row>
    <row r="453">
      <c r="A453" s="13" t="inlineStr">
        <is>
          <t>0102</t>
        </is>
      </c>
      <c r="B453" s="14" t="inlineStr">
        <is>
          <t>Blacksmith 1st class</t>
        </is>
      </c>
      <c r="C453" s="13" t="inlineStr">
        <is>
          <t>day</t>
        </is>
      </c>
      <c r="D453" s="15" t="n">
        <v>0.006</v>
      </c>
      <c r="E453" s="16" t="n">
        <v>738</v>
      </c>
      <c r="F453" s="16">
        <f>D453*E453</f>
        <v/>
      </c>
    </row>
    <row r="454">
      <c r="A454" s="13" t="inlineStr">
        <is>
          <t>0114</t>
        </is>
      </c>
      <c r="B454" s="14" t="inlineStr">
        <is>
          <t>Beldar</t>
        </is>
      </c>
      <c r="C454" s="13" t="inlineStr">
        <is>
          <t>day</t>
        </is>
      </c>
      <c r="D454" s="15" t="n">
        <v>0.044</v>
      </c>
      <c r="E454" s="16" t="n">
        <v>558</v>
      </c>
      <c r="F454" s="16">
        <f>D454*E454</f>
        <v/>
      </c>
    </row>
    <row r="455">
      <c r="A455" s="13" t="inlineStr">
        <is>
          <t>0115</t>
        </is>
      </c>
      <c r="B455" s="14" t="inlineStr">
        <is>
          <t>Coolie</t>
        </is>
      </c>
      <c r="C455" s="13" t="inlineStr">
        <is>
          <t>day</t>
        </is>
      </c>
      <c r="D455" s="15" t="n">
        <v>0.022</v>
      </c>
      <c r="E455" s="16" t="n">
        <v>558</v>
      </c>
      <c r="F455" s="16">
        <f>D455*E455</f>
        <v/>
      </c>
    </row>
    <row r="456">
      <c r="A456" s="13" t="inlineStr">
        <is>
          <t>0100</t>
        </is>
      </c>
      <c r="B456" s="14" t="inlineStr">
        <is>
          <t>Bandhani</t>
        </is>
      </c>
      <c r="C456" s="13" t="inlineStr">
        <is>
          <t>day</t>
        </is>
      </c>
      <c r="D456" s="15" t="n">
        <v>0.044</v>
      </c>
      <c r="E456" s="16" t="n">
        <v>617</v>
      </c>
      <c r="F456" s="16">
        <f>D456*E456</f>
        <v/>
      </c>
    </row>
    <row r="457">
      <c r="A457" s="13" t="inlineStr">
        <is>
          <t>0125</t>
        </is>
      </c>
      <c r="B457" s="14" t="inlineStr">
        <is>
          <t>Mason (for plain stone work) 2nd class)</t>
        </is>
      </c>
      <c r="C457" s="13" t="inlineStr">
        <is>
          <t>day</t>
        </is>
      </c>
      <c r="D457" s="15" t="n">
        <v>0.044</v>
      </c>
      <c r="E457" s="16" t="n">
        <v>679</v>
      </c>
      <c r="F457" s="16">
        <f>D457*E457</f>
        <v/>
      </c>
    </row>
    <row r="458">
      <c r="A458" s="13" t="inlineStr">
        <is>
          <t>0102</t>
        </is>
      </c>
      <c r="B458" s="14" t="inlineStr">
        <is>
          <t>Blacksmith 1st class</t>
        </is>
      </c>
      <c r="C458" s="13" t="inlineStr">
        <is>
          <t>day</t>
        </is>
      </c>
      <c r="D458" s="15" t="n">
        <v>0.006</v>
      </c>
      <c r="E458" s="16" t="n">
        <v>738</v>
      </c>
      <c r="F458" s="16">
        <f>D458*E458</f>
        <v/>
      </c>
    </row>
    <row r="459">
      <c r="A459" s="13" t="inlineStr">
        <is>
          <t>0114</t>
        </is>
      </c>
      <c r="B459" s="14" t="inlineStr">
        <is>
          <t>Beldar</t>
        </is>
      </c>
      <c r="C459" s="13" t="inlineStr">
        <is>
          <t>day</t>
        </is>
      </c>
      <c r="D459" s="15" t="n">
        <v>0.022</v>
      </c>
      <c r="E459" s="16" t="n">
        <v>558</v>
      </c>
      <c r="F459" s="16">
        <f>D459*E459</f>
        <v/>
      </c>
    </row>
    <row r="460">
      <c r="A460" s="13" t="inlineStr">
        <is>
          <t>0115</t>
        </is>
      </c>
      <c r="B460" s="14" t="inlineStr">
        <is>
          <t>Coolie</t>
        </is>
      </c>
      <c r="C460" s="13" t="inlineStr">
        <is>
          <t>day</t>
        </is>
      </c>
      <c r="D460" s="15" t="n">
        <v>0.022</v>
      </c>
      <c r="E460" s="16" t="n">
        <v>558</v>
      </c>
      <c r="F460" s="16">
        <f>D460*E460</f>
        <v/>
      </c>
    </row>
    <row r="461">
      <c r="A461" s="13" t="inlineStr">
        <is>
          <t>0100</t>
        </is>
      </c>
      <c r="B461" s="14" t="inlineStr">
        <is>
          <t>Bandhani</t>
        </is>
      </c>
      <c r="C461" s="13" t="inlineStr">
        <is>
          <t>day</t>
        </is>
      </c>
      <c r="D461" s="15" t="n">
        <v>0.022</v>
      </c>
      <c r="E461" s="16" t="n">
        <v>617</v>
      </c>
      <c r="F461" s="16">
        <f>D461*E461</f>
        <v/>
      </c>
    </row>
    <row r="462">
      <c r="A462" s="13" t="inlineStr">
        <is>
          <t>0101</t>
        </is>
      </c>
      <c r="B462" s="14" t="inlineStr">
        <is>
          <t>Bhisti</t>
        </is>
      </c>
      <c r="C462" s="13" t="inlineStr">
        <is>
          <t>day</t>
        </is>
      </c>
      <c r="D462" s="15" t="n">
        <v>0.022</v>
      </c>
      <c r="E462" s="16" t="n">
        <v>617</v>
      </c>
      <c r="F462" s="16">
        <f>D462*E462</f>
        <v/>
      </c>
    </row>
    <row r="463">
      <c r="A463" s="13" t="inlineStr">
        <is>
          <t>9999</t>
        </is>
      </c>
      <c r="B463" s="14" t="inlineStr">
        <is>
          <t>Scaffolding</t>
        </is>
      </c>
      <c r="C463" s="13" t="inlineStr">
        <is>
          <t>L.S.</t>
        </is>
      </c>
      <c r="D463" s="15" t="n">
        <v>2.73</v>
      </c>
      <c r="E463" s="16" t="n">
        <v>2</v>
      </c>
      <c r="F463" s="16">
        <f>D463*E463</f>
        <v/>
      </c>
    </row>
    <row r="464">
      <c r="A464" s="13" t="inlineStr">
        <is>
          <t>9999</t>
        </is>
      </c>
      <c r="B464" s="14" t="inlineStr">
        <is>
          <t>Mortar for laying and pointing</t>
        </is>
      </c>
      <c r="C464" s="13" t="inlineStr">
        <is>
          <t>L.S.</t>
        </is>
      </c>
      <c r="D464" s="15" t="n">
        <v>8.06</v>
      </c>
      <c r="E464" s="16" t="n">
        <v>2</v>
      </c>
      <c r="F464" s="16">
        <f>D464*E464</f>
        <v/>
      </c>
    </row>
    <row r="465">
      <c r="A465" s="13" t="inlineStr">
        <is>
          <t>0115</t>
        </is>
      </c>
      <c r="B465" s="14" t="inlineStr">
        <is>
          <t>Coolie</t>
        </is>
      </c>
      <c r="C465" s="13" t="inlineStr">
        <is>
          <t>day</t>
        </is>
      </c>
      <c r="D465" s="15" t="n">
        <v>0.015</v>
      </c>
      <c r="E465" s="16" t="n">
        <v>558</v>
      </c>
      <c r="F465" s="16">
        <f>D465*E465</f>
        <v/>
      </c>
    </row>
    <row r="466">
      <c r="A466" s="17" t="inlineStr">
        <is>
          <t>Resource Total (Material + Labour + Machinery, as printed)</t>
        </is>
      </c>
      <c r="B466" s="18" t="n"/>
      <c r="C466" s="18" t="n"/>
      <c r="D466" s="18" t="n"/>
      <c r="E466" s="18" t="n"/>
      <c r="F466" s="19">
        <f>SUM(F451:F465)</f>
        <v/>
      </c>
    </row>
    <row r="467">
      <c r="A467" s="20" t="inlineStr">
        <is>
          <t>SAY (Rs.) — final DAR rate</t>
        </is>
      </c>
      <c r="B467" s="21" t="n"/>
      <c r="C467" s="21" t="n"/>
      <c r="D467" s="21" t="n"/>
      <c r="E467" s="21" t="n"/>
      <c r="F467" s="22" t="n">
        <v>66970</v>
      </c>
    </row>
    <row r="469" ht="18" customHeight="1">
      <c r="A469" s="9" t="inlineStr">
        <is>
          <t>7.15.2.1</t>
        </is>
      </c>
      <c r="B469" s="10" t="inlineStr">
        <is>
          <t>Red sand stone</t>
        </is>
      </c>
      <c r="C469" s="11" t="n"/>
      <c r="D469" s="11" t="n"/>
      <c r="E469" s="11" t="n"/>
      <c r="F469" s="11" t="n"/>
    </row>
    <row r="470">
      <c r="A470" s="12" t="inlineStr">
        <is>
          <t>Rate basis: per cudm  (source: cost for 10 cudm)</t>
        </is>
      </c>
    </row>
    <row r="471">
      <c r="A471" s="5" t="inlineStr">
        <is>
          <t>Code</t>
        </is>
      </c>
      <c r="B471" s="5" t="inlineStr">
        <is>
          <t>Description</t>
        </is>
      </c>
      <c r="C471" s="5" t="inlineStr">
        <is>
          <t>Unit</t>
        </is>
      </c>
      <c r="D471" s="5" t="inlineStr">
        <is>
          <t>Quantity</t>
        </is>
      </c>
      <c r="E471" s="5" t="inlineStr">
        <is>
          <t>Rate (Rs.)</t>
        </is>
      </c>
      <c r="F471" s="5" t="inlineStr">
        <is>
          <t>Amount (Rs.)</t>
        </is>
      </c>
    </row>
    <row r="472">
      <c r="A472" s="13" t="inlineStr">
        <is>
          <t>2216</t>
        </is>
      </c>
      <c r="B472" s="14" t="inlineStr">
        <is>
          <t>Carriage of Stone blocks white &amp; red sand stone &amp; kota stone slab</t>
        </is>
      </c>
      <c r="C472" s="13" t="inlineStr">
        <is>
          <t>tonne</t>
        </is>
      </c>
      <c r="D472" s="15" t="n">
        <v>0.031</v>
      </c>
      <c r="E472" s="16" t="n">
        <v>92.23999999999999</v>
      </c>
      <c r="F472" s="16">
        <f>D472*E472</f>
        <v/>
      </c>
    </row>
    <row r="473">
      <c r="A473" s="13" t="inlineStr">
        <is>
          <t>0115</t>
        </is>
      </c>
      <c r="B473" s="14" t="inlineStr">
        <is>
          <t>Coolie</t>
        </is>
      </c>
      <c r="C473" s="13" t="inlineStr">
        <is>
          <t>day</t>
        </is>
      </c>
      <c r="D473" s="15" t="n">
        <v>0.015</v>
      </c>
      <c r="E473" s="16" t="n">
        <v>558</v>
      </c>
      <c r="F473" s="16">
        <f>D473*E473</f>
        <v/>
      </c>
    </row>
    <row r="474">
      <c r="A474" s="13" t="inlineStr">
        <is>
          <t>0125</t>
        </is>
      </c>
      <c r="B474" s="14" t="inlineStr">
        <is>
          <t>Mason (for plain stone work) 2nd class)</t>
        </is>
      </c>
      <c r="C474" s="13" t="inlineStr">
        <is>
          <t>day</t>
        </is>
      </c>
      <c r="D474" s="15" t="n">
        <v>0.118</v>
      </c>
      <c r="E474" s="16" t="n">
        <v>679</v>
      </c>
      <c r="F474" s="16">
        <f>D474*E474</f>
        <v/>
      </c>
    </row>
    <row r="475">
      <c r="A475" s="13" t="inlineStr">
        <is>
          <t>0102</t>
        </is>
      </c>
      <c r="B475" s="14" t="inlineStr">
        <is>
          <t>Blacksmith 1st class</t>
        </is>
      </c>
      <c r="C475" s="13" t="inlineStr">
        <is>
          <t>day</t>
        </is>
      </c>
      <c r="D475" s="15" t="n">
        <v>0.012</v>
      </c>
      <c r="E475" s="16" t="n">
        <v>738</v>
      </c>
      <c r="F475" s="16">
        <f>D475*E475</f>
        <v/>
      </c>
    </row>
    <row r="476">
      <c r="A476" s="13" t="inlineStr">
        <is>
          <t>0114</t>
        </is>
      </c>
      <c r="B476" s="14" t="inlineStr">
        <is>
          <t>Beldar</t>
        </is>
      </c>
      <c r="C476" s="13" t="inlineStr">
        <is>
          <t>day</t>
        </is>
      </c>
      <c r="D476" s="15" t="n">
        <v>0.08799999999999999</v>
      </c>
      <c r="E476" s="16" t="n">
        <v>558</v>
      </c>
      <c r="F476" s="16">
        <f>D476*E476</f>
        <v/>
      </c>
    </row>
    <row r="477">
      <c r="A477" s="13" t="inlineStr">
        <is>
          <t>0115</t>
        </is>
      </c>
      <c r="B477" s="14" t="inlineStr">
        <is>
          <t>Coolie</t>
        </is>
      </c>
      <c r="C477" s="13" t="inlineStr">
        <is>
          <t>day</t>
        </is>
      </c>
      <c r="D477" s="15" t="n">
        <v>0.044</v>
      </c>
      <c r="E477" s="16" t="n">
        <v>558</v>
      </c>
      <c r="F477" s="16">
        <f>D477*E477</f>
        <v/>
      </c>
    </row>
    <row r="478">
      <c r="A478" s="13" t="inlineStr">
        <is>
          <t>0100</t>
        </is>
      </c>
      <c r="B478" s="14" t="inlineStr">
        <is>
          <t>Bandhani</t>
        </is>
      </c>
      <c r="C478" s="13" t="inlineStr">
        <is>
          <t>day</t>
        </is>
      </c>
      <c r="D478" s="15" t="n">
        <v>0.08799999999999999</v>
      </c>
      <c r="E478" s="16" t="n">
        <v>617</v>
      </c>
      <c r="F478" s="16">
        <f>D478*E478</f>
        <v/>
      </c>
    </row>
    <row r="479">
      <c r="A479" s="13" t="inlineStr">
        <is>
          <t>0125</t>
        </is>
      </c>
      <c r="B479" s="14" t="inlineStr">
        <is>
          <t>Mason (for plain stone work) 2nd class)</t>
        </is>
      </c>
      <c r="C479" s="13" t="inlineStr">
        <is>
          <t>day</t>
        </is>
      </c>
      <c r="D479" s="15" t="n">
        <v>0.044</v>
      </c>
      <c r="E479" s="16" t="n">
        <v>679</v>
      </c>
      <c r="F479" s="16">
        <f>D479*E479</f>
        <v/>
      </c>
    </row>
    <row r="480">
      <c r="A480" s="13" t="inlineStr">
        <is>
          <t>0102</t>
        </is>
      </c>
      <c r="B480" s="14" t="inlineStr">
        <is>
          <t>Blacksmith 1st class</t>
        </is>
      </c>
      <c r="C480" s="13" t="inlineStr">
        <is>
          <t>day</t>
        </is>
      </c>
      <c r="D480" s="15" t="n">
        <v>0.006</v>
      </c>
      <c r="E480" s="16" t="n">
        <v>738</v>
      </c>
      <c r="F480" s="16">
        <f>D480*E480</f>
        <v/>
      </c>
    </row>
    <row r="481">
      <c r="A481" s="13" t="inlineStr">
        <is>
          <t>0114</t>
        </is>
      </c>
      <c r="B481" s="14" t="inlineStr">
        <is>
          <t>Beldar</t>
        </is>
      </c>
      <c r="C481" s="13" t="inlineStr">
        <is>
          <t>day</t>
        </is>
      </c>
      <c r="D481" s="15" t="n">
        <v>0.022</v>
      </c>
      <c r="E481" s="16" t="n">
        <v>558</v>
      </c>
      <c r="F481" s="16">
        <f>D481*E481</f>
        <v/>
      </c>
    </row>
    <row r="482">
      <c r="A482" s="13" t="inlineStr">
        <is>
          <t>0115</t>
        </is>
      </c>
      <c r="B482" s="14" t="inlineStr">
        <is>
          <t>Coolie</t>
        </is>
      </c>
      <c r="C482" s="13" t="inlineStr">
        <is>
          <t>day</t>
        </is>
      </c>
      <c r="D482" s="15" t="n">
        <v>0.022</v>
      </c>
      <c r="E482" s="16" t="n">
        <v>558</v>
      </c>
      <c r="F482" s="16">
        <f>D482*E482</f>
        <v/>
      </c>
    </row>
    <row r="483">
      <c r="A483" s="13" t="inlineStr">
        <is>
          <t>0100</t>
        </is>
      </c>
      <c r="B483" s="14" t="inlineStr">
        <is>
          <t>Bandhani</t>
        </is>
      </c>
      <c r="C483" s="13" t="inlineStr">
        <is>
          <t>day</t>
        </is>
      </c>
      <c r="D483" s="15" t="n">
        <v>0.022</v>
      </c>
      <c r="E483" s="16" t="n">
        <v>617</v>
      </c>
      <c r="F483" s="16">
        <f>D483*E483</f>
        <v/>
      </c>
    </row>
    <row r="484">
      <c r="A484" s="13" t="inlineStr">
        <is>
          <t>0101</t>
        </is>
      </c>
      <c r="B484" s="14" t="inlineStr">
        <is>
          <t>Bhisti</t>
        </is>
      </c>
      <c r="C484" s="13" t="inlineStr">
        <is>
          <t>day</t>
        </is>
      </c>
      <c r="D484" s="15" t="n">
        <v>0.022</v>
      </c>
      <c r="E484" s="16" t="n">
        <v>617</v>
      </c>
      <c r="F484" s="16">
        <f>D484*E484</f>
        <v/>
      </c>
    </row>
    <row r="485">
      <c r="A485" s="13" t="inlineStr">
        <is>
          <t>9999</t>
        </is>
      </c>
      <c r="B485" s="14" t="inlineStr">
        <is>
          <t>Scafolding</t>
        </is>
      </c>
      <c r="C485" s="13" t="inlineStr">
        <is>
          <t>L.S.</t>
        </is>
      </c>
      <c r="D485" s="15" t="n">
        <v>2.73</v>
      </c>
      <c r="E485" s="16" t="n">
        <v>2</v>
      </c>
      <c r="F485" s="16">
        <f>D485*E485</f>
        <v/>
      </c>
    </row>
    <row r="486">
      <c r="A486" s="13" t="inlineStr">
        <is>
          <t>9999</t>
        </is>
      </c>
      <c r="B486" s="14" t="inlineStr">
        <is>
          <t>Mortar for laying and pointing</t>
        </is>
      </c>
      <c r="C486" s="13" t="inlineStr">
        <is>
          <t>L.S.</t>
        </is>
      </c>
      <c r="D486" s="15" t="n">
        <v>8.06</v>
      </c>
      <c r="E486" s="16" t="n">
        <v>2</v>
      </c>
      <c r="F486" s="16">
        <f>D486*E486</f>
        <v/>
      </c>
    </row>
    <row r="487">
      <c r="A487" s="17" t="inlineStr">
        <is>
          <t>Resource Total (Material + Labour + Machinery, as printed)</t>
        </is>
      </c>
      <c r="B487" s="18" t="n"/>
      <c r="C487" s="18" t="n"/>
      <c r="D487" s="18" t="n"/>
      <c r="E487" s="18" t="n"/>
      <c r="F487" s="19">
        <f>SUM(F472:F486)</f>
        <v/>
      </c>
    </row>
    <row r="488">
      <c r="A488" s="20" t="inlineStr">
        <is>
          <t>SAY (Rs.) — final DAR rate</t>
        </is>
      </c>
      <c r="B488" s="21" t="n"/>
      <c r="C488" s="21" t="n"/>
      <c r="D488" s="21" t="n"/>
      <c r="E488" s="21" t="n"/>
      <c r="F488" s="22" t="n">
        <v>59010</v>
      </c>
    </row>
    <row r="490" ht="18" customHeight="1">
      <c r="A490" s="9" t="inlineStr">
        <is>
          <t>7.15.2.2</t>
        </is>
      </c>
      <c r="B490" s="10" t="inlineStr">
        <is>
          <t>White sand stone</t>
        </is>
      </c>
      <c r="C490" s="11" t="n"/>
      <c r="D490" s="11" t="n"/>
      <c r="E490" s="11" t="n"/>
      <c r="F490" s="11" t="n"/>
    </row>
    <row r="491">
      <c r="A491" s="12" t="inlineStr">
        <is>
          <t>Rate basis: per cudm  (source: cost for 10 cudm)</t>
        </is>
      </c>
    </row>
    <row r="492">
      <c r="A492" s="5" t="inlineStr">
        <is>
          <t>Code</t>
        </is>
      </c>
      <c r="B492" s="5" t="inlineStr">
        <is>
          <t>Description</t>
        </is>
      </c>
      <c r="C492" s="5" t="inlineStr">
        <is>
          <t>Unit</t>
        </is>
      </c>
      <c r="D492" s="5" t="inlineStr">
        <is>
          <t>Quantity</t>
        </is>
      </c>
      <c r="E492" s="5" t="inlineStr">
        <is>
          <t>Rate (Rs.)</t>
        </is>
      </c>
      <c r="F492" s="5" t="inlineStr">
        <is>
          <t>Amount (Rs.)</t>
        </is>
      </c>
    </row>
    <row r="493">
      <c r="A493" s="13" t="inlineStr">
        <is>
          <t>2216</t>
        </is>
      </c>
      <c r="B493" s="14" t="inlineStr">
        <is>
          <t>Carriage of Stone blocks white &amp; red sand stone &amp; kota stone slab</t>
        </is>
      </c>
      <c r="C493" s="13" t="inlineStr">
        <is>
          <t>tonne</t>
        </is>
      </c>
      <c r="D493" s="15" t="n">
        <v>0.031</v>
      </c>
      <c r="E493" s="16" t="n">
        <v>92.23999999999999</v>
      </c>
      <c r="F493" s="16">
        <f>D493*E493</f>
        <v/>
      </c>
    </row>
    <row r="494">
      <c r="A494" s="13" t="inlineStr">
        <is>
          <t>0115</t>
        </is>
      </c>
      <c r="B494" s="14" t="inlineStr">
        <is>
          <t>Coolie</t>
        </is>
      </c>
      <c r="C494" s="13" t="inlineStr">
        <is>
          <t>day</t>
        </is>
      </c>
      <c r="D494" s="15" t="n">
        <v>0.015</v>
      </c>
      <c r="E494" s="16" t="n">
        <v>558</v>
      </c>
      <c r="F494" s="16">
        <f>D494*E494</f>
        <v/>
      </c>
    </row>
    <row r="495">
      <c r="A495" s="13" t="inlineStr">
        <is>
          <t>0125</t>
        </is>
      </c>
      <c r="B495" s="14" t="inlineStr">
        <is>
          <t>Mason (for plain stone work) 2nd class)</t>
        </is>
      </c>
      <c r="C495" s="13" t="inlineStr">
        <is>
          <t>day</t>
        </is>
      </c>
      <c r="D495" s="15" t="n">
        <v>0.118</v>
      </c>
      <c r="E495" s="16" t="n">
        <v>679</v>
      </c>
      <c r="F495" s="16">
        <f>D495*E495</f>
        <v/>
      </c>
    </row>
    <row r="496">
      <c r="A496" s="13" t="inlineStr">
        <is>
          <t>0102</t>
        </is>
      </c>
      <c r="B496" s="14" t="inlineStr">
        <is>
          <t>Blacksmith 1st class</t>
        </is>
      </c>
      <c r="C496" s="13" t="inlineStr">
        <is>
          <t>day</t>
        </is>
      </c>
      <c r="D496" s="15" t="n">
        <v>0.012</v>
      </c>
      <c r="E496" s="16" t="n">
        <v>738</v>
      </c>
      <c r="F496" s="16">
        <f>D496*E496</f>
        <v/>
      </c>
    </row>
    <row r="497">
      <c r="A497" s="13" t="inlineStr">
        <is>
          <t>0114</t>
        </is>
      </c>
      <c r="B497" s="14" t="inlineStr">
        <is>
          <t>Beldar</t>
        </is>
      </c>
      <c r="C497" s="13" t="inlineStr">
        <is>
          <t>day</t>
        </is>
      </c>
      <c r="D497" s="15" t="n">
        <v>0.08799999999999999</v>
      </c>
      <c r="E497" s="16" t="n">
        <v>558</v>
      </c>
      <c r="F497" s="16">
        <f>D497*E497</f>
        <v/>
      </c>
    </row>
    <row r="498">
      <c r="A498" s="13" t="inlineStr">
        <is>
          <t>0115</t>
        </is>
      </c>
      <c r="B498" s="14" t="inlineStr">
        <is>
          <t>Coolie</t>
        </is>
      </c>
      <c r="C498" s="13" t="inlineStr">
        <is>
          <t>day</t>
        </is>
      </c>
      <c r="D498" s="15" t="n">
        <v>0.044</v>
      </c>
      <c r="E498" s="16" t="n">
        <v>558</v>
      </c>
      <c r="F498" s="16">
        <f>D498*E498</f>
        <v/>
      </c>
    </row>
    <row r="499">
      <c r="A499" s="13" t="inlineStr">
        <is>
          <t>0100</t>
        </is>
      </c>
      <c r="B499" s="14" t="inlineStr">
        <is>
          <t>Bandhani</t>
        </is>
      </c>
      <c r="C499" s="13" t="inlineStr">
        <is>
          <t>day</t>
        </is>
      </c>
      <c r="D499" s="15" t="n">
        <v>0.08799999999999999</v>
      </c>
      <c r="E499" s="16" t="n">
        <v>617</v>
      </c>
      <c r="F499" s="16">
        <f>D499*E499</f>
        <v/>
      </c>
    </row>
    <row r="500">
      <c r="A500" s="13" t="inlineStr">
        <is>
          <t>0125</t>
        </is>
      </c>
      <c r="B500" s="14" t="inlineStr">
        <is>
          <t>Mason (for plain stone work) 2nd class</t>
        </is>
      </c>
      <c r="C500" s="13" t="inlineStr">
        <is>
          <t>day</t>
        </is>
      </c>
      <c r="D500" s="15" t="n">
        <v>0.044</v>
      </c>
      <c r="E500" s="16" t="n">
        <v>679</v>
      </c>
      <c r="F500" s="16">
        <f>D500*E500</f>
        <v/>
      </c>
    </row>
    <row r="501">
      <c r="A501" s="13" t="inlineStr">
        <is>
          <t>0102</t>
        </is>
      </c>
      <c r="B501" s="14" t="inlineStr">
        <is>
          <t>Blacksmith 1st class</t>
        </is>
      </c>
      <c r="C501" s="13" t="inlineStr">
        <is>
          <t>day</t>
        </is>
      </c>
      <c r="D501" s="15" t="n">
        <v>0.006</v>
      </c>
      <c r="E501" s="16" t="n">
        <v>738</v>
      </c>
      <c r="F501" s="16">
        <f>D501*E501</f>
        <v/>
      </c>
    </row>
    <row r="502">
      <c r="A502" s="13" t="inlineStr">
        <is>
          <t>0114</t>
        </is>
      </c>
      <c r="B502" s="14" t="inlineStr">
        <is>
          <t>Beldar</t>
        </is>
      </c>
      <c r="C502" s="13" t="inlineStr">
        <is>
          <t>day</t>
        </is>
      </c>
      <c r="D502" s="15" t="n">
        <v>0.022</v>
      </c>
      <c r="E502" s="16" t="n">
        <v>558</v>
      </c>
      <c r="F502" s="16">
        <f>D502*E502</f>
        <v/>
      </c>
    </row>
    <row r="503">
      <c r="A503" s="13" t="inlineStr">
        <is>
          <t>0115</t>
        </is>
      </c>
      <c r="B503" s="14" t="inlineStr">
        <is>
          <t>Coolie</t>
        </is>
      </c>
      <c r="C503" s="13" t="inlineStr">
        <is>
          <t>day</t>
        </is>
      </c>
      <c r="D503" s="15" t="n">
        <v>0.022</v>
      </c>
      <c r="E503" s="16" t="n">
        <v>558</v>
      </c>
      <c r="F503" s="16">
        <f>D503*E503</f>
        <v/>
      </c>
    </row>
    <row r="504">
      <c r="A504" s="13" t="inlineStr">
        <is>
          <t>0100</t>
        </is>
      </c>
      <c r="B504" s="14" t="inlineStr">
        <is>
          <t>Bandhani</t>
        </is>
      </c>
      <c r="C504" s="13" t="inlineStr">
        <is>
          <t>day</t>
        </is>
      </c>
      <c r="D504" s="15" t="n">
        <v>0.022</v>
      </c>
      <c r="E504" s="16" t="n">
        <v>617</v>
      </c>
      <c r="F504" s="16">
        <f>D504*E504</f>
        <v/>
      </c>
    </row>
    <row r="505">
      <c r="A505" s="13" t="inlineStr">
        <is>
          <t>0101</t>
        </is>
      </c>
      <c r="B505" s="14" t="inlineStr">
        <is>
          <t>Bhisti</t>
        </is>
      </c>
      <c r="C505" s="13" t="inlineStr">
        <is>
          <t>day</t>
        </is>
      </c>
      <c r="D505" s="15" t="n">
        <v>0.022</v>
      </c>
      <c r="E505" s="16" t="n">
        <v>617</v>
      </c>
      <c r="F505" s="16">
        <f>D505*E505</f>
        <v/>
      </c>
    </row>
    <row r="506">
      <c r="A506" s="13" t="inlineStr">
        <is>
          <t>9999</t>
        </is>
      </c>
      <c r="B506" s="14" t="inlineStr">
        <is>
          <t>Scaffolding</t>
        </is>
      </c>
      <c r="C506" s="13" t="inlineStr">
        <is>
          <t>L.S.</t>
        </is>
      </c>
      <c r="D506" s="15" t="n">
        <v>2.73</v>
      </c>
      <c r="E506" s="16" t="n">
        <v>2</v>
      </c>
      <c r="F506" s="16">
        <f>D506*E506</f>
        <v/>
      </c>
    </row>
    <row r="507">
      <c r="A507" s="13" t="inlineStr">
        <is>
          <t>9999</t>
        </is>
      </c>
      <c r="B507" s="14" t="inlineStr">
        <is>
          <t>Mortar for laying and pointing</t>
        </is>
      </c>
      <c r="C507" s="13" t="inlineStr">
        <is>
          <t>L.S.</t>
        </is>
      </c>
      <c r="D507" s="15" t="n">
        <v>8.06</v>
      </c>
      <c r="E507" s="16" t="n">
        <v>2</v>
      </c>
      <c r="F507" s="16">
        <f>D507*E507</f>
        <v/>
      </c>
    </row>
    <row r="508">
      <c r="A508" s="17" t="inlineStr">
        <is>
          <t>Resource Total (Material + Labour + Machinery, as printed)</t>
        </is>
      </c>
      <c r="B508" s="18" t="n"/>
      <c r="C508" s="18" t="n"/>
      <c r="D508" s="18" t="n"/>
      <c r="E508" s="18" t="n"/>
      <c r="F508" s="19">
        <f>SUM(F493:F507)</f>
        <v/>
      </c>
    </row>
    <row r="509">
      <c r="A509" s="20" t="inlineStr">
        <is>
          <t>SAY (Rs.) — final DAR rate</t>
        </is>
      </c>
      <c r="B509" s="21" t="n"/>
      <c r="C509" s="21" t="n"/>
      <c r="D509" s="21" t="n"/>
      <c r="E509" s="21" t="n"/>
      <c r="F509" s="22" t="n">
        <v>81482</v>
      </c>
    </row>
    <row r="511" ht="28" customHeight="1">
      <c r="A511" s="9" t="inlineStr">
        <is>
          <t>7.16</t>
        </is>
      </c>
      <c r="B511" s="10" t="inlineStr">
        <is>
          <t>Extra for stone work, random rubble / coursed rubble masonry / ashlar masonry above floor V level for every four floors or part thereof.</t>
        </is>
      </c>
      <c r="C511" s="11" t="n"/>
      <c r="D511" s="11" t="n"/>
      <c r="E511" s="11" t="n"/>
      <c r="F511" s="11" t="n"/>
    </row>
    <row r="512">
      <c r="A512" s="12" t="inlineStr">
        <is>
          <t>Rate basis: per cudm  (source: cost for 10 cudm)</t>
        </is>
      </c>
    </row>
    <row r="513">
      <c r="A513" s="5" t="inlineStr">
        <is>
          <t>Code</t>
        </is>
      </c>
      <c r="B513" s="5" t="inlineStr">
        <is>
          <t>Description</t>
        </is>
      </c>
      <c r="C513" s="5" t="inlineStr">
        <is>
          <t>Unit</t>
        </is>
      </c>
      <c r="D513" s="5" t="inlineStr">
        <is>
          <t>Quantity</t>
        </is>
      </c>
      <c r="E513" s="5" t="inlineStr">
        <is>
          <t>Rate (Rs.)</t>
        </is>
      </c>
      <c r="F513" s="5" t="inlineStr">
        <is>
          <t>Amount (Rs.)</t>
        </is>
      </c>
    </row>
    <row r="514">
      <c r="A514" s="13" t="inlineStr">
        <is>
          <t>0114</t>
        </is>
      </c>
      <c r="B514" s="14" t="inlineStr">
        <is>
          <t>Beldar</t>
        </is>
      </c>
      <c r="C514" s="13" t="inlineStr">
        <is>
          <t>day</t>
        </is>
      </c>
      <c r="D514" s="15" t="n">
        <v>0.02</v>
      </c>
      <c r="E514" s="16" t="n">
        <v>558</v>
      </c>
      <c r="F514" s="16">
        <f>D514*E514</f>
        <v/>
      </c>
    </row>
    <row r="515">
      <c r="A515" s="17" t="inlineStr">
        <is>
          <t>Resource Total (Material + Labour + Machinery, as printed)</t>
        </is>
      </c>
      <c r="B515" s="18" t="n"/>
      <c r="C515" s="18" t="n"/>
      <c r="D515" s="18" t="n"/>
      <c r="E515" s="18" t="n"/>
      <c r="F515" s="19">
        <f>SUM(F514:F514)</f>
        <v/>
      </c>
    </row>
    <row r="516">
      <c r="A516" s="20" t="inlineStr">
        <is>
          <t>SAY (Rs.) — final DAR rate</t>
        </is>
      </c>
      <c r="B516" s="21" t="n"/>
      <c r="C516" s="21" t="n"/>
      <c r="D516" s="21" t="n"/>
      <c r="E516" s="21" t="n"/>
      <c r="F516" s="22" t="n">
        <v>1493</v>
      </c>
    </row>
    <row r="518" ht="18" customHeight="1">
      <c r="A518" s="9" t="inlineStr">
        <is>
          <t>7.17.1</t>
        </is>
      </c>
      <c r="B518" s="10" t="inlineStr">
        <is>
          <t>Square or rectangular pillars</t>
        </is>
      </c>
      <c r="C518" s="11" t="n"/>
      <c r="D518" s="11" t="n"/>
      <c r="E518" s="11" t="n"/>
      <c r="F518" s="11" t="n"/>
    </row>
    <row r="519">
      <c r="A519" s="12" t="inlineStr">
        <is>
          <t>Rate basis: per cudm  (source: cost for 10 cudm)</t>
        </is>
      </c>
    </row>
    <row r="520">
      <c r="A520" s="5" t="inlineStr">
        <is>
          <t>Code</t>
        </is>
      </c>
      <c r="B520" s="5" t="inlineStr">
        <is>
          <t>Description</t>
        </is>
      </c>
      <c r="C520" s="5" t="inlineStr">
        <is>
          <t>Unit</t>
        </is>
      </c>
      <c r="D520" s="5" t="inlineStr">
        <is>
          <t>Quantity</t>
        </is>
      </c>
      <c r="E520" s="5" t="inlineStr">
        <is>
          <t>Rate (Rs.)</t>
        </is>
      </c>
      <c r="F520" s="5" t="inlineStr">
        <is>
          <t>Amount (Rs.)</t>
        </is>
      </c>
    </row>
    <row r="521">
      <c r="A521" s="13" t="inlineStr">
        <is>
          <t>9999</t>
        </is>
      </c>
      <c r="B521" s="14" t="inlineStr">
        <is>
          <t>Labour and materials</t>
        </is>
      </c>
      <c r="C521" s="13" t="inlineStr">
        <is>
          <t>L.S.</t>
        </is>
      </c>
      <c r="D521" s="15" t="n">
        <v>8.970000000000001</v>
      </c>
      <c r="E521" s="16" t="n">
        <v>2</v>
      </c>
      <c r="F521" s="16">
        <f>D521*E521</f>
        <v/>
      </c>
    </row>
    <row r="522">
      <c r="A522" s="17" t="inlineStr">
        <is>
          <t>Resource Total (Material + Labour + Machinery, as printed)</t>
        </is>
      </c>
      <c r="B522" s="18" t="n"/>
      <c r="C522" s="18" t="n"/>
      <c r="D522" s="18" t="n"/>
      <c r="E522" s="18" t="n"/>
      <c r="F522" s="19">
        <f>SUM(F521:F521)</f>
        <v/>
      </c>
    </row>
    <row r="523">
      <c r="A523" s="20" t="inlineStr">
        <is>
          <t>SAY (Rs.) — final DAR rate</t>
        </is>
      </c>
      <c r="B523" s="21" t="n"/>
      <c r="C523" s="21" t="n"/>
      <c r="D523" s="21" t="n"/>
      <c r="E523" s="21" t="n"/>
      <c r="F523" s="22" t="n">
        <v>2400</v>
      </c>
    </row>
    <row r="525" ht="28" customHeight="1">
      <c r="A525" s="9" t="inlineStr">
        <is>
          <t>7.18</t>
        </is>
      </c>
      <c r="B525" s="10" t="inlineStr">
        <is>
          <t>Extra for stone work; plain ashlar or ashlar punched curved on plan with a mean radius not exceeding 6 m.</t>
        </is>
      </c>
      <c r="C525" s="11" t="n"/>
      <c r="D525" s="11" t="n"/>
      <c r="E525" s="11" t="n"/>
      <c r="F525" s="11" t="n"/>
    </row>
    <row r="526">
      <c r="A526" s="12" t="inlineStr">
        <is>
          <t>Rate basis: per cudm  (source: cost for 10 cudm)</t>
        </is>
      </c>
    </row>
    <row r="527">
      <c r="A527" s="5" t="inlineStr">
        <is>
          <t>Code</t>
        </is>
      </c>
      <c r="B527" s="5" t="inlineStr">
        <is>
          <t>Description</t>
        </is>
      </c>
      <c r="C527" s="5" t="inlineStr">
        <is>
          <t>Unit</t>
        </is>
      </c>
      <c r="D527" s="5" t="inlineStr">
        <is>
          <t>Quantity</t>
        </is>
      </c>
      <c r="E527" s="5" t="inlineStr">
        <is>
          <t>Rate (Rs.)</t>
        </is>
      </c>
      <c r="F527" s="5" t="inlineStr">
        <is>
          <t>Amount (Rs.)</t>
        </is>
      </c>
    </row>
    <row r="528">
      <c r="A528" s="13" t="inlineStr">
        <is>
          <t>9999</t>
        </is>
      </c>
      <c r="B528" s="14" t="inlineStr">
        <is>
          <t>Labour and materials</t>
        </is>
      </c>
      <c r="C528" s="13" t="inlineStr">
        <is>
          <t>L.S.</t>
        </is>
      </c>
      <c r="D528" s="15" t="n">
        <v>6.24</v>
      </c>
      <c r="E528" s="16" t="n">
        <v>2</v>
      </c>
      <c r="F528" s="16">
        <f>D528*E528</f>
        <v/>
      </c>
    </row>
    <row r="529">
      <c r="A529" s="17" t="inlineStr">
        <is>
          <t>Resource Total (Material + Labour + Machinery, as printed)</t>
        </is>
      </c>
      <c r="B529" s="18" t="n"/>
      <c r="C529" s="18" t="n"/>
      <c r="D529" s="18" t="n"/>
      <c r="E529" s="18" t="n"/>
      <c r="F529" s="19">
        <f>SUM(F528:F528)</f>
        <v/>
      </c>
    </row>
    <row r="530">
      <c r="A530" s="20" t="inlineStr">
        <is>
          <t>SAY (Rs.) — final DAR rate</t>
        </is>
      </c>
      <c r="B530" s="21" t="n"/>
      <c r="C530" s="21" t="n"/>
      <c r="D530" s="21" t="n"/>
      <c r="E530" s="21" t="n"/>
      <c r="F530" s="22" t="n">
        <v>1670</v>
      </c>
    </row>
    <row r="532" ht="28" customHeight="1">
      <c r="A532" s="9" t="inlineStr">
        <is>
          <t>7.19</t>
        </is>
      </c>
      <c r="B532" s="10" t="inlineStr">
        <is>
          <t>Extra for additional cost of centering for arches exceeding 6m span including all strutting, bolting, wedging etc. and removal (area of soff</t>
        </is>
      </c>
      <c r="C532" s="11" t="n"/>
      <c r="D532" s="11" t="n"/>
      <c r="E532" s="11" t="n"/>
      <c r="F532" s="11" t="n"/>
    </row>
    <row r="533">
      <c r="A533" s="12" t="inlineStr">
        <is>
          <t>Rate basis: per sqm  (source: cost for 33.31 sqm)</t>
        </is>
      </c>
    </row>
    <row r="534">
      <c r="A534" s="5" t="inlineStr">
        <is>
          <t>Code</t>
        </is>
      </c>
      <c r="B534" s="5" t="inlineStr">
        <is>
          <t>Description</t>
        </is>
      </c>
      <c r="C534" s="5" t="inlineStr">
        <is>
          <t>Unit</t>
        </is>
      </c>
      <c r="D534" s="5" t="inlineStr">
        <is>
          <t>Quantity</t>
        </is>
      </c>
      <c r="E534" s="5" t="inlineStr">
        <is>
          <t>Rate (Rs.)</t>
        </is>
      </c>
      <c r="F534" s="5" t="inlineStr">
        <is>
          <t>Amount (Rs.)</t>
        </is>
      </c>
    </row>
    <row r="535">
      <c r="A535" s="13" t="inlineStr">
        <is>
          <t>2204</t>
        </is>
      </c>
      <c r="B535" s="14" t="inlineStr">
        <is>
          <t>Carriage of Timber</t>
        </is>
      </c>
      <c r="C535" s="13" t="inlineStr">
        <is>
          <t>cum</t>
        </is>
      </c>
      <c r="D535" s="15" t="n">
        <v>0.8879</v>
      </c>
      <c r="E535" s="16" t="n">
        <v>118.59</v>
      </c>
      <c r="F535" s="16">
        <f>D535*E535</f>
        <v/>
      </c>
    </row>
    <row r="536">
      <c r="A536" s="13" t="inlineStr">
        <is>
          <t>1225</t>
        </is>
      </c>
      <c r="B536" s="14" t="inlineStr">
        <is>
          <t>Mild steel flat strap fitting</t>
        </is>
      </c>
      <c r="C536" s="13" t="inlineStr">
        <is>
          <t>quintal</t>
        </is>
      </c>
      <c r="D536" s="15" t="n">
        <v>0.0878</v>
      </c>
      <c r="E536" s="16" t="n">
        <v>4120</v>
      </c>
      <c r="F536" s="16">
        <f>D536*E536</f>
        <v/>
      </c>
    </row>
    <row r="537">
      <c r="A537" s="13" t="inlineStr">
        <is>
          <t>1034</t>
        </is>
      </c>
      <c r="B537" s="14" t="inlineStr">
        <is>
          <t>Bolts and nuts upto 300 mm in length</t>
        </is>
      </c>
      <c r="C537" s="13" t="inlineStr">
        <is>
          <t>quintal</t>
        </is>
      </c>
      <c r="D537" s="15" t="n">
        <v>0.08</v>
      </c>
      <c r="E537" s="16" t="n">
        <v>4800</v>
      </c>
      <c r="F537" s="16">
        <f>D537*E537</f>
        <v/>
      </c>
    </row>
    <row r="538">
      <c r="A538" s="13" t="inlineStr">
        <is>
          <t>2302</t>
        </is>
      </c>
      <c r="B538" s="14" t="inlineStr">
        <is>
          <t>Carriage of G.I.sheet and accessories</t>
        </is>
      </c>
      <c r="C538" s="13" t="inlineStr">
        <is>
          <t>tonne</t>
        </is>
      </c>
      <c r="D538" s="15" t="n">
        <v>0.0168</v>
      </c>
      <c r="E538" s="16" t="n">
        <v>92.23999999999999</v>
      </c>
      <c r="F538" s="16">
        <f>D538*E538</f>
        <v/>
      </c>
    </row>
    <row r="539">
      <c r="A539" s="13" t="inlineStr">
        <is>
          <t>0112</t>
        </is>
      </c>
      <c r="B539" s="14" t="inlineStr">
        <is>
          <t>Carpenter 2nd class</t>
        </is>
      </c>
      <c r="C539" s="13" t="inlineStr">
        <is>
          <t>day</t>
        </is>
      </c>
      <c r="D539" s="15" t="n">
        <v>28</v>
      </c>
      <c r="E539" s="16" t="n">
        <v>679</v>
      </c>
      <c r="F539" s="16">
        <f>D539*E539</f>
        <v/>
      </c>
    </row>
    <row r="540">
      <c r="A540" s="13" t="inlineStr">
        <is>
          <t>0114</t>
        </is>
      </c>
      <c r="B540" s="14" t="inlineStr">
        <is>
          <t>Beldar</t>
        </is>
      </c>
      <c r="C540" s="13" t="inlineStr">
        <is>
          <t>day</t>
        </is>
      </c>
      <c r="D540" s="15" t="n">
        <v>24</v>
      </c>
      <c r="E540" s="16" t="n">
        <v>558</v>
      </c>
      <c r="F540" s="16">
        <f>D540*E540</f>
        <v/>
      </c>
    </row>
    <row r="541">
      <c r="A541" s="13" t="inlineStr">
        <is>
          <t>9999</t>
        </is>
      </c>
      <c r="B541" s="14" t="inlineStr">
        <is>
          <t>Sundries</t>
        </is>
      </c>
      <c r="C541" s="13" t="inlineStr">
        <is>
          <t>L.S.</t>
        </is>
      </c>
      <c r="D541" s="15" t="n">
        <v>134.55</v>
      </c>
      <c r="E541" s="16" t="n">
        <v>2</v>
      </c>
      <c r="F541" s="16">
        <f>D541*E541</f>
        <v/>
      </c>
    </row>
    <row r="542">
      <c r="A542" s="17" t="inlineStr">
        <is>
          <t>Resource Total (Material + Labour + Machinery, as printed)</t>
        </is>
      </c>
      <c r="B542" s="18" t="n"/>
      <c r="C542" s="18" t="n"/>
      <c r="D542" s="18" t="n"/>
      <c r="E542" s="18" t="n"/>
      <c r="F542" s="19">
        <f>SUM(F535:F541)</f>
        <v/>
      </c>
    </row>
    <row r="543">
      <c r="A543" s="20" t="inlineStr">
        <is>
          <t>SAY (Rs.) — final DAR rate</t>
        </is>
      </c>
      <c r="B543" s="21" t="n"/>
      <c r="C543" s="21" t="n"/>
      <c r="D543" s="21" t="n"/>
      <c r="E543" s="21" t="n"/>
      <c r="F543" s="22" t="n">
        <v>560.65</v>
      </c>
    </row>
    <row r="545" ht="18" customHeight="1">
      <c r="A545" s="9" t="inlineStr">
        <is>
          <t>7.20.1</t>
        </is>
      </c>
      <c r="B545" s="10" t="inlineStr">
        <is>
          <t>Red sand stone</t>
        </is>
      </c>
      <c r="C545" s="11" t="n"/>
      <c r="D545" s="11" t="n"/>
      <c r="E545" s="11" t="n"/>
      <c r="F545" s="11" t="n"/>
    </row>
    <row r="546">
      <c r="A546" s="12" t="inlineStr">
        <is>
          <t>Rate basis: per cudm  (source: cost for 10 cudm)</t>
        </is>
      </c>
    </row>
    <row r="547">
      <c r="A547" s="5" t="inlineStr">
        <is>
          <t>Code</t>
        </is>
      </c>
      <c r="B547" s="5" t="inlineStr">
        <is>
          <t>Description</t>
        </is>
      </c>
      <c r="C547" s="5" t="inlineStr">
        <is>
          <t>Unit</t>
        </is>
      </c>
      <c r="D547" s="5" t="inlineStr">
        <is>
          <t>Quantity</t>
        </is>
      </c>
      <c r="E547" s="5" t="inlineStr">
        <is>
          <t>Rate (Rs.)</t>
        </is>
      </c>
      <c r="F547" s="5" t="inlineStr">
        <is>
          <t>Amount (Rs.)</t>
        </is>
      </c>
    </row>
    <row r="548">
      <c r="A548" s="13" t="inlineStr">
        <is>
          <t>2216</t>
        </is>
      </c>
      <c r="B548" s="14" t="inlineStr">
        <is>
          <t>Carriage of Stone blocks white &amp; red sand stone &amp; kota stone slab</t>
        </is>
      </c>
      <c r="C548" s="13" t="inlineStr">
        <is>
          <t>tonne</t>
        </is>
      </c>
      <c r="D548" s="15" t="n">
        <v>0.031</v>
      </c>
      <c r="E548" s="16" t="n">
        <v>92.23999999999999</v>
      </c>
      <c r="F548" s="16">
        <f>D548*E548</f>
        <v/>
      </c>
    </row>
    <row r="549">
      <c r="A549" s="13" t="inlineStr">
        <is>
          <t>9999</t>
        </is>
      </c>
      <c r="B549" s="14" t="inlineStr">
        <is>
          <t>Extra for using white cement</t>
        </is>
      </c>
      <c r="C549" s="13" t="inlineStr">
        <is>
          <t>L.S.</t>
        </is>
      </c>
      <c r="D549" s="15" t="n">
        <v>8.06</v>
      </c>
      <c r="E549" s="16" t="n">
        <v>2</v>
      </c>
      <c r="F549" s="16">
        <f>D549*E549</f>
        <v/>
      </c>
    </row>
    <row r="550">
      <c r="A550" s="13" t="inlineStr">
        <is>
          <t>0125</t>
        </is>
      </c>
      <c r="B550" s="14" t="inlineStr">
        <is>
          <t>Mason (for plain stone work) 2nd class)</t>
        </is>
      </c>
      <c r="C550" s="13" t="inlineStr">
        <is>
          <t>day</t>
        </is>
      </c>
      <c r="D550" s="15" t="n">
        <v>0.291</v>
      </c>
      <c r="E550" s="16" t="n">
        <v>679</v>
      </c>
      <c r="F550" s="16">
        <f>D550*E550</f>
        <v/>
      </c>
    </row>
    <row r="551">
      <c r="A551" s="13" t="inlineStr">
        <is>
          <t>0102</t>
        </is>
      </c>
      <c r="B551" s="14" t="inlineStr">
        <is>
          <t>Blacksmith 1st class</t>
        </is>
      </c>
      <c r="C551" s="13" t="inlineStr">
        <is>
          <t>day</t>
        </is>
      </c>
      <c r="D551" s="15" t="n">
        <v>0.006</v>
      </c>
      <c r="E551" s="16" t="n">
        <v>738</v>
      </c>
      <c r="F551" s="16">
        <f>D551*E551</f>
        <v/>
      </c>
    </row>
    <row r="552">
      <c r="A552" s="13" t="inlineStr">
        <is>
          <t>0114</t>
        </is>
      </c>
      <c r="B552" s="14" t="inlineStr">
        <is>
          <t>Beldar</t>
        </is>
      </c>
      <c r="C552" s="13" t="inlineStr">
        <is>
          <t>day</t>
        </is>
      </c>
      <c r="D552" s="15" t="n">
        <v>0.044</v>
      </c>
      <c r="E552" s="16" t="n">
        <v>558</v>
      </c>
      <c r="F552" s="16">
        <f>D552*E552</f>
        <v/>
      </c>
    </row>
    <row r="553">
      <c r="A553" s="13" t="inlineStr">
        <is>
          <t>0115</t>
        </is>
      </c>
      <c r="B553" s="14" t="inlineStr">
        <is>
          <t>Coolie</t>
        </is>
      </c>
      <c r="C553" s="13" t="inlineStr">
        <is>
          <t>day</t>
        </is>
      </c>
      <c r="D553" s="15" t="n">
        <v>0.022</v>
      </c>
      <c r="E553" s="16" t="n">
        <v>558</v>
      </c>
      <c r="F553" s="16">
        <f>D553*E553</f>
        <v/>
      </c>
    </row>
    <row r="554">
      <c r="A554" s="13" t="inlineStr">
        <is>
          <t>0100</t>
        </is>
      </c>
      <c r="B554" s="14" t="inlineStr">
        <is>
          <t>Bandhani</t>
        </is>
      </c>
      <c r="C554" s="13" t="inlineStr">
        <is>
          <t>day</t>
        </is>
      </c>
      <c r="D554" s="15" t="n">
        <v>0.044</v>
      </c>
      <c r="E554" s="16" t="n">
        <v>617</v>
      </c>
      <c r="F554" s="16">
        <f>D554*E554</f>
        <v/>
      </c>
    </row>
    <row r="555">
      <c r="A555" s="13" t="inlineStr">
        <is>
          <t>0125</t>
        </is>
      </c>
      <c r="B555" s="14" t="inlineStr">
        <is>
          <t>Mason (for plain stone work) 2nd class</t>
        </is>
      </c>
      <c r="C555" s="13" t="inlineStr">
        <is>
          <t>day</t>
        </is>
      </c>
      <c r="D555" s="15" t="n">
        <v>0.044</v>
      </c>
      <c r="E555" s="16" t="n">
        <v>679</v>
      </c>
      <c r="F555" s="16">
        <f>D555*E555</f>
        <v/>
      </c>
    </row>
    <row r="556">
      <c r="A556" s="13" t="inlineStr">
        <is>
          <t>0102</t>
        </is>
      </c>
      <c r="B556" s="14" t="inlineStr">
        <is>
          <t>Blacksmith 1st class</t>
        </is>
      </c>
      <c r="C556" s="13" t="inlineStr">
        <is>
          <t>day</t>
        </is>
      </c>
      <c r="D556" s="15" t="n">
        <v>0.006</v>
      </c>
      <c r="E556" s="16" t="n">
        <v>738</v>
      </c>
      <c r="F556" s="16">
        <f>D556*E556</f>
        <v/>
      </c>
    </row>
    <row r="557">
      <c r="A557" s="13" t="inlineStr">
        <is>
          <t>0114</t>
        </is>
      </c>
      <c r="B557" s="14" t="inlineStr">
        <is>
          <t>Beldar</t>
        </is>
      </c>
      <c r="C557" s="13" t="inlineStr">
        <is>
          <t>day</t>
        </is>
      </c>
      <c r="D557" s="15" t="n">
        <v>0.022</v>
      </c>
      <c r="E557" s="16" t="n">
        <v>558</v>
      </c>
      <c r="F557" s="16">
        <f>D557*E557</f>
        <v/>
      </c>
    </row>
    <row r="558">
      <c r="A558" s="13" t="inlineStr">
        <is>
          <t>0115</t>
        </is>
      </c>
      <c r="B558" s="14" t="inlineStr">
        <is>
          <t>Coolie</t>
        </is>
      </c>
      <c r="C558" s="13" t="inlineStr">
        <is>
          <t>day</t>
        </is>
      </c>
      <c r="D558" s="15" t="n">
        <v>0.022</v>
      </c>
      <c r="E558" s="16" t="n">
        <v>558</v>
      </c>
      <c r="F558" s="16">
        <f>D558*E558</f>
        <v/>
      </c>
    </row>
    <row r="559">
      <c r="A559" s="13" t="inlineStr">
        <is>
          <t>0100</t>
        </is>
      </c>
      <c r="B559" s="14" t="inlineStr">
        <is>
          <t>Bandhani</t>
        </is>
      </c>
      <c r="C559" s="13" t="inlineStr">
        <is>
          <t>day</t>
        </is>
      </c>
      <c r="D559" s="15" t="n">
        <v>0.022</v>
      </c>
      <c r="E559" s="16" t="n">
        <v>617</v>
      </c>
      <c r="F559" s="16">
        <f>D559*E559</f>
        <v/>
      </c>
    </row>
    <row r="560">
      <c r="A560" s="13" t="inlineStr">
        <is>
          <t>0101</t>
        </is>
      </c>
      <c r="B560" s="14" t="inlineStr">
        <is>
          <t>Bhisti</t>
        </is>
      </c>
      <c r="C560" s="13" t="inlineStr">
        <is>
          <t>day</t>
        </is>
      </c>
      <c r="D560" s="15" t="n">
        <v>0.022</v>
      </c>
      <c r="E560" s="16" t="n">
        <v>617</v>
      </c>
      <c r="F560" s="16">
        <f>D560*E560</f>
        <v/>
      </c>
    </row>
    <row r="561">
      <c r="A561" s="13" t="inlineStr">
        <is>
          <t>9999</t>
        </is>
      </c>
      <c r="B561" s="14" t="inlineStr">
        <is>
          <t>Scaffolding</t>
        </is>
      </c>
      <c r="C561" s="13" t="inlineStr">
        <is>
          <t>L.S.</t>
        </is>
      </c>
      <c r="D561" s="15" t="n">
        <v>2.73</v>
      </c>
      <c r="E561" s="16" t="n">
        <v>2</v>
      </c>
      <c r="F561" s="16">
        <f>D561*E561</f>
        <v/>
      </c>
    </row>
    <row r="562">
      <c r="A562" s="13" t="inlineStr">
        <is>
          <t>9999</t>
        </is>
      </c>
      <c r="B562" s="14" t="inlineStr">
        <is>
          <t>Mortar for laying and pointing</t>
        </is>
      </c>
      <c r="C562" s="13" t="inlineStr">
        <is>
          <t>L.S.</t>
        </is>
      </c>
      <c r="D562" s="15" t="n">
        <v>8.06</v>
      </c>
      <c r="E562" s="16" t="n">
        <v>2</v>
      </c>
      <c r="F562" s="16">
        <f>D562*E562</f>
        <v/>
      </c>
    </row>
    <row r="563">
      <c r="A563" s="13" t="inlineStr">
        <is>
          <t>0115</t>
        </is>
      </c>
      <c r="B563" s="14" t="inlineStr">
        <is>
          <t>Coolie</t>
        </is>
      </c>
      <c r="C563" s="13" t="inlineStr">
        <is>
          <t>day</t>
        </is>
      </c>
      <c r="D563" s="15" t="n">
        <v>0.015</v>
      </c>
      <c r="E563" s="16" t="n">
        <v>558</v>
      </c>
      <c r="F563" s="16">
        <f>D563*E563</f>
        <v/>
      </c>
    </row>
    <row r="564">
      <c r="A564" s="17" t="inlineStr">
        <is>
          <t>Resource Total (Material + Labour + Machinery, as printed)</t>
        </is>
      </c>
      <c r="B564" s="18" t="n"/>
      <c r="C564" s="18" t="n"/>
      <c r="D564" s="18" t="n"/>
      <c r="E564" s="18" t="n"/>
      <c r="F564" s="19">
        <f>SUM(F548:F563)</f>
        <v/>
      </c>
    </row>
    <row r="565">
      <c r="A565" s="20" t="inlineStr">
        <is>
          <t>SAY (Rs.) — final DAR rate</t>
        </is>
      </c>
      <c r="B565" s="21" t="n"/>
      <c r="C565" s="21" t="n"/>
      <c r="D565" s="21" t="n"/>
      <c r="E565" s="21" t="n"/>
      <c r="F565" s="22" t="n">
        <v>67731</v>
      </c>
    </row>
    <row r="567" ht="18" customHeight="1">
      <c r="A567" s="9" t="inlineStr">
        <is>
          <t>7.20.2</t>
        </is>
      </c>
      <c r="B567" s="10" t="inlineStr">
        <is>
          <t>White sand stone</t>
        </is>
      </c>
      <c r="C567" s="11" t="n"/>
      <c r="D567" s="11" t="n"/>
      <c r="E567" s="11" t="n"/>
      <c r="F567" s="11" t="n"/>
    </row>
    <row r="568">
      <c r="A568" s="12" t="inlineStr">
        <is>
          <t>Rate basis: per cudm  (source: cost for 10 cudm)</t>
        </is>
      </c>
    </row>
    <row r="569">
      <c r="A569" s="5" t="inlineStr">
        <is>
          <t>Code</t>
        </is>
      </c>
      <c r="B569" s="5" t="inlineStr">
        <is>
          <t>Description</t>
        </is>
      </c>
      <c r="C569" s="5" t="inlineStr">
        <is>
          <t>Unit</t>
        </is>
      </c>
      <c r="D569" s="5" t="inlineStr">
        <is>
          <t>Quantity</t>
        </is>
      </c>
      <c r="E569" s="5" t="inlineStr">
        <is>
          <t>Rate (Rs.)</t>
        </is>
      </c>
      <c r="F569" s="5" t="inlineStr">
        <is>
          <t>Amount (Rs.)</t>
        </is>
      </c>
    </row>
    <row r="570">
      <c r="A570" s="13" t="inlineStr">
        <is>
          <t>2216</t>
        </is>
      </c>
      <c r="B570" s="14" t="inlineStr">
        <is>
          <t>Carriage of Stone blocks white &amp; red sand stone &amp; kota stone slab</t>
        </is>
      </c>
      <c r="C570" s="13" t="inlineStr">
        <is>
          <t>tonne</t>
        </is>
      </c>
      <c r="D570" s="15" t="n">
        <v>0.031</v>
      </c>
      <c r="E570" s="16" t="n">
        <v>92.23999999999999</v>
      </c>
      <c r="F570" s="16">
        <f>D570*E570</f>
        <v/>
      </c>
    </row>
    <row r="571">
      <c r="A571" s="13" t="inlineStr">
        <is>
          <t>9999</t>
        </is>
      </c>
      <c r="B571" s="14" t="inlineStr">
        <is>
          <t>Extra for using white cement</t>
        </is>
      </c>
      <c r="C571" s="13" t="inlineStr">
        <is>
          <t>L.S.</t>
        </is>
      </c>
      <c r="D571" s="15" t="n">
        <v>8.06</v>
      </c>
      <c r="E571" s="16" t="n">
        <v>2</v>
      </c>
      <c r="F571" s="16">
        <f>D571*E571</f>
        <v/>
      </c>
    </row>
    <row r="572">
      <c r="A572" s="13" t="inlineStr">
        <is>
          <t>0125</t>
        </is>
      </c>
      <c r="B572" s="14" t="inlineStr">
        <is>
          <t>Mason (for plain stone work) 2nd class)</t>
        </is>
      </c>
      <c r="C572" s="13" t="inlineStr">
        <is>
          <t>day</t>
        </is>
      </c>
      <c r="D572" s="15" t="n">
        <v>0.291</v>
      </c>
      <c r="E572" s="16" t="n">
        <v>679</v>
      </c>
      <c r="F572" s="16">
        <f>D572*E572</f>
        <v/>
      </c>
    </row>
    <row r="573">
      <c r="A573" s="13" t="inlineStr">
        <is>
          <t>0102</t>
        </is>
      </c>
      <c r="B573" s="14" t="inlineStr">
        <is>
          <t>Blacksmith 1st class</t>
        </is>
      </c>
      <c r="C573" s="13" t="inlineStr">
        <is>
          <t>day</t>
        </is>
      </c>
      <c r="D573" s="15" t="n">
        <v>0.006</v>
      </c>
      <c r="E573" s="16" t="n">
        <v>738</v>
      </c>
      <c r="F573" s="16">
        <f>D573*E573</f>
        <v/>
      </c>
    </row>
    <row r="574">
      <c r="A574" s="13" t="inlineStr">
        <is>
          <t>0114</t>
        </is>
      </c>
      <c r="B574" s="14" t="inlineStr">
        <is>
          <t>Beldar</t>
        </is>
      </c>
      <c r="C574" s="13" t="inlineStr">
        <is>
          <t>day</t>
        </is>
      </c>
      <c r="D574" s="15" t="n">
        <v>0.044</v>
      </c>
      <c r="E574" s="16" t="n">
        <v>558</v>
      </c>
      <c r="F574" s="16">
        <f>D574*E574</f>
        <v/>
      </c>
    </row>
    <row r="575">
      <c r="A575" s="13" t="inlineStr">
        <is>
          <t>0115</t>
        </is>
      </c>
      <c r="B575" s="14" t="inlineStr">
        <is>
          <t>Coolie</t>
        </is>
      </c>
      <c r="C575" s="13" t="inlineStr">
        <is>
          <t>day</t>
        </is>
      </c>
      <c r="D575" s="15" t="n">
        <v>0.022</v>
      </c>
      <c r="E575" s="16" t="n">
        <v>558</v>
      </c>
      <c r="F575" s="16">
        <f>D575*E575</f>
        <v/>
      </c>
    </row>
    <row r="576">
      <c r="A576" s="13" t="inlineStr">
        <is>
          <t>0100</t>
        </is>
      </c>
      <c r="B576" s="14" t="inlineStr">
        <is>
          <t>Bandhani</t>
        </is>
      </c>
      <c r="C576" s="13" t="inlineStr">
        <is>
          <t>day</t>
        </is>
      </c>
      <c r="D576" s="15" t="n">
        <v>0.044</v>
      </c>
      <c r="E576" s="16" t="n">
        <v>617</v>
      </c>
      <c r="F576" s="16">
        <f>D576*E576</f>
        <v/>
      </c>
    </row>
    <row r="577">
      <c r="A577" s="13" t="inlineStr">
        <is>
          <t>0125</t>
        </is>
      </c>
      <c r="B577" s="14" t="inlineStr">
        <is>
          <t>Mason (for plain stone work) 2nd class)</t>
        </is>
      </c>
      <c r="C577" s="13" t="inlineStr">
        <is>
          <t>day</t>
        </is>
      </c>
      <c r="D577" s="15" t="n">
        <v>0.044</v>
      </c>
      <c r="E577" s="16" t="n">
        <v>679</v>
      </c>
      <c r="F577" s="16">
        <f>D577*E577</f>
        <v/>
      </c>
    </row>
    <row r="578">
      <c r="A578" s="13" t="inlineStr">
        <is>
          <t>0102</t>
        </is>
      </c>
      <c r="B578" s="14" t="inlineStr">
        <is>
          <t>Blacksmith 1st class</t>
        </is>
      </c>
      <c r="C578" s="13" t="inlineStr">
        <is>
          <t>day</t>
        </is>
      </c>
      <c r="D578" s="15" t="n">
        <v>0.006</v>
      </c>
      <c r="E578" s="16" t="n">
        <v>738</v>
      </c>
      <c r="F578" s="16">
        <f>D578*E578</f>
        <v/>
      </c>
    </row>
    <row r="579">
      <c r="A579" s="13" t="inlineStr">
        <is>
          <t>0114</t>
        </is>
      </c>
      <c r="B579" s="14" t="inlineStr">
        <is>
          <t>Beldar</t>
        </is>
      </c>
      <c r="C579" s="13" t="inlineStr">
        <is>
          <t>day</t>
        </is>
      </c>
      <c r="D579" s="15" t="n">
        <v>0.022</v>
      </c>
      <c r="E579" s="16" t="n">
        <v>558</v>
      </c>
      <c r="F579" s="16">
        <f>D579*E579</f>
        <v/>
      </c>
    </row>
    <row r="580">
      <c r="A580" s="13" t="inlineStr">
        <is>
          <t>0115</t>
        </is>
      </c>
      <c r="B580" s="14" t="inlineStr">
        <is>
          <t>Coolie</t>
        </is>
      </c>
      <c r="C580" s="13" t="inlineStr">
        <is>
          <t>day</t>
        </is>
      </c>
      <c r="D580" s="15" t="n">
        <v>0.022</v>
      </c>
      <c r="E580" s="16" t="n">
        <v>558</v>
      </c>
      <c r="F580" s="16">
        <f>D580*E580</f>
        <v/>
      </c>
    </row>
    <row r="581">
      <c r="A581" s="13" t="inlineStr">
        <is>
          <t>0100</t>
        </is>
      </c>
      <c r="B581" s="14" t="inlineStr">
        <is>
          <t>Bandhani</t>
        </is>
      </c>
      <c r="C581" s="13" t="inlineStr">
        <is>
          <t>day</t>
        </is>
      </c>
      <c r="D581" s="15" t="n">
        <v>0.022</v>
      </c>
      <c r="E581" s="16" t="n">
        <v>617</v>
      </c>
      <c r="F581" s="16">
        <f>D581*E581</f>
        <v/>
      </c>
    </row>
    <row r="582">
      <c r="A582" s="13" t="inlineStr">
        <is>
          <t>0101</t>
        </is>
      </c>
      <c r="B582" s="14" t="inlineStr">
        <is>
          <t>Bhisti</t>
        </is>
      </c>
      <c r="C582" s="13" t="inlineStr">
        <is>
          <t>day</t>
        </is>
      </c>
      <c r="D582" s="15" t="n">
        <v>0.022</v>
      </c>
      <c r="E582" s="16" t="n">
        <v>617</v>
      </c>
      <c r="F582" s="16">
        <f>D582*E582</f>
        <v/>
      </c>
    </row>
    <row r="583">
      <c r="A583" s="13" t="inlineStr">
        <is>
          <t>9999</t>
        </is>
      </c>
      <c r="B583" s="14" t="inlineStr">
        <is>
          <t>Scaffolding</t>
        </is>
      </c>
      <c r="C583" s="13" t="inlineStr">
        <is>
          <t>L.S.</t>
        </is>
      </c>
      <c r="D583" s="15" t="n">
        <v>2.73</v>
      </c>
      <c r="E583" s="16" t="n">
        <v>2</v>
      </c>
      <c r="F583" s="16">
        <f>D583*E583</f>
        <v/>
      </c>
    </row>
    <row r="584">
      <c r="A584" s="13" t="inlineStr">
        <is>
          <t>9999</t>
        </is>
      </c>
      <c r="B584" s="14" t="inlineStr">
        <is>
          <t>Mortar for laying and pointing</t>
        </is>
      </c>
      <c r="C584" s="13" t="inlineStr">
        <is>
          <t>L.S.</t>
        </is>
      </c>
      <c r="D584" s="15" t="n">
        <v>8.06</v>
      </c>
      <c r="E584" s="16" t="n">
        <v>2</v>
      </c>
      <c r="F584" s="16">
        <f>D584*E584</f>
        <v/>
      </c>
    </row>
    <row r="585">
      <c r="A585" s="13" t="inlineStr">
        <is>
          <t>0115</t>
        </is>
      </c>
      <c r="B585" s="14" t="inlineStr">
        <is>
          <t>Coolie</t>
        </is>
      </c>
      <c r="C585" s="13" t="inlineStr">
        <is>
          <t>day</t>
        </is>
      </c>
      <c r="D585" s="15" t="n">
        <v>0.015</v>
      </c>
      <c r="E585" s="16" t="n">
        <v>558</v>
      </c>
      <c r="F585" s="16">
        <f>D585*E585</f>
        <v/>
      </c>
    </row>
    <row r="586">
      <c r="A586" s="17" t="inlineStr">
        <is>
          <t>Resource Total (Material + Labour + Machinery, as printed)</t>
        </is>
      </c>
      <c r="B586" s="18" t="n"/>
      <c r="C586" s="18" t="n"/>
      <c r="D586" s="18" t="n"/>
      <c r="E586" s="18" t="n"/>
      <c r="F586" s="19">
        <f>SUM(F570:F585)</f>
        <v/>
      </c>
    </row>
    <row r="587">
      <c r="A587" s="20" t="inlineStr">
        <is>
          <t>SAY (Rs.) — final DAR rate</t>
        </is>
      </c>
      <c r="B587" s="21" t="n"/>
      <c r="C587" s="21" t="n"/>
      <c r="D587" s="21" t="n"/>
      <c r="E587" s="21" t="n"/>
      <c r="F587" s="22" t="n">
        <v>90203</v>
      </c>
    </row>
    <row r="589" ht="18" customHeight="1">
      <c r="A589" s="9" t="inlineStr">
        <is>
          <t>7.21.1</t>
        </is>
      </c>
      <c r="B589" s="10" t="inlineStr">
        <is>
          <t>Triangular or Square or rectangular pillars</t>
        </is>
      </c>
      <c r="C589" s="11" t="n"/>
      <c r="D589" s="11" t="n"/>
      <c r="E589" s="11" t="n"/>
      <c r="F589" s="11" t="n"/>
    </row>
    <row r="590">
      <c r="A590" s="12" t="inlineStr">
        <is>
          <t>Rate basis: per cudm  (source: cost for 10 cudm)</t>
        </is>
      </c>
    </row>
    <row r="591">
      <c r="A591" s="5" t="inlineStr">
        <is>
          <t>Code</t>
        </is>
      </c>
      <c r="B591" s="5" t="inlineStr">
        <is>
          <t>Description</t>
        </is>
      </c>
      <c r="C591" s="5" t="inlineStr">
        <is>
          <t>Unit</t>
        </is>
      </c>
      <c r="D591" s="5" t="inlineStr">
        <is>
          <t>Quantity</t>
        </is>
      </c>
      <c r="E591" s="5" t="inlineStr">
        <is>
          <t>Rate (Rs.)</t>
        </is>
      </c>
      <c r="F591" s="5" t="inlineStr">
        <is>
          <t>Amount (Rs.)</t>
        </is>
      </c>
    </row>
    <row r="592">
      <c r="A592" s="13" t="inlineStr">
        <is>
          <t>9999</t>
        </is>
      </c>
      <c r="B592" s="14" t="inlineStr">
        <is>
          <t>LABOUR</t>
        </is>
      </c>
      <c r="C592" s="13" t="inlineStr">
        <is>
          <t>L.S.</t>
        </is>
      </c>
      <c r="D592" s="15" t="n">
        <v>11.7</v>
      </c>
      <c r="E592" s="16" t="n">
        <v>2</v>
      </c>
      <c r="F592" s="16">
        <f>D592*E592</f>
        <v/>
      </c>
    </row>
    <row r="593">
      <c r="A593" s="17" t="inlineStr">
        <is>
          <t>Resource Total (Material + Labour + Machinery, as printed)</t>
        </is>
      </c>
      <c r="B593" s="18" t="n"/>
      <c r="C593" s="18" t="n"/>
      <c r="D593" s="18" t="n"/>
      <c r="E593" s="18" t="n"/>
      <c r="F593" s="19">
        <f>SUM(F592:F592)</f>
        <v/>
      </c>
    </row>
    <row r="594">
      <c r="A594" s="20" t="inlineStr">
        <is>
          <t>SAY (Rs.) — final DAR rate</t>
        </is>
      </c>
      <c r="B594" s="21" t="n"/>
      <c r="C594" s="21" t="n"/>
      <c r="D594" s="21" t="n"/>
      <c r="E594" s="21" t="n"/>
      <c r="F594" s="22" t="n">
        <v>3131</v>
      </c>
    </row>
    <row r="596" ht="18" customHeight="1">
      <c r="A596" s="9" t="inlineStr">
        <is>
          <t>7.21.2</t>
        </is>
      </c>
      <c r="B596" s="10" t="inlineStr">
        <is>
          <t>Circular or polygonal pillars</t>
        </is>
      </c>
      <c r="C596" s="11" t="n"/>
      <c r="D596" s="11" t="n"/>
      <c r="E596" s="11" t="n"/>
      <c r="F596" s="11" t="n"/>
    </row>
    <row r="597">
      <c r="A597" s="12" t="inlineStr">
        <is>
          <t>Rate basis: per cudm  (source: cost for 10 cudm)</t>
        </is>
      </c>
    </row>
    <row r="598">
      <c r="A598" s="5" t="inlineStr">
        <is>
          <t>Code</t>
        </is>
      </c>
      <c r="B598" s="5" t="inlineStr">
        <is>
          <t>Description</t>
        </is>
      </c>
      <c r="C598" s="5" t="inlineStr">
        <is>
          <t>Unit</t>
        </is>
      </c>
      <c r="D598" s="5" t="inlineStr">
        <is>
          <t>Quantity</t>
        </is>
      </c>
      <c r="E598" s="5" t="inlineStr">
        <is>
          <t>Rate (Rs.)</t>
        </is>
      </c>
      <c r="F598" s="5" t="inlineStr">
        <is>
          <t>Amount (Rs.)</t>
        </is>
      </c>
    </row>
    <row r="599">
      <c r="A599" s="13" t="inlineStr">
        <is>
          <t>9999</t>
        </is>
      </c>
      <c r="B599" s="14" t="inlineStr">
        <is>
          <t>LABOUR</t>
        </is>
      </c>
      <c r="C599" s="13" t="inlineStr">
        <is>
          <t>L.S.</t>
        </is>
      </c>
      <c r="D599" s="15" t="n">
        <v>33.15</v>
      </c>
      <c r="E599" s="16" t="n">
        <v>2</v>
      </c>
      <c r="F599" s="16">
        <f>D599*E599</f>
        <v/>
      </c>
    </row>
    <row r="600">
      <c r="A600" s="17" t="inlineStr">
        <is>
          <t>Resource Total (Material + Labour + Machinery, as printed)</t>
        </is>
      </c>
      <c r="B600" s="18" t="n"/>
      <c r="C600" s="18" t="n"/>
      <c r="D600" s="18" t="n"/>
      <c r="E600" s="18" t="n"/>
      <c r="F600" s="19">
        <f>SUM(F599:F599)</f>
        <v/>
      </c>
    </row>
    <row r="601">
      <c r="A601" s="20" t="inlineStr">
        <is>
          <t>SAY (Rs.) — final DAR rate</t>
        </is>
      </c>
      <c r="B601" s="21" t="n"/>
      <c r="C601" s="21" t="n"/>
      <c r="D601" s="21" t="n"/>
      <c r="E601" s="21" t="n"/>
      <c r="F601" s="22" t="n">
        <v>8871</v>
      </c>
    </row>
    <row r="603" ht="18" customHeight="1">
      <c r="A603" s="9" t="inlineStr">
        <is>
          <t>7.22</t>
        </is>
      </c>
      <c r="B603" s="10" t="inlineStr">
        <is>
          <t>Extra for stone work ashlar sunk or moulded in cornices.</t>
        </is>
      </c>
      <c r="C603" s="11" t="n"/>
      <c r="D603" s="11" t="n"/>
      <c r="E603" s="11" t="n"/>
      <c r="F603" s="11" t="n"/>
    </row>
    <row r="604">
      <c r="A604" s="12" t="inlineStr">
        <is>
          <t>Rate basis: per nos  (source: cost for 1 nos)</t>
        </is>
      </c>
    </row>
    <row r="605">
      <c r="A605" s="5" t="inlineStr">
        <is>
          <t>Code</t>
        </is>
      </c>
      <c r="B605" s="5" t="inlineStr">
        <is>
          <t>Description</t>
        </is>
      </c>
      <c r="C605" s="5" t="inlineStr">
        <is>
          <t>Unit</t>
        </is>
      </c>
      <c r="D605" s="5" t="inlineStr">
        <is>
          <t>Quantity</t>
        </is>
      </c>
      <c r="E605" s="5" t="inlineStr">
        <is>
          <t>Rate (Rs.)</t>
        </is>
      </c>
      <c r="F605" s="5" t="inlineStr">
        <is>
          <t>Amount (Rs.)</t>
        </is>
      </c>
    </row>
    <row r="606">
      <c r="A606" s="13" t="inlineStr">
        <is>
          <t>0125</t>
        </is>
      </c>
      <c r="B606" s="14" t="inlineStr">
        <is>
          <t>Mason (for plain stone work) 2nd class)</t>
        </is>
      </c>
      <c r="C606" s="13" t="inlineStr">
        <is>
          <t>day</t>
        </is>
      </c>
      <c r="D606" s="15" t="n">
        <v>0.5</v>
      </c>
      <c r="E606" s="16" t="n">
        <v>679</v>
      </c>
      <c r="F606" s="16">
        <f>D606*E606</f>
        <v/>
      </c>
    </row>
    <row r="607">
      <c r="A607" s="13" t="inlineStr">
        <is>
          <t>0114</t>
        </is>
      </c>
      <c r="B607" s="14" t="inlineStr">
        <is>
          <t>Beldar</t>
        </is>
      </c>
      <c r="C607" s="13" t="inlineStr">
        <is>
          <t>day</t>
        </is>
      </c>
      <c r="D607" s="15" t="n">
        <v>0.75</v>
      </c>
      <c r="E607" s="16" t="n">
        <v>558</v>
      </c>
      <c r="F607" s="16">
        <f>D607*E607</f>
        <v/>
      </c>
    </row>
    <row r="608">
      <c r="A608" s="17" t="inlineStr">
        <is>
          <t>Resource Total (Material + Labour + Machinery, as printed)</t>
        </is>
      </c>
      <c r="B608" s="18" t="n"/>
      <c r="C608" s="18" t="n"/>
      <c r="D608" s="18" t="n"/>
      <c r="E608" s="18" t="n"/>
      <c r="F608" s="19">
        <f>SUM(F606:F607)</f>
        <v/>
      </c>
    </row>
    <row r="609">
      <c r="A609" s="20" t="inlineStr">
        <is>
          <t>SAY (Rs.) — final DAR rate</t>
        </is>
      </c>
      <c r="B609" s="21" t="n"/>
      <c r="C609" s="21" t="n"/>
      <c r="D609" s="21" t="n"/>
      <c r="E609" s="21" t="n"/>
      <c r="F609" s="22" t="n">
        <v>225.35</v>
      </c>
    </row>
    <row r="611" ht="18" customHeight="1">
      <c r="A611" s="9" t="inlineStr">
        <is>
          <t>7.24</t>
        </is>
      </c>
      <c r="B611" s="10" t="inlineStr">
        <is>
          <t>Extra for stone work (veneer work) curved on plan with a mean radius not exceeding 6 m.</t>
        </is>
      </c>
      <c r="C611" s="11" t="n"/>
      <c r="D611" s="11" t="n"/>
      <c r="E611" s="11" t="n"/>
      <c r="F611" s="11" t="n"/>
    </row>
    <row r="612">
      <c r="A612" s="12" t="inlineStr">
        <is>
          <t>Rate basis: per cudm  (source: cost for 10 cudm)</t>
        </is>
      </c>
    </row>
    <row r="613">
      <c r="A613" s="5" t="inlineStr">
        <is>
          <t>Code</t>
        </is>
      </c>
      <c r="B613" s="5" t="inlineStr">
        <is>
          <t>Description</t>
        </is>
      </c>
      <c r="C613" s="5" t="inlineStr">
        <is>
          <t>Unit</t>
        </is>
      </c>
      <c r="D613" s="5" t="inlineStr">
        <is>
          <t>Quantity</t>
        </is>
      </c>
      <c r="E613" s="5" t="inlineStr">
        <is>
          <t>Rate (Rs.)</t>
        </is>
      </c>
      <c r="F613" s="5" t="inlineStr">
        <is>
          <t>Amount (Rs.)</t>
        </is>
      </c>
    </row>
    <row r="614">
      <c r="A614" s="13" t="inlineStr">
        <is>
          <t>9999</t>
        </is>
      </c>
      <c r="B614" s="14" t="inlineStr">
        <is>
          <t>Labour and materials</t>
        </is>
      </c>
      <c r="C614" s="13" t="inlineStr">
        <is>
          <t>L.S.</t>
        </is>
      </c>
      <c r="D614" s="15" t="n">
        <v>8.970000000000001</v>
      </c>
      <c r="E614" s="16" t="n">
        <v>2</v>
      </c>
      <c r="F614" s="16">
        <f>D614*E614</f>
        <v/>
      </c>
    </row>
    <row r="615">
      <c r="A615" s="17" t="inlineStr">
        <is>
          <t>Resource Total (Material + Labour + Machinery, as printed)</t>
        </is>
      </c>
      <c r="B615" s="18" t="n"/>
      <c r="C615" s="18" t="n"/>
      <c r="D615" s="18" t="n"/>
      <c r="E615" s="18" t="n"/>
      <c r="F615" s="19">
        <f>SUM(F614:F614)</f>
        <v/>
      </c>
    </row>
    <row r="616">
      <c r="A616" s="20" t="inlineStr">
        <is>
          <t>SAY (Rs.) — final DAR rate</t>
        </is>
      </c>
      <c r="B616" s="21" t="n"/>
      <c r="C616" s="21" t="n"/>
      <c r="D616" s="21" t="n"/>
      <c r="E616" s="21" t="n"/>
      <c r="F616" s="22" t="n">
        <v>2400</v>
      </c>
    </row>
    <row r="618" ht="28" customHeight="1">
      <c r="A618" s="9" t="inlineStr">
        <is>
          <t>7.26</t>
        </is>
      </c>
      <c r="B618" s="10" t="inlineStr">
        <is>
          <t>Providing and fixing stone dowels 10x5x2.50 cm cut to double wedge shape as per design in cement mortar 1:2 (1 cement : 2 coarse sand), incl</t>
        </is>
      </c>
      <c r="C618" s="11" t="n"/>
      <c r="D618" s="11" t="n"/>
      <c r="E618" s="11" t="n"/>
      <c r="F618" s="11" t="n"/>
    </row>
    <row r="619">
      <c r="A619" s="12" t="inlineStr">
        <is>
          <t>Rate basis: per nos  (source: cost for 1 nos)</t>
        </is>
      </c>
    </row>
    <row r="620">
      <c r="A620" s="5" t="inlineStr">
        <is>
          <t>Code</t>
        </is>
      </c>
      <c r="B620" s="5" t="inlineStr">
        <is>
          <t>Description</t>
        </is>
      </c>
      <c r="C620" s="5" t="inlineStr">
        <is>
          <t>Unit</t>
        </is>
      </c>
      <c r="D620" s="5" t="inlineStr">
        <is>
          <t>Quantity</t>
        </is>
      </c>
      <c r="E620" s="5" t="inlineStr">
        <is>
          <t>Rate (Rs.)</t>
        </is>
      </c>
      <c r="F620" s="5" t="inlineStr">
        <is>
          <t>Amount (Rs.)</t>
        </is>
      </c>
    </row>
    <row r="621">
      <c r="A621" s="13" t="inlineStr">
        <is>
          <t>3.7</t>
        </is>
      </c>
      <c r="B621" s="14" t="inlineStr">
        <is>
          <t>Rate as per SH: 3.7</t>
        </is>
      </c>
      <c r="C621" s="13" t="inlineStr">
        <is>
          <t>cum</t>
        </is>
      </c>
      <c r="D621" s="15" t="n">
        <v>0.001</v>
      </c>
      <c r="E621" s="16" t="n">
        <v>5345.55</v>
      </c>
      <c r="F621" s="16">
        <f>D621*E621</f>
        <v/>
      </c>
    </row>
    <row r="622">
      <c r="A622" s="13" t="inlineStr">
        <is>
          <t>9999</t>
        </is>
      </c>
      <c r="B622" s="14" t="inlineStr">
        <is>
          <t>Cost of stone including carriage</t>
        </is>
      </c>
      <c r="C622" s="13" t="inlineStr">
        <is>
          <t>L.S.</t>
        </is>
      </c>
      <c r="D622" s="15" t="n">
        <v>9.1</v>
      </c>
      <c r="E622" s="16" t="n">
        <v>2</v>
      </c>
      <c r="F622" s="16">
        <f>D622*E622</f>
        <v/>
      </c>
    </row>
    <row r="623">
      <c r="A623" s="13" t="inlineStr">
        <is>
          <t>9999</t>
        </is>
      </c>
      <c r="B623" s="14" t="inlineStr">
        <is>
          <t>Labour for dressing dowel cutting chase and fixing etc.</t>
        </is>
      </c>
      <c r="C623" s="13" t="inlineStr">
        <is>
          <t>L.S.</t>
        </is>
      </c>
      <c r="D623" s="15" t="n">
        <v>5.33</v>
      </c>
      <c r="E623" s="16" t="n">
        <v>2</v>
      </c>
      <c r="F623" s="16">
        <f>D623*E623</f>
        <v/>
      </c>
    </row>
    <row r="624">
      <c r="A624" s="17" t="inlineStr">
        <is>
          <t>Resource Total (Material + Labour + Machinery, as printed)</t>
        </is>
      </c>
      <c r="B624" s="18" t="n"/>
      <c r="C624" s="18" t="n"/>
      <c r="D624" s="18" t="n"/>
      <c r="E624" s="18" t="n"/>
      <c r="F624" s="19">
        <f>SUM(F621:F623)</f>
        <v/>
      </c>
    </row>
    <row r="625">
      <c r="A625" s="20" t="inlineStr">
        <is>
          <t>SAY (Rs.) — final DAR rate</t>
        </is>
      </c>
      <c r="B625" s="21" t="n"/>
      <c r="C625" s="21" t="n"/>
      <c r="D625" s="21" t="n"/>
      <c r="E625" s="21" t="n"/>
      <c r="F625" s="22" t="n">
        <v>45.75</v>
      </c>
    </row>
    <row r="627" ht="18" customHeight="1">
      <c r="A627" s="9" t="inlineStr">
        <is>
          <t>7.28.1.1</t>
        </is>
      </c>
      <c r="B627" s="10" t="inlineStr">
        <is>
          <t>With common burnt clay F.P.S.(non modular) bricks of class designation 7.5</t>
        </is>
      </c>
      <c r="C627" s="11" t="n"/>
      <c r="D627" s="11" t="n"/>
      <c r="E627" s="11" t="n"/>
      <c r="F627" s="11" t="n"/>
    </row>
    <row r="628">
      <c r="A628" s="12" t="inlineStr">
        <is>
          <t>Rate basis: per xl  (source: cost for 2.5 xl)</t>
        </is>
      </c>
    </row>
    <row r="629">
      <c r="A629" s="5" t="inlineStr">
        <is>
          <t>Code</t>
        </is>
      </c>
      <c r="B629" s="5" t="inlineStr">
        <is>
          <t>Description</t>
        </is>
      </c>
      <c r="C629" s="5" t="inlineStr">
        <is>
          <t>Unit</t>
        </is>
      </c>
      <c r="D629" s="5" t="inlineStr">
        <is>
          <t>Quantity</t>
        </is>
      </c>
      <c r="E629" s="5" t="inlineStr">
        <is>
          <t>Rate (Rs.)</t>
        </is>
      </c>
      <c r="F629" s="5" t="inlineStr">
        <is>
          <t>Amount (Rs.)</t>
        </is>
      </c>
    </row>
    <row r="630">
      <c r="A630" s="13" t="inlineStr">
        <is>
          <t>3.12</t>
        </is>
      </c>
      <c r="B630" s="14" t="inlineStr">
        <is>
          <t>Rate as per SH: 3.12</t>
        </is>
      </c>
      <c r="C630" s="13" t="inlineStr">
        <is>
          <t>cum</t>
        </is>
      </c>
      <c r="D630" s="15" t="n">
        <v>0.008999999999999999</v>
      </c>
      <c r="E630" s="16" t="n">
        <v>5108.05</v>
      </c>
      <c r="F630" s="16">
        <f>D630*E630</f>
        <v/>
      </c>
    </row>
    <row r="631">
      <c r="A631" s="13" t="inlineStr">
        <is>
          <t>6.4.1</t>
        </is>
      </c>
      <c r="B631" s="14" t="inlineStr">
        <is>
          <t>Rate as per SH: 6.4.1</t>
        </is>
      </c>
      <c r="C631" s="13" t="inlineStr">
        <is>
          <t>cum</t>
        </is>
      </c>
      <c r="D631" s="15" t="n">
        <v>0.018</v>
      </c>
      <c r="E631" s="16" t="n">
        <v>7809.25</v>
      </c>
      <c r="F631" s="16">
        <f>D631*E631</f>
        <v/>
      </c>
    </row>
    <row r="632">
      <c r="A632" s="13" t="inlineStr">
        <is>
          <t>1164</t>
        </is>
      </c>
      <c r="B632" s="14" t="inlineStr">
        <is>
          <t>Red sand stone slab 40 mmthick (un-dressed)</t>
        </is>
      </c>
      <c r="C632" s="13" t="inlineStr">
        <is>
          <t>sqm</t>
        </is>
      </c>
      <c r="D632" s="15" t="n">
        <v>2.75</v>
      </c>
      <c r="E632" s="16" t="n">
        <v>200</v>
      </c>
      <c r="F632" s="16">
        <f>D632*E632</f>
        <v/>
      </c>
    </row>
    <row r="633">
      <c r="A633" s="13" t="inlineStr">
        <is>
          <t>2216</t>
        </is>
      </c>
      <c r="B633" s="14" t="inlineStr">
        <is>
          <t>Carriage of Stone blocks white &amp; red sand stone &amp; kota stone slab</t>
        </is>
      </c>
      <c r="C633" s="13" t="inlineStr">
        <is>
          <t>tonne</t>
        </is>
      </c>
      <c r="D633" s="15" t="n">
        <v>0.253</v>
      </c>
      <c r="E633" s="16" t="n">
        <v>92.23999999999999</v>
      </c>
      <c r="F633" s="16">
        <f>D633*E633</f>
        <v/>
      </c>
    </row>
    <row r="634">
      <c r="A634" s="13" t="inlineStr">
        <is>
          <t>0125</t>
        </is>
      </c>
      <c r="B634" s="14" t="inlineStr">
        <is>
          <t>Mason (for plain stone work) 2nd class)</t>
        </is>
      </c>
      <c r="C634" s="13" t="inlineStr">
        <is>
          <t>day</t>
        </is>
      </c>
      <c r="D634" s="15" t="n">
        <v>0.5</v>
      </c>
      <c r="E634" s="16" t="n">
        <v>679</v>
      </c>
      <c r="F634" s="16">
        <f>D634*E634</f>
        <v/>
      </c>
    </row>
    <row r="635">
      <c r="A635" s="13" t="inlineStr">
        <is>
          <t>1002</t>
        </is>
      </c>
      <c r="B635" s="14" t="inlineStr">
        <is>
          <t>Mild steel round bar 12 mm dia and below</t>
        </is>
      </c>
      <c r="C635" s="13" t="inlineStr">
        <is>
          <t>quintal</t>
        </is>
      </c>
      <c r="D635" s="15" t="n">
        <v>0.02</v>
      </c>
      <c r="E635" s="16" t="n">
        <v>4500</v>
      </c>
      <c r="F635" s="16">
        <f>D635*E635</f>
        <v/>
      </c>
    </row>
    <row r="636">
      <c r="A636" s="13" t="inlineStr">
        <is>
          <t>9999</t>
        </is>
      </c>
      <c r="B636" s="14" t="inlineStr">
        <is>
          <t>Cutting threads and cost of nuts, washers, etc.</t>
        </is>
      </c>
      <c r="C636" s="13" t="inlineStr">
        <is>
          <t>L.S.</t>
        </is>
      </c>
      <c r="D636" s="15" t="n">
        <v>67.34</v>
      </c>
      <c r="E636" s="16" t="n">
        <v>2</v>
      </c>
      <c r="F636" s="16">
        <f>D636*E636</f>
        <v/>
      </c>
    </row>
    <row r="637">
      <c r="A637" s="13" t="inlineStr">
        <is>
          <t>9999</t>
        </is>
      </c>
      <c r="B637" s="14" t="inlineStr">
        <is>
          <t>Pigment</t>
        </is>
      </c>
      <c r="C637" s="13" t="inlineStr">
        <is>
          <t>L.S.</t>
        </is>
      </c>
      <c r="D637" s="15" t="n">
        <v>6.24</v>
      </c>
      <c r="E637" s="16" t="n">
        <v>2</v>
      </c>
      <c r="F637" s="16">
        <f>D637*E637</f>
        <v/>
      </c>
    </row>
    <row r="638">
      <c r="A638" s="13" t="inlineStr">
        <is>
          <t>9999</t>
        </is>
      </c>
      <c r="B638" s="14" t="inlineStr">
        <is>
          <t>Extra cost of white cement</t>
        </is>
      </c>
      <c r="C638" s="13" t="inlineStr">
        <is>
          <t>L.S.</t>
        </is>
      </c>
      <c r="D638" s="15" t="n">
        <v>26.91</v>
      </c>
      <c r="E638" s="16" t="n">
        <v>2</v>
      </c>
      <c r="F638" s="16">
        <f>D638*E638</f>
        <v/>
      </c>
    </row>
    <row r="639">
      <c r="A639" s="13" t="inlineStr">
        <is>
          <t>0125</t>
        </is>
      </c>
      <c r="B639" s="14" t="inlineStr">
        <is>
          <t>Mason (for plain stone work) 2nd class)</t>
        </is>
      </c>
      <c r="C639" s="13" t="inlineStr">
        <is>
          <t>day</t>
        </is>
      </c>
      <c r="D639" s="15" t="n">
        <v>1</v>
      </c>
      <c r="E639" s="16" t="n">
        <v>679</v>
      </c>
      <c r="F639" s="16">
        <f>D639*E639</f>
        <v/>
      </c>
    </row>
    <row r="640">
      <c r="A640" s="13" t="inlineStr">
        <is>
          <t>0114</t>
        </is>
      </c>
      <c r="B640" s="14" t="inlineStr">
        <is>
          <t>Beldar</t>
        </is>
      </c>
      <c r="C640" s="13" t="inlineStr">
        <is>
          <t>day</t>
        </is>
      </c>
      <c r="D640" s="15" t="n">
        <v>1.5</v>
      </c>
      <c r="E640" s="16" t="n">
        <v>558</v>
      </c>
      <c r="F640" s="16">
        <f>D640*E640</f>
        <v/>
      </c>
    </row>
    <row r="641">
      <c r="A641" s="13" t="inlineStr">
        <is>
          <t>9999</t>
        </is>
      </c>
      <c r="B641" s="14" t="inlineStr">
        <is>
          <t>Scaffolding and sundries etc.</t>
        </is>
      </c>
      <c r="C641" s="13" t="inlineStr">
        <is>
          <t>L.S.</t>
        </is>
      </c>
      <c r="D641" s="15" t="n">
        <v>16.12</v>
      </c>
      <c r="E641" s="16" t="n">
        <v>2</v>
      </c>
      <c r="F641" s="16">
        <f>D641*E641</f>
        <v/>
      </c>
    </row>
    <row r="642">
      <c r="A642" s="13" t="inlineStr">
        <is>
          <t>9999</t>
        </is>
      </c>
      <c r="B642" s="14" t="inlineStr">
        <is>
          <t>Cost of Brick cover support.</t>
        </is>
      </c>
      <c r="C642" s="13" t="inlineStr">
        <is>
          <t>L.S.</t>
        </is>
      </c>
      <c r="D642" s="15" t="n">
        <v>104</v>
      </c>
      <c r="E642" s="16" t="n">
        <v>2</v>
      </c>
      <c r="F642" s="16">
        <f>D642*E642</f>
        <v/>
      </c>
    </row>
    <row r="643">
      <c r="A643" s="17" t="inlineStr">
        <is>
          <t>Resource Total (Material + Labour + Machinery, as printed)</t>
        </is>
      </c>
      <c r="B643" s="18" t="n"/>
      <c r="C643" s="18" t="n"/>
      <c r="D643" s="18" t="n"/>
      <c r="E643" s="18" t="n"/>
      <c r="F643" s="19">
        <f>SUM(F630:F642)</f>
        <v/>
      </c>
    </row>
    <row r="644">
      <c r="A644" s="20" t="inlineStr">
        <is>
          <t>SAY (Rs.) — final DAR rate</t>
        </is>
      </c>
      <c r="B644" s="21" t="n"/>
      <c r="C644" s="21" t="n"/>
      <c r="D644" s="21" t="n"/>
      <c r="E644" s="21" t="n"/>
      <c r="F644" s="22" t="n">
        <v>2081.2</v>
      </c>
    </row>
    <row r="646" ht="18" customHeight="1">
      <c r="A646" s="9" t="inlineStr">
        <is>
          <t>7.28.2.1</t>
        </is>
      </c>
      <c r="B646" s="10" t="inlineStr">
        <is>
          <t>With common burnt clay F.P.S.(non modular) bricks of class designation 7.5</t>
        </is>
      </c>
      <c r="C646" s="11" t="n"/>
      <c r="D646" s="11" t="n"/>
      <c r="E646" s="11" t="n"/>
      <c r="F646" s="11" t="n"/>
    </row>
    <row r="647">
      <c r="A647" s="12" t="inlineStr">
        <is>
          <t>Rate basis: per x1  (source: cost for 2.5 x1)</t>
        </is>
      </c>
    </row>
    <row r="648">
      <c r="A648" s="5" t="inlineStr">
        <is>
          <t>Code</t>
        </is>
      </c>
      <c r="B648" s="5" t="inlineStr">
        <is>
          <t>Description</t>
        </is>
      </c>
      <c r="C648" s="5" t="inlineStr">
        <is>
          <t>Unit</t>
        </is>
      </c>
      <c r="D648" s="5" t="inlineStr">
        <is>
          <t>Quantity</t>
        </is>
      </c>
      <c r="E648" s="5" t="inlineStr">
        <is>
          <t>Rate (Rs.)</t>
        </is>
      </c>
      <c r="F648" s="5" t="inlineStr">
        <is>
          <t>Amount (Rs.)</t>
        </is>
      </c>
    </row>
    <row r="649">
      <c r="A649" s="13" t="inlineStr">
        <is>
          <t>3.12</t>
        </is>
      </c>
      <c r="B649" s="14" t="inlineStr">
        <is>
          <t>Rate as per SH: 3.12</t>
        </is>
      </c>
      <c r="C649" s="13" t="inlineStr">
        <is>
          <t>cum</t>
        </is>
      </c>
      <c r="D649" s="15" t="n">
        <v>0.008999999999999999</v>
      </c>
      <c r="E649" s="16" t="n">
        <v>5108.05</v>
      </c>
      <c r="F649" s="16">
        <f>D649*E649</f>
        <v/>
      </c>
    </row>
    <row r="650">
      <c r="A650" s="13" t="inlineStr">
        <is>
          <t>6.4.1</t>
        </is>
      </c>
      <c r="B650" s="14" t="inlineStr">
        <is>
          <t>Rate as per SH: 6.4.1</t>
        </is>
      </c>
      <c r="C650" s="13" t="inlineStr">
        <is>
          <t>cum</t>
        </is>
      </c>
      <c r="D650" s="15" t="n">
        <v>0.018</v>
      </c>
      <c r="E650" s="16" t="n">
        <v>7809.25</v>
      </c>
      <c r="F650" s="16">
        <f>D650*E650</f>
        <v/>
      </c>
    </row>
    <row r="651">
      <c r="A651" s="13" t="inlineStr">
        <is>
          <t>1165</t>
        </is>
      </c>
      <c r="B651" s="14" t="inlineStr">
        <is>
          <t>White sand stone slab 40 mm thick (un-dressed)</t>
        </is>
      </c>
      <c r="C651" s="13" t="inlineStr">
        <is>
          <t>sqm</t>
        </is>
      </c>
      <c r="D651" s="15" t="n">
        <v>2.75</v>
      </c>
      <c r="E651" s="16" t="n">
        <v>200</v>
      </c>
      <c r="F651" s="16">
        <f>D651*E651</f>
        <v/>
      </c>
    </row>
    <row r="652">
      <c r="A652" s="13" t="inlineStr">
        <is>
          <t>2216</t>
        </is>
      </c>
      <c r="B652" s="14" t="inlineStr">
        <is>
          <t>Carriage of Stone blocks white &amp; red sand stone &amp; kota stone slab @ 2.3kg/cudm.</t>
        </is>
      </c>
      <c r="C652" s="13" t="inlineStr">
        <is>
          <t>tonne</t>
        </is>
      </c>
      <c r="D652" s="15" t="n">
        <v>0.253</v>
      </c>
      <c r="E652" s="16" t="n">
        <v>92.23999999999999</v>
      </c>
      <c r="F652" s="16">
        <f>D652*E652</f>
        <v/>
      </c>
    </row>
    <row r="653">
      <c r="A653" s="13" t="inlineStr">
        <is>
          <t>0125</t>
        </is>
      </c>
      <c r="B653" s="14" t="inlineStr">
        <is>
          <t>Mason (for plain stone work) 2nd class)</t>
        </is>
      </c>
      <c r="C653" s="13" t="inlineStr">
        <is>
          <t>day</t>
        </is>
      </c>
      <c r="D653" s="15" t="n">
        <v>0.5</v>
      </c>
      <c r="E653" s="16" t="n">
        <v>679</v>
      </c>
      <c r="F653" s="16">
        <f>D653*E653</f>
        <v/>
      </c>
    </row>
    <row r="654">
      <c r="A654" s="13" t="inlineStr">
        <is>
          <t>1002</t>
        </is>
      </c>
      <c r="B654" s="14" t="inlineStr">
        <is>
          <t>Mild steel round bar 12 mm dia and below</t>
        </is>
      </c>
      <c r="C654" s="13" t="inlineStr">
        <is>
          <t>quintal</t>
        </is>
      </c>
      <c r="D654" s="15" t="n">
        <v>0.02</v>
      </c>
      <c r="E654" s="16" t="n">
        <v>4500</v>
      </c>
      <c r="F654" s="16">
        <f>D654*E654</f>
        <v/>
      </c>
    </row>
    <row r="655">
      <c r="A655" s="13" t="inlineStr">
        <is>
          <t>9999</t>
        </is>
      </c>
      <c r="B655" s="14" t="inlineStr">
        <is>
          <t>Cutting threads and cost of nuts, washers, etc.</t>
        </is>
      </c>
      <c r="C655" s="13" t="inlineStr">
        <is>
          <t>L.S.</t>
        </is>
      </c>
      <c r="D655" s="15" t="n">
        <v>67.34</v>
      </c>
      <c r="E655" s="16" t="n">
        <v>2</v>
      </c>
      <c r="F655" s="16">
        <f>D655*E655</f>
        <v/>
      </c>
    </row>
    <row r="656">
      <c r="A656" s="13" t="inlineStr">
        <is>
          <t>9999</t>
        </is>
      </c>
      <c r="B656" s="14" t="inlineStr">
        <is>
          <t>Pigment</t>
        </is>
      </c>
      <c r="C656" s="13" t="inlineStr">
        <is>
          <t>L.S.</t>
        </is>
      </c>
      <c r="D656" s="15" t="n">
        <v>6.24</v>
      </c>
      <c r="E656" s="16" t="n">
        <v>2</v>
      </c>
      <c r="F656" s="16">
        <f>D656*E656</f>
        <v/>
      </c>
    </row>
    <row r="657">
      <c r="A657" s="13" t="inlineStr">
        <is>
          <t>9999</t>
        </is>
      </c>
      <c r="B657" s="14" t="inlineStr">
        <is>
          <t>Extra cost of white cement</t>
        </is>
      </c>
      <c r="C657" s="13" t="inlineStr">
        <is>
          <t>L.S.</t>
        </is>
      </c>
      <c r="D657" s="15" t="n">
        <v>26.91</v>
      </c>
      <c r="E657" s="16" t="n">
        <v>2</v>
      </c>
      <c r="F657" s="16">
        <f>D657*E657</f>
        <v/>
      </c>
    </row>
    <row r="658">
      <c r="A658" s="13" t="inlineStr">
        <is>
          <t>0125</t>
        </is>
      </c>
      <c r="B658" s="14" t="inlineStr">
        <is>
          <t>Mason (for plain stone work) 2nd class)</t>
        </is>
      </c>
      <c r="C658" s="13" t="inlineStr">
        <is>
          <t>day</t>
        </is>
      </c>
      <c r="D658" s="15" t="n">
        <v>1</v>
      </c>
      <c r="E658" s="16" t="n">
        <v>679</v>
      </c>
      <c r="F658" s="16">
        <f>D658*E658</f>
        <v/>
      </c>
    </row>
    <row r="659">
      <c r="A659" s="13" t="inlineStr">
        <is>
          <t>0114</t>
        </is>
      </c>
      <c r="B659" s="14" t="inlineStr">
        <is>
          <t>Beldar</t>
        </is>
      </c>
      <c r="C659" s="13" t="inlineStr">
        <is>
          <t>day</t>
        </is>
      </c>
      <c r="D659" s="15" t="n">
        <v>1.5</v>
      </c>
      <c r="E659" s="16" t="n">
        <v>558</v>
      </c>
      <c r="F659" s="16">
        <f>D659*E659</f>
        <v/>
      </c>
    </row>
    <row r="660">
      <c r="A660" s="13" t="inlineStr">
        <is>
          <t>9999</t>
        </is>
      </c>
      <c r="B660" s="14" t="inlineStr">
        <is>
          <t>Scaffolding and sundries etc.</t>
        </is>
      </c>
      <c r="C660" s="13" t="inlineStr">
        <is>
          <t>L.S.</t>
        </is>
      </c>
      <c r="D660" s="15" t="n">
        <v>16.12</v>
      </c>
      <c r="E660" s="16" t="n">
        <v>2</v>
      </c>
      <c r="F660" s="16">
        <f>D660*E660</f>
        <v/>
      </c>
    </row>
    <row r="661">
      <c r="A661" s="13" t="inlineStr">
        <is>
          <t>9999</t>
        </is>
      </c>
      <c r="B661" s="14" t="inlineStr">
        <is>
          <t>Cost for Brick cover support .</t>
        </is>
      </c>
      <c r="C661" s="13" t="inlineStr">
        <is>
          <t>L.S.</t>
        </is>
      </c>
      <c r="D661" s="15" t="n">
        <v>104</v>
      </c>
      <c r="E661" s="16" t="n">
        <v>2</v>
      </c>
      <c r="F661" s="16">
        <f>D661*E661</f>
        <v/>
      </c>
    </row>
    <row r="662">
      <c r="A662" s="17" t="inlineStr">
        <is>
          <t>Resource Total (Material + Labour + Machinery, as printed)</t>
        </is>
      </c>
      <c r="B662" s="18" t="n"/>
      <c r="C662" s="18" t="n"/>
      <c r="D662" s="18" t="n"/>
      <c r="E662" s="18" t="n"/>
      <c r="F662" s="19">
        <f>SUM(F649:F661)</f>
        <v/>
      </c>
    </row>
    <row r="663">
      <c r="A663" s="20" t="inlineStr">
        <is>
          <t>SAY (Rs.) — final DAR rate</t>
        </is>
      </c>
      <c r="B663" s="21" t="n"/>
      <c r="C663" s="21" t="n"/>
      <c r="D663" s="21" t="n"/>
      <c r="E663" s="21" t="n"/>
      <c r="F663" s="22" t="n">
        <v>2081.2</v>
      </c>
    </row>
    <row r="665" ht="18" customHeight="1">
      <c r="A665" s="9" t="inlineStr">
        <is>
          <t>7.29.1</t>
        </is>
      </c>
      <c r="B665" s="10" t="inlineStr">
        <is>
          <t>Red sand stone</t>
        </is>
      </c>
      <c r="C665" s="11" t="n"/>
      <c r="D665" s="11" t="n"/>
      <c r="E665" s="11" t="n"/>
      <c r="F665" s="11" t="n"/>
    </row>
    <row r="666">
      <c r="A666" s="12" t="inlineStr">
        <is>
          <t>Rate basis: per x0  (source: cost for 2.5 x0)</t>
        </is>
      </c>
    </row>
    <row r="667">
      <c r="A667" s="5" t="inlineStr">
        <is>
          <t>Code</t>
        </is>
      </c>
      <c r="B667" s="5" t="inlineStr">
        <is>
          <t>Description</t>
        </is>
      </c>
      <c r="C667" s="5" t="inlineStr">
        <is>
          <t>Unit</t>
        </is>
      </c>
      <c r="D667" s="5" t="inlineStr">
        <is>
          <t>Quantity</t>
        </is>
      </c>
      <c r="E667" s="5" t="inlineStr">
        <is>
          <t>Rate (Rs.)</t>
        </is>
      </c>
      <c r="F667" s="5" t="inlineStr">
        <is>
          <t>Amount (Rs.)</t>
        </is>
      </c>
    </row>
    <row r="668">
      <c r="A668" s="13" t="inlineStr">
        <is>
          <t>1164</t>
        </is>
      </c>
      <c r="B668" s="14" t="inlineStr">
        <is>
          <t>Red sand stone slab 40 mmthick (un-dressed)</t>
        </is>
      </c>
      <c r="C668" s="13" t="inlineStr">
        <is>
          <t>sqm</t>
        </is>
      </c>
      <c r="D668" s="15" t="n">
        <v>2.25</v>
      </c>
      <c r="E668" s="16" t="n">
        <v>200</v>
      </c>
      <c r="F668" s="16">
        <f>D668*E668</f>
        <v/>
      </c>
    </row>
    <row r="669">
      <c r="A669" s="13" t="inlineStr">
        <is>
          <t>2216</t>
        </is>
      </c>
      <c r="B669" s="14" t="inlineStr">
        <is>
          <t>Carriage of Stone blocks white &amp; red sand stone &amp; kota stone slab @ 2.3kg/cudm.</t>
        </is>
      </c>
      <c r="C669" s="13" t="inlineStr">
        <is>
          <t>tonne</t>
        </is>
      </c>
      <c r="D669" s="15" t="n">
        <v>0.227</v>
      </c>
      <c r="E669" s="16" t="n">
        <v>92.23999999999999</v>
      </c>
      <c r="F669" s="16">
        <f>D669*E669</f>
        <v/>
      </c>
    </row>
    <row r="670">
      <c r="A670" s="13" t="inlineStr">
        <is>
          <t>0125</t>
        </is>
      </c>
      <c r="B670" s="14" t="inlineStr">
        <is>
          <t>Mason (for plain stone work) 2nd class)</t>
        </is>
      </c>
      <c r="C670" s="13" t="inlineStr">
        <is>
          <t>day</t>
        </is>
      </c>
      <c r="D670" s="15" t="n">
        <v>0.45</v>
      </c>
      <c r="E670" s="16" t="n">
        <v>679</v>
      </c>
      <c r="F670" s="16">
        <f>D670*E670</f>
        <v/>
      </c>
    </row>
    <row r="671">
      <c r="A671" s="13" t="inlineStr">
        <is>
          <t>9999</t>
        </is>
      </c>
      <c r="B671" s="14" t="inlineStr">
        <is>
          <t>Mortar for pointing 1:2</t>
        </is>
      </c>
      <c r="C671" s="13" t="inlineStr">
        <is>
          <t>L.S.</t>
        </is>
      </c>
      <c r="D671" s="15" t="n">
        <v>53.82</v>
      </c>
      <c r="E671" s="16" t="n">
        <v>2</v>
      </c>
      <c r="F671" s="16">
        <f>D671*E671</f>
        <v/>
      </c>
    </row>
    <row r="672">
      <c r="A672" s="13" t="inlineStr">
        <is>
          <t>9999</t>
        </is>
      </c>
      <c r="B672" s="14" t="inlineStr">
        <is>
          <t>Pigment</t>
        </is>
      </c>
      <c r="C672" s="13" t="inlineStr">
        <is>
          <t>L.S.</t>
        </is>
      </c>
      <c r="D672" s="15" t="n">
        <v>6.24</v>
      </c>
      <c r="E672" s="16" t="n">
        <v>2</v>
      </c>
      <c r="F672" s="16">
        <f>D672*E672</f>
        <v/>
      </c>
    </row>
    <row r="673">
      <c r="A673" s="13" t="inlineStr">
        <is>
          <t>9999</t>
        </is>
      </c>
      <c r="B673" s="14" t="inlineStr">
        <is>
          <t>Extra cost of white cement</t>
        </is>
      </c>
      <c r="C673" s="13" t="inlineStr">
        <is>
          <t>L.S.</t>
        </is>
      </c>
      <c r="D673" s="15" t="n">
        <v>26.91</v>
      </c>
      <c r="E673" s="16" t="n">
        <v>2</v>
      </c>
      <c r="F673" s="16">
        <f>D673*E673</f>
        <v/>
      </c>
    </row>
    <row r="674">
      <c r="A674" s="13" t="inlineStr">
        <is>
          <t>0125</t>
        </is>
      </c>
      <c r="B674" s="14" t="inlineStr">
        <is>
          <t>Mason (for plain stone work) 2nd class)</t>
        </is>
      </c>
      <c r="C674" s="13" t="inlineStr">
        <is>
          <t>day</t>
        </is>
      </c>
      <c r="D674" s="15" t="n">
        <v>0.6</v>
      </c>
      <c r="E674" s="16" t="n">
        <v>679</v>
      </c>
      <c r="F674" s="16">
        <f>D674*E674</f>
        <v/>
      </c>
    </row>
    <row r="675">
      <c r="A675" s="13" t="inlineStr">
        <is>
          <t>0114</t>
        </is>
      </c>
      <c r="B675" s="14" t="inlineStr">
        <is>
          <t>Beldar</t>
        </is>
      </c>
      <c r="C675" s="13" t="inlineStr">
        <is>
          <t>day</t>
        </is>
      </c>
      <c r="D675" s="15" t="n">
        <v>0.8</v>
      </c>
      <c r="E675" s="16" t="n">
        <v>558</v>
      </c>
      <c r="F675" s="16">
        <f>D675*E675</f>
        <v/>
      </c>
    </row>
    <row r="676">
      <c r="A676" s="13" t="inlineStr">
        <is>
          <t>9999</t>
        </is>
      </c>
      <c r="B676" s="14" t="inlineStr">
        <is>
          <t>Scaffolding and sundries etc.</t>
        </is>
      </c>
      <c r="C676" s="13" t="inlineStr">
        <is>
          <t>L.S.</t>
        </is>
      </c>
      <c r="D676" s="15" t="n">
        <v>13.52</v>
      </c>
      <c r="E676" s="16" t="n">
        <v>2</v>
      </c>
      <c r="F676" s="16">
        <f>D676*E676</f>
        <v/>
      </c>
    </row>
    <row r="677">
      <c r="A677" s="17" t="inlineStr">
        <is>
          <t>Resource Total (Material + Labour + Machinery, as printed)</t>
        </is>
      </c>
      <c r="B677" s="18" t="n"/>
      <c r="C677" s="18" t="n"/>
      <c r="D677" s="18" t="n"/>
      <c r="E677" s="18" t="n"/>
      <c r="F677" s="19">
        <f>SUM(F668:F676)</f>
        <v/>
      </c>
    </row>
    <row r="678">
      <c r="A678" s="20" t="inlineStr">
        <is>
          <t>SAY (Rs.) — final DAR rate</t>
        </is>
      </c>
      <c r="B678" s="21" t="n"/>
      <c r="C678" s="21" t="n"/>
      <c r="D678" s="21" t="n"/>
      <c r="E678" s="21" t="n"/>
      <c r="F678" s="22" t="n">
        <v>1306.75</v>
      </c>
    </row>
    <row r="680" ht="18" customHeight="1">
      <c r="A680" s="9" t="inlineStr">
        <is>
          <t>7.29.2</t>
        </is>
      </c>
      <c r="B680" s="10" t="inlineStr">
        <is>
          <t>White sand stone</t>
        </is>
      </c>
      <c r="C680" s="11" t="n"/>
      <c r="D680" s="11" t="n"/>
      <c r="E680" s="11" t="n"/>
      <c r="F680" s="11" t="n"/>
    </row>
    <row r="681">
      <c r="A681" s="12" t="inlineStr">
        <is>
          <t>Rate basis: per x0  (source: cost for 2.5 x0)</t>
        </is>
      </c>
    </row>
    <row r="682">
      <c r="A682" s="5" t="inlineStr">
        <is>
          <t>Code</t>
        </is>
      </c>
      <c r="B682" s="5" t="inlineStr">
        <is>
          <t>Description</t>
        </is>
      </c>
      <c r="C682" s="5" t="inlineStr">
        <is>
          <t>Unit</t>
        </is>
      </c>
      <c r="D682" s="5" t="inlineStr">
        <is>
          <t>Quantity</t>
        </is>
      </c>
      <c r="E682" s="5" t="inlineStr">
        <is>
          <t>Rate (Rs.)</t>
        </is>
      </c>
      <c r="F682" s="5" t="inlineStr">
        <is>
          <t>Amount (Rs.)</t>
        </is>
      </c>
    </row>
    <row r="683">
      <c r="A683" s="13" t="inlineStr">
        <is>
          <t>1165</t>
        </is>
      </c>
      <c r="B683" s="14" t="inlineStr">
        <is>
          <t>White sand stone slab 40 mm thick (un-dressed)</t>
        </is>
      </c>
      <c r="C683" s="13" t="inlineStr">
        <is>
          <t>sqm</t>
        </is>
      </c>
      <c r="D683" s="15" t="n">
        <v>2.25</v>
      </c>
      <c r="E683" s="16" t="n">
        <v>200</v>
      </c>
      <c r="F683" s="16">
        <f>D683*E683</f>
        <v/>
      </c>
    </row>
    <row r="684">
      <c r="A684" s="13" t="inlineStr">
        <is>
          <t>2216</t>
        </is>
      </c>
      <c r="B684" s="14" t="inlineStr">
        <is>
          <t>Carriage of Stone blocks white &amp; red sand stone &amp; kota stone slab @ 2.3kg/cudm.</t>
        </is>
      </c>
      <c r="C684" s="13" t="inlineStr">
        <is>
          <t>tonne</t>
        </is>
      </c>
      <c r="D684" s="15" t="n">
        <v>0.227</v>
      </c>
      <c r="E684" s="16" t="n">
        <v>92.23999999999999</v>
      </c>
      <c r="F684" s="16">
        <f>D684*E684</f>
        <v/>
      </c>
    </row>
    <row r="685">
      <c r="A685" s="13" t="inlineStr">
        <is>
          <t>0125</t>
        </is>
      </c>
      <c r="B685" s="14" t="inlineStr">
        <is>
          <t>Mason (for plain stone work) 2nd class)</t>
        </is>
      </c>
      <c r="C685" s="13" t="inlineStr">
        <is>
          <t>day</t>
        </is>
      </c>
      <c r="D685" s="15" t="n">
        <v>0.45</v>
      </c>
      <c r="E685" s="16" t="n">
        <v>679</v>
      </c>
      <c r="F685" s="16">
        <f>D685*E685</f>
        <v/>
      </c>
    </row>
    <row r="686">
      <c r="A686" s="13" t="inlineStr">
        <is>
          <t>9999</t>
        </is>
      </c>
      <c r="B686" s="14" t="inlineStr">
        <is>
          <t>Mortar for pointing 1:2</t>
        </is>
      </c>
      <c r="C686" s="13" t="inlineStr">
        <is>
          <t>L.S.</t>
        </is>
      </c>
      <c r="D686" s="15" t="n">
        <v>53.82</v>
      </c>
      <c r="E686" s="16" t="n">
        <v>2</v>
      </c>
      <c r="F686" s="16">
        <f>D686*E686</f>
        <v/>
      </c>
    </row>
    <row r="687">
      <c r="A687" s="13" t="inlineStr">
        <is>
          <t>9999</t>
        </is>
      </c>
      <c r="B687" s="14" t="inlineStr">
        <is>
          <t>Pigment</t>
        </is>
      </c>
      <c r="C687" s="13" t="inlineStr">
        <is>
          <t>L.S.</t>
        </is>
      </c>
      <c r="D687" s="15" t="n">
        <v>6.24</v>
      </c>
      <c r="E687" s="16" t="n">
        <v>2</v>
      </c>
      <c r="F687" s="16">
        <f>D687*E687</f>
        <v/>
      </c>
    </row>
    <row r="688">
      <c r="A688" s="13" t="inlineStr">
        <is>
          <t>9999</t>
        </is>
      </c>
      <c r="B688" s="14" t="inlineStr">
        <is>
          <t>Extra cost of white cement</t>
        </is>
      </c>
      <c r="C688" s="13" t="inlineStr">
        <is>
          <t>L.S.</t>
        </is>
      </c>
      <c r="D688" s="15" t="n">
        <v>26.91</v>
      </c>
      <c r="E688" s="16" t="n">
        <v>2</v>
      </c>
      <c r="F688" s="16">
        <f>D688*E688</f>
        <v/>
      </c>
    </row>
    <row r="689">
      <c r="A689" s="13" t="inlineStr">
        <is>
          <t>0125</t>
        </is>
      </c>
      <c r="B689" s="14" t="inlineStr">
        <is>
          <t>Mason (for plain stone work) 2nd class)</t>
        </is>
      </c>
      <c r="C689" s="13" t="inlineStr">
        <is>
          <t>day</t>
        </is>
      </c>
      <c r="D689" s="15" t="n">
        <v>0.6</v>
      </c>
      <c r="E689" s="16" t="n">
        <v>679</v>
      </c>
      <c r="F689" s="16">
        <f>D689*E689</f>
        <v/>
      </c>
    </row>
    <row r="690">
      <c r="A690" s="13" t="inlineStr">
        <is>
          <t>0114</t>
        </is>
      </c>
      <c r="B690" s="14" t="inlineStr">
        <is>
          <t>Beldar</t>
        </is>
      </c>
      <c r="C690" s="13" t="inlineStr">
        <is>
          <t>day</t>
        </is>
      </c>
      <c r="D690" s="15" t="n">
        <v>0.8</v>
      </c>
      <c r="E690" s="16" t="n">
        <v>558</v>
      </c>
      <c r="F690" s="16">
        <f>D690*E690</f>
        <v/>
      </c>
    </row>
    <row r="691">
      <c r="A691" s="13" t="inlineStr">
        <is>
          <t>9999</t>
        </is>
      </c>
      <c r="B691" s="14" t="inlineStr">
        <is>
          <t>Scaffolding and sundries etc.</t>
        </is>
      </c>
      <c r="C691" s="13" t="inlineStr">
        <is>
          <t>L.S.</t>
        </is>
      </c>
      <c r="D691" s="15" t="n">
        <v>13.52</v>
      </c>
      <c r="E691" s="16" t="n">
        <v>2</v>
      </c>
      <c r="F691" s="16">
        <f>D691*E691</f>
        <v/>
      </c>
    </row>
    <row r="692">
      <c r="A692" s="17" t="inlineStr">
        <is>
          <t>Resource Total (Material + Labour + Machinery, as printed)</t>
        </is>
      </c>
      <c r="B692" s="18" t="n"/>
      <c r="C692" s="18" t="n"/>
      <c r="D692" s="18" t="n"/>
      <c r="E692" s="18" t="n"/>
      <c r="F692" s="19">
        <f>SUM(F683:F691)</f>
        <v/>
      </c>
    </row>
    <row r="693">
      <c r="A693" s="20" t="inlineStr">
        <is>
          <t>SAY (Rs.) — final DAR rate</t>
        </is>
      </c>
      <c r="B693" s="21" t="n"/>
      <c r="C693" s="21" t="n"/>
      <c r="D693" s="21" t="n"/>
      <c r="E693" s="21" t="n"/>
      <c r="F693" s="22" t="n">
        <v>1306.75</v>
      </c>
    </row>
    <row r="695" ht="28" customHeight="1">
      <c r="A695" s="9" t="inlineStr">
        <is>
          <t>7.30</t>
        </is>
      </c>
      <c r="B695" s="10" t="inlineStr">
        <is>
          <t>30 mm red sand stone sun-shade (chisel-dressed) supported on red sand stone brackets, fixed in walls with cement mortar 1:4 (1 cement : 4 co</t>
        </is>
      </c>
      <c r="C695" s="11" t="n"/>
      <c r="D695" s="11" t="n"/>
      <c r="E695" s="11" t="n"/>
      <c r="F695" s="11" t="n"/>
    </row>
    <row r="696">
      <c r="A696" s="12" t="inlineStr">
        <is>
          <t>Rate basis: per sqm  (source: cost for 1.12 sqm)</t>
        </is>
      </c>
    </row>
    <row r="697">
      <c r="A697" s="5" t="inlineStr">
        <is>
          <t>Code</t>
        </is>
      </c>
      <c r="B697" s="5" t="inlineStr">
        <is>
          <t>Description</t>
        </is>
      </c>
      <c r="C697" s="5" t="inlineStr">
        <is>
          <t>Unit</t>
        </is>
      </c>
      <c r="D697" s="5" t="inlineStr">
        <is>
          <t>Quantity</t>
        </is>
      </c>
      <c r="E697" s="5" t="inlineStr">
        <is>
          <t>Rate (Rs.)</t>
        </is>
      </c>
      <c r="F697" s="5" t="inlineStr">
        <is>
          <t>Amount (Rs.)</t>
        </is>
      </c>
    </row>
    <row r="698">
      <c r="A698" s="13" t="inlineStr">
        <is>
          <t>1166</t>
        </is>
      </c>
      <c r="B698" s="14" t="inlineStr">
        <is>
          <t>Red sand stone slab 30 mmthick (un-dressed)</t>
        </is>
      </c>
      <c r="C698" s="13" t="inlineStr">
        <is>
          <t>sqm</t>
        </is>
      </c>
      <c r="D698" s="15" t="n">
        <v>2</v>
      </c>
      <c r="E698" s="16" t="n">
        <v>200</v>
      </c>
      <c r="F698" s="16">
        <f>D698*E698</f>
        <v/>
      </c>
    </row>
    <row r="699">
      <c r="A699" s="13" t="inlineStr">
        <is>
          <t>2216</t>
        </is>
      </c>
      <c r="B699" s="14" t="inlineStr">
        <is>
          <t>Carriage of Stone blocks white &amp; red sand stone &amp; kota stone slab</t>
        </is>
      </c>
      <c r="C699" s="13" t="inlineStr">
        <is>
          <t>tonne</t>
        </is>
      </c>
      <c r="D699" s="15" t="n">
        <v>0.14</v>
      </c>
      <c r="E699" s="16" t="n">
        <v>92.23999999999999</v>
      </c>
      <c r="F699" s="16">
        <f>D699*E699</f>
        <v/>
      </c>
    </row>
    <row r="700">
      <c r="A700" s="13" t="inlineStr">
        <is>
          <t>9999</t>
        </is>
      </c>
      <c r="B700" s="14" t="inlineStr">
        <is>
          <t>Cement mortar 1 :4</t>
        </is>
      </c>
      <c r="C700" s="13" t="inlineStr">
        <is>
          <t>L.S.</t>
        </is>
      </c>
      <c r="D700" s="15" t="n">
        <v>13.52</v>
      </c>
      <c r="E700" s="16" t="n">
        <v>2</v>
      </c>
      <c r="F700" s="16">
        <f>D700*E700</f>
        <v/>
      </c>
    </row>
    <row r="701">
      <c r="A701" s="13" t="inlineStr">
        <is>
          <t>0125</t>
        </is>
      </c>
      <c r="B701" s="14" t="inlineStr">
        <is>
          <t>Mason (for plain stone work) 2nd class)</t>
        </is>
      </c>
      <c r="C701" s="13" t="inlineStr">
        <is>
          <t>day</t>
        </is>
      </c>
      <c r="D701" s="15" t="n">
        <v>0.86</v>
      </c>
      <c r="E701" s="16" t="n">
        <v>679</v>
      </c>
      <c r="F701" s="16">
        <f>D701*E701</f>
        <v/>
      </c>
    </row>
    <row r="702">
      <c r="A702" s="13" t="inlineStr">
        <is>
          <t>0114</t>
        </is>
      </c>
      <c r="B702" s="14" t="inlineStr">
        <is>
          <t>Beldar</t>
        </is>
      </c>
      <c r="C702" s="13" t="inlineStr">
        <is>
          <t>day</t>
        </is>
      </c>
      <c r="D702" s="15" t="n">
        <v>0.5</v>
      </c>
      <c r="E702" s="16" t="n">
        <v>558</v>
      </c>
      <c r="F702" s="16">
        <f>D702*E702</f>
        <v/>
      </c>
    </row>
    <row r="703">
      <c r="A703" s="17" t="inlineStr">
        <is>
          <t>Resource Total (Material + Labour + Machinery, as printed)</t>
        </is>
      </c>
      <c r="B703" s="18" t="n"/>
      <c r="C703" s="18" t="n"/>
      <c r="D703" s="18" t="n"/>
      <c r="E703" s="18" t="n"/>
      <c r="F703" s="19">
        <f>SUM(F698:F702)</f>
        <v/>
      </c>
    </row>
    <row r="704">
      <c r="A704" s="20" t="inlineStr">
        <is>
          <t>SAY (Rs.) — final DAR rate</t>
        </is>
      </c>
      <c r="B704" s="21" t="n"/>
      <c r="C704" s="21" t="n"/>
      <c r="D704" s="21" t="n"/>
      <c r="E704" s="21" t="n"/>
      <c r="F704" s="22" t="n">
        <v>1556.4</v>
      </c>
    </row>
    <row r="706" ht="28" customHeight="1">
      <c r="A706" s="9" t="inlineStr">
        <is>
          <t>7.31</t>
        </is>
      </c>
      <c r="B706" s="10" t="inlineStr">
        <is>
          <t>Providing and fixing red sand stone brackets 55x22.5x45 cm sunk and moulded including providing and fixing with 4 Nos gun metal cramp 25x6 m</t>
        </is>
      </c>
      <c r="C706" s="11" t="n"/>
      <c r="D706" s="11" t="n"/>
      <c r="E706" s="11" t="n"/>
      <c r="F706" s="11" t="n"/>
    </row>
    <row r="707">
      <c r="A707" s="12" t="inlineStr">
        <is>
          <t>Rate basis: per bracket  (source: cost for 1 bracket)</t>
        </is>
      </c>
    </row>
    <row r="708">
      <c r="A708" s="5" t="inlineStr">
        <is>
          <t>Code</t>
        </is>
      </c>
      <c r="B708" s="5" t="inlineStr">
        <is>
          <t>Description</t>
        </is>
      </c>
      <c r="C708" s="5" t="inlineStr">
        <is>
          <t>Unit</t>
        </is>
      </c>
      <c r="D708" s="5" t="inlineStr">
        <is>
          <t>Quantity</t>
        </is>
      </c>
      <c r="E708" s="5" t="inlineStr">
        <is>
          <t>Rate (Rs.)</t>
        </is>
      </c>
      <c r="F708" s="5" t="inlineStr">
        <is>
          <t>Amount (Rs.)</t>
        </is>
      </c>
    </row>
    <row r="709">
      <c r="A709" s="13" t="inlineStr">
        <is>
          <t>2216</t>
        </is>
      </c>
      <c r="B709" s="14" t="inlineStr">
        <is>
          <t>Carriage of Stone blocks white &amp; red sand stone &amp; kota stone slab @ 2.3kg/ cudm.</t>
        </is>
      </c>
      <c r="C709" s="13" t="inlineStr">
        <is>
          <t>tonne</t>
        </is>
      </c>
      <c r="D709" s="15" t="n">
        <v>0.14</v>
      </c>
      <c r="E709" s="16" t="n">
        <v>92.23999999999999</v>
      </c>
      <c r="F709" s="16">
        <f>D709*E709</f>
        <v/>
      </c>
    </row>
    <row r="710">
      <c r="A710" s="13" t="inlineStr">
        <is>
          <t>0125</t>
        </is>
      </c>
      <c r="B710" s="14" t="inlineStr">
        <is>
          <t>Mason (for plain stone work) 2nd class)</t>
        </is>
      </c>
      <c r="C710" s="13" t="inlineStr">
        <is>
          <t>day</t>
        </is>
      </c>
      <c r="D710" s="15" t="n">
        <v>1.7926</v>
      </c>
      <c r="E710" s="16" t="n">
        <v>679</v>
      </c>
      <c r="F710" s="16">
        <f>D710*E710</f>
        <v/>
      </c>
    </row>
    <row r="711">
      <c r="A711" s="13" t="inlineStr">
        <is>
          <t>0102</t>
        </is>
      </c>
      <c r="B711" s="14" t="inlineStr">
        <is>
          <t>Blacksmith 1st class</t>
        </is>
      </c>
      <c r="C711" s="13" t="inlineStr">
        <is>
          <t>day</t>
        </is>
      </c>
      <c r="D711" s="15" t="n">
        <v>0.037</v>
      </c>
      <c r="E711" s="16" t="n">
        <v>738</v>
      </c>
      <c r="F711" s="16">
        <f>D711*E711</f>
        <v/>
      </c>
    </row>
    <row r="712">
      <c r="A712" s="13" t="inlineStr">
        <is>
          <t>0114</t>
        </is>
      </c>
      <c r="B712" s="14" t="inlineStr">
        <is>
          <t>Beldar</t>
        </is>
      </c>
      <c r="C712" s="13" t="inlineStr">
        <is>
          <t>day</t>
        </is>
      </c>
      <c r="D712" s="15" t="n">
        <v>0.271</v>
      </c>
      <c r="E712" s="16" t="n">
        <v>558</v>
      </c>
      <c r="F712" s="16">
        <f>D712*E712</f>
        <v/>
      </c>
    </row>
    <row r="713">
      <c r="A713" s="13" t="inlineStr">
        <is>
          <t>0115</t>
        </is>
      </c>
      <c r="B713" s="14" t="inlineStr">
        <is>
          <t>Coolie</t>
        </is>
      </c>
      <c r="C713" s="13" t="inlineStr">
        <is>
          <t>day</t>
        </is>
      </c>
      <c r="D713" s="15" t="n">
        <v>0.1355</v>
      </c>
      <c r="E713" s="16" t="n">
        <v>558</v>
      </c>
      <c r="F713" s="16">
        <f>D713*E713</f>
        <v/>
      </c>
    </row>
    <row r="714">
      <c r="A714" s="13" t="inlineStr">
        <is>
          <t>0100</t>
        </is>
      </c>
      <c r="B714" s="14" t="inlineStr">
        <is>
          <t>Bandhani</t>
        </is>
      </c>
      <c r="C714" s="13" t="inlineStr">
        <is>
          <t>day</t>
        </is>
      </c>
      <c r="D714" s="15" t="n">
        <v>0.271</v>
      </c>
      <c r="E714" s="16" t="n">
        <v>617</v>
      </c>
      <c r="F714" s="16">
        <f>D714*E714</f>
        <v/>
      </c>
    </row>
    <row r="715">
      <c r="A715" s="13" t="inlineStr">
        <is>
          <t>0373</t>
        </is>
      </c>
      <c r="B715" s="14" t="inlineStr">
        <is>
          <t>Cramp Gun metal 25x6x300 mm</t>
        </is>
      </c>
      <c r="C715" s="13" t="inlineStr">
        <is>
          <t>each</t>
        </is>
      </c>
      <c r="D715" s="15" t="n">
        <v>4</v>
      </c>
      <c r="E715" s="16" t="n">
        <v>80</v>
      </c>
      <c r="F715" s="16">
        <f>D715*E715</f>
        <v/>
      </c>
    </row>
    <row r="716">
      <c r="A716" s="13" t="inlineStr">
        <is>
          <t>0125</t>
        </is>
      </c>
      <c r="B716" s="14" t="inlineStr">
        <is>
          <t>Mason (for plain stone work) 2nd class)</t>
        </is>
      </c>
      <c r="C716" s="13" t="inlineStr">
        <is>
          <t>day</t>
        </is>
      </c>
      <c r="D716" s="15" t="n">
        <v>0.2464</v>
      </c>
      <c r="E716" s="16" t="n">
        <v>679</v>
      </c>
      <c r="F716" s="16">
        <f>D716*E716</f>
        <v/>
      </c>
    </row>
    <row r="717">
      <c r="A717" s="13" t="inlineStr">
        <is>
          <t>0102</t>
        </is>
      </c>
      <c r="B717" s="14" t="inlineStr">
        <is>
          <t>Blacksmith 1st class</t>
        </is>
      </c>
      <c r="C717" s="13" t="inlineStr">
        <is>
          <t>day</t>
        </is>
      </c>
      <c r="D717" s="15" t="n">
        <v>0.0336</v>
      </c>
      <c r="E717" s="16" t="n">
        <v>738</v>
      </c>
      <c r="F717" s="16">
        <f>D717*E717</f>
        <v/>
      </c>
    </row>
    <row r="718">
      <c r="A718" s="13" t="inlineStr">
        <is>
          <t>0114</t>
        </is>
      </c>
      <c r="B718" s="14" t="inlineStr">
        <is>
          <t>Beldar</t>
        </is>
      </c>
      <c r="C718" s="13" t="inlineStr">
        <is>
          <t>day</t>
        </is>
      </c>
      <c r="D718" s="15" t="n">
        <v>0.1232</v>
      </c>
      <c r="E718" s="16" t="n">
        <v>558</v>
      </c>
      <c r="F718" s="16">
        <f>D718*E718</f>
        <v/>
      </c>
    </row>
    <row r="719">
      <c r="A719" s="13" t="inlineStr">
        <is>
          <t>0115</t>
        </is>
      </c>
      <c r="B719" s="14" t="inlineStr">
        <is>
          <t>Coolie</t>
        </is>
      </c>
      <c r="C719" s="13" t="inlineStr">
        <is>
          <t>day</t>
        </is>
      </c>
      <c r="D719" s="15" t="n">
        <v>0.1232</v>
      </c>
      <c r="E719" s="16" t="n">
        <v>558</v>
      </c>
      <c r="F719" s="16">
        <f>D719*E719</f>
        <v/>
      </c>
    </row>
    <row r="720">
      <c r="A720" s="13" t="inlineStr">
        <is>
          <t>0100</t>
        </is>
      </c>
      <c r="B720" s="14" t="inlineStr">
        <is>
          <t>Bandhani</t>
        </is>
      </c>
      <c r="C720" s="13" t="inlineStr">
        <is>
          <t>day</t>
        </is>
      </c>
      <c r="D720" s="15" t="n">
        <v>0.1232</v>
      </c>
      <c r="E720" s="16" t="n">
        <v>617</v>
      </c>
      <c r="F720" s="16">
        <f>D720*E720</f>
        <v/>
      </c>
    </row>
    <row r="721">
      <c r="A721" s="13" t="inlineStr">
        <is>
          <t>0101</t>
        </is>
      </c>
      <c r="B721" s="14" t="inlineStr">
        <is>
          <t>Bhisti</t>
        </is>
      </c>
      <c r="C721" s="13" t="inlineStr">
        <is>
          <t>day</t>
        </is>
      </c>
      <c r="D721" s="15" t="n">
        <v>0.1232</v>
      </c>
      <c r="E721" s="16" t="n">
        <v>617</v>
      </c>
      <c r="F721" s="16">
        <f>D721*E721</f>
        <v/>
      </c>
    </row>
    <row r="722">
      <c r="A722" s="13" t="inlineStr">
        <is>
          <t>9999</t>
        </is>
      </c>
      <c r="B722" s="14" t="inlineStr">
        <is>
          <t>Scaffolding</t>
        </is>
      </c>
      <c r="C722" s="13" t="inlineStr">
        <is>
          <t>L.S.</t>
        </is>
      </c>
      <c r="D722" s="15" t="n">
        <v>15.29</v>
      </c>
      <c r="E722" s="16" t="n">
        <v>2</v>
      </c>
      <c r="F722" s="16">
        <f>D722*E722</f>
        <v/>
      </c>
    </row>
    <row r="723">
      <c r="A723" s="13" t="inlineStr">
        <is>
          <t>9999</t>
        </is>
      </c>
      <c r="B723" s="14" t="inlineStr">
        <is>
          <t>Mortar for laying and pointing</t>
        </is>
      </c>
      <c r="C723" s="13" t="inlineStr">
        <is>
          <t>L.S.</t>
        </is>
      </c>
      <c r="D723" s="15" t="n">
        <v>45.14</v>
      </c>
      <c r="E723" s="16" t="n">
        <v>2</v>
      </c>
      <c r="F723" s="16">
        <f>D723*E723</f>
        <v/>
      </c>
    </row>
    <row r="724">
      <c r="A724" s="13" t="inlineStr">
        <is>
          <t>0126</t>
        </is>
      </c>
      <c r="B724" s="14" t="inlineStr">
        <is>
          <t>Mason (for ornamental stone work) 1st class</t>
        </is>
      </c>
      <c r="C724" s="13" t="inlineStr">
        <is>
          <t>day</t>
        </is>
      </c>
      <c r="D724" s="15" t="n">
        <v>0.95</v>
      </c>
      <c r="E724" s="16" t="n">
        <v>738</v>
      </c>
      <c r="F724" s="16">
        <f>D724*E724</f>
        <v/>
      </c>
    </row>
    <row r="725">
      <c r="A725" s="17" t="inlineStr">
        <is>
          <t>Resource Total (Material + Labour + Machinery, as printed)</t>
        </is>
      </c>
      <c r="B725" s="18" t="n"/>
      <c r="C725" s="18" t="n"/>
      <c r="D725" s="18" t="n"/>
      <c r="E725" s="18" t="n"/>
      <c r="F725" s="19">
        <f>SUM(F709:F724)</f>
        <v/>
      </c>
    </row>
    <row r="726">
      <c r="A726" s="20" t="inlineStr">
        <is>
          <t>SAY (Rs.) — final DAR rate</t>
        </is>
      </c>
      <c r="B726" s="21" t="n"/>
      <c r="C726" s="21" t="n"/>
      <c r="D726" s="21" t="n"/>
      <c r="E726" s="21" t="n"/>
      <c r="F726" s="22" t="n">
        <v>5032.85</v>
      </c>
    </row>
    <row r="728" ht="18" customHeight="1">
      <c r="A728" s="9" t="inlineStr">
        <is>
          <t>7.32.1</t>
        </is>
      </c>
      <c r="B728" s="10" t="inlineStr">
        <is>
          <t>Red sand stone</t>
        </is>
      </c>
      <c r="C728" s="11" t="n"/>
      <c r="D728" s="11" t="n"/>
      <c r="E728" s="11" t="n"/>
      <c r="F728" s="11" t="n"/>
    </row>
    <row r="729">
      <c r="A729" s="12" t="inlineStr">
        <is>
          <t>Rate basis: per cudm  (source: cost for 6.75 cudm)</t>
        </is>
      </c>
    </row>
    <row r="730">
      <c r="A730" s="5" t="inlineStr">
        <is>
          <t>Code</t>
        </is>
      </c>
      <c r="B730" s="5" t="inlineStr">
        <is>
          <t>Description</t>
        </is>
      </c>
      <c r="C730" s="5" t="inlineStr">
        <is>
          <t>Unit</t>
        </is>
      </c>
      <c r="D730" s="5" t="inlineStr">
        <is>
          <t>Quantity</t>
        </is>
      </c>
      <c r="E730" s="5" t="inlineStr">
        <is>
          <t>Rate (Rs.)</t>
        </is>
      </c>
      <c r="F730" s="5" t="inlineStr">
        <is>
          <t>Amount (Rs.)</t>
        </is>
      </c>
    </row>
    <row r="731">
      <c r="A731" s="13" t="inlineStr">
        <is>
          <t>7.12.1.1</t>
        </is>
      </c>
      <c r="B731" s="14" t="inlineStr">
        <is>
          <t>Rate as per SH: 7.12.1.1</t>
        </is>
      </c>
      <c r="C731" s="13" t="inlineStr">
        <is>
          <t>cum</t>
        </is>
      </c>
      <c r="D731" s="15" t="n">
        <v>0.00675</v>
      </c>
      <c r="E731" s="16" t="n">
        <v>47132</v>
      </c>
      <c r="F731" s="16">
        <f>D731*E731</f>
        <v/>
      </c>
    </row>
    <row r="732">
      <c r="A732" s="13" t="inlineStr">
        <is>
          <t>9999</t>
        </is>
      </c>
      <c r="B732" s="14" t="inlineStr">
        <is>
          <t>Extra for using white cement</t>
        </is>
      </c>
      <c r="C732" s="13" t="inlineStr">
        <is>
          <t>L.S.</t>
        </is>
      </c>
      <c r="D732" s="15" t="n">
        <v>5.33</v>
      </c>
      <c r="E732" s="16" t="n">
        <v>2</v>
      </c>
      <c r="F732" s="16">
        <f>D732*E732</f>
        <v/>
      </c>
    </row>
    <row r="733">
      <c r="A733" s="13" t="inlineStr">
        <is>
          <t>0125</t>
        </is>
      </c>
      <c r="B733" s="14" t="inlineStr">
        <is>
          <t>Mason (for plain stone work) 2nd class)</t>
        </is>
      </c>
      <c r="C733" s="13" t="inlineStr">
        <is>
          <t>day</t>
        </is>
      </c>
      <c r="D733" s="15" t="n">
        <v>0.07000000000000001</v>
      </c>
      <c r="E733" s="16" t="n">
        <v>679</v>
      </c>
      <c r="F733" s="16">
        <f>D733*E733</f>
        <v/>
      </c>
    </row>
    <row r="734">
      <c r="A734" s="13" t="inlineStr">
        <is>
          <t>0114</t>
        </is>
      </c>
      <c r="B734" s="14" t="inlineStr">
        <is>
          <t>Beldar</t>
        </is>
      </c>
      <c r="C734" s="13" t="inlineStr">
        <is>
          <t>day</t>
        </is>
      </c>
      <c r="D734" s="15" t="n">
        <v>0.07000000000000001</v>
      </c>
      <c r="E734" s="16" t="n">
        <v>558</v>
      </c>
      <c r="F734" s="16">
        <f>D734*E734</f>
        <v/>
      </c>
    </row>
    <row r="735">
      <c r="A735" s="17" t="inlineStr">
        <is>
          <t>Resource Total (Material + Labour + Machinery, as printed)</t>
        </is>
      </c>
      <c r="B735" s="18" t="n"/>
      <c r="C735" s="18" t="n"/>
      <c r="D735" s="18" t="n"/>
      <c r="E735" s="18" t="n"/>
      <c r="F735" s="19">
        <f>SUM(F731:F734)</f>
        <v/>
      </c>
    </row>
    <row r="736">
      <c r="A736" s="20" t="inlineStr">
        <is>
          <t>SAY (Rs.) — final DAR rate</t>
        </is>
      </c>
      <c r="B736" s="21" t="n"/>
      <c r="C736" s="21" t="n"/>
      <c r="D736" s="21" t="n"/>
      <c r="E736" s="21" t="n"/>
      <c r="F736" s="22" t="n">
        <v>66408.89999999999</v>
      </c>
    </row>
    <row r="738" ht="18" customHeight="1">
      <c r="A738" s="9" t="inlineStr">
        <is>
          <t>7.32.2</t>
        </is>
      </c>
      <c r="B738" s="10" t="inlineStr">
        <is>
          <t>White sand stone</t>
        </is>
      </c>
      <c r="C738" s="11" t="n"/>
      <c r="D738" s="11" t="n"/>
      <c r="E738" s="11" t="n"/>
      <c r="F738" s="11" t="n"/>
    </row>
    <row r="739">
      <c r="A739" s="12" t="inlineStr">
        <is>
          <t>Rate basis: per cudm  (source: cost for 6.75 cudm)</t>
        </is>
      </c>
    </row>
    <row r="740">
      <c r="A740" s="5" t="inlineStr">
        <is>
          <t>Code</t>
        </is>
      </c>
      <c r="B740" s="5" t="inlineStr">
        <is>
          <t>Description</t>
        </is>
      </c>
      <c r="C740" s="5" t="inlineStr">
        <is>
          <t>Unit</t>
        </is>
      </c>
      <c r="D740" s="5" t="inlineStr">
        <is>
          <t>Quantity</t>
        </is>
      </c>
      <c r="E740" s="5" t="inlineStr">
        <is>
          <t>Rate (Rs.)</t>
        </is>
      </c>
      <c r="F740" s="5" t="inlineStr">
        <is>
          <t>Amount (Rs.)</t>
        </is>
      </c>
    </row>
    <row r="741">
      <c r="A741" s="13" t="inlineStr">
        <is>
          <t>7.12.1.2</t>
        </is>
      </c>
      <c r="B741" s="14" t="inlineStr">
        <is>
          <t>Rate as per SH: 7.12.1.2</t>
        </is>
      </c>
      <c r="C741" s="13" t="inlineStr">
        <is>
          <t>cum</t>
        </is>
      </c>
      <c r="D741" s="15" t="n">
        <v>0.00675</v>
      </c>
      <c r="E741" s="16" t="n">
        <v>69604</v>
      </c>
      <c r="F741" s="16">
        <f>D741*E741</f>
        <v/>
      </c>
    </row>
    <row r="742">
      <c r="A742" s="13" t="inlineStr">
        <is>
          <t>9999</t>
        </is>
      </c>
      <c r="B742" s="14" t="inlineStr">
        <is>
          <t>Extra for using white cement</t>
        </is>
      </c>
      <c r="C742" s="13" t="inlineStr">
        <is>
          <t>L.S.</t>
        </is>
      </c>
      <c r="D742" s="15" t="n">
        <v>5.33</v>
      </c>
      <c r="E742" s="16" t="n">
        <v>2</v>
      </c>
      <c r="F742" s="16">
        <f>D742*E742</f>
        <v/>
      </c>
    </row>
    <row r="743">
      <c r="A743" s="13" t="inlineStr">
        <is>
          <t>0125</t>
        </is>
      </c>
      <c r="B743" s="14" t="inlineStr">
        <is>
          <t>Mason (for plain stone work) 2nd class)</t>
        </is>
      </c>
      <c r="C743" s="13" t="inlineStr">
        <is>
          <t>day</t>
        </is>
      </c>
      <c r="D743" s="15" t="n">
        <v>0.07000000000000001</v>
      </c>
      <c r="E743" s="16" t="n">
        <v>679</v>
      </c>
      <c r="F743" s="16">
        <f>D743*E743</f>
        <v/>
      </c>
    </row>
    <row r="744">
      <c r="A744" s="13" t="inlineStr">
        <is>
          <t>0114</t>
        </is>
      </c>
      <c r="B744" s="14" t="inlineStr">
        <is>
          <t>Beldar</t>
        </is>
      </c>
      <c r="C744" s="13" t="inlineStr">
        <is>
          <t>day</t>
        </is>
      </c>
      <c r="D744" s="15" t="n">
        <v>0.07000000000000001</v>
      </c>
      <c r="E744" s="16" t="n">
        <v>558</v>
      </c>
      <c r="F744" s="16">
        <f>D744*E744</f>
        <v/>
      </c>
    </row>
    <row r="745">
      <c r="A745" s="17" t="inlineStr">
        <is>
          <t>Resource Total (Material + Labour + Machinery, as printed)</t>
        </is>
      </c>
      <c r="B745" s="18" t="n"/>
      <c r="C745" s="18" t="n"/>
      <c r="D745" s="18" t="n"/>
      <c r="E745" s="18" t="n"/>
      <c r="F745" s="19">
        <f>SUM(F741:F744)</f>
        <v/>
      </c>
    </row>
    <row r="746">
      <c r="A746" s="20" t="inlineStr">
        <is>
          <t>SAY (Rs.) — final DAR rate</t>
        </is>
      </c>
      <c r="B746" s="21" t="n"/>
      <c r="C746" s="21" t="n"/>
      <c r="D746" s="21" t="n"/>
      <c r="E746" s="21" t="n"/>
      <c r="F746" s="22" t="n">
        <v>88880</v>
      </c>
    </row>
    <row r="748" ht="18" customHeight="1">
      <c r="A748" s="9" t="inlineStr">
        <is>
          <t>7.33.1</t>
        </is>
      </c>
      <c r="B748" s="10" t="inlineStr">
        <is>
          <t>Red sand stone</t>
        </is>
      </c>
      <c r="C748" s="11" t="n"/>
      <c r="D748" s="11" t="n"/>
      <c r="E748" s="11" t="n"/>
      <c r="F748" s="11" t="n"/>
    </row>
    <row r="749">
      <c r="A749" s="12" t="inlineStr">
        <is>
          <t>Rate basis: per sqm  (source: cost for 1 sqm)</t>
        </is>
      </c>
    </row>
    <row r="750">
      <c r="A750" s="5" t="inlineStr">
        <is>
          <t>Code</t>
        </is>
      </c>
      <c r="B750" s="5" t="inlineStr">
        <is>
          <t>Description</t>
        </is>
      </c>
      <c r="C750" s="5" t="inlineStr">
        <is>
          <t>Unit</t>
        </is>
      </c>
      <c r="D750" s="5" t="inlineStr">
        <is>
          <t>Quantity</t>
        </is>
      </c>
      <c r="E750" s="5" t="inlineStr">
        <is>
          <t>Rate (Rs.)</t>
        </is>
      </c>
      <c r="F750" s="5" t="inlineStr">
        <is>
          <t>Amount (Rs.)</t>
        </is>
      </c>
    </row>
    <row r="751">
      <c r="A751" s="13" t="inlineStr">
        <is>
          <t>1164</t>
        </is>
      </c>
      <c r="B751" s="14" t="inlineStr">
        <is>
          <t>Red sand stone slab 40 mm thick (un-dressed)</t>
        </is>
      </c>
      <c r="C751" s="13" t="inlineStr">
        <is>
          <t>sqm</t>
        </is>
      </c>
      <c r="D751" s="15" t="n">
        <v>1.1</v>
      </c>
      <c r="E751" s="16" t="n">
        <v>200</v>
      </c>
      <c r="F751" s="16">
        <f>D751*E751</f>
        <v/>
      </c>
    </row>
    <row r="752">
      <c r="A752" s="13" t="inlineStr">
        <is>
          <t>2216</t>
        </is>
      </c>
      <c r="B752" s="14" t="inlineStr">
        <is>
          <t>Carriage of Stone blocks white &amp; red sand stone &amp; kota stone slab</t>
        </is>
      </c>
      <c r="C752" s="13" t="inlineStr">
        <is>
          <t>tonne</t>
        </is>
      </c>
      <c r="D752" s="15" t="n">
        <v>0.101</v>
      </c>
      <c r="E752" s="16" t="n">
        <v>92.23999999999999</v>
      </c>
      <c r="F752" s="16">
        <f>D752*E752</f>
        <v/>
      </c>
    </row>
    <row r="753">
      <c r="A753" s="13" t="inlineStr">
        <is>
          <t>0125</t>
        </is>
      </c>
      <c r="B753" s="14" t="inlineStr">
        <is>
          <t>Mason (for plain stone work) 2nd class)</t>
        </is>
      </c>
      <c r="C753" s="13" t="inlineStr">
        <is>
          <t>day</t>
        </is>
      </c>
      <c r="D753" s="15" t="n">
        <v>7.62</v>
      </c>
      <c r="E753" s="16" t="n">
        <v>679</v>
      </c>
      <c r="F753" s="16">
        <f>D753*E753</f>
        <v/>
      </c>
    </row>
    <row r="754">
      <c r="A754" s="13" t="inlineStr">
        <is>
          <t>0114</t>
        </is>
      </c>
      <c r="B754" s="14" t="inlineStr">
        <is>
          <t>Beldar</t>
        </is>
      </c>
      <c r="C754" s="13" t="inlineStr">
        <is>
          <t>day</t>
        </is>
      </c>
      <c r="D754" s="15" t="n">
        <v>5.07</v>
      </c>
      <c r="E754" s="16" t="n">
        <v>558</v>
      </c>
      <c r="F754" s="16">
        <f>D754*E754</f>
        <v/>
      </c>
    </row>
    <row r="755">
      <c r="A755" s="13" t="inlineStr">
        <is>
          <t>9999</t>
        </is>
      </c>
      <c r="B755" s="14" t="inlineStr">
        <is>
          <t>Mortar and Sundries</t>
        </is>
      </c>
      <c r="C755" s="13" t="inlineStr">
        <is>
          <t>L.S.</t>
        </is>
      </c>
      <c r="D755" s="15" t="n">
        <v>80.73</v>
      </c>
      <c r="E755" s="16" t="n">
        <v>2</v>
      </c>
      <c r="F755" s="16">
        <f>D755*E755</f>
        <v/>
      </c>
    </row>
    <row r="756">
      <c r="A756" s="17" t="inlineStr">
        <is>
          <t>Resource Total (Material + Labour + Machinery, as printed)</t>
        </is>
      </c>
      <c r="B756" s="18" t="n"/>
      <c r="C756" s="18" t="n"/>
      <c r="D756" s="18" t="n"/>
      <c r="E756" s="18" t="n"/>
      <c r="F756" s="19">
        <f>SUM(F751:F755)</f>
        <v/>
      </c>
    </row>
    <row r="757">
      <c r="A757" s="20" t="inlineStr">
        <is>
          <t>SAY (Rs.) — final DAR rate</t>
        </is>
      </c>
      <c r="B757" s="21" t="n"/>
      <c r="C757" s="21" t="n"/>
      <c r="D757" s="21" t="n"/>
      <c r="E757" s="21" t="n"/>
      <c r="F757" s="22" t="n">
        <v>11230.4</v>
      </c>
    </row>
    <row r="759" ht="18" customHeight="1">
      <c r="A759" s="9" t="inlineStr">
        <is>
          <t>7.33.2</t>
        </is>
      </c>
      <c r="B759" s="10" t="inlineStr">
        <is>
          <t>White sand stone</t>
        </is>
      </c>
      <c r="C759" s="11" t="n"/>
      <c r="D759" s="11" t="n"/>
      <c r="E759" s="11" t="n"/>
      <c r="F759" s="11" t="n"/>
    </row>
    <row r="760">
      <c r="A760" s="12" t="inlineStr">
        <is>
          <t>Rate basis: per sqm  (source: cost for 1 sqm)</t>
        </is>
      </c>
    </row>
    <row r="761">
      <c r="A761" s="5" t="inlineStr">
        <is>
          <t>Code</t>
        </is>
      </c>
      <c r="B761" s="5" t="inlineStr">
        <is>
          <t>Description</t>
        </is>
      </c>
      <c r="C761" s="5" t="inlineStr">
        <is>
          <t>Unit</t>
        </is>
      </c>
      <c r="D761" s="5" t="inlineStr">
        <is>
          <t>Quantity</t>
        </is>
      </c>
      <c r="E761" s="5" t="inlineStr">
        <is>
          <t>Rate (Rs.)</t>
        </is>
      </c>
      <c r="F761" s="5" t="inlineStr">
        <is>
          <t>Amount (Rs.)</t>
        </is>
      </c>
    </row>
    <row r="762">
      <c r="A762" s="13" t="inlineStr">
        <is>
          <t>1165</t>
        </is>
      </c>
      <c r="B762" s="14" t="inlineStr">
        <is>
          <t>White sand stone slab 40 mm thick (un-dressed)</t>
        </is>
      </c>
      <c r="C762" s="13" t="inlineStr">
        <is>
          <t>sqm</t>
        </is>
      </c>
      <c r="D762" s="15" t="n">
        <v>1.1</v>
      </c>
      <c r="E762" s="16" t="n">
        <v>200</v>
      </c>
      <c r="F762" s="16">
        <f>D762*E762</f>
        <v/>
      </c>
    </row>
    <row r="763">
      <c r="A763" s="13" t="inlineStr">
        <is>
          <t>2216</t>
        </is>
      </c>
      <c r="B763" s="14" t="inlineStr">
        <is>
          <t>Carriage of Stone blocks white &amp; red sand stone &amp; kota stone slab</t>
        </is>
      </c>
      <c r="C763" s="13" t="inlineStr">
        <is>
          <t>tonne</t>
        </is>
      </c>
      <c r="D763" s="15" t="n">
        <v>0.101</v>
      </c>
      <c r="E763" s="16" t="n">
        <v>92.23999999999999</v>
      </c>
      <c r="F763" s="16">
        <f>D763*E763</f>
        <v/>
      </c>
    </row>
    <row r="764">
      <c r="A764" s="13" t="inlineStr">
        <is>
          <t>0125</t>
        </is>
      </c>
      <c r="B764" s="14" t="inlineStr">
        <is>
          <t>Mason (for plain stone work) 2nd class)</t>
        </is>
      </c>
      <c r="C764" s="13" t="inlineStr">
        <is>
          <t>day</t>
        </is>
      </c>
      <c r="D764" s="15" t="n">
        <v>7.62</v>
      </c>
      <c r="E764" s="16" t="n">
        <v>679</v>
      </c>
      <c r="F764" s="16">
        <f>D764*E764</f>
        <v/>
      </c>
    </row>
    <row r="765">
      <c r="A765" s="13" t="inlineStr">
        <is>
          <t>0114</t>
        </is>
      </c>
      <c r="B765" s="14" t="inlineStr">
        <is>
          <t>Beldar</t>
        </is>
      </c>
      <c r="C765" s="13" t="inlineStr">
        <is>
          <t>day</t>
        </is>
      </c>
      <c r="D765" s="15" t="n">
        <v>5.07</v>
      </c>
      <c r="E765" s="16" t="n">
        <v>558</v>
      </c>
      <c r="F765" s="16">
        <f>D765*E765</f>
        <v/>
      </c>
    </row>
    <row r="766">
      <c r="A766" s="13" t="inlineStr">
        <is>
          <t>9999</t>
        </is>
      </c>
      <c r="B766" s="14" t="inlineStr">
        <is>
          <t>Mortar and Sundries</t>
        </is>
      </c>
      <c r="C766" s="13" t="inlineStr">
        <is>
          <t>L.S.</t>
        </is>
      </c>
      <c r="D766" s="15" t="n">
        <v>80.73</v>
      </c>
      <c r="E766" s="16" t="n">
        <v>2</v>
      </c>
      <c r="F766" s="16">
        <f>D766*E766</f>
        <v/>
      </c>
    </row>
    <row r="767">
      <c r="A767" s="17" t="inlineStr">
        <is>
          <t>Resource Total (Material + Labour + Machinery, as printed)</t>
        </is>
      </c>
      <c r="B767" s="18" t="n"/>
      <c r="C767" s="18" t="n"/>
      <c r="D767" s="18" t="n"/>
      <c r="E767" s="18" t="n"/>
      <c r="F767" s="19">
        <f>SUM(F762:F766)</f>
        <v/>
      </c>
    </row>
    <row r="768">
      <c r="A768" s="20" t="inlineStr">
        <is>
          <t>SAY (Rs.) — final DAR rate</t>
        </is>
      </c>
      <c r="B768" s="21" t="n"/>
      <c r="C768" s="21" t="n"/>
      <c r="D768" s="21" t="n"/>
      <c r="E768" s="21" t="n"/>
      <c r="F768" s="22" t="n">
        <v>11230.4</v>
      </c>
    </row>
    <row r="770" ht="28" customHeight="1">
      <c r="A770" s="9" t="inlineStr">
        <is>
          <t>7.34</t>
        </is>
      </c>
      <c r="B770" s="10" t="inlineStr">
        <is>
          <t>Extra for laying stone work in or under water and/or liquid mud including cost of pumping or bailing out water and removing slush etc. compl</t>
        </is>
      </c>
      <c r="C770" s="11" t="n"/>
      <c r="D770" s="11" t="n"/>
      <c r="E770" s="11" t="n"/>
      <c r="F770" s="11" t="n"/>
    </row>
    <row r="771">
      <c r="A771" s="12" t="inlineStr">
        <is>
          <t>Rate basis: per cum  (source: cost for 14 cum)</t>
        </is>
      </c>
    </row>
    <row r="772">
      <c r="A772" s="5" t="inlineStr">
        <is>
          <t>Code</t>
        </is>
      </c>
      <c r="B772" s="5" t="inlineStr">
        <is>
          <t>Description</t>
        </is>
      </c>
      <c r="C772" s="5" t="inlineStr">
        <is>
          <t>Unit</t>
        </is>
      </c>
      <c r="D772" s="5" t="inlineStr">
        <is>
          <t>Quantity</t>
        </is>
      </c>
      <c r="E772" s="5" t="inlineStr">
        <is>
          <t>Rate (Rs.)</t>
        </is>
      </c>
      <c r="F772" s="5" t="inlineStr">
        <is>
          <t>Amount (Rs.)</t>
        </is>
      </c>
    </row>
    <row r="773">
      <c r="A773" s="13" t="inlineStr">
        <is>
          <t>4000</t>
        </is>
      </c>
      <c r="B773" s="14" t="inlineStr">
        <is>
          <t>litres/hour.</t>
        </is>
      </c>
      <c r="C773" s="13" t="inlineStr">
        <is>
          <t>day</t>
        </is>
      </c>
      <c r="D773" s="15" t="n">
        <v>0.375</v>
      </c>
      <c r="E773" s="16" t="n">
        <v>700</v>
      </c>
      <c r="F773" s="16">
        <f>D773*E773</f>
        <v/>
      </c>
    </row>
    <row r="774">
      <c r="A774" s="13" t="inlineStr">
        <is>
          <t>0114</t>
        </is>
      </c>
      <c r="B774" s="14" t="inlineStr">
        <is>
          <t>Beldar</t>
        </is>
      </c>
      <c r="C774" s="13" t="inlineStr">
        <is>
          <t>day</t>
        </is>
      </c>
      <c r="D774" s="15" t="n">
        <v>4</v>
      </c>
      <c r="E774" s="16" t="n">
        <v>558</v>
      </c>
      <c r="F774" s="16">
        <f>D774*E774</f>
        <v/>
      </c>
    </row>
    <row r="775">
      <c r="A775" s="17" t="inlineStr">
        <is>
          <t>Resource Total (Material + Labour + Machinery, as printed)</t>
        </is>
      </c>
      <c r="B775" s="18" t="n"/>
      <c r="C775" s="18" t="n"/>
      <c r="D775" s="18" t="n"/>
      <c r="E775" s="18" t="n"/>
      <c r="F775" s="19">
        <f>SUM(F773:F774)</f>
        <v/>
      </c>
    </row>
    <row r="776">
      <c r="A776" s="20" t="inlineStr">
        <is>
          <t>SAY (Rs.) — final DAR rate</t>
        </is>
      </c>
      <c r="B776" s="21" t="n"/>
      <c r="C776" s="21" t="n"/>
      <c r="D776" s="21" t="n"/>
      <c r="E776" s="21" t="n"/>
      <c r="F776" s="22" t="n">
        <v>794.65</v>
      </c>
    </row>
    <row r="778" ht="18" customHeight="1">
      <c r="A778" s="9" t="inlineStr">
        <is>
          <t>7.35</t>
        </is>
      </c>
      <c r="B778" s="10" t="inlineStr">
        <is>
          <t>Extra for laying stone work in or under foul position.</t>
        </is>
      </c>
      <c r="C778" s="11" t="n"/>
      <c r="D778" s="11" t="n"/>
      <c r="E778" s="11" t="n"/>
      <c r="F778" s="11" t="n"/>
    </row>
    <row r="779">
      <c r="A779" s="12" t="inlineStr">
        <is>
          <t>Rate basis: per cum  (source: cost for 1 cum)</t>
        </is>
      </c>
    </row>
    <row r="780">
      <c r="A780" s="5" t="inlineStr">
        <is>
          <t>Code</t>
        </is>
      </c>
      <c r="B780" s="5" t="inlineStr">
        <is>
          <t>Description</t>
        </is>
      </c>
      <c r="C780" s="5" t="inlineStr">
        <is>
          <t>Unit</t>
        </is>
      </c>
      <c r="D780" s="5" t="inlineStr">
        <is>
          <t>Quantity</t>
        </is>
      </c>
      <c r="E780" s="5" t="inlineStr">
        <is>
          <t>Rate (Rs.)</t>
        </is>
      </c>
      <c r="F780" s="5" t="inlineStr">
        <is>
          <t>Amount (Rs.)</t>
        </is>
      </c>
    </row>
    <row r="781">
      <c r="A781" s="13" t="inlineStr">
        <is>
          <t>0123</t>
        </is>
      </c>
      <c r="B781" s="14" t="inlineStr">
        <is>
          <t>Mason (brick layer) 1st class</t>
        </is>
      </c>
      <c r="C781" s="13" t="inlineStr">
        <is>
          <t>day</t>
        </is>
      </c>
      <c r="D781" s="15" t="n">
        <v>0.02</v>
      </c>
      <c r="E781" s="16" t="n">
        <v>738</v>
      </c>
      <c r="F781" s="16">
        <f>D781*E781</f>
        <v/>
      </c>
    </row>
    <row r="782">
      <c r="A782" s="13" t="inlineStr">
        <is>
          <t>0124</t>
        </is>
      </c>
      <c r="B782" s="14" t="inlineStr">
        <is>
          <t>Mason (brick layer) 2nd class</t>
        </is>
      </c>
      <c r="C782" s="13" t="inlineStr">
        <is>
          <t>day</t>
        </is>
      </c>
      <c r="D782" s="15" t="n">
        <v>0.02</v>
      </c>
      <c r="E782" s="16" t="n">
        <v>679</v>
      </c>
      <c r="F782" s="16">
        <f>D782*E782</f>
        <v/>
      </c>
    </row>
    <row r="783">
      <c r="A783" s="13" t="inlineStr">
        <is>
          <t>0114</t>
        </is>
      </c>
      <c r="B783" s="14" t="inlineStr">
        <is>
          <t>Beldar</t>
        </is>
      </c>
      <c r="C783" s="13" t="inlineStr">
        <is>
          <t>day</t>
        </is>
      </c>
      <c r="D783" s="15" t="n">
        <v>0.25</v>
      </c>
      <c r="E783" s="16" t="n">
        <v>558</v>
      </c>
      <c r="F783" s="16">
        <f>D783*E783</f>
        <v/>
      </c>
    </row>
    <row r="784">
      <c r="A784" s="13" t="inlineStr">
        <is>
          <t>0115</t>
        </is>
      </c>
      <c r="B784" s="14" t="inlineStr">
        <is>
          <t>Coolie</t>
        </is>
      </c>
      <c r="C784" s="13" t="inlineStr">
        <is>
          <t>day</t>
        </is>
      </c>
      <c r="D784" s="15" t="n">
        <v>0.15</v>
      </c>
      <c r="E784" s="16" t="n">
        <v>558</v>
      </c>
      <c r="F784" s="16">
        <f>D784*E784</f>
        <v/>
      </c>
    </row>
    <row r="785">
      <c r="A785" s="17" t="inlineStr">
        <is>
          <t>Resource Total (Material + Labour + Machinery, as printed)</t>
        </is>
      </c>
      <c r="B785" s="18" t="n"/>
      <c r="C785" s="18" t="n"/>
      <c r="D785" s="18" t="n"/>
      <c r="E785" s="18" t="n"/>
      <c r="F785" s="19">
        <f>SUM(F781:F784)</f>
        <v/>
      </c>
    </row>
    <row r="786">
      <c r="A786" s="20" t="inlineStr">
        <is>
          <t>SAY (Rs.) — final DAR rate</t>
        </is>
      </c>
      <c r="B786" s="21" t="n"/>
      <c r="C786" s="21" t="n"/>
      <c r="D786" s="21" t="n"/>
      <c r="E786" s="21" t="n"/>
      <c r="F786" s="22" t="n">
        <v>336.55</v>
      </c>
    </row>
    <row r="788" ht="18" customHeight="1">
      <c r="A788" s="9" t="inlineStr">
        <is>
          <t>7.38.1.1</t>
        </is>
      </c>
      <c r="B788" s="10" t="inlineStr">
        <is>
          <t>Granite stone of any colour and shade</t>
        </is>
      </c>
      <c r="C788" s="11" t="n"/>
      <c r="D788" s="11" t="n"/>
      <c r="E788" s="11" t="n"/>
      <c r="F788" s="11" t="n"/>
    </row>
    <row r="789">
      <c r="A789" s="12" t="inlineStr">
        <is>
          <t>Rate basis: per sqm  (source: cost for 10 sqm)</t>
        </is>
      </c>
    </row>
    <row r="790">
      <c r="A790" s="5" t="inlineStr">
        <is>
          <t>Code</t>
        </is>
      </c>
      <c r="B790" s="5" t="inlineStr">
        <is>
          <t>Description</t>
        </is>
      </c>
      <c r="C790" s="5" t="inlineStr">
        <is>
          <t>Unit</t>
        </is>
      </c>
      <c r="D790" s="5" t="inlineStr">
        <is>
          <t>Quantity</t>
        </is>
      </c>
      <c r="E790" s="5" t="inlineStr">
        <is>
          <t>Rate (Rs.)</t>
        </is>
      </c>
      <c r="F790" s="5" t="inlineStr">
        <is>
          <t>Amount (Rs.)</t>
        </is>
      </c>
    </row>
    <row r="791">
      <c r="A791" s="13" t="inlineStr">
        <is>
          <t>3.8</t>
        </is>
      </c>
      <c r="B791" s="14" t="inlineStr">
        <is>
          <t>Rate as per SH: 3.8</t>
        </is>
      </c>
      <c r="C791" s="13" t="inlineStr">
        <is>
          <t>cum</t>
        </is>
      </c>
      <c r="D791" s="15" t="n">
        <v>0.14</v>
      </c>
      <c r="E791" s="16" t="n">
        <v>4664.55</v>
      </c>
      <c r="F791" s="16">
        <f>D791*E791</f>
        <v/>
      </c>
    </row>
    <row r="792">
      <c r="A792" s="13" t="inlineStr">
        <is>
          <t>2750</t>
        </is>
      </c>
      <c r="B792" s="14" t="inlineStr">
        <is>
          <t>8 mm thick granite stone tiles (mirror polished of all shades)</t>
        </is>
      </c>
      <c r="C792" s="13" t="inlineStr">
        <is>
          <t>sqm</t>
        </is>
      </c>
      <c r="D792" s="15" t="n">
        <v>10.25</v>
      </c>
      <c r="E792" s="16" t="n">
        <v>700</v>
      </c>
      <c r="F792" s="16">
        <f>D792*E792</f>
        <v/>
      </c>
    </row>
    <row r="793">
      <c r="A793" s="13" t="inlineStr">
        <is>
          <t>9977</t>
        </is>
      </c>
      <c r="B793" s="14" t="inlineStr">
        <is>
          <t>Carriage of granite tiles</t>
        </is>
      </c>
      <c r="C793" s="13" t="inlineStr">
        <is>
          <t>L.S.</t>
        </is>
      </c>
      <c r="D793" s="15" t="n">
        <v>40.04</v>
      </c>
      <c r="E793" s="16" t="n">
        <v>2</v>
      </c>
      <c r="F793" s="16">
        <f>D793*E793</f>
        <v/>
      </c>
    </row>
    <row r="794">
      <c r="A794" s="13" t="inlineStr">
        <is>
          <t>0367</t>
        </is>
      </c>
      <c r="B794" s="14" t="inlineStr">
        <is>
          <t>Portland Cement</t>
        </is>
      </c>
      <c r="C794" s="13" t="inlineStr">
        <is>
          <t>tonne</t>
        </is>
      </c>
      <c r="D794" s="15" t="n">
        <v>0.033</v>
      </c>
      <c r="E794" s="16" t="n">
        <v>4940</v>
      </c>
      <c r="F794" s="16">
        <f>D794*E794</f>
        <v/>
      </c>
    </row>
    <row r="795">
      <c r="A795" s="13" t="inlineStr">
        <is>
          <t>9999</t>
        </is>
      </c>
      <c r="B795" s="14" t="inlineStr">
        <is>
          <t>Mortar for pointing in white cement</t>
        </is>
      </c>
      <c r="C795" s="13" t="inlineStr">
        <is>
          <t>L.S.</t>
        </is>
      </c>
      <c r="D795" s="15" t="n">
        <v>25.74</v>
      </c>
      <c r="E795" s="16" t="n">
        <v>2</v>
      </c>
      <c r="F795" s="16">
        <f>D795*E795</f>
        <v/>
      </c>
    </row>
    <row r="796">
      <c r="A796" s="13" t="inlineStr">
        <is>
          <t>0123</t>
        </is>
      </c>
      <c r="B796" s="14" t="inlineStr">
        <is>
          <t>Mason (brick layer) 1st class</t>
        </is>
      </c>
      <c r="C796" s="13" t="inlineStr">
        <is>
          <t>day</t>
        </is>
      </c>
      <c r="D796" s="15" t="n">
        <v>7.7</v>
      </c>
      <c r="E796" s="16" t="n">
        <v>738</v>
      </c>
      <c r="F796" s="16">
        <f>D796*E796</f>
        <v/>
      </c>
    </row>
    <row r="797">
      <c r="A797" s="13" t="inlineStr">
        <is>
          <t>0114</t>
        </is>
      </c>
      <c r="B797" s="14" t="inlineStr">
        <is>
          <t>Beldar</t>
        </is>
      </c>
      <c r="C797" s="13" t="inlineStr">
        <is>
          <t>day</t>
        </is>
      </c>
      <c r="D797" s="15" t="n">
        <v>7.7</v>
      </c>
      <c r="E797" s="16" t="n">
        <v>558</v>
      </c>
      <c r="F797" s="16">
        <f>D797*E797</f>
        <v/>
      </c>
    </row>
    <row r="798">
      <c r="A798" s="13" t="inlineStr">
        <is>
          <t>9999</t>
        </is>
      </c>
      <c r="B798" s="14" t="inlineStr">
        <is>
          <t>Granular sand particles mixed with araldite to be pasted on each side to form interlocking arrangement with cement plaster</t>
        </is>
      </c>
      <c r="C798" s="13" t="inlineStr">
        <is>
          <t>L.S.</t>
        </is>
      </c>
      <c r="D798" s="15" t="n">
        <v>260</v>
      </c>
      <c r="E798" s="16" t="n">
        <v>2</v>
      </c>
      <c r="F798" s="16">
        <f>D798*E798</f>
        <v/>
      </c>
    </row>
    <row r="799">
      <c r="A799" s="13" t="inlineStr">
        <is>
          <t>9999</t>
        </is>
      </c>
      <c r="B799" s="14" t="inlineStr">
        <is>
          <t>Sundries</t>
        </is>
      </c>
      <c r="C799" s="13" t="inlineStr">
        <is>
          <t>L.S.</t>
        </is>
      </c>
      <c r="D799" s="15" t="n">
        <v>171.6</v>
      </c>
      <c r="E799" s="16" t="n">
        <v>2</v>
      </c>
      <c r="F799" s="16">
        <f>D799*E799</f>
        <v/>
      </c>
    </row>
    <row r="800">
      <c r="A800" s="17" t="inlineStr">
        <is>
          <t>Resource Total (Material + Labour + Machinery, as printed)</t>
        </is>
      </c>
      <c r="B800" s="18" t="n"/>
      <c r="C800" s="18" t="n"/>
      <c r="D800" s="18" t="n"/>
      <c r="E800" s="18" t="n"/>
      <c r="F800" s="19">
        <f>SUM(F791:F799)</f>
        <v/>
      </c>
    </row>
    <row r="801">
      <c r="A801" s="20" t="inlineStr">
        <is>
          <t>SAY (Rs.) — final DAR rate</t>
        </is>
      </c>
      <c r="B801" s="21" t="n"/>
      <c r="C801" s="21" t="n"/>
      <c r="D801" s="21" t="n"/>
      <c r="E801" s="21" t="n"/>
      <c r="F801" s="22" t="n">
        <v>2537.4</v>
      </c>
    </row>
    <row r="803" ht="18" customHeight="1">
      <c r="A803" s="9" t="inlineStr">
        <is>
          <t>7.38.1.2</t>
        </is>
      </c>
      <c r="B803" s="10" t="inlineStr">
        <is>
          <t>Raj Nagar plain white marble/ Udaipur green marble/ Zebra black marble</t>
        </is>
      </c>
      <c r="C803" s="11" t="n"/>
      <c r="D803" s="11" t="n"/>
      <c r="E803" s="11" t="n"/>
      <c r="F803" s="11" t="n"/>
    </row>
    <row r="804">
      <c r="A804" s="12" t="inlineStr">
        <is>
          <t>Rate basis: per sqm  (source: cost for 10 sqm)</t>
        </is>
      </c>
    </row>
    <row r="805">
      <c r="A805" s="5" t="inlineStr">
        <is>
          <t>Code</t>
        </is>
      </c>
      <c r="B805" s="5" t="inlineStr">
        <is>
          <t>Description</t>
        </is>
      </c>
      <c r="C805" s="5" t="inlineStr">
        <is>
          <t>Unit</t>
        </is>
      </c>
      <c r="D805" s="5" t="inlineStr">
        <is>
          <t>Quantity</t>
        </is>
      </c>
      <c r="E805" s="5" t="inlineStr">
        <is>
          <t>Rate (Rs.)</t>
        </is>
      </c>
      <c r="F805" s="5" t="inlineStr">
        <is>
          <t>Amount (Rs.)</t>
        </is>
      </c>
    </row>
    <row r="806">
      <c r="A806" s="13" t="inlineStr">
        <is>
          <t>3.8</t>
        </is>
      </c>
      <c r="B806" s="14" t="inlineStr">
        <is>
          <t>Rate as per SH: 3.8</t>
        </is>
      </c>
      <c r="C806" s="13" t="inlineStr">
        <is>
          <t>cum</t>
        </is>
      </c>
      <c r="D806" s="15" t="n">
        <v>0.14</v>
      </c>
      <c r="E806" s="16" t="n">
        <v>4664.55</v>
      </c>
      <c r="F806" s="16">
        <f>D806*E806</f>
        <v/>
      </c>
    </row>
    <row r="807">
      <c r="A807" s="13" t="inlineStr">
        <is>
          <t>7439</t>
        </is>
      </c>
      <c r="B807" s="14" t="inlineStr">
        <is>
          <t>8mm thick (mirror polished tiles machine cut edge) Raj Nagar white</t>
        </is>
      </c>
      <c r="C807" s="13" t="inlineStr">
        <is>
          <t>sqm</t>
        </is>
      </c>
      <c r="D807" s="15" t="n">
        <v>10.25</v>
      </c>
      <c r="E807" s="16" t="n">
        <v>500</v>
      </c>
      <c r="F807" s="16">
        <f>D807*E807</f>
        <v/>
      </c>
    </row>
    <row r="808">
      <c r="A808" s="13" t="inlineStr">
        <is>
          <t>9977</t>
        </is>
      </c>
      <c r="B808" s="14" t="inlineStr">
        <is>
          <t>Carriage of Raj Nagar white stone tiles</t>
        </is>
      </c>
      <c r="C808" s="13" t="inlineStr">
        <is>
          <t>L.S.</t>
        </is>
      </c>
      <c r="D808" s="15" t="n">
        <v>40.04</v>
      </c>
      <c r="E808" s="16" t="n">
        <v>2</v>
      </c>
      <c r="F808" s="16">
        <f>D808*E808</f>
        <v/>
      </c>
    </row>
    <row r="809">
      <c r="A809" s="13" t="inlineStr">
        <is>
          <t>0367</t>
        </is>
      </c>
      <c r="B809" s="14" t="inlineStr">
        <is>
          <t>Portland Cement</t>
        </is>
      </c>
      <c r="C809" s="13" t="inlineStr">
        <is>
          <t>tonne</t>
        </is>
      </c>
      <c r="D809" s="15" t="n">
        <v>0.033</v>
      </c>
      <c r="E809" s="16" t="n">
        <v>4940</v>
      </c>
      <c r="F809" s="16">
        <f>D809*E809</f>
        <v/>
      </c>
    </row>
    <row r="810">
      <c r="A810" s="13" t="inlineStr">
        <is>
          <t>9999</t>
        </is>
      </c>
      <c r="B810" s="14" t="inlineStr">
        <is>
          <t>Mortar for pointing in white cement</t>
        </is>
      </c>
      <c r="C810" s="13" t="inlineStr">
        <is>
          <t>L.S.</t>
        </is>
      </c>
      <c r="D810" s="15" t="n">
        <v>25.74</v>
      </c>
      <c r="E810" s="16" t="n">
        <v>2</v>
      </c>
      <c r="F810" s="16">
        <f>D810*E810</f>
        <v/>
      </c>
    </row>
    <row r="811">
      <c r="A811" s="13" t="inlineStr">
        <is>
          <t>0123</t>
        </is>
      </c>
      <c r="B811" s="14" t="inlineStr">
        <is>
          <t>Mason (brick layer) 1st class</t>
        </is>
      </c>
      <c r="C811" s="13" t="inlineStr">
        <is>
          <t>day</t>
        </is>
      </c>
      <c r="D811" s="15" t="n">
        <v>7.7</v>
      </c>
      <c r="E811" s="16" t="n">
        <v>738</v>
      </c>
      <c r="F811" s="16">
        <f>D811*E811</f>
        <v/>
      </c>
    </row>
    <row r="812">
      <c r="A812" s="13" t="inlineStr">
        <is>
          <t>0114</t>
        </is>
      </c>
      <c r="B812" s="14" t="inlineStr">
        <is>
          <t>Beldar</t>
        </is>
      </c>
      <c r="C812" s="13" t="inlineStr">
        <is>
          <t>day</t>
        </is>
      </c>
      <c r="D812" s="15" t="n">
        <v>7.7</v>
      </c>
      <c r="E812" s="16" t="n">
        <v>558</v>
      </c>
      <c r="F812" s="16">
        <f>D812*E812</f>
        <v/>
      </c>
    </row>
    <row r="813">
      <c r="A813" s="13" t="inlineStr">
        <is>
          <t>9999</t>
        </is>
      </c>
      <c r="B813" s="14" t="inlineStr">
        <is>
          <t>Granular sand particles mixed with araldite to be pasted on each side to form interlocking arrangement with cement plaster</t>
        </is>
      </c>
      <c r="C813" s="13" t="inlineStr">
        <is>
          <t>L.S.</t>
        </is>
      </c>
      <c r="D813" s="15" t="n">
        <v>260</v>
      </c>
      <c r="E813" s="16" t="n">
        <v>2</v>
      </c>
      <c r="F813" s="16">
        <f>D813*E813</f>
        <v/>
      </c>
    </row>
    <row r="814">
      <c r="A814" s="13" t="inlineStr">
        <is>
          <t>9999</t>
        </is>
      </c>
      <c r="B814" s="14" t="inlineStr">
        <is>
          <t>Sundries</t>
        </is>
      </c>
      <c r="C814" s="13" t="inlineStr">
        <is>
          <t>L.S.</t>
        </is>
      </c>
      <c r="D814" s="15" t="n">
        <v>171.6</v>
      </c>
      <c r="E814" s="16" t="n">
        <v>2</v>
      </c>
      <c r="F814" s="16">
        <f>D814*E814</f>
        <v/>
      </c>
    </row>
    <row r="815">
      <c r="A815" s="17" t="inlineStr">
        <is>
          <t>Resource Total (Material + Labour + Machinery, as printed)</t>
        </is>
      </c>
      <c r="B815" s="18" t="n"/>
      <c r="C815" s="18" t="n"/>
      <c r="D815" s="18" t="n"/>
      <c r="E815" s="18" t="n"/>
      <c r="F815" s="19">
        <f>SUM(F806:F814)</f>
        <v/>
      </c>
    </row>
    <row r="816">
      <c r="A816" s="20" t="inlineStr">
        <is>
          <t>SAY (Rs.) — final DAR rate</t>
        </is>
      </c>
      <c r="B816" s="21" t="n"/>
      <c r="C816" s="21" t="n"/>
      <c r="D816" s="21" t="n"/>
      <c r="E816" s="21" t="n"/>
      <c r="F816" s="22" t="n">
        <v>2263.1</v>
      </c>
    </row>
  </sheetData>
  <mergeCells count="214">
    <mergeCell ref="A608:E608"/>
    <mergeCell ref="A692:E692"/>
    <mergeCell ref="A66:F66"/>
    <mergeCell ref="A530:E530"/>
    <mergeCell ref="A757:E757"/>
    <mergeCell ref="A142:E142"/>
    <mergeCell ref="A198:F198"/>
    <mergeCell ref="A216:E216"/>
    <mergeCell ref="A749:F749"/>
    <mergeCell ref="A756:E756"/>
    <mergeCell ref="A523:E523"/>
    <mergeCell ref="A677:E677"/>
    <mergeCell ref="B665:F665"/>
    <mergeCell ref="A678:E678"/>
    <mergeCell ref="A516:E516"/>
    <mergeCell ref="A5:F5"/>
    <mergeCell ref="A263:F263"/>
    <mergeCell ref="A282:E282"/>
    <mergeCell ref="B532:F532"/>
    <mergeCell ref="B603:F603"/>
    <mergeCell ref="A81:F81"/>
    <mergeCell ref="A38:F38"/>
    <mergeCell ref="A776:E776"/>
    <mergeCell ref="A376:E376"/>
    <mergeCell ref="A332:F332"/>
    <mergeCell ref="B706:F706"/>
    <mergeCell ref="A704:E704"/>
    <mergeCell ref="A586:E586"/>
    <mergeCell ref="B37:F37"/>
    <mergeCell ref="A194:E194"/>
    <mergeCell ref="A768:E768"/>
    <mergeCell ref="B618:F618"/>
    <mergeCell ref="A43:E43"/>
    <mergeCell ref="A647:F647"/>
    <mergeCell ref="B20:F20"/>
    <mergeCell ref="A52:E52"/>
    <mergeCell ref="A707:F707"/>
    <mergeCell ref="A760:F760"/>
    <mergeCell ref="A600:E600"/>
    <mergeCell ref="B80:F80"/>
    <mergeCell ref="A63:E63"/>
    <mergeCell ref="A594:E594"/>
    <mergeCell ref="A93:E93"/>
    <mergeCell ref="A526:F526"/>
    <mergeCell ref="A173:E173"/>
    <mergeCell ref="A400:E400"/>
    <mergeCell ref="B135:F135"/>
    <mergeCell ref="A77:E77"/>
    <mergeCell ref="A34:E34"/>
    <mergeCell ref="A352:E352"/>
    <mergeCell ref="B355:F355"/>
    <mergeCell ref="A446:E446"/>
    <mergeCell ref="A328:E328"/>
    <mergeCell ref="A519:F519"/>
    <mergeCell ref="A286:F286"/>
    <mergeCell ref="A619:F619"/>
    <mergeCell ref="A804:F804"/>
    <mergeCell ref="A132:E132"/>
    <mergeCell ref="B759:F759"/>
    <mergeCell ref="A512:F512"/>
    <mergeCell ref="B646:F646"/>
    <mergeCell ref="A488:E488"/>
    <mergeCell ref="A2:F2"/>
    <mergeCell ref="B176:F176"/>
    <mergeCell ref="A78:E78"/>
    <mergeCell ref="B111:F111"/>
    <mergeCell ref="A449:F449"/>
    <mergeCell ref="A625:E625"/>
    <mergeCell ref="A643:E643"/>
    <mergeCell ref="B567:F567"/>
    <mergeCell ref="A133:E133"/>
    <mergeCell ref="A240:F240"/>
    <mergeCell ref="A522:E522"/>
    <mergeCell ref="B803:F803"/>
    <mergeCell ref="A491:F491"/>
    <mergeCell ref="A587:E587"/>
    <mergeCell ref="A789:F789"/>
    <mergeCell ref="A767:E767"/>
    <mergeCell ref="A745:E745"/>
    <mergeCell ref="A112:F112"/>
    <mergeCell ref="A515:E515"/>
    <mergeCell ref="B525:F525"/>
    <mergeCell ref="B308:F308"/>
    <mergeCell ref="A775:E775"/>
    <mergeCell ref="A616:E616"/>
    <mergeCell ref="B448:F448"/>
    <mergeCell ref="A508:E508"/>
    <mergeCell ref="A601:E601"/>
    <mergeCell ref="A590:F590"/>
    <mergeCell ref="B239:F239"/>
    <mergeCell ref="A693:E693"/>
    <mergeCell ref="A815:E815"/>
    <mergeCell ref="B490:F490"/>
    <mergeCell ref="A445:E445"/>
    <mergeCell ref="B788:F788"/>
    <mergeCell ref="B45:F45"/>
    <mergeCell ref="A786:E786"/>
    <mergeCell ref="A801:E801"/>
    <mergeCell ref="A329:E329"/>
    <mergeCell ref="A542:E542"/>
    <mergeCell ref="B738:F738"/>
    <mergeCell ref="A509:E509"/>
    <mergeCell ref="A565:E565"/>
    <mergeCell ref="B4:F4"/>
    <mergeCell ref="A736:E736"/>
    <mergeCell ref="A785:E785"/>
    <mergeCell ref="A46:F46"/>
    <mergeCell ref="A177:F177"/>
    <mergeCell ref="B218:F218"/>
    <mergeCell ref="A260:E260"/>
    <mergeCell ref="A564:E564"/>
    <mergeCell ref="A615:E615"/>
    <mergeCell ref="B596:F596"/>
    <mergeCell ref="A136:F136"/>
    <mergeCell ref="A800:E800"/>
    <mergeCell ref="A729:F729"/>
    <mergeCell ref="A56:F56"/>
    <mergeCell ref="A124:E124"/>
    <mergeCell ref="A237:E237"/>
    <mergeCell ref="A666:F666"/>
    <mergeCell ref="A644:E644"/>
    <mergeCell ref="A779:F779"/>
    <mergeCell ref="B748:F748"/>
    <mergeCell ref="A309:F309"/>
    <mergeCell ref="A174:E174"/>
    <mergeCell ref="A108:E108"/>
    <mergeCell ref="B145:F145"/>
    <mergeCell ref="A236:E236"/>
    <mergeCell ref="A18:E18"/>
    <mergeCell ref="A425:E425"/>
    <mergeCell ref="A487:E487"/>
    <mergeCell ref="A612:F612"/>
    <mergeCell ref="B728:F728"/>
    <mergeCell ref="A771:F771"/>
    <mergeCell ref="A42:E42"/>
    <mergeCell ref="B770:F770"/>
    <mergeCell ref="A725:E725"/>
    <mergeCell ref="B379:F379"/>
    <mergeCell ref="A377:E377"/>
    <mergeCell ref="A568:F568"/>
    <mergeCell ref="B589:F589"/>
    <mergeCell ref="A739:F739"/>
    <mergeCell ref="B65:F65"/>
    <mergeCell ref="A215:E215"/>
    <mergeCell ref="B545:F545"/>
    <mergeCell ref="A662:E662"/>
    <mergeCell ref="A125:E125"/>
    <mergeCell ref="A1:F1"/>
    <mergeCell ref="A401:E401"/>
    <mergeCell ref="A152:E152"/>
    <mergeCell ref="A628:F628"/>
    <mergeCell ref="A726:E726"/>
    <mergeCell ref="A735:E735"/>
    <mergeCell ref="A128:F128"/>
    <mergeCell ref="A663:E663"/>
    <mergeCell ref="A356:F356"/>
    <mergeCell ref="A467:E467"/>
    <mergeCell ref="A816:E816"/>
    <mergeCell ref="B155:F155"/>
    <mergeCell ref="A703:E703"/>
    <mergeCell ref="A21:F21"/>
    <mergeCell ref="B680:F680"/>
    <mergeCell ref="A428:F428"/>
    <mergeCell ref="A153:E153"/>
    <mergeCell ref="B518:F518"/>
    <mergeCell ref="A533:F533"/>
    <mergeCell ref="A604:F604"/>
    <mergeCell ref="B262:F262"/>
    <mergeCell ref="A219:F219"/>
    <mergeCell ref="B611:F611"/>
    <mergeCell ref="A305:E305"/>
    <mergeCell ref="A283:E283"/>
    <mergeCell ref="A470:F470"/>
    <mergeCell ref="A404:F404"/>
    <mergeCell ref="A624:E624"/>
    <mergeCell ref="A597:F597"/>
    <mergeCell ref="A681:F681"/>
    <mergeCell ref="A746:E746"/>
    <mergeCell ref="A96:F96"/>
    <mergeCell ref="A380:F380"/>
    <mergeCell ref="A156:F156"/>
    <mergeCell ref="A696:F696"/>
    <mergeCell ref="A543:E543"/>
    <mergeCell ref="A306:E306"/>
    <mergeCell ref="B427:F427"/>
    <mergeCell ref="A195:E195"/>
    <mergeCell ref="B127:F127"/>
    <mergeCell ref="A17:E17"/>
    <mergeCell ref="A259:E259"/>
    <mergeCell ref="B627:F627"/>
    <mergeCell ref="B403:F403"/>
    <mergeCell ref="B285:F285"/>
    <mergeCell ref="A53:E53"/>
    <mergeCell ref="A109:E109"/>
    <mergeCell ref="A35:E35"/>
    <mergeCell ref="A424:E424"/>
    <mergeCell ref="B55:F55"/>
    <mergeCell ref="A62:E62"/>
    <mergeCell ref="B469:F469"/>
    <mergeCell ref="A466:E466"/>
    <mergeCell ref="B95:F95"/>
    <mergeCell ref="A529:E529"/>
    <mergeCell ref="A546:F546"/>
    <mergeCell ref="A609:E609"/>
    <mergeCell ref="B331:F331"/>
    <mergeCell ref="A146:F146"/>
    <mergeCell ref="B695:F695"/>
    <mergeCell ref="B511:F511"/>
    <mergeCell ref="B778:F778"/>
    <mergeCell ref="A593:E593"/>
    <mergeCell ref="A353:E353"/>
    <mergeCell ref="B197:F197"/>
    <mergeCell ref="A143:E143"/>
    <mergeCell ref="A92:E9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75"/>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08: CLADDING WORK</t>
        </is>
      </c>
    </row>
    <row r="2" ht="28" customHeight="1">
      <c r="A2" s="8" t="inlineStr">
        <is>
          <t>71 priced items. Amount and SAY are live Excel formulas computed from the Quantity x Rate figures below - edit any Quantity or Rate and the item's rate recalculates.</t>
        </is>
      </c>
    </row>
    <row r="4" ht="18" customHeight="1">
      <c r="A4" s="9" t="inlineStr">
        <is>
          <t>8.1.1.1</t>
        </is>
      </c>
      <c r="B4" s="10" t="inlineStr">
        <is>
          <t>Area of slab upto 0.50 sqm</t>
        </is>
      </c>
      <c r="C4" s="11" t="n"/>
      <c r="D4" s="11" t="n"/>
      <c r="E4" s="11" t="n"/>
      <c r="F4" s="11" t="n"/>
    </row>
    <row r="5">
      <c r="A5" s="12" t="inlineStr">
        <is>
          <t>Rate basis: per sqm  (source: cost for 0.5 sqm)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3.8</t>
        </is>
      </c>
      <c r="B7" s="14" t="inlineStr">
        <is>
          <t>Rate as per SH: 3.8</t>
        </is>
      </c>
      <c r="C7" s="13" t="inlineStr">
        <is>
          <t>cum</t>
        </is>
      </c>
      <c r="D7" s="15" t="n">
        <v>0.008</v>
      </c>
      <c r="E7" s="16" t="n">
        <v>4664.55</v>
      </c>
      <c r="F7" s="16">
        <f>D7*E7</f>
        <v/>
      </c>
    </row>
    <row r="8">
      <c r="A8" s="13" t="inlineStr">
        <is>
          <t>3.15</t>
        </is>
      </c>
      <c r="B8" s="14" t="inlineStr">
        <is>
          <t>Rate as per SH: 3.15</t>
        </is>
      </c>
      <c r="C8" s="13" t="inlineStr">
        <is>
          <t>cum</t>
        </is>
      </c>
      <c r="D8" s="15" t="n">
        <v>0.0012</v>
      </c>
      <c r="E8" s="16" t="n">
        <v>9393.35</v>
      </c>
      <c r="F8" s="16">
        <f>D8*E8</f>
        <v/>
      </c>
    </row>
    <row r="9">
      <c r="A9" s="13" t="inlineStr">
        <is>
          <t>7452</t>
        </is>
      </c>
      <c r="B9" s="14" t="inlineStr">
        <is>
          <t>Raj nagar plain white marble (table rubbed and polished) 18 mm thick (slab area upto 0.50 sqm)</t>
        </is>
      </c>
      <c r="C9" s="13" t="inlineStr">
        <is>
          <t>sqm</t>
        </is>
      </c>
      <c r="D9" s="15" t="n">
        <v>0.6</v>
      </c>
      <c r="E9" s="16" t="n">
        <v>575</v>
      </c>
      <c r="F9" s="16">
        <f>D9*E9</f>
        <v/>
      </c>
    </row>
    <row r="10">
      <c r="A10" s="13" t="inlineStr">
        <is>
          <t>2216</t>
        </is>
      </c>
      <c r="B10" s="14" t="inlineStr">
        <is>
          <t>Carriage of Stone blocks white &amp; red sand stone &amp; kota stone slab</t>
        </is>
      </c>
      <c r="C10" s="13" t="inlineStr">
        <is>
          <t>tonne</t>
        </is>
      </c>
      <c r="D10" s="15" t="n">
        <v>0.03</v>
      </c>
      <c r="E10" s="16" t="n">
        <v>92.23999999999999</v>
      </c>
      <c r="F10" s="16">
        <f>D10*E10</f>
        <v/>
      </c>
    </row>
    <row r="11">
      <c r="A11" s="13" t="inlineStr">
        <is>
          <t>0126</t>
        </is>
      </c>
      <c r="B11" s="14" t="inlineStr">
        <is>
          <t>Mason (for ornamental stone work) 1st class</t>
        </is>
      </c>
      <c r="C11" s="13" t="inlineStr">
        <is>
          <t>day</t>
        </is>
      </c>
      <c r="D11" s="15" t="n">
        <v>0.335</v>
      </c>
      <c r="E11" s="16" t="n">
        <v>738</v>
      </c>
      <c r="F11" s="16">
        <f>D11*E11</f>
        <v/>
      </c>
    </row>
    <row r="12">
      <c r="A12" s="13" t="inlineStr">
        <is>
          <t>0100</t>
        </is>
      </c>
      <c r="B12" s="14" t="inlineStr">
        <is>
          <t>Bandhani</t>
        </is>
      </c>
      <c r="C12" s="13" t="inlineStr">
        <is>
          <t>day</t>
        </is>
      </c>
      <c r="D12" s="15" t="n">
        <v>0.335</v>
      </c>
      <c r="E12" s="16" t="n">
        <v>617</v>
      </c>
      <c r="F12" s="16">
        <f>D12*E12</f>
        <v/>
      </c>
    </row>
    <row r="13">
      <c r="A13" s="13" t="inlineStr">
        <is>
          <t>0114</t>
        </is>
      </c>
      <c r="B13" s="14" t="inlineStr">
        <is>
          <t>Beldar</t>
        </is>
      </c>
      <c r="C13" s="13" t="inlineStr">
        <is>
          <t>day</t>
        </is>
      </c>
      <c r="D13" s="15" t="n">
        <v>0.335</v>
      </c>
      <c r="E13" s="16" t="n">
        <v>558</v>
      </c>
      <c r="F13" s="16">
        <f>D13*E13</f>
        <v/>
      </c>
    </row>
    <row r="14">
      <c r="A14" s="13" t="inlineStr">
        <is>
          <t>0115</t>
        </is>
      </c>
      <c r="B14" s="14" t="inlineStr">
        <is>
          <t>Coolie</t>
        </is>
      </c>
      <c r="C14" s="13" t="inlineStr">
        <is>
          <t>day</t>
        </is>
      </c>
      <c r="D14" s="15" t="n">
        <v>0.335</v>
      </c>
      <c r="E14" s="16" t="n">
        <v>558</v>
      </c>
      <c r="F14" s="16">
        <f>D14*E14</f>
        <v/>
      </c>
    </row>
    <row r="15">
      <c r="A15" s="13" t="inlineStr">
        <is>
          <t>0101</t>
        </is>
      </c>
      <c r="B15" s="14" t="inlineStr">
        <is>
          <t>Bhisti</t>
        </is>
      </c>
      <c r="C15" s="13" t="inlineStr">
        <is>
          <t>day</t>
        </is>
      </c>
      <c r="D15" s="15" t="n">
        <v>0.335</v>
      </c>
      <c r="E15" s="16" t="n">
        <v>617</v>
      </c>
      <c r="F15" s="16">
        <f>D15*E15</f>
        <v/>
      </c>
    </row>
    <row r="16">
      <c r="A16" s="13" t="inlineStr">
        <is>
          <t>0128</t>
        </is>
      </c>
      <c r="B16" s="14" t="inlineStr">
        <is>
          <t>Mate</t>
        </is>
      </c>
      <c r="C16" s="13" t="inlineStr">
        <is>
          <t>day</t>
        </is>
      </c>
      <c r="D16" s="15" t="n">
        <v>0.165</v>
      </c>
      <c r="E16" s="16" t="n">
        <v>617</v>
      </c>
      <c r="F16" s="16">
        <f>D16*E16</f>
        <v/>
      </c>
    </row>
    <row r="17">
      <c r="A17" s="13" t="inlineStr">
        <is>
          <t>0102</t>
        </is>
      </c>
      <c r="B17" s="14" t="inlineStr">
        <is>
          <t>Blacksmith 1st class</t>
        </is>
      </c>
      <c r="C17" s="13" t="inlineStr">
        <is>
          <t>day</t>
        </is>
      </c>
      <c r="D17" s="15" t="n">
        <v>0.135</v>
      </c>
      <c r="E17" s="16" t="n">
        <v>738</v>
      </c>
      <c r="F17" s="16">
        <f>D17*E17</f>
        <v/>
      </c>
    </row>
    <row r="18">
      <c r="A18" s="13" t="inlineStr">
        <is>
          <t>9999</t>
        </is>
      </c>
      <c r="B18" s="14" t="inlineStr">
        <is>
          <t>Scaffolding</t>
        </is>
      </c>
      <c r="C18" s="13" t="inlineStr">
        <is>
          <t>L.S.</t>
        </is>
      </c>
      <c r="D18" s="15" t="n">
        <v>13.39</v>
      </c>
      <c r="E18" s="16" t="n">
        <v>2</v>
      </c>
      <c r="F18" s="16">
        <f>D18*E18</f>
        <v/>
      </c>
    </row>
    <row r="19">
      <c r="A19" s="17" t="inlineStr">
        <is>
          <t>Resource Total (Material + Labour + Machinery, as printed)</t>
        </is>
      </c>
      <c r="B19" s="18" t="n"/>
      <c r="C19" s="18" t="n"/>
      <c r="D19" s="18" t="n"/>
      <c r="E19" s="18" t="n"/>
      <c r="F19" s="19">
        <f>SUM(F7:F18)</f>
        <v/>
      </c>
    </row>
    <row r="20">
      <c r="A20" s="20" t="inlineStr">
        <is>
          <t>SAY (Rs.) — final DAR rate</t>
        </is>
      </c>
      <c r="B20" s="21" t="n"/>
      <c r="C20" s="21" t="n"/>
      <c r="D20" s="21" t="n"/>
      <c r="E20" s="21" t="n"/>
      <c r="F20" s="22" t="n">
        <v>4439.4</v>
      </c>
    </row>
    <row r="22" ht="18" customHeight="1">
      <c r="A22" s="9" t="inlineStr">
        <is>
          <t>8.1.1.2</t>
        </is>
      </c>
      <c r="B22" s="10" t="inlineStr">
        <is>
          <t>Area of slab over 0.50 sqm</t>
        </is>
      </c>
      <c r="C22" s="11" t="n"/>
      <c r="D22" s="11" t="n"/>
      <c r="E22" s="11" t="n"/>
      <c r="F22" s="11" t="n"/>
    </row>
    <row r="23">
      <c r="A23" s="12" t="inlineStr">
        <is>
          <t>Rate basis: per sqm  (source: cost for 1 sqm)</t>
        </is>
      </c>
    </row>
    <row r="24">
      <c r="A24" s="5" t="inlineStr">
        <is>
          <t>Code</t>
        </is>
      </c>
      <c r="B24" s="5" t="inlineStr">
        <is>
          <t>Description</t>
        </is>
      </c>
      <c r="C24" s="5" t="inlineStr">
        <is>
          <t>Unit</t>
        </is>
      </c>
      <c r="D24" s="5" t="inlineStr">
        <is>
          <t>Quantity</t>
        </is>
      </c>
      <c r="E24" s="5" t="inlineStr">
        <is>
          <t>Rate (Rs.)</t>
        </is>
      </c>
      <c r="F24" s="5" t="inlineStr">
        <is>
          <t>Amount (Rs.)</t>
        </is>
      </c>
    </row>
    <row r="25">
      <c r="A25" s="13" t="inlineStr">
        <is>
          <t>3.8</t>
        </is>
      </c>
      <c r="B25" s="14" t="inlineStr">
        <is>
          <t>Rate as per SH: 3.8</t>
        </is>
      </c>
      <c r="C25" s="13" t="inlineStr">
        <is>
          <t>cum</t>
        </is>
      </c>
      <c r="D25" s="15" t="n">
        <v>0.0144</v>
      </c>
      <c r="E25" s="16" t="n">
        <v>4664.55</v>
      </c>
      <c r="F25" s="16">
        <f>D25*E25</f>
        <v/>
      </c>
    </row>
    <row r="26">
      <c r="A26" s="13" t="inlineStr">
        <is>
          <t>3.15</t>
        </is>
      </c>
      <c r="B26" s="14" t="inlineStr">
        <is>
          <t>Rate as per SH: 3.15</t>
        </is>
      </c>
      <c r="C26" s="13" t="inlineStr">
        <is>
          <t>cum</t>
        </is>
      </c>
      <c r="D26" s="15" t="n">
        <v>0.0025</v>
      </c>
      <c r="E26" s="16" t="n">
        <v>9393.35</v>
      </c>
      <c r="F26" s="16">
        <f>D26*E26</f>
        <v/>
      </c>
    </row>
    <row r="27">
      <c r="A27" s="13" t="inlineStr">
        <is>
          <t>7453</t>
        </is>
      </c>
      <c r="B27" s="14" t="inlineStr">
        <is>
          <t>Raj nagar plain white marble (table rubbed and polished) 18 mm thick (slab area more than 0.50 sqm)</t>
        </is>
      </c>
      <c r="C27" s="13" t="inlineStr">
        <is>
          <t>sqm</t>
        </is>
      </c>
      <c r="D27" s="15" t="n">
        <v>1.2</v>
      </c>
      <c r="E27" s="16" t="n">
        <v>690</v>
      </c>
      <c r="F27" s="16">
        <f>D27*E27</f>
        <v/>
      </c>
    </row>
    <row r="28">
      <c r="A28" s="13" t="inlineStr">
        <is>
          <t>2216</t>
        </is>
      </c>
      <c r="B28" s="14" t="inlineStr">
        <is>
          <t>Carriage of Stone blocks white &amp; red sand stone &amp; kota stone slab</t>
        </is>
      </c>
      <c r="C28" s="13" t="inlineStr">
        <is>
          <t>tonne</t>
        </is>
      </c>
      <c r="D28" s="15" t="n">
        <v>0.06</v>
      </c>
      <c r="E28" s="16" t="n">
        <v>92.23999999999999</v>
      </c>
      <c r="F28" s="16">
        <f>D28*E28</f>
        <v/>
      </c>
    </row>
    <row r="29">
      <c r="A29" s="13" t="inlineStr">
        <is>
          <t>0126</t>
        </is>
      </c>
      <c r="B29" s="14" t="inlineStr">
        <is>
          <t>Mason (for ornamental stone work) 1st class</t>
        </is>
      </c>
      <c r="C29" s="13" t="inlineStr">
        <is>
          <t>day</t>
        </is>
      </c>
      <c r="D29" s="15" t="n">
        <v>0.67</v>
      </c>
      <c r="E29" s="16" t="n">
        <v>738</v>
      </c>
      <c r="F29" s="16">
        <f>D29*E29</f>
        <v/>
      </c>
    </row>
    <row r="30">
      <c r="A30" s="13" t="inlineStr">
        <is>
          <t>0100</t>
        </is>
      </c>
      <c r="B30" s="14" t="inlineStr">
        <is>
          <t>Bandhani</t>
        </is>
      </c>
      <c r="C30" s="13" t="inlineStr">
        <is>
          <t>day</t>
        </is>
      </c>
      <c r="D30" s="15" t="n">
        <v>0.67</v>
      </c>
      <c r="E30" s="16" t="n">
        <v>617</v>
      </c>
      <c r="F30" s="16">
        <f>D30*E30</f>
        <v/>
      </c>
    </row>
    <row r="31">
      <c r="A31" s="13" t="inlineStr">
        <is>
          <t>0114</t>
        </is>
      </c>
      <c r="B31" s="14" t="inlineStr">
        <is>
          <t>Beldar</t>
        </is>
      </c>
      <c r="C31" s="13" t="inlineStr">
        <is>
          <t>day</t>
        </is>
      </c>
      <c r="D31" s="15" t="n">
        <v>0.67</v>
      </c>
      <c r="E31" s="16" t="n">
        <v>558</v>
      </c>
      <c r="F31" s="16">
        <f>D31*E31</f>
        <v/>
      </c>
    </row>
    <row r="32">
      <c r="A32" s="13" t="inlineStr">
        <is>
          <t>0115</t>
        </is>
      </c>
      <c r="B32" s="14" t="inlineStr">
        <is>
          <t>Coolie</t>
        </is>
      </c>
      <c r="C32" s="13" t="inlineStr">
        <is>
          <t>day</t>
        </is>
      </c>
      <c r="D32" s="15" t="n">
        <v>0.67</v>
      </c>
      <c r="E32" s="16" t="n">
        <v>558</v>
      </c>
      <c r="F32" s="16">
        <f>D32*E32</f>
        <v/>
      </c>
    </row>
    <row r="33">
      <c r="A33" s="13" t="inlineStr">
        <is>
          <t>0101</t>
        </is>
      </c>
      <c r="B33" s="14" t="inlineStr">
        <is>
          <t>Bhisti</t>
        </is>
      </c>
      <c r="C33" s="13" t="inlineStr">
        <is>
          <t>day</t>
        </is>
      </c>
      <c r="D33" s="15" t="n">
        <v>0.67</v>
      </c>
      <c r="E33" s="16" t="n">
        <v>617</v>
      </c>
      <c r="F33" s="16">
        <f>D33*E33</f>
        <v/>
      </c>
    </row>
    <row r="34">
      <c r="A34" s="13" t="inlineStr">
        <is>
          <t>0128</t>
        </is>
      </c>
      <c r="B34" s="14" t="inlineStr">
        <is>
          <t>Mate</t>
        </is>
      </c>
      <c r="C34" s="13" t="inlineStr">
        <is>
          <t>day</t>
        </is>
      </c>
      <c r="D34" s="15" t="n">
        <v>0.33</v>
      </c>
      <c r="E34" s="16" t="n">
        <v>617</v>
      </c>
      <c r="F34" s="16">
        <f>D34*E34</f>
        <v/>
      </c>
    </row>
    <row r="35">
      <c r="A35" s="13" t="inlineStr">
        <is>
          <t>0102</t>
        </is>
      </c>
      <c r="B35" s="14" t="inlineStr">
        <is>
          <t>Blacksmith 1st class</t>
        </is>
      </c>
      <c r="C35" s="13" t="inlineStr">
        <is>
          <t>day</t>
        </is>
      </c>
      <c r="D35" s="15" t="n">
        <v>0.27</v>
      </c>
      <c r="E35" s="16" t="n">
        <v>738</v>
      </c>
      <c r="F35" s="16">
        <f>D35*E35</f>
        <v/>
      </c>
    </row>
    <row r="36">
      <c r="A36" s="13" t="inlineStr">
        <is>
          <t>9999</t>
        </is>
      </c>
      <c r="B36" s="14" t="inlineStr">
        <is>
          <t>Scaffolding</t>
        </is>
      </c>
      <c r="C36" s="13" t="inlineStr">
        <is>
          <t>L.S.</t>
        </is>
      </c>
      <c r="D36" s="15" t="n">
        <v>26.91</v>
      </c>
      <c r="E36" s="16" t="n">
        <v>2</v>
      </c>
      <c r="F36" s="16">
        <f>D36*E36</f>
        <v/>
      </c>
    </row>
    <row r="37">
      <c r="A37" s="17" t="inlineStr">
        <is>
          <t>Resource Total (Material + Labour + Machinery, as printed)</t>
        </is>
      </c>
      <c r="B37" s="18" t="n"/>
      <c r="C37" s="18" t="n"/>
      <c r="D37" s="18" t="n"/>
      <c r="E37" s="18" t="n"/>
      <c r="F37" s="19">
        <f>SUM(F25:F36)</f>
        <v/>
      </c>
    </row>
    <row r="38">
      <c r="A38" s="20" t="inlineStr">
        <is>
          <t>SAY (Rs.) — final DAR rate</t>
        </is>
      </c>
      <c r="B38" s="21" t="n"/>
      <c r="C38" s="21" t="n"/>
      <c r="D38" s="21" t="n"/>
      <c r="E38" s="21" t="n"/>
      <c r="F38" s="22" t="n">
        <v>4615.65</v>
      </c>
    </row>
    <row r="40" ht="18" customHeight="1">
      <c r="A40" s="9" t="inlineStr">
        <is>
          <t>8.2.1.1</t>
        </is>
      </c>
      <c r="B40" s="10" t="inlineStr">
        <is>
          <t>Area of slab upto 0.50 sqm</t>
        </is>
      </c>
      <c r="C40" s="11" t="n"/>
      <c r="D40" s="11" t="n"/>
      <c r="E40" s="11" t="n"/>
      <c r="F40" s="11" t="n"/>
    </row>
    <row r="41">
      <c r="A41" s="12" t="inlineStr">
        <is>
          <t>Rate basis: per sqm  (source: cost for 0.5 sqm)</t>
        </is>
      </c>
    </row>
    <row r="42">
      <c r="A42" s="5" t="inlineStr">
        <is>
          <t>Code</t>
        </is>
      </c>
      <c r="B42" s="5" t="inlineStr">
        <is>
          <t>Description</t>
        </is>
      </c>
      <c r="C42" s="5" t="inlineStr">
        <is>
          <t>Unit</t>
        </is>
      </c>
      <c r="D42" s="5" t="inlineStr">
        <is>
          <t>Quantity</t>
        </is>
      </c>
      <c r="E42" s="5" t="inlineStr">
        <is>
          <t>Rate (Rs.)</t>
        </is>
      </c>
      <c r="F42" s="5" t="inlineStr">
        <is>
          <t>Amount (Rs.)</t>
        </is>
      </c>
    </row>
    <row r="43">
      <c r="A43" s="13" t="inlineStr">
        <is>
          <t>3.9</t>
        </is>
      </c>
      <c r="B43" s="14" t="inlineStr">
        <is>
          <t>Rate as per SH: 3.9</t>
        </is>
      </c>
      <c r="C43" s="13" t="inlineStr">
        <is>
          <t>cum</t>
        </is>
      </c>
      <c r="D43" s="15" t="n">
        <v>0.012</v>
      </c>
      <c r="E43" s="16" t="n">
        <v>4010.35</v>
      </c>
      <c r="F43" s="16">
        <f>D43*E43</f>
        <v/>
      </c>
    </row>
    <row r="44">
      <c r="A44" s="13" t="inlineStr">
        <is>
          <t>7452</t>
        </is>
      </c>
      <c r="B44" s="14" t="inlineStr">
        <is>
          <t>Raj nagar plain white marble (table rubbed and polished) 18 mm thick (slab area upto 0.50 sqm)</t>
        </is>
      </c>
      <c r="C44" s="13" t="inlineStr">
        <is>
          <t>sqm</t>
        </is>
      </c>
      <c r="D44" s="15" t="n">
        <v>0.525</v>
      </c>
      <c r="E44" s="16" t="n">
        <v>575</v>
      </c>
      <c r="F44" s="16">
        <f>D44*E44</f>
        <v/>
      </c>
    </row>
    <row r="45">
      <c r="A45" s="13" t="inlineStr">
        <is>
          <t>0123</t>
        </is>
      </c>
      <c r="B45" s="14" t="inlineStr">
        <is>
          <t>Mason (brick layer) 1st class</t>
        </is>
      </c>
      <c r="C45" s="13" t="inlineStr">
        <is>
          <t>day</t>
        </is>
      </c>
      <c r="D45" s="15" t="n">
        <v>0.48</v>
      </c>
      <c r="E45" s="16" t="n">
        <v>738</v>
      </c>
      <c r="F45" s="16">
        <f>D45*E45</f>
        <v/>
      </c>
    </row>
    <row r="46">
      <c r="A46" s="13" t="inlineStr">
        <is>
          <t>0114</t>
        </is>
      </c>
      <c r="B46" s="14" t="inlineStr">
        <is>
          <t>Beldar</t>
        </is>
      </c>
      <c r="C46" s="13" t="inlineStr">
        <is>
          <t>day</t>
        </is>
      </c>
      <c r="D46" s="15" t="n">
        <v>0.2</v>
      </c>
      <c r="E46" s="16" t="n">
        <v>558</v>
      </c>
      <c r="F46" s="16">
        <f>D46*E46</f>
        <v/>
      </c>
    </row>
    <row r="47">
      <c r="A47" s="13" t="inlineStr">
        <is>
          <t>0115</t>
        </is>
      </c>
      <c r="B47" s="14" t="inlineStr">
        <is>
          <t>Coolie</t>
        </is>
      </c>
      <c r="C47" s="13" t="inlineStr">
        <is>
          <t>day</t>
        </is>
      </c>
      <c r="D47" s="15" t="n">
        <v>0.2</v>
      </c>
      <c r="E47" s="16" t="n">
        <v>558</v>
      </c>
      <c r="F47" s="16">
        <f>D47*E47</f>
        <v/>
      </c>
    </row>
    <row r="48">
      <c r="A48" s="13" t="inlineStr">
        <is>
          <t>9999</t>
        </is>
      </c>
      <c r="B48" s="14" t="inlineStr">
        <is>
          <t>Moulding and edge polishing</t>
        </is>
      </c>
      <c r="C48" s="13" t="inlineStr">
        <is>
          <t>L.S.</t>
        </is>
      </c>
      <c r="D48" s="15" t="n">
        <v>39</v>
      </c>
      <c r="E48" s="16" t="n">
        <v>2</v>
      </c>
      <c r="F48" s="16">
        <f>D48*E48</f>
        <v/>
      </c>
    </row>
    <row r="49">
      <c r="A49" s="13" t="inlineStr">
        <is>
          <t>9999</t>
        </is>
      </c>
      <c r="B49" s="14" t="inlineStr">
        <is>
          <t>Sundries apoxy resin &amp; cutting machine etc.</t>
        </is>
      </c>
      <c r="C49" s="13" t="inlineStr">
        <is>
          <t>L.S.</t>
        </is>
      </c>
      <c r="D49" s="15" t="n">
        <v>16.25</v>
      </c>
      <c r="E49" s="16" t="n">
        <v>2</v>
      </c>
      <c r="F49" s="16">
        <f>D49*E49</f>
        <v/>
      </c>
    </row>
    <row r="50">
      <c r="A50" s="17" t="inlineStr">
        <is>
          <t>Resource Total (Material + Labour + Machinery, as printed)</t>
        </is>
      </c>
      <c r="B50" s="18" t="n"/>
      <c r="C50" s="18" t="n"/>
      <c r="D50" s="18" t="n"/>
      <c r="E50" s="18" t="n"/>
      <c r="F50" s="19">
        <f>SUM(F43:F49)</f>
        <v/>
      </c>
    </row>
    <row r="51">
      <c r="A51" s="20" t="inlineStr">
        <is>
          <t>SAY (Rs.) — final DAR rate</t>
        </is>
      </c>
      <c r="B51" s="21" t="n"/>
      <c r="C51" s="21" t="n"/>
      <c r="D51" s="21" t="n"/>
      <c r="E51" s="21" t="n"/>
      <c r="F51" s="22" t="n">
        <v>2777.4</v>
      </c>
    </row>
    <row r="53" ht="18" customHeight="1">
      <c r="A53" s="9" t="inlineStr">
        <is>
          <t>8.2.1.2</t>
        </is>
      </c>
      <c r="B53" s="10" t="inlineStr">
        <is>
          <t>Area of slab over 0.50 sqm</t>
        </is>
      </c>
      <c r="C53" s="11" t="n"/>
      <c r="D53" s="11" t="n"/>
      <c r="E53" s="11" t="n"/>
      <c r="F53" s="11" t="n"/>
    </row>
    <row r="54">
      <c r="A54" s="12" t="inlineStr">
        <is>
          <t>Rate basis: per sqm  (source: cost for 1 sqm)</t>
        </is>
      </c>
    </row>
    <row r="55">
      <c r="A55" s="5" t="inlineStr">
        <is>
          <t>Code</t>
        </is>
      </c>
      <c r="B55" s="5" t="inlineStr">
        <is>
          <t>Description</t>
        </is>
      </c>
      <c r="C55" s="5" t="inlineStr">
        <is>
          <t>Unit</t>
        </is>
      </c>
      <c r="D55" s="5" t="inlineStr">
        <is>
          <t>Quantity</t>
        </is>
      </c>
      <c r="E55" s="5" t="inlineStr">
        <is>
          <t>Rate (Rs.)</t>
        </is>
      </c>
      <c r="F55" s="5" t="inlineStr">
        <is>
          <t>Amount (Rs.)</t>
        </is>
      </c>
    </row>
    <row r="56">
      <c r="A56" s="13" t="inlineStr">
        <is>
          <t>3.9</t>
        </is>
      </c>
      <c r="B56" s="14" t="inlineStr">
        <is>
          <t>Rate as per SH: 3.9</t>
        </is>
      </c>
      <c r="C56" s="13" t="inlineStr">
        <is>
          <t>cum</t>
        </is>
      </c>
      <c r="D56" s="15" t="n">
        <v>0.024</v>
      </c>
      <c r="E56" s="16" t="n">
        <v>4010.35</v>
      </c>
      <c r="F56" s="16">
        <f>D56*E56</f>
        <v/>
      </c>
    </row>
    <row r="57">
      <c r="A57" s="13" t="inlineStr">
        <is>
          <t>7453</t>
        </is>
      </c>
      <c r="B57" s="14" t="inlineStr">
        <is>
          <t>Raj nagar plain white marble (table rubbed and polished) 18 mm thick (slab area more than 0.50 sqm)</t>
        </is>
      </c>
      <c r="C57" s="13" t="inlineStr">
        <is>
          <t>sqm</t>
        </is>
      </c>
      <c r="D57" s="15" t="n">
        <v>1.05</v>
      </c>
      <c r="E57" s="16" t="n">
        <v>690</v>
      </c>
      <c r="F57" s="16">
        <f>D57*E57</f>
        <v/>
      </c>
    </row>
    <row r="58">
      <c r="A58" s="13" t="inlineStr">
        <is>
          <t>0123</t>
        </is>
      </c>
      <c r="B58" s="14" t="inlineStr">
        <is>
          <t>Mason (brick layer) 1st class</t>
        </is>
      </c>
      <c r="C58" s="13" t="inlineStr">
        <is>
          <t>day</t>
        </is>
      </c>
      <c r="D58" s="15" t="n">
        <v>0.72</v>
      </c>
      <c r="E58" s="16" t="n">
        <v>738</v>
      </c>
      <c r="F58" s="16">
        <f>D58*E58</f>
        <v/>
      </c>
    </row>
    <row r="59">
      <c r="A59" s="13" t="inlineStr">
        <is>
          <t>0114</t>
        </is>
      </c>
      <c r="B59" s="14" t="inlineStr">
        <is>
          <t>Beldar</t>
        </is>
      </c>
      <c r="C59" s="13" t="inlineStr">
        <is>
          <t>day</t>
        </is>
      </c>
      <c r="D59" s="15" t="n">
        <v>0.3</v>
      </c>
      <c r="E59" s="16" t="n">
        <v>558</v>
      </c>
      <c r="F59" s="16">
        <f>D59*E59</f>
        <v/>
      </c>
    </row>
    <row r="60">
      <c r="A60" s="13" t="inlineStr">
        <is>
          <t>0115</t>
        </is>
      </c>
      <c r="B60" s="14" t="inlineStr">
        <is>
          <t>Coolie</t>
        </is>
      </c>
      <c r="C60" s="13" t="inlineStr">
        <is>
          <t>day</t>
        </is>
      </c>
      <c r="D60" s="15" t="n">
        <v>0.3</v>
      </c>
      <c r="E60" s="16" t="n">
        <v>558</v>
      </c>
      <c r="F60" s="16">
        <f>D60*E60</f>
        <v/>
      </c>
    </row>
    <row r="61">
      <c r="A61" s="13" t="inlineStr">
        <is>
          <t>9999</t>
        </is>
      </c>
      <c r="B61" s="14" t="inlineStr">
        <is>
          <t>Moulding and edge polishing</t>
        </is>
      </c>
      <c r="C61" s="13" t="inlineStr">
        <is>
          <t>L.S.</t>
        </is>
      </c>
      <c r="D61" s="15" t="n">
        <v>78</v>
      </c>
      <c r="E61" s="16" t="n">
        <v>2</v>
      </c>
      <c r="F61" s="16">
        <f>D61*E61</f>
        <v/>
      </c>
    </row>
    <row r="62">
      <c r="A62" s="13" t="inlineStr">
        <is>
          <t>9999</t>
        </is>
      </c>
      <c r="B62" s="14" t="inlineStr">
        <is>
          <t>Sundries apoxy resin &amp; cutting machine etc.</t>
        </is>
      </c>
      <c r="C62" s="13" t="inlineStr">
        <is>
          <t>L.S.</t>
        </is>
      </c>
      <c r="D62" s="15" t="n">
        <v>32.5</v>
      </c>
      <c r="E62" s="16" t="n">
        <v>2</v>
      </c>
      <c r="F62" s="16">
        <f>D62*E62</f>
        <v/>
      </c>
    </row>
    <row r="63">
      <c r="A63" s="17" t="inlineStr">
        <is>
          <t>Resource Total (Material + Labour + Machinery, as printed)</t>
        </is>
      </c>
      <c r="B63" s="18" t="n"/>
      <c r="C63" s="18" t="n"/>
      <c r="D63" s="18" t="n"/>
      <c r="E63" s="18" t="n"/>
      <c r="F63" s="19">
        <f>SUM(F56:F62)</f>
        <v/>
      </c>
    </row>
    <row r="64">
      <c r="A64" s="20" t="inlineStr">
        <is>
          <t>SAY (Rs.) — final DAR rate</t>
        </is>
      </c>
      <c r="B64" s="21" t="n"/>
      <c r="C64" s="21" t="n"/>
      <c r="D64" s="21" t="n"/>
      <c r="E64" s="21" t="n"/>
      <c r="F64" s="22" t="n">
        <v>2552.65</v>
      </c>
    </row>
    <row r="66" ht="18" customHeight="1">
      <c r="A66" s="9" t="inlineStr">
        <is>
          <t>8.2.2.1</t>
        </is>
      </c>
      <c r="B66" s="10" t="inlineStr">
        <is>
          <t>Area of slab upto 0.50 sqm</t>
        </is>
      </c>
      <c r="C66" s="11" t="n"/>
      <c r="D66" s="11" t="n"/>
      <c r="E66" s="11" t="n"/>
      <c r="F66" s="11" t="n"/>
    </row>
    <row r="67">
      <c r="A67" s="12" t="inlineStr">
        <is>
          <t>Rate basis: per sqm  (source: cost for 0.5 sqm)</t>
        </is>
      </c>
    </row>
    <row r="68">
      <c r="A68" s="5" t="inlineStr">
        <is>
          <t>Code</t>
        </is>
      </c>
      <c r="B68" s="5" t="inlineStr">
        <is>
          <t>Description</t>
        </is>
      </c>
      <c r="C68" s="5" t="inlineStr">
        <is>
          <t>Unit</t>
        </is>
      </c>
      <c r="D68" s="5" t="inlineStr">
        <is>
          <t>Quantity</t>
        </is>
      </c>
      <c r="E68" s="5" t="inlineStr">
        <is>
          <t>Rate (Rs.)</t>
        </is>
      </c>
      <c r="F68" s="5" t="inlineStr">
        <is>
          <t>Amount (Rs.)</t>
        </is>
      </c>
    </row>
    <row r="69">
      <c r="A69" s="13" t="inlineStr">
        <is>
          <t>3.9</t>
        </is>
      </c>
      <c r="B69" s="14" t="inlineStr">
        <is>
          <t>Rate as per SH: 3.9</t>
        </is>
      </c>
      <c r="C69" s="13" t="inlineStr">
        <is>
          <t>cum</t>
        </is>
      </c>
      <c r="D69" s="15" t="n">
        <v>0.012</v>
      </c>
      <c r="E69" s="16" t="n">
        <v>4010.35</v>
      </c>
      <c r="F69" s="16">
        <f>D69*E69</f>
        <v/>
      </c>
    </row>
    <row r="70">
      <c r="A70" s="13" t="inlineStr">
        <is>
          <t>7295</t>
        </is>
      </c>
      <c r="B70" s="14" t="inlineStr">
        <is>
          <t>Granite of any colour, 18 mm thick (slab area upto 0.50 sqm)</t>
        </is>
      </c>
      <c r="C70" s="13" t="inlineStr">
        <is>
          <t>sqm</t>
        </is>
      </c>
      <c r="D70" s="15" t="n">
        <v>0.525</v>
      </c>
      <c r="E70" s="16" t="n">
        <v>1600</v>
      </c>
      <c r="F70" s="16">
        <f>D70*E70</f>
        <v/>
      </c>
    </row>
    <row r="71">
      <c r="A71" s="13" t="inlineStr">
        <is>
          <t>0123</t>
        </is>
      </c>
      <c r="B71" s="14" t="inlineStr">
        <is>
          <t>Mason (brick layer) 1st class</t>
        </is>
      </c>
      <c r="C71" s="13" t="inlineStr">
        <is>
          <t>day</t>
        </is>
      </c>
      <c r="D71" s="15" t="n">
        <v>0.48</v>
      </c>
      <c r="E71" s="16" t="n">
        <v>738</v>
      </c>
      <c r="F71" s="16">
        <f>D71*E71</f>
        <v/>
      </c>
    </row>
    <row r="72">
      <c r="A72" s="13" t="inlineStr">
        <is>
          <t>0114</t>
        </is>
      </c>
      <c r="B72" s="14" t="inlineStr">
        <is>
          <t>Beldar</t>
        </is>
      </c>
      <c r="C72" s="13" t="inlineStr">
        <is>
          <t>day</t>
        </is>
      </c>
      <c r="D72" s="15" t="n">
        <v>0.2</v>
      </c>
      <c r="E72" s="16" t="n">
        <v>558</v>
      </c>
      <c r="F72" s="16">
        <f>D72*E72</f>
        <v/>
      </c>
    </row>
    <row r="73">
      <c r="A73" s="13" t="inlineStr">
        <is>
          <t>0115</t>
        </is>
      </c>
      <c r="B73" s="14" t="inlineStr">
        <is>
          <t>Coolie</t>
        </is>
      </c>
      <c r="C73" s="13" t="inlineStr">
        <is>
          <t>day</t>
        </is>
      </c>
      <c r="D73" s="15" t="n">
        <v>0.2</v>
      </c>
      <c r="E73" s="16" t="n">
        <v>558</v>
      </c>
      <c r="F73" s="16">
        <f>D73*E73</f>
        <v/>
      </c>
    </row>
    <row r="74">
      <c r="A74" s="13" t="inlineStr">
        <is>
          <t>9999</t>
        </is>
      </c>
      <c r="B74" s="14" t="inlineStr">
        <is>
          <t>Moulding and edge polishing</t>
        </is>
      </c>
      <c r="C74" s="13" t="inlineStr">
        <is>
          <t>L.S.</t>
        </is>
      </c>
      <c r="D74" s="15" t="n">
        <v>39</v>
      </c>
      <c r="E74" s="16" t="n">
        <v>2</v>
      </c>
      <c r="F74" s="16">
        <f>D74*E74</f>
        <v/>
      </c>
    </row>
    <row r="75">
      <c r="A75" s="13" t="inlineStr">
        <is>
          <t>9999</t>
        </is>
      </c>
      <c r="B75" s="14" t="inlineStr">
        <is>
          <t>Sundries apoxy resin &amp; cutting machine etc.</t>
        </is>
      </c>
      <c r="C75" s="13" t="inlineStr">
        <is>
          <t>L.S.</t>
        </is>
      </c>
      <c r="D75" s="15" t="n">
        <v>16.25</v>
      </c>
      <c r="E75" s="16" t="n">
        <v>2</v>
      </c>
      <c r="F75" s="16">
        <f>D75*E75</f>
        <v/>
      </c>
    </row>
    <row r="76">
      <c r="A76" s="17" t="inlineStr">
        <is>
          <t>Resource Total (Material + Labour + Machinery, as printed)</t>
        </is>
      </c>
      <c r="B76" s="18" t="n"/>
      <c r="C76" s="18" t="n"/>
      <c r="D76" s="18" t="n"/>
      <c r="E76" s="18" t="n"/>
      <c r="F76" s="19">
        <f>SUM(F69:F75)</f>
        <v/>
      </c>
    </row>
    <row r="77">
      <c r="A77" s="20" t="inlineStr">
        <is>
          <t>SAY (Rs.) — final DAR rate</t>
        </is>
      </c>
      <c r="B77" s="21" t="n"/>
      <c r="C77" s="21" t="n"/>
      <c r="D77" s="21" t="n"/>
      <c r="E77" s="21" t="n"/>
      <c r="F77" s="22" t="n">
        <v>4217.35</v>
      </c>
    </row>
    <row r="79" ht="18" customHeight="1">
      <c r="A79" s="9" t="inlineStr">
        <is>
          <t>8.2.2.2</t>
        </is>
      </c>
      <c r="B79" s="10" t="inlineStr">
        <is>
          <t>Area of slab over 0.50 sqm</t>
        </is>
      </c>
      <c r="C79" s="11" t="n"/>
      <c r="D79" s="11" t="n"/>
      <c r="E79" s="11" t="n"/>
      <c r="F79" s="11" t="n"/>
    </row>
    <row r="80">
      <c r="A80" s="12" t="inlineStr">
        <is>
          <t>Rate basis: per sqm  (source: cost for 2 sqm)</t>
        </is>
      </c>
    </row>
    <row r="81">
      <c r="A81" s="5" t="inlineStr">
        <is>
          <t>Code</t>
        </is>
      </c>
      <c r="B81" s="5" t="inlineStr">
        <is>
          <t>Description</t>
        </is>
      </c>
      <c r="C81" s="5" t="inlineStr">
        <is>
          <t>Unit</t>
        </is>
      </c>
      <c r="D81" s="5" t="inlineStr">
        <is>
          <t>Quantity</t>
        </is>
      </c>
      <c r="E81" s="5" t="inlineStr">
        <is>
          <t>Rate (Rs.)</t>
        </is>
      </c>
      <c r="F81" s="5" t="inlineStr">
        <is>
          <t>Amount (Rs.)</t>
        </is>
      </c>
    </row>
    <row r="82">
      <c r="A82" s="13" t="inlineStr">
        <is>
          <t>3.9</t>
        </is>
      </c>
      <c r="B82" s="14" t="inlineStr">
        <is>
          <t>Rate as per SH: 3.9</t>
        </is>
      </c>
      <c r="C82" s="13" t="inlineStr">
        <is>
          <t>cum</t>
        </is>
      </c>
      <c r="D82" s="15" t="n">
        <v>0.048</v>
      </c>
      <c r="E82" s="16" t="n">
        <v>4010.35</v>
      </c>
      <c r="F82" s="16">
        <f>D82*E82</f>
        <v/>
      </c>
    </row>
    <row r="83">
      <c r="A83" s="13" t="inlineStr">
        <is>
          <t>7297</t>
        </is>
      </c>
      <c r="B83" s="14" t="inlineStr">
        <is>
          <t>Granite of any colour, 18 mm thick (slab area above 0.50 sqm)</t>
        </is>
      </c>
      <c r="C83" s="13" t="inlineStr">
        <is>
          <t>sqm</t>
        </is>
      </c>
      <c r="D83" s="15" t="n">
        <v>2.1</v>
      </c>
      <c r="E83" s="16" t="n">
        <v>1800</v>
      </c>
      <c r="F83" s="16">
        <f>D83*E83</f>
        <v/>
      </c>
    </row>
    <row r="84">
      <c r="A84" s="13" t="inlineStr">
        <is>
          <t>0123</t>
        </is>
      </c>
      <c r="B84" s="14" t="inlineStr">
        <is>
          <t>Mason (brick layer) 1st class</t>
        </is>
      </c>
      <c r="C84" s="13" t="inlineStr">
        <is>
          <t>day</t>
        </is>
      </c>
      <c r="D84" s="15" t="n">
        <v>1.44</v>
      </c>
      <c r="E84" s="16" t="n">
        <v>738</v>
      </c>
      <c r="F84" s="16">
        <f>D84*E84</f>
        <v/>
      </c>
    </row>
    <row r="85">
      <c r="A85" s="13" t="inlineStr">
        <is>
          <t>0114</t>
        </is>
      </c>
      <c r="B85" s="14" t="inlineStr">
        <is>
          <t>Beldar</t>
        </is>
      </c>
      <c r="C85" s="13" t="inlineStr">
        <is>
          <t>day</t>
        </is>
      </c>
      <c r="D85" s="15" t="n">
        <v>0.6</v>
      </c>
      <c r="E85" s="16" t="n">
        <v>558</v>
      </c>
      <c r="F85" s="16">
        <f>D85*E85</f>
        <v/>
      </c>
    </row>
    <row r="86">
      <c r="A86" s="13" t="inlineStr">
        <is>
          <t>0115</t>
        </is>
      </c>
      <c r="B86" s="14" t="inlineStr">
        <is>
          <t>Coolie</t>
        </is>
      </c>
      <c r="C86" s="13" t="inlineStr">
        <is>
          <t>day</t>
        </is>
      </c>
      <c r="D86" s="15" t="n">
        <v>0.6</v>
      </c>
      <c r="E86" s="16" t="n">
        <v>558</v>
      </c>
      <c r="F86" s="16">
        <f>D86*E86</f>
        <v/>
      </c>
    </row>
    <row r="87">
      <c r="A87" s="13" t="inlineStr">
        <is>
          <t>9999</t>
        </is>
      </c>
      <c r="B87" s="14" t="inlineStr">
        <is>
          <t>Moulding and edge polishing</t>
        </is>
      </c>
      <c r="C87" s="13" t="inlineStr">
        <is>
          <t>L.S.</t>
        </is>
      </c>
      <c r="D87" s="15" t="n">
        <v>78</v>
      </c>
      <c r="E87" s="16" t="n">
        <v>2</v>
      </c>
      <c r="F87" s="16">
        <f>D87*E87</f>
        <v/>
      </c>
    </row>
    <row r="88">
      <c r="A88" s="13" t="inlineStr">
        <is>
          <t>9999</t>
        </is>
      </c>
      <c r="B88" s="14" t="inlineStr">
        <is>
          <t>Sundries apoxy resin &amp; cutting machine etc.</t>
        </is>
      </c>
      <c r="C88" s="13" t="inlineStr">
        <is>
          <t>L.S.</t>
        </is>
      </c>
      <c r="D88" s="15" t="n">
        <v>65</v>
      </c>
      <c r="E88" s="16" t="n">
        <v>2</v>
      </c>
      <c r="F88" s="16">
        <f>D88*E88</f>
        <v/>
      </c>
    </row>
    <row r="89">
      <c r="A89" s="17" t="inlineStr">
        <is>
          <t>Resource Total (Material + Labour + Machinery, as printed)</t>
        </is>
      </c>
      <c r="B89" s="18" t="n"/>
      <c r="C89" s="18" t="n"/>
      <c r="D89" s="18" t="n"/>
      <c r="E89" s="18" t="n"/>
      <c r="F89" s="19">
        <f>SUM(F82:F88)</f>
        <v/>
      </c>
    </row>
    <row r="90">
      <c r="A90" s="20" t="inlineStr">
        <is>
          <t>SAY (Rs.) — final DAR rate</t>
        </is>
      </c>
      <c r="B90" s="21" t="n"/>
      <c r="C90" s="21" t="n"/>
      <c r="D90" s="21" t="n"/>
      <c r="E90" s="21" t="n"/>
      <c r="F90" s="22" t="n">
        <v>4007.65</v>
      </c>
    </row>
    <row r="92" ht="18" customHeight="1">
      <c r="A92" s="9" t="inlineStr">
        <is>
          <t>8.3.1</t>
        </is>
      </c>
      <c r="B92" s="10" t="inlineStr">
        <is>
          <t>Marble work</t>
        </is>
      </c>
      <c r="C92" s="11" t="n"/>
      <c r="D92" s="11" t="n"/>
      <c r="E92" s="11" t="n"/>
      <c r="F92" s="11" t="n"/>
    </row>
    <row r="93">
      <c r="A93" s="12" t="inlineStr">
        <is>
          <t>Rate basis: per m  (source: cost for 10 m)</t>
        </is>
      </c>
    </row>
    <row r="94">
      <c r="A94" s="5" t="inlineStr">
        <is>
          <t>Code</t>
        </is>
      </c>
      <c r="B94" s="5" t="inlineStr">
        <is>
          <t>Description</t>
        </is>
      </c>
      <c r="C94" s="5" t="inlineStr">
        <is>
          <t>Unit</t>
        </is>
      </c>
      <c r="D94" s="5" t="inlineStr">
        <is>
          <t>Quantity</t>
        </is>
      </c>
      <c r="E94" s="5" t="inlineStr">
        <is>
          <t>Rate (Rs.)</t>
        </is>
      </c>
      <c r="F94" s="5" t="inlineStr">
        <is>
          <t>Amount (Rs.)</t>
        </is>
      </c>
    </row>
    <row r="95">
      <c r="A95" s="13" t="inlineStr">
        <is>
          <t>0019</t>
        </is>
      </c>
      <c r="B95" s="14" t="inlineStr">
        <is>
          <t>Hand Grinder For mirror polish</t>
        </is>
      </c>
      <c r="C95" s="13" t="inlineStr">
        <is>
          <t>day</t>
        </is>
      </c>
      <c r="D95" s="15" t="n">
        <v>1.5</v>
      </c>
      <c r="E95" s="16" t="n">
        <v>250</v>
      </c>
      <c r="F95" s="16">
        <f>D95*E95</f>
        <v/>
      </c>
    </row>
    <row r="96">
      <c r="A96" s="13" t="inlineStr">
        <is>
          <t>0114</t>
        </is>
      </c>
      <c r="B96" s="14" t="inlineStr">
        <is>
          <t>Beldar</t>
        </is>
      </c>
      <c r="C96" s="13" t="inlineStr">
        <is>
          <t>day</t>
        </is>
      </c>
      <c r="D96" s="15" t="n">
        <v>2</v>
      </c>
      <c r="E96" s="16" t="n">
        <v>558</v>
      </c>
      <c r="F96" s="16">
        <f>D96*E96</f>
        <v/>
      </c>
    </row>
    <row r="97">
      <c r="A97" s="13" t="inlineStr">
        <is>
          <t>9999</t>
        </is>
      </c>
      <c r="B97" s="14" t="inlineStr">
        <is>
          <t>Sundries Blades &amp; Polished etc.</t>
        </is>
      </c>
      <c r="C97" s="13" t="inlineStr">
        <is>
          <t>L.S.</t>
        </is>
      </c>
      <c r="D97" s="15" t="n">
        <v>78</v>
      </c>
      <c r="E97" s="16" t="n">
        <v>2</v>
      </c>
      <c r="F97" s="16">
        <f>D97*E97</f>
        <v/>
      </c>
    </row>
    <row r="98">
      <c r="A98" s="17" t="inlineStr">
        <is>
          <t>Resource Total (Material + Labour + Machinery, as printed)</t>
        </is>
      </c>
      <c r="B98" s="18" t="n"/>
      <c r="C98" s="18" t="n"/>
      <c r="D98" s="18" t="n"/>
      <c r="E98" s="18" t="n"/>
      <c r="F98" s="19">
        <f>SUM(F95:F97)</f>
        <v/>
      </c>
    </row>
    <row r="99">
      <c r="A99" s="20" t="inlineStr">
        <is>
          <t>SAY (Rs.) — final DAR rate</t>
        </is>
      </c>
      <c r="B99" s="21" t="n"/>
      <c r="C99" s="21" t="n"/>
      <c r="D99" s="21" t="n"/>
      <c r="E99" s="21" t="n"/>
      <c r="F99" s="22" t="n">
        <v>220.35</v>
      </c>
    </row>
    <row r="101" ht="18" customHeight="1">
      <c r="A101" s="9" t="inlineStr">
        <is>
          <t>8.3.2</t>
        </is>
      </c>
      <c r="B101" s="10" t="inlineStr">
        <is>
          <t>Granite work</t>
        </is>
      </c>
      <c r="C101" s="11" t="n"/>
      <c r="D101" s="11" t="n"/>
      <c r="E101" s="11" t="n"/>
      <c r="F101" s="11" t="n"/>
    </row>
    <row r="102">
      <c r="A102" s="12" t="inlineStr">
        <is>
          <t>Rate basis: per m  (source: cost for 10 m)</t>
        </is>
      </c>
    </row>
    <row r="103">
      <c r="A103" s="5" t="inlineStr">
        <is>
          <t>Code</t>
        </is>
      </c>
      <c r="B103" s="5" t="inlineStr">
        <is>
          <t>Description</t>
        </is>
      </c>
      <c r="C103" s="5" t="inlineStr">
        <is>
          <t>Unit</t>
        </is>
      </c>
      <c r="D103" s="5" t="inlineStr">
        <is>
          <t>Quantity</t>
        </is>
      </c>
      <c r="E103" s="5" t="inlineStr">
        <is>
          <t>Rate (Rs.)</t>
        </is>
      </c>
      <c r="F103" s="5" t="inlineStr">
        <is>
          <t>Amount (Rs.)</t>
        </is>
      </c>
    </row>
    <row r="104">
      <c r="A104" s="13" t="inlineStr">
        <is>
          <t>0019</t>
        </is>
      </c>
      <c r="B104" s="14" t="inlineStr">
        <is>
          <t>Hand Grinder For mirror polish</t>
        </is>
      </c>
      <c r="C104" s="13" t="inlineStr">
        <is>
          <t>day</t>
        </is>
      </c>
      <c r="D104" s="15" t="n">
        <v>2.5</v>
      </c>
      <c r="E104" s="16" t="n">
        <v>250</v>
      </c>
      <c r="F104" s="16">
        <f>D104*E104</f>
        <v/>
      </c>
    </row>
    <row r="105">
      <c r="A105" s="13" t="inlineStr">
        <is>
          <t>0114</t>
        </is>
      </c>
      <c r="B105" s="14" t="inlineStr">
        <is>
          <t>Beldar</t>
        </is>
      </c>
      <c r="C105" s="13" t="inlineStr">
        <is>
          <t>day</t>
        </is>
      </c>
      <c r="D105" s="15" t="n">
        <v>3.5</v>
      </c>
      <c r="E105" s="16" t="n">
        <v>558</v>
      </c>
      <c r="F105" s="16">
        <f>D105*E105</f>
        <v/>
      </c>
    </row>
    <row r="106">
      <c r="A106" s="13" t="inlineStr">
        <is>
          <t>9999</t>
        </is>
      </c>
      <c r="B106" s="14" t="inlineStr">
        <is>
          <t>Sundries Blades &amp; Polished etc.</t>
        </is>
      </c>
      <c r="C106" s="13" t="inlineStr">
        <is>
          <t>L.S.</t>
        </is>
      </c>
      <c r="D106" s="15" t="n">
        <v>117</v>
      </c>
      <c r="E106" s="16" t="n">
        <v>2</v>
      </c>
      <c r="F106" s="16">
        <f>D106*E106</f>
        <v/>
      </c>
    </row>
    <row r="107">
      <c r="A107" s="17" t="inlineStr">
        <is>
          <t>Resource Total (Material + Labour + Machinery, as printed)</t>
        </is>
      </c>
      <c r="B107" s="18" t="n"/>
      <c r="C107" s="18" t="n"/>
      <c r="D107" s="18" t="n"/>
      <c r="E107" s="18" t="n"/>
      <c r="F107" s="19">
        <f>SUM(F104:F106)</f>
        <v/>
      </c>
    </row>
    <row r="108">
      <c r="A108" s="20" t="inlineStr">
        <is>
          <t>SAY (Rs.) — final DAR rate</t>
        </is>
      </c>
      <c r="B108" s="21" t="n"/>
      <c r="C108" s="21" t="n"/>
      <c r="D108" s="21" t="n"/>
      <c r="E108" s="21" t="n"/>
      <c r="F108" s="22" t="n">
        <v>376.25</v>
      </c>
    </row>
    <row r="110" ht="28" customHeight="1">
      <c r="A110" s="9" t="inlineStr">
        <is>
          <t>8.4</t>
        </is>
      </c>
      <c r="B110" s="10" t="inlineStr">
        <is>
          <t>Extra for fixing marble /granite stone, over and above corresponding basic item, in facia and drops of width upto 150 mm with epoxy resin ba</t>
        </is>
      </c>
      <c r="C110" s="11" t="n"/>
      <c r="D110" s="11" t="n"/>
      <c r="E110" s="11" t="n"/>
      <c r="F110" s="11" t="n"/>
    </row>
    <row r="111">
      <c r="A111" s="12" t="inlineStr">
        <is>
          <t>Rate basis: per nos  (source: cost for 1 nos)</t>
        </is>
      </c>
    </row>
    <row r="112">
      <c r="A112" s="5" t="inlineStr">
        <is>
          <t>Code</t>
        </is>
      </c>
      <c r="B112" s="5" t="inlineStr">
        <is>
          <t>Description</t>
        </is>
      </c>
      <c r="C112" s="5" t="inlineStr">
        <is>
          <t>Unit</t>
        </is>
      </c>
      <c r="D112" s="5" t="inlineStr">
        <is>
          <t>Quantity</t>
        </is>
      </c>
      <c r="E112" s="5" t="inlineStr">
        <is>
          <t>Rate (Rs.)</t>
        </is>
      </c>
      <c r="F112" s="5" t="inlineStr">
        <is>
          <t>Amount (Rs.)</t>
        </is>
      </c>
    </row>
    <row r="113">
      <c r="A113" s="13" t="inlineStr">
        <is>
          <t>3.9</t>
        </is>
      </c>
      <c r="B113" s="14" t="inlineStr">
        <is>
          <t>Rate as per SH: 3.9</t>
        </is>
      </c>
      <c r="C113" s="13" t="inlineStr">
        <is>
          <t>cum</t>
        </is>
      </c>
      <c r="D113" s="15" t="n">
        <v>0.005</v>
      </c>
      <c r="E113" s="16" t="n">
        <v>4010.35</v>
      </c>
      <c r="F113" s="16">
        <f>D113*E113</f>
        <v/>
      </c>
    </row>
    <row r="114">
      <c r="A114" s="13" t="inlineStr">
        <is>
          <t>0123</t>
        </is>
      </c>
      <c r="B114" s="14" t="inlineStr">
        <is>
          <t>Mason (brick layer) 1st class</t>
        </is>
      </c>
      <c r="C114" s="13" t="inlineStr">
        <is>
          <t>day</t>
        </is>
      </c>
      <c r="D114" s="15" t="n">
        <v>0.3</v>
      </c>
      <c r="E114" s="16" t="n">
        <v>738</v>
      </c>
      <c r="F114" s="16">
        <f>D114*E114</f>
        <v/>
      </c>
    </row>
    <row r="115">
      <c r="A115" s="13" t="inlineStr">
        <is>
          <t>0115</t>
        </is>
      </c>
      <c r="B115" s="14" t="inlineStr">
        <is>
          <t>Coolie</t>
        </is>
      </c>
      <c r="C115" s="13" t="inlineStr">
        <is>
          <t>day</t>
        </is>
      </c>
      <c r="D115" s="15" t="n">
        <v>0.3</v>
      </c>
      <c r="E115" s="16" t="n">
        <v>558</v>
      </c>
      <c r="F115" s="16">
        <f>D115*E115</f>
        <v/>
      </c>
    </row>
    <row r="116">
      <c r="A116" s="13" t="inlineStr">
        <is>
          <t>9999</t>
        </is>
      </c>
      <c r="B116" s="14" t="inlineStr">
        <is>
          <t>Scaffolding, expoxy</t>
        </is>
      </c>
      <c r="C116" s="13" t="inlineStr">
        <is>
          <t>L.S.</t>
        </is>
      </c>
      <c r="D116" s="15" t="n">
        <v>39</v>
      </c>
      <c r="E116" s="16" t="n">
        <v>2</v>
      </c>
      <c r="F116" s="16">
        <f>D116*E116</f>
        <v/>
      </c>
    </row>
    <row r="117">
      <c r="A117" s="17" t="inlineStr">
        <is>
          <t>Resource Total (Material + Labour + Machinery, as printed)</t>
        </is>
      </c>
      <c r="B117" s="18" t="n"/>
      <c r="C117" s="18" t="n"/>
      <c r="D117" s="18" t="n"/>
      <c r="E117" s="18" t="n"/>
      <c r="F117" s="19">
        <f>SUM(F113:F116)</f>
        <v/>
      </c>
    </row>
    <row r="118">
      <c r="A118" s="20" t="inlineStr">
        <is>
          <t>SAY (Rs.) — final DAR rate</t>
        </is>
      </c>
      <c r="B118" s="21" t="n"/>
      <c r="C118" s="21" t="n"/>
      <c r="D118" s="21" t="n"/>
      <c r="E118" s="21" t="n"/>
      <c r="F118" s="22" t="n">
        <v>434.25</v>
      </c>
    </row>
    <row r="120" ht="28" customHeight="1">
      <c r="A120" s="9" t="inlineStr">
        <is>
          <t>8.5</t>
        </is>
      </c>
      <c r="B120" s="10" t="inlineStr">
        <is>
          <t>Extra for providing opening of required size &amp; shape for wash basin/ kitchen sink in kitchen platform, vanity counter and similar location i</t>
        </is>
      </c>
      <c r="C120" s="11" t="n"/>
      <c r="D120" s="11" t="n"/>
      <c r="E120" s="11" t="n"/>
      <c r="F120" s="11" t="n"/>
    </row>
    <row r="121">
      <c r="A121" s="12" t="inlineStr">
        <is>
          <t>Rate basis: per nos  (source: cost for 1 nos)</t>
        </is>
      </c>
    </row>
    <row r="122">
      <c r="A122" s="5" t="inlineStr">
        <is>
          <t>Code</t>
        </is>
      </c>
      <c r="B122" s="5" t="inlineStr">
        <is>
          <t>Description</t>
        </is>
      </c>
      <c r="C122" s="5" t="inlineStr">
        <is>
          <t>Unit</t>
        </is>
      </c>
      <c r="D122" s="5" t="inlineStr">
        <is>
          <t>Quantity</t>
        </is>
      </c>
      <c r="E122" s="5" t="inlineStr">
        <is>
          <t>Rate (Rs.)</t>
        </is>
      </c>
      <c r="F122" s="5" t="inlineStr">
        <is>
          <t>Amount (Rs.)</t>
        </is>
      </c>
    </row>
    <row r="123">
      <c r="A123" s="13" t="inlineStr">
        <is>
          <t>0126</t>
        </is>
      </c>
      <c r="B123" s="14" t="inlineStr">
        <is>
          <t>Mason (for ornamental stone work) 1st class</t>
        </is>
      </c>
      <c r="C123" s="13" t="inlineStr">
        <is>
          <t>day</t>
        </is>
      </c>
      <c r="D123" s="15" t="n">
        <v>0.4</v>
      </c>
      <c r="E123" s="16" t="n">
        <v>738</v>
      </c>
      <c r="F123" s="16">
        <f>D123*E123</f>
        <v/>
      </c>
    </row>
    <row r="124">
      <c r="A124" s="13" t="inlineStr">
        <is>
          <t>0114</t>
        </is>
      </c>
      <c r="B124" s="14" t="inlineStr">
        <is>
          <t>Beldar</t>
        </is>
      </c>
      <c r="C124" s="13" t="inlineStr">
        <is>
          <t>day</t>
        </is>
      </c>
      <c r="D124" s="15" t="n">
        <v>0.4</v>
      </c>
      <c r="E124" s="16" t="n">
        <v>558</v>
      </c>
      <c r="F124" s="16">
        <f>D124*E124</f>
        <v/>
      </c>
    </row>
    <row r="125">
      <c r="A125" s="13" t="inlineStr">
        <is>
          <t>9999</t>
        </is>
      </c>
      <c r="B125" s="14" t="inlineStr">
        <is>
          <t>Sundries</t>
        </is>
      </c>
      <c r="C125" s="13" t="inlineStr">
        <is>
          <t>L.S.</t>
        </is>
      </c>
      <c r="D125" s="15" t="n">
        <v>15.3</v>
      </c>
      <c r="E125" s="16" t="n">
        <v>2</v>
      </c>
      <c r="F125" s="16">
        <f>D125*E125</f>
        <v/>
      </c>
    </row>
    <row r="126">
      <c r="A126" s="17" t="inlineStr">
        <is>
          <t>Resource Total (Material + Labour + Machinery, as printed)</t>
        </is>
      </c>
      <c r="B126" s="18" t="n"/>
      <c r="C126" s="18" t="n"/>
      <c r="D126" s="18" t="n"/>
      <c r="E126" s="18" t="n"/>
      <c r="F126" s="19">
        <f>SUM(F123:F125)</f>
        <v/>
      </c>
    </row>
    <row r="127">
      <c r="A127" s="20" t="inlineStr">
        <is>
          <t>SAY (Rs.) — final DAR rate</t>
        </is>
      </c>
      <c r="B127" s="21" t="n"/>
      <c r="C127" s="21" t="n"/>
      <c r="D127" s="21" t="n"/>
      <c r="E127" s="21" t="n"/>
      <c r="F127" s="22" t="n">
        <v>734.55</v>
      </c>
    </row>
    <row r="129" ht="28" customHeight="1">
      <c r="A129" s="9" t="inlineStr">
        <is>
          <t>8.6</t>
        </is>
      </c>
      <c r="B129" s="10" t="inlineStr">
        <is>
          <t>Mirror polishing on marble work/Granite work/stone work where ever required to give high gloss finish complete.</t>
        </is>
      </c>
      <c r="C129" s="11" t="n"/>
      <c r="D129" s="11" t="n"/>
      <c r="E129" s="11" t="n"/>
      <c r="F129" s="11" t="n"/>
    </row>
    <row r="130">
      <c r="A130" s="12" t="inlineStr">
        <is>
          <t>Rate basis: per sqm  (source: cost for 10 sqm)</t>
        </is>
      </c>
    </row>
    <row r="131">
      <c r="A131" s="5" t="inlineStr">
        <is>
          <t>Code</t>
        </is>
      </c>
      <c r="B131" s="5" t="inlineStr">
        <is>
          <t>Description</t>
        </is>
      </c>
      <c r="C131" s="5" t="inlineStr">
        <is>
          <t>Unit</t>
        </is>
      </c>
      <c r="D131" s="5" t="inlineStr">
        <is>
          <t>Quantity</t>
        </is>
      </c>
      <c r="E131" s="5" t="inlineStr">
        <is>
          <t>Rate (Rs.)</t>
        </is>
      </c>
      <c r="F131" s="5" t="inlineStr">
        <is>
          <t>Amount (Rs.)</t>
        </is>
      </c>
    </row>
    <row r="132">
      <c r="A132" s="13" t="inlineStr">
        <is>
          <t>0013</t>
        </is>
      </c>
      <c r="B132" s="14" t="inlineStr">
        <is>
          <t>Machine for rubbing of floors</t>
        </is>
      </c>
      <c r="C132" s="13" t="inlineStr">
        <is>
          <t>day</t>
        </is>
      </c>
      <c r="D132" s="15" t="n">
        <v>1</v>
      </c>
      <c r="E132" s="16" t="n">
        <v>300</v>
      </c>
      <c r="F132" s="16">
        <f>D132*E132</f>
        <v/>
      </c>
    </row>
    <row r="133">
      <c r="A133" s="13" t="inlineStr">
        <is>
          <t>0114</t>
        </is>
      </c>
      <c r="B133" s="14" t="inlineStr">
        <is>
          <t>Beldar</t>
        </is>
      </c>
      <c r="C133" s="13" t="inlineStr">
        <is>
          <t>day</t>
        </is>
      </c>
      <c r="D133" s="15" t="n">
        <v>2.5</v>
      </c>
      <c r="E133" s="16" t="n">
        <v>558</v>
      </c>
      <c r="F133" s="16">
        <f>D133*E133</f>
        <v/>
      </c>
    </row>
    <row r="134">
      <c r="A134" s="13" t="inlineStr">
        <is>
          <t>0101</t>
        </is>
      </c>
      <c r="B134" s="14" t="inlineStr">
        <is>
          <t>Bhisti</t>
        </is>
      </c>
      <c r="C134" s="13" t="inlineStr">
        <is>
          <t>day</t>
        </is>
      </c>
      <c r="D134" s="15" t="n">
        <v>1.5</v>
      </c>
      <c r="E134" s="16" t="n">
        <v>617</v>
      </c>
      <c r="F134" s="16">
        <f>D134*E134</f>
        <v/>
      </c>
    </row>
    <row r="135">
      <c r="A135" s="13" t="inlineStr">
        <is>
          <t>9999</t>
        </is>
      </c>
      <c r="B135" s="14" t="inlineStr">
        <is>
          <t>Sundries grease, mop grinding stones etc.</t>
        </is>
      </c>
      <c r="C135" s="13" t="inlineStr">
        <is>
          <t>L.S.</t>
        </is>
      </c>
      <c r="D135" s="15" t="n">
        <v>65</v>
      </c>
      <c r="E135" s="16" t="n">
        <v>2</v>
      </c>
      <c r="F135" s="16">
        <f>D135*E135</f>
        <v/>
      </c>
    </row>
    <row r="136">
      <c r="A136" s="17" t="inlineStr">
        <is>
          <t>Resource Total (Material + Labour + Machinery, as printed)</t>
        </is>
      </c>
      <c r="B136" s="18" t="n"/>
      <c r="C136" s="18" t="n"/>
      <c r="D136" s="18" t="n"/>
      <c r="E136" s="18" t="n"/>
      <c r="F136" s="19">
        <f>SUM(F132:F135)</f>
        <v/>
      </c>
    </row>
    <row r="137">
      <c r="A137" s="20" t="inlineStr">
        <is>
          <t>SAY (Rs.) — final DAR rate</t>
        </is>
      </c>
      <c r="B137" s="21" t="n"/>
      <c r="C137" s="21" t="n"/>
      <c r="D137" s="21" t="n"/>
      <c r="E137" s="21" t="n"/>
      <c r="F137" s="22" t="n">
        <v>368</v>
      </c>
    </row>
    <row r="139" ht="18" customHeight="1">
      <c r="A139" s="9" t="inlineStr">
        <is>
          <t>8.7.1</t>
        </is>
      </c>
      <c r="B139" s="10" t="inlineStr">
        <is>
          <t>Gunmetal cramps</t>
        </is>
      </c>
      <c r="C139" s="11" t="n"/>
      <c r="D139" s="11" t="n"/>
      <c r="E139" s="11" t="n"/>
      <c r="F139" s="11" t="n"/>
    </row>
    <row r="140">
      <c r="A140" s="12" t="inlineStr">
        <is>
          <t>Rate basis: per kg  (source: cost for 1.03 kg)</t>
        </is>
      </c>
    </row>
    <row r="141">
      <c r="A141" s="5" t="inlineStr">
        <is>
          <t>Code</t>
        </is>
      </c>
      <c r="B141" s="5" t="inlineStr">
        <is>
          <t>Description</t>
        </is>
      </c>
      <c r="C141" s="5" t="inlineStr">
        <is>
          <t>Unit</t>
        </is>
      </c>
      <c r="D141" s="5" t="inlineStr">
        <is>
          <t>Quantity</t>
        </is>
      </c>
      <c r="E141" s="5" t="inlineStr">
        <is>
          <t>Rate (Rs.)</t>
        </is>
      </c>
      <c r="F141" s="5" t="inlineStr">
        <is>
          <t>Amount (Rs.)</t>
        </is>
      </c>
    </row>
    <row r="142">
      <c r="A142" s="13" t="inlineStr">
        <is>
          <t>3.7</t>
        </is>
      </c>
      <c r="B142" s="14" t="inlineStr">
        <is>
          <t>Rate as per SH: 3.7</t>
        </is>
      </c>
      <c r="C142" s="13" t="inlineStr">
        <is>
          <t>cum</t>
        </is>
      </c>
      <c r="D142" s="15" t="n">
        <v>0.001</v>
      </c>
      <c r="E142" s="16" t="n">
        <v>5345.55</v>
      </c>
      <c r="F142" s="16">
        <f>D142*E142</f>
        <v/>
      </c>
    </row>
    <row r="143">
      <c r="A143" s="13" t="inlineStr">
        <is>
          <t>7338</t>
        </is>
      </c>
      <c r="B143" s="14" t="inlineStr">
        <is>
          <t>Gun metal cramp</t>
        </is>
      </c>
      <c r="C143" s="13" t="inlineStr">
        <is>
          <t>kilogram</t>
        </is>
      </c>
      <c r="D143" s="15" t="n">
        <v>1.08</v>
      </c>
      <c r="E143" s="16" t="n">
        <v>315</v>
      </c>
      <c r="F143" s="16">
        <f>D143*E143</f>
        <v/>
      </c>
    </row>
    <row r="144">
      <c r="A144" s="13" t="inlineStr">
        <is>
          <t>9977</t>
        </is>
      </c>
      <c r="B144" s="14" t="inlineStr">
        <is>
          <t>Carriage</t>
        </is>
      </c>
      <c r="C144" s="13" t="inlineStr">
        <is>
          <t>L.S.</t>
        </is>
      </c>
      <c r="D144" s="15" t="n">
        <v>3.9</v>
      </c>
      <c r="E144" s="16" t="n">
        <v>2</v>
      </c>
      <c r="F144" s="16">
        <f>D144*E144</f>
        <v/>
      </c>
    </row>
    <row r="145">
      <c r="A145" s="13" t="inlineStr">
        <is>
          <t>9999</t>
        </is>
      </c>
      <c r="B145" s="14" t="inlineStr">
        <is>
          <t>Labour for fixing in position</t>
        </is>
      </c>
      <c r="C145" s="13" t="inlineStr">
        <is>
          <t>L.S.</t>
        </is>
      </c>
      <c r="D145" s="15" t="n">
        <v>65</v>
      </c>
      <c r="E145" s="16" t="n">
        <v>2</v>
      </c>
      <c r="F145" s="16">
        <f>D145*E145</f>
        <v/>
      </c>
    </row>
    <row r="146">
      <c r="A146" s="17" t="inlineStr">
        <is>
          <t>Resource Total (Material + Labour + Machinery, as printed)</t>
        </is>
      </c>
      <c r="B146" s="18" t="n"/>
      <c r="C146" s="18" t="n"/>
      <c r="D146" s="18" t="n"/>
      <c r="E146" s="18" t="n"/>
      <c r="F146" s="19">
        <f>SUM(F142:F145)</f>
        <v/>
      </c>
    </row>
    <row r="147">
      <c r="A147" s="20" t="inlineStr">
        <is>
          <t>SAY (Rs.) — final DAR rate</t>
        </is>
      </c>
      <c r="B147" s="21" t="n"/>
      <c r="C147" s="21" t="n"/>
      <c r="D147" s="21" t="n"/>
      <c r="E147" s="21" t="n"/>
      <c r="F147" s="22" t="n">
        <v>627.85</v>
      </c>
    </row>
    <row r="149" ht="18" customHeight="1">
      <c r="A149" s="9" t="inlineStr">
        <is>
          <t>8.7.2</t>
        </is>
      </c>
      <c r="B149" s="10" t="inlineStr">
        <is>
          <t>Stainless steel cramps</t>
        </is>
      </c>
      <c r="C149" s="11" t="n"/>
      <c r="D149" s="11" t="n"/>
      <c r="E149" s="11" t="n"/>
      <c r="F149" s="11" t="n"/>
    </row>
    <row r="150">
      <c r="A150" s="12" t="inlineStr">
        <is>
          <t>Rate basis: per kg  (source: cost for 0.934 kg)</t>
        </is>
      </c>
    </row>
    <row r="151">
      <c r="A151" s="5" t="inlineStr">
        <is>
          <t>Code</t>
        </is>
      </c>
      <c r="B151" s="5" t="inlineStr">
        <is>
          <t>Description</t>
        </is>
      </c>
      <c r="C151" s="5" t="inlineStr">
        <is>
          <t>Unit</t>
        </is>
      </c>
      <c r="D151" s="5" t="inlineStr">
        <is>
          <t>Quantity</t>
        </is>
      </c>
      <c r="E151" s="5" t="inlineStr">
        <is>
          <t>Rate (Rs.)</t>
        </is>
      </c>
      <c r="F151" s="5" t="inlineStr">
        <is>
          <t>Amount (Rs.)</t>
        </is>
      </c>
    </row>
    <row r="152">
      <c r="A152" s="13" t="inlineStr">
        <is>
          <t>3.7</t>
        </is>
      </c>
      <c r="B152" s="14" t="inlineStr">
        <is>
          <t>Rate as per SH: 3.7</t>
        </is>
      </c>
      <c r="C152" s="13" t="inlineStr">
        <is>
          <t>cum</t>
        </is>
      </c>
      <c r="D152" s="15" t="n">
        <v>0.001</v>
      </c>
      <c r="E152" s="16" t="n">
        <v>5345.55</v>
      </c>
      <c r="F152" s="16">
        <f>D152*E152</f>
        <v/>
      </c>
    </row>
    <row r="153">
      <c r="A153" s="13" t="inlineStr">
        <is>
          <t>7339</t>
        </is>
      </c>
      <c r="B153" s="14" t="inlineStr">
        <is>
          <t>Stainless steel cramp</t>
        </is>
      </c>
      <c r="C153" s="13" t="inlineStr">
        <is>
          <t>kilogram</t>
        </is>
      </c>
      <c r="D153" s="15" t="n">
        <v>0.981</v>
      </c>
      <c r="E153" s="16" t="n">
        <v>290</v>
      </c>
      <c r="F153" s="16">
        <f>D153*E153</f>
        <v/>
      </c>
    </row>
    <row r="154">
      <c r="A154" s="13" t="inlineStr">
        <is>
          <t>9977</t>
        </is>
      </c>
      <c r="B154" s="14" t="inlineStr">
        <is>
          <t>Carriage</t>
        </is>
      </c>
      <c r="C154" s="13" t="inlineStr">
        <is>
          <t>L.S.</t>
        </is>
      </c>
      <c r="D154" s="15" t="n">
        <v>3.9</v>
      </c>
      <c r="E154" s="16" t="n">
        <v>2</v>
      </c>
      <c r="F154" s="16">
        <f>D154*E154</f>
        <v/>
      </c>
    </row>
    <row r="155">
      <c r="A155" s="13" t="inlineStr">
        <is>
          <t>9999</t>
        </is>
      </c>
      <c r="B155" s="14" t="inlineStr">
        <is>
          <t>Labour for fixing in position</t>
        </is>
      </c>
      <c r="C155" s="13" t="inlineStr">
        <is>
          <t>L.S.</t>
        </is>
      </c>
      <c r="D155" s="15" t="n">
        <v>65</v>
      </c>
      <c r="E155" s="16" t="n">
        <v>2</v>
      </c>
      <c r="F155" s="16">
        <f>D155*E155</f>
        <v/>
      </c>
    </row>
    <row r="156">
      <c r="A156" s="17" t="inlineStr">
        <is>
          <t>Resource Total (Material + Labour + Machinery, as printed)</t>
        </is>
      </c>
      <c r="B156" s="18" t="n"/>
      <c r="C156" s="18" t="n"/>
      <c r="D156" s="18" t="n"/>
      <c r="E156" s="18" t="n"/>
      <c r="F156" s="19">
        <f>SUM(F152:F155)</f>
        <v/>
      </c>
    </row>
    <row r="157">
      <c r="A157" s="20" t="inlineStr">
        <is>
          <t>SAY (Rs.) — final DAR rate</t>
        </is>
      </c>
      <c r="B157" s="21" t="n"/>
      <c r="C157" s="21" t="n"/>
      <c r="D157" s="21" t="n"/>
      <c r="E157" s="21" t="n"/>
      <c r="F157" s="22" t="n">
        <v>612.6</v>
      </c>
    </row>
    <row r="159" ht="18" customHeight="1">
      <c r="A159" s="9" t="inlineStr">
        <is>
          <t>8.8.1.1</t>
        </is>
      </c>
      <c r="B159" s="10" t="inlineStr">
        <is>
          <t>Fastener with threaded dia 6 mm</t>
        </is>
      </c>
      <c r="C159" s="11" t="n"/>
      <c r="D159" s="11" t="n"/>
      <c r="E159" s="11" t="n"/>
      <c r="F159" s="11" t="n"/>
    </row>
    <row r="160">
      <c r="A160" s="12" t="inlineStr">
        <is>
          <t>Rate basis: per nos  (source: cost for 30 nos)</t>
        </is>
      </c>
    </row>
    <row r="161">
      <c r="A161" s="5" t="inlineStr">
        <is>
          <t>Code</t>
        </is>
      </c>
      <c r="B161" s="5" t="inlineStr">
        <is>
          <t>Description</t>
        </is>
      </c>
      <c r="C161" s="5" t="inlineStr">
        <is>
          <t>Unit</t>
        </is>
      </c>
      <c r="D161" s="5" t="inlineStr">
        <is>
          <t>Quantity</t>
        </is>
      </c>
      <c r="E161" s="5" t="inlineStr">
        <is>
          <t>Rate (Rs.)</t>
        </is>
      </c>
      <c r="F161" s="5" t="inlineStr">
        <is>
          <t>Amount (Rs.)</t>
        </is>
      </c>
    </row>
    <row r="162">
      <c r="A162" s="13" t="inlineStr">
        <is>
          <t>7430</t>
        </is>
      </c>
      <c r="B162" s="14" t="inlineStr">
        <is>
          <t>Wedge expansion hold fastner 1/4" or 6 mm,</t>
        </is>
      </c>
      <c r="C162" s="13" t="inlineStr">
        <is>
          <t>each</t>
        </is>
      </c>
      <c r="D162" s="15" t="n">
        <v>30</v>
      </c>
      <c r="E162" s="16" t="n">
        <v>11</v>
      </c>
      <c r="F162" s="16">
        <f>D162*E162</f>
        <v/>
      </c>
    </row>
    <row r="163">
      <c r="A163" s="13" t="inlineStr">
        <is>
          <t>1034</t>
        </is>
      </c>
      <c r="B163" s="14" t="inlineStr">
        <is>
          <t>Bolts and nuts upto 300 mm in length (36.5+10mm)</t>
        </is>
      </c>
      <c r="C163" s="13" t="inlineStr">
        <is>
          <t>quintal</t>
        </is>
      </c>
      <c r="D163" s="15" t="n">
        <v>0.0045</v>
      </c>
      <c r="E163" s="16" t="n">
        <v>4800</v>
      </c>
      <c r="F163" s="16">
        <f>D163*E163</f>
        <v/>
      </c>
    </row>
    <row r="164">
      <c r="A164" s="13" t="inlineStr">
        <is>
          <t>0116</t>
        </is>
      </c>
      <c r="B164" s="14" t="inlineStr">
        <is>
          <t>Fitter (grade 1)</t>
        </is>
      </c>
      <c r="C164" s="13" t="inlineStr">
        <is>
          <t>day</t>
        </is>
      </c>
      <c r="D164" s="15" t="n">
        <v>0.25</v>
      </c>
      <c r="E164" s="16" t="n">
        <v>738</v>
      </c>
      <c r="F164" s="16">
        <f>D164*E164</f>
        <v/>
      </c>
    </row>
    <row r="165">
      <c r="A165" s="13" t="inlineStr">
        <is>
          <t>0114</t>
        </is>
      </c>
      <c r="B165" s="14" t="inlineStr">
        <is>
          <t>Beldar</t>
        </is>
      </c>
      <c r="C165" s="13" t="inlineStr">
        <is>
          <t>day</t>
        </is>
      </c>
      <c r="D165" s="15" t="n">
        <v>0.25</v>
      </c>
      <c r="E165" s="16" t="n">
        <v>558</v>
      </c>
      <c r="F165" s="16">
        <f>D165*E165</f>
        <v/>
      </c>
    </row>
    <row r="166">
      <c r="A166" s="13" t="inlineStr">
        <is>
          <t>9999</t>
        </is>
      </c>
      <c r="B166" s="14" t="inlineStr">
        <is>
          <t>Hire and running charges for hand drill machine Sundries, drilling bit scaffolding etc.</t>
        </is>
      </c>
      <c r="C166" s="13" t="inlineStr">
        <is>
          <t>L.S.</t>
        </is>
      </c>
      <c r="D166" s="15" t="n">
        <v>32.5</v>
      </c>
      <c r="E166" s="16" t="n">
        <v>2</v>
      </c>
      <c r="F166" s="16">
        <f>D166*E166</f>
        <v/>
      </c>
    </row>
    <row r="167">
      <c r="A167" s="17" t="inlineStr">
        <is>
          <t>Resource Total (Material + Labour + Machinery, as printed)</t>
        </is>
      </c>
      <c r="B167" s="18" t="n"/>
      <c r="C167" s="18" t="n"/>
      <c r="D167" s="18" t="n"/>
      <c r="E167" s="18" t="n"/>
      <c r="F167" s="19">
        <f>SUM(F162:F166)</f>
        <v/>
      </c>
    </row>
    <row r="168">
      <c r="A168" s="20" t="inlineStr">
        <is>
          <t>SAY (Rs.) — final DAR rate</t>
        </is>
      </c>
      <c r="B168" s="21" t="n"/>
      <c r="C168" s="21" t="n"/>
      <c r="D168" s="21" t="n"/>
      <c r="E168" s="21" t="n"/>
      <c r="F168" s="22" t="n">
        <v>33.05</v>
      </c>
    </row>
    <row r="170" ht="18" customHeight="1">
      <c r="A170" s="9" t="inlineStr">
        <is>
          <t>8.8.1.2</t>
        </is>
      </c>
      <c r="B170" s="10" t="inlineStr">
        <is>
          <t>Fastener with threaded dia 10 mm</t>
        </is>
      </c>
      <c r="C170" s="11" t="n"/>
      <c r="D170" s="11" t="n"/>
      <c r="E170" s="11" t="n"/>
      <c r="F170" s="11" t="n"/>
    </row>
    <row r="171">
      <c r="A171" s="12" t="inlineStr">
        <is>
          <t>Rate basis: per nos  (source: cost for 30 nos)</t>
        </is>
      </c>
    </row>
    <row r="172">
      <c r="A172" s="5" t="inlineStr">
        <is>
          <t>Code</t>
        </is>
      </c>
      <c r="B172" s="5" t="inlineStr">
        <is>
          <t>Description</t>
        </is>
      </c>
      <c r="C172" s="5" t="inlineStr">
        <is>
          <t>Unit</t>
        </is>
      </c>
      <c r="D172" s="5" t="inlineStr">
        <is>
          <t>Quantity</t>
        </is>
      </c>
      <c r="E172" s="5" t="inlineStr">
        <is>
          <t>Rate (Rs.)</t>
        </is>
      </c>
      <c r="F172" s="5" t="inlineStr">
        <is>
          <t>Amount (Rs.)</t>
        </is>
      </c>
    </row>
    <row r="173">
      <c r="A173" s="13" t="inlineStr">
        <is>
          <t>7431</t>
        </is>
      </c>
      <c r="B173" s="14" t="inlineStr">
        <is>
          <t>Wedge expansion hold fastner 3/8" or 10 mm,</t>
        </is>
      </c>
      <c r="C173" s="13" t="inlineStr">
        <is>
          <t>each</t>
        </is>
      </c>
      <c r="D173" s="15" t="n">
        <v>30</v>
      </c>
      <c r="E173" s="16" t="n">
        <v>11</v>
      </c>
      <c r="F173" s="16">
        <f>D173*E173</f>
        <v/>
      </c>
    </row>
    <row r="174">
      <c r="A174" s="13" t="inlineStr">
        <is>
          <t>1034</t>
        </is>
      </c>
      <c r="B174" s="14" t="inlineStr">
        <is>
          <t>Bolts and nuts upto 300 mm in length (44.5+10mm)</t>
        </is>
      </c>
      <c r="C174" s="13" t="inlineStr">
        <is>
          <t>quintal</t>
        </is>
      </c>
      <c r="D174" s="15" t="n">
        <v>0.006</v>
      </c>
      <c r="E174" s="16" t="n">
        <v>4800</v>
      </c>
      <c r="F174" s="16">
        <f>D174*E174</f>
        <v/>
      </c>
    </row>
    <row r="175">
      <c r="A175" s="13" t="inlineStr">
        <is>
          <t>0116</t>
        </is>
      </c>
      <c r="B175" s="14" t="inlineStr">
        <is>
          <t>Fitter (grade 1)</t>
        </is>
      </c>
      <c r="C175" s="13" t="inlineStr">
        <is>
          <t>day</t>
        </is>
      </c>
      <c r="D175" s="15" t="n">
        <v>0.25</v>
      </c>
      <c r="E175" s="16" t="n">
        <v>738</v>
      </c>
      <c r="F175" s="16">
        <f>D175*E175</f>
        <v/>
      </c>
    </row>
    <row r="176">
      <c r="A176" s="13" t="inlineStr">
        <is>
          <t>0114</t>
        </is>
      </c>
      <c r="B176" s="14" t="inlineStr">
        <is>
          <t>Beldar</t>
        </is>
      </c>
      <c r="C176" s="13" t="inlineStr">
        <is>
          <t>day</t>
        </is>
      </c>
      <c r="D176" s="15" t="n">
        <v>0.25</v>
      </c>
      <c r="E176" s="16" t="n">
        <v>558</v>
      </c>
      <c r="F176" s="16">
        <f>D176*E176</f>
        <v/>
      </c>
    </row>
    <row r="177">
      <c r="A177" s="13" t="inlineStr">
        <is>
          <t>9999</t>
        </is>
      </c>
      <c r="B177" s="14" t="inlineStr">
        <is>
          <t>Hire and running charges for hand drill machine Sundries, drilling bit scaffolding etc.</t>
        </is>
      </c>
      <c r="C177" s="13" t="inlineStr">
        <is>
          <t>L.S.</t>
        </is>
      </c>
      <c r="D177" s="15" t="n">
        <v>32.5</v>
      </c>
      <c r="E177" s="16" t="n">
        <v>2</v>
      </c>
      <c r="F177" s="16">
        <f>D177*E177</f>
        <v/>
      </c>
    </row>
    <row r="178">
      <c r="A178" s="17" t="inlineStr">
        <is>
          <t>Resource Total (Material + Labour + Machinery, as printed)</t>
        </is>
      </c>
      <c r="B178" s="18" t="n"/>
      <c r="C178" s="18" t="n"/>
      <c r="D178" s="18" t="n"/>
      <c r="E178" s="18" t="n"/>
      <c r="F178" s="19">
        <f>SUM(F173:F177)</f>
        <v/>
      </c>
    </row>
    <row r="179">
      <c r="A179" s="20" t="inlineStr">
        <is>
          <t>SAY (Rs.) — final DAR rate</t>
        </is>
      </c>
      <c r="B179" s="21" t="n"/>
      <c r="C179" s="21" t="n"/>
      <c r="D179" s="21" t="n"/>
      <c r="E179" s="21" t="n"/>
      <c r="F179" s="22" t="n">
        <v>33.35</v>
      </c>
    </row>
    <row r="181" ht="18" customHeight="1">
      <c r="A181" s="9" t="inlineStr">
        <is>
          <t>8.8.1.3</t>
        </is>
      </c>
      <c r="B181" s="10" t="inlineStr">
        <is>
          <t>Fastener with threaded dia 12 mm</t>
        </is>
      </c>
      <c r="C181" s="11" t="n"/>
      <c r="D181" s="11" t="n"/>
      <c r="E181" s="11" t="n"/>
      <c r="F181" s="11" t="n"/>
    </row>
    <row r="182">
      <c r="A182" s="12" t="inlineStr">
        <is>
          <t>Rate basis: per nos  (source: cost for 30 nos)</t>
        </is>
      </c>
    </row>
    <row r="183">
      <c r="A183" s="5" t="inlineStr">
        <is>
          <t>Code</t>
        </is>
      </c>
      <c r="B183" s="5" t="inlineStr">
        <is>
          <t>Description</t>
        </is>
      </c>
      <c r="C183" s="5" t="inlineStr">
        <is>
          <t>Unit</t>
        </is>
      </c>
      <c r="D183" s="5" t="inlineStr">
        <is>
          <t>Quantity</t>
        </is>
      </c>
      <c r="E183" s="5" t="inlineStr">
        <is>
          <t>Rate (Rs.)</t>
        </is>
      </c>
      <c r="F183" s="5" t="inlineStr">
        <is>
          <t>Amount (Rs.)</t>
        </is>
      </c>
    </row>
    <row r="184">
      <c r="A184" s="13" t="inlineStr">
        <is>
          <t>7432</t>
        </is>
      </c>
      <c r="B184" s="14" t="inlineStr">
        <is>
          <t>Wedge expansion hold fastner 1/2" or 12 mm</t>
        </is>
      </c>
      <c r="C184" s="13" t="inlineStr">
        <is>
          <t>each</t>
        </is>
      </c>
      <c r="D184" s="15" t="n">
        <v>30</v>
      </c>
      <c r="E184" s="16" t="n">
        <v>27</v>
      </c>
      <c r="F184" s="16">
        <f>D184*E184</f>
        <v/>
      </c>
    </row>
    <row r="185">
      <c r="A185" s="13" t="inlineStr">
        <is>
          <t>1034</t>
        </is>
      </c>
      <c r="B185" s="14" t="inlineStr">
        <is>
          <t>Bolts and nuts upto 300 mm in length</t>
        </is>
      </c>
      <c r="C185" s="13" t="inlineStr">
        <is>
          <t>quintal</t>
        </is>
      </c>
      <c r="D185" s="15" t="n">
        <v>0.0075</v>
      </c>
      <c r="E185" s="16" t="n">
        <v>4800</v>
      </c>
      <c r="F185" s="16">
        <f>D185*E185</f>
        <v/>
      </c>
    </row>
    <row r="186">
      <c r="A186" s="13" t="inlineStr">
        <is>
          <t>0116</t>
        </is>
      </c>
      <c r="B186" s="14" t="inlineStr">
        <is>
          <t>Fitter (grade 1)</t>
        </is>
      </c>
      <c r="C186" s="13" t="inlineStr">
        <is>
          <t>day</t>
        </is>
      </c>
      <c r="D186" s="15" t="n">
        <v>0.25</v>
      </c>
      <c r="E186" s="16" t="n">
        <v>738</v>
      </c>
      <c r="F186" s="16">
        <f>D186*E186</f>
        <v/>
      </c>
    </row>
    <row r="187">
      <c r="A187" s="13" t="inlineStr">
        <is>
          <t>0114</t>
        </is>
      </c>
      <c r="B187" s="14" t="inlineStr">
        <is>
          <t>Beldar</t>
        </is>
      </c>
      <c r="C187" s="13" t="inlineStr">
        <is>
          <t>day</t>
        </is>
      </c>
      <c r="D187" s="15" t="n">
        <v>0.25</v>
      </c>
      <c r="E187" s="16" t="n">
        <v>558</v>
      </c>
      <c r="F187" s="16">
        <f>D187*E187</f>
        <v/>
      </c>
    </row>
    <row r="188">
      <c r="A188" s="13" t="inlineStr">
        <is>
          <t>9999</t>
        </is>
      </c>
      <c r="B188" s="14" t="inlineStr">
        <is>
          <t>Hire and running charges for hand drill machine Sundries, drilling bit scaffolding etc.</t>
        </is>
      </c>
      <c r="C188" s="13" t="inlineStr">
        <is>
          <t>L.S.</t>
        </is>
      </c>
      <c r="D188" s="15" t="n">
        <v>32.5</v>
      </c>
      <c r="E188" s="16" t="n">
        <v>2</v>
      </c>
      <c r="F188" s="16">
        <f>D188*E188</f>
        <v/>
      </c>
    </row>
    <row r="189">
      <c r="A189" s="17" t="inlineStr">
        <is>
          <t>Resource Total (Material + Labour + Machinery, as printed)</t>
        </is>
      </c>
      <c r="B189" s="18" t="n"/>
      <c r="C189" s="18" t="n"/>
      <c r="D189" s="18" t="n"/>
      <c r="E189" s="18" t="n"/>
      <c r="F189" s="19">
        <f>SUM(F184:F188)</f>
        <v/>
      </c>
    </row>
    <row r="190">
      <c r="A190" s="20" t="inlineStr">
        <is>
          <t>SAY (Rs.) — final DAR rate</t>
        </is>
      </c>
      <c r="B190" s="21" t="n"/>
      <c r="C190" s="21" t="n"/>
      <c r="D190" s="21" t="n"/>
      <c r="E190" s="21" t="n"/>
      <c r="F190" s="22" t="n">
        <v>55.1</v>
      </c>
    </row>
    <row r="192" ht="18" customHeight="1">
      <c r="A192" s="9" t="inlineStr">
        <is>
          <t>8.9.1.1</t>
        </is>
      </c>
      <c r="B192" s="10" t="inlineStr">
        <is>
          <t>Raj nagar plain white marble/ Udaipur green marble/ Zebra black marble</t>
        </is>
      </c>
      <c r="C192" s="11" t="n"/>
      <c r="D192" s="11" t="n"/>
      <c r="E192" s="11" t="n"/>
      <c r="F192" s="11" t="n"/>
    </row>
    <row r="193">
      <c r="A193" s="12" t="inlineStr">
        <is>
          <t>Rate basis: per sqm  (source: cost for 1 sqm)</t>
        </is>
      </c>
    </row>
    <row r="194">
      <c r="A194" s="5" t="inlineStr">
        <is>
          <t>Code</t>
        </is>
      </c>
      <c r="B194" s="5" t="inlineStr">
        <is>
          <t>Description</t>
        </is>
      </c>
      <c r="C194" s="5" t="inlineStr">
        <is>
          <t>Unit</t>
        </is>
      </c>
      <c r="D194" s="5" t="inlineStr">
        <is>
          <t>Quantity</t>
        </is>
      </c>
      <c r="E194" s="5" t="inlineStr">
        <is>
          <t>Rate (Rs.)</t>
        </is>
      </c>
      <c r="F194" s="5" t="inlineStr">
        <is>
          <t>Amount (Rs.)</t>
        </is>
      </c>
    </row>
    <row r="195">
      <c r="A195" s="13" t="inlineStr">
        <is>
          <t>3.8</t>
        </is>
      </c>
      <c r="B195" s="14" t="inlineStr">
        <is>
          <t>Rate as per SH: 3.8</t>
        </is>
      </c>
      <c r="C195" s="13" t="inlineStr">
        <is>
          <t>cum</t>
        </is>
      </c>
      <c r="D195" s="15" t="n">
        <v>0.014</v>
      </c>
      <c r="E195" s="16" t="n">
        <v>4664.55</v>
      </c>
      <c r="F195" s="16">
        <f>D195*E195</f>
        <v/>
      </c>
    </row>
    <row r="196">
      <c r="A196" s="13" t="inlineStr">
        <is>
          <t>2751</t>
        </is>
      </c>
      <c r="B196" s="14" t="inlineStr">
        <is>
          <t>8 mm thick marble tiles (polished) Raj Nagar</t>
        </is>
      </c>
      <c r="C196" s="13" t="inlineStr">
        <is>
          <t>sqm</t>
        </is>
      </c>
      <c r="D196" s="15" t="n">
        <v>1.025</v>
      </c>
      <c r="E196" s="16" t="n">
        <v>400</v>
      </c>
      <c r="F196" s="16">
        <f>D196*E196</f>
        <v/>
      </c>
    </row>
    <row r="197">
      <c r="A197" s="13" t="inlineStr">
        <is>
          <t>9977</t>
        </is>
      </c>
      <c r="B197" s="14" t="inlineStr">
        <is>
          <t>Carriage of tiles</t>
        </is>
      </c>
      <c r="C197" s="13" t="inlineStr">
        <is>
          <t>L.S.</t>
        </is>
      </c>
      <c r="D197" s="15" t="n">
        <v>3.95</v>
      </c>
      <c r="E197" s="16" t="n">
        <v>2</v>
      </c>
      <c r="F197" s="16">
        <f>D197*E197</f>
        <v/>
      </c>
    </row>
    <row r="198">
      <c r="A198" s="13" t="inlineStr">
        <is>
          <t>9999</t>
        </is>
      </c>
      <c r="B198" s="14" t="inlineStr">
        <is>
          <t>Mortar for pointing</t>
        </is>
      </c>
      <c r="C198" s="13" t="inlineStr">
        <is>
          <t>L.S.</t>
        </is>
      </c>
      <c r="D198" s="15" t="n">
        <v>25.38</v>
      </c>
      <c r="E198" s="16" t="n">
        <v>2</v>
      </c>
      <c r="F198" s="16">
        <f>D198*E198</f>
        <v/>
      </c>
    </row>
    <row r="199">
      <c r="A199" s="13" t="inlineStr">
        <is>
          <t>0367</t>
        </is>
      </c>
      <c r="B199" s="14" t="inlineStr">
        <is>
          <t>Portland Cement</t>
        </is>
      </c>
      <c r="C199" s="13" t="inlineStr">
        <is>
          <t>tonne</t>
        </is>
      </c>
      <c r="D199" s="15" t="n">
        <v>0.0033</v>
      </c>
      <c r="E199" s="16" t="n">
        <v>4940</v>
      </c>
      <c r="F199" s="16">
        <f>D199*E199</f>
        <v/>
      </c>
    </row>
    <row r="200">
      <c r="A200" s="13" t="inlineStr">
        <is>
          <t>0123</t>
        </is>
      </c>
      <c r="B200" s="14" t="inlineStr">
        <is>
          <t>Mason (brick layer) 1st class</t>
        </is>
      </c>
      <c r="C200" s="13" t="inlineStr">
        <is>
          <t>day</t>
        </is>
      </c>
      <c r="D200" s="15" t="n">
        <v>1</v>
      </c>
      <c r="E200" s="16" t="n">
        <v>738</v>
      </c>
      <c r="F200" s="16">
        <f>D200*E200</f>
        <v/>
      </c>
    </row>
    <row r="201">
      <c r="A201" s="13" t="inlineStr">
        <is>
          <t>0114</t>
        </is>
      </c>
      <c r="B201" s="14" t="inlineStr">
        <is>
          <t>Beldar</t>
        </is>
      </c>
      <c r="C201" s="13" t="inlineStr">
        <is>
          <t>day</t>
        </is>
      </c>
      <c r="D201" s="15" t="n">
        <v>1</v>
      </c>
      <c r="E201" s="16" t="n">
        <v>558</v>
      </c>
      <c r="F201" s="16">
        <f>D201*E201</f>
        <v/>
      </c>
    </row>
    <row r="202">
      <c r="A202" s="13" t="inlineStr">
        <is>
          <t>9999</t>
        </is>
      </c>
      <c r="B202" s="14" t="inlineStr">
        <is>
          <t>Sundries etc.</t>
        </is>
      </c>
      <c r="C202" s="13" t="inlineStr">
        <is>
          <t>L.S.</t>
        </is>
      </c>
      <c r="D202" s="15" t="n">
        <v>16.9</v>
      </c>
      <c r="E202" s="16" t="n">
        <v>2</v>
      </c>
      <c r="F202" s="16">
        <f>D202*E202</f>
        <v/>
      </c>
    </row>
    <row r="203">
      <c r="A203" s="17" t="inlineStr">
        <is>
          <t>Resource Total (Material + Labour + Machinery, as printed)</t>
        </is>
      </c>
      <c r="B203" s="18" t="n"/>
      <c r="C203" s="18" t="n"/>
      <c r="D203" s="18" t="n"/>
      <c r="E203" s="18" t="n"/>
      <c r="F203" s="19">
        <f>SUM(F195:F202)</f>
        <v/>
      </c>
    </row>
    <row r="204">
      <c r="A204" s="20" t="inlineStr">
        <is>
          <t>SAY (Rs.) — final DAR rate</t>
        </is>
      </c>
      <c r="B204" s="21" t="n"/>
      <c r="C204" s="21" t="n"/>
      <c r="D204" s="21" t="n"/>
      <c r="E204" s="21" t="n"/>
      <c r="F204" s="22" t="n">
        <v>2515.4</v>
      </c>
    </row>
    <row r="206" ht="18" customHeight="1">
      <c r="A206" s="9" t="inlineStr">
        <is>
          <t>8.9.1.2</t>
        </is>
      </c>
      <c r="B206" s="10" t="inlineStr">
        <is>
          <t>Granite of any colour and shade</t>
        </is>
      </c>
      <c r="C206" s="11" t="n"/>
      <c r="D206" s="11" t="n"/>
      <c r="E206" s="11" t="n"/>
      <c r="F206" s="11" t="n"/>
    </row>
    <row r="207">
      <c r="A207" s="12" t="inlineStr">
        <is>
          <t>Rate basis: per sqm  (source: cost for 1 sqm)</t>
        </is>
      </c>
    </row>
    <row r="208">
      <c r="A208" s="5" t="inlineStr">
        <is>
          <t>Code</t>
        </is>
      </c>
      <c r="B208" s="5" t="inlineStr">
        <is>
          <t>Description</t>
        </is>
      </c>
      <c r="C208" s="5" t="inlineStr">
        <is>
          <t>Unit</t>
        </is>
      </c>
      <c r="D208" s="5" t="inlineStr">
        <is>
          <t>Quantity</t>
        </is>
      </c>
      <c r="E208" s="5" t="inlineStr">
        <is>
          <t>Rate (Rs.)</t>
        </is>
      </c>
      <c r="F208" s="5" t="inlineStr">
        <is>
          <t>Amount (Rs.)</t>
        </is>
      </c>
    </row>
    <row r="209">
      <c r="A209" s="13" t="inlineStr">
        <is>
          <t>3.8</t>
        </is>
      </c>
      <c r="B209" s="14" t="inlineStr">
        <is>
          <t>Rate as per SH: 3.8</t>
        </is>
      </c>
      <c r="C209" s="13" t="inlineStr">
        <is>
          <t>cum</t>
        </is>
      </c>
      <c r="D209" s="15" t="n">
        <v>0.014</v>
      </c>
      <c r="E209" s="16" t="n">
        <v>4664.55</v>
      </c>
      <c r="F209" s="16">
        <f>D209*E209</f>
        <v/>
      </c>
    </row>
    <row r="210">
      <c r="A210" s="13" t="inlineStr">
        <is>
          <t>2750</t>
        </is>
      </c>
      <c r="B210" s="14" t="inlineStr">
        <is>
          <t>8 mm thick granite stone tiles (mirror polished of all shades)</t>
        </is>
      </c>
      <c r="C210" s="13" t="inlineStr">
        <is>
          <t>sqm</t>
        </is>
      </c>
      <c r="D210" s="15" t="n">
        <v>1.025</v>
      </c>
      <c r="E210" s="16" t="n">
        <v>700</v>
      </c>
      <c r="F210" s="16">
        <f>D210*E210</f>
        <v/>
      </c>
    </row>
    <row r="211">
      <c r="A211" s="13" t="inlineStr">
        <is>
          <t>9977</t>
        </is>
      </c>
      <c r="B211" s="14" t="inlineStr">
        <is>
          <t>Carriage of tiles</t>
        </is>
      </c>
      <c r="C211" s="13" t="inlineStr">
        <is>
          <t>L.S.</t>
        </is>
      </c>
      <c r="D211" s="15" t="n">
        <v>3.95</v>
      </c>
      <c r="E211" s="16" t="n">
        <v>2</v>
      </c>
      <c r="F211" s="16">
        <f>D211*E211</f>
        <v/>
      </c>
    </row>
    <row r="212">
      <c r="A212" s="13" t="inlineStr">
        <is>
          <t>9999</t>
        </is>
      </c>
      <c r="B212" s="14" t="inlineStr">
        <is>
          <t>Mortar for pointing</t>
        </is>
      </c>
      <c r="C212" s="13" t="inlineStr">
        <is>
          <t>L.S.</t>
        </is>
      </c>
      <c r="D212" s="15" t="n">
        <v>25.38</v>
      </c>
      <c r="E212" s="16" t="n">
        <v>2</v>
      </c>
      <c r="F212" s="16">
        <f>D212*E212</f>
        <v/>
      </c>
    </row>
    <row r="213">
      <c r="A213" s="13" t="inlineStr">
        <is>
          <t>0367</t>
        </is>
      </c>
      <c r="B213" s="14" t="inlineStr">
        <is>
          <t>Portland Cement</t>
        </is>
      </c>
      <c r="C213" s="13" t="inlineStr">
        <is>
          <t>tonne</t>
        </is>
      </c>
      <c r="D213" s="15" t="n">
        <v>0.0033</v>
      </c>
      <c r="E213" s="16" t="n">
        <v>4940</v>
      </c>
      <c r="F213" s="16">
        <f>D213*E213</f>
        <v/>
      </c>
    </row>
    <row r="214">
      <c r="A214" s="13" t="inlineStr">
        <is>
          <t>0123</t>
        </is>
      </c>
      <c r="B214" s="14" t="inlineStr">
        <is>
          <t>Mason (brick layer) 1st class</t>
        </is>
      </c>
      <c r="C214" s="13" t="inlineStr">
        <is>
          <t>day</t>
        </is>
      </c>
      <c r="D214" s="15" t="n">
        <v>1</v>
      </c>
      <c r="E214" s="16" t="n">
        <v>738</v>
      </c>
      <c r="F214" s="16">
        <f>D214*E214</f>
        <v/>
      </c>
    </row>
    <row r="215">
      <c r="A215" s="13" t="inlineStr">
        <is>
          <t>0114</t>
        </is>
      </c>
      <c r="B215" s="14" t="inlineStr">
        <is>
          <t>Beldar</t>
        </is>
      </c>
      <c r="C215" s="13" t="inlineStr">
        <is>
          <t>day</t>
        </is>
      </c>
      <c r="D215" s="15" t="n">
        <v>1</v>
      </c>
      <c r="E215" s="16" t="n">
        <v>558</v>
      </c>
      <c r="F215" s="16">
        <f>D215*E215</f>
        <v/>
      </c>
    </row>
    <row r="216">
      <c r="A216" s="13" t="inlineStr">
        <is>
          <t>9999</t>
        </is>
      </c>
      <c r="B216" s="14" t="inlineStr">
        <is>
          <t>Sundries etc.</t>
        </is>
      </c>
      <c r="C216" s="13" t="inlineStr">
        <is>
          <t>L.S.</t>
        </is>
      </c>
      <c r="D216" s="15" t="n">
        <v>16.9</v>
      </c>
      <c r="E216" s="16" t="n">
        <v>2</v>
      </c>
      <c r="F216" s="16">
        <f>D216*E216</f>
        <v/>
      </c>
    </row>
    <row r="217">
      <c r="A217" s="17" t="inlineStr">
        <is>
          <t>Resource Total (Material + Labour + Machinery, as printed)</t>
        </is>
      </c>
      <c r="B217" s="18" t="n"/>
      <c r="C217" s="18" t="n"/>
      <c r="D217" s="18" t="n"/>
      <c r="E217" s="18" t="n"/>
      <c r="F217" s="19">
        <f>SUM(F209:F216)</f>
        <v/>
      </c>
    </row>
    <row r="218">
      <c r="A218" s="20" t="inlineStr">
        <is>
          <t>SAY (Rs.) — final DAR rate</t>
        </is>
      </c>
      <c r="B218" s="21" t="n"/>
      <c r="C218" s="21" t="n"/>
      <c r="D218" s="21" t="n"/>
      <c r="E218" s="21" t="n"/>
      <c r="F218" s="22" t="n">
        <v>2926.85</v>
      </c>
    </row>
    <row r="220" ht="18" customHeight="1">
      <c r="A220" s="9" t="inlineStr">
        <is>
          <t>8.10.1</t>
        </is>
      </c>
      <c r="B220" s="10" t="inlineStr">
        <is>
          <t>White Agaria Marble Stone</t>
        </is>
      </c>
      <c r="C220" s="11" t="n"/>
      <c r="D220" s="11" t="n"/>
      <c r="E220" s="11" t="n"/>
      <c r="F220" s="11" t="n"/>
    </row>
    <row r="221">
      <c r="A221" s="12" t="inlineStr">
        <is>
          <t>Rate basis: per sqm  (source: cost for 0.375 sqm)</t>
        </is>
      </c>
    </row>
    <row r="222">
      <c r="A222" s="5" t="inlineStr">
        <is>
          <t>Code</t>
        </is>
      </c>
      <c r="B222" s="5" t="inlineStr">
        <is>
          <t>Description</t>
        </is>
      </c>
      <c r="C222" s="5" t="inlineStr">
        <is>
          <t>Unit</t>
        </is>
      </c>
      <c r="D222" s="5" t="inlineStr">
        <is>
          <t>Quantity</t>
        </is>
      </c>
      <c r="E222" s="5" t="inlineStr">
        <is>
          <t>Rate (Rs.)</t>
        </is>
      </c>
      <c r="F222" s="5" t="inlineStr">
        <is>
          <t>Amount (Rs.)</t>
        </is>
      </c>
    </row>
    <row r="223">
      <c r="A223" s="13" t="inlineStr">
        <is>
          <t>7244</t>
        </is>
      </c>
      <c r="B223" s="14" t="inlineStr">
        <is>
          <t>Table rubbed polished stone 18 mm thick (75x50cm) Agaria Marble stone - 18 mm thick</t>
        </is>
      </c>
      <c r="C223" s="13" t="inlineStr">
        <is>
          <t>sqm</t>
        </is>
      </c>
      <c r="D223" s="15" t="n">
        <v>0.45</v>
      </c>
      <c r="E223" s="16" t="n">
        <v>1620</v>
      </c>
      <c r="F223" s="16">
        <f>D223*E223</f>
        <v/>
      </c>
    </row>
    <row r="224">
      <c r="A224" s="13" t="inlineStr">
        <is>
          <t>9999</t>
        </is>
      </c>
      <c r="B224" s="14" t="inlineStr">
        <is>
          <t>Cement concrete 1:2:4 for filling</t>
        </is>
      </c>
      <c r="C224" s="13" t="inlineStr">
        <is>
          <t>L.S.</t>
        </is>
      </c>
      <c r="D224" s="15" t="n">
        <v>21.58</v>
      </c>
      <c r="E224" s="16" t="n">
        <v>2</v>
      </c>
      <c r="F224" s="16">
        <f>D224*E224</f>
        <v/>
      </c>
    </row>
    <row r="225">
      <c r="A225" s="13" t="inlineStr">
        <is>
          <t>9999</t>
        </is>
      </c>
      <c r="B225" s="14" t="inlineStr">
        <is>
          <t>Labour for fixing, edge rounding and final polishing .</t>
        </is>
      </c>
      <c r="C225" s="13" t="inlineStr">
        <is>
          <t>L.S.</t>
        </is>
      </c>
      <c r="D225" s="15" t="n">
        <v>43.16</v>
      </c>
      <c r="E225" s="16" t="n">
        <v>2</v>
      </c>
      <c r="F225" s="16">
        <f>D225*E225</f>
        <v/>
      </c>
    </row>
    <row r="226">
      <c r="A226" s="13" t="inlineStr">
        <is>
          <t>9999</t>
        </is>
      </c>
      <c r="B226" s="14" t="inlineStr">
        <is>
          <t>Sundries</t>
        </is>
      </c>
      <c r="C226" s="13" t="inlineStr">
        <is>
          <t>L.S.</t>
        </is>
      </c>
      <c r="D226" s="15" t="n">
        <v>21.58</v>
      </c>
      <c r="E226" s="16" t="n">
        <v>2</v>
      </c>
      <c r="F226" s="16">
        <f>D226*E226</f>
        <v/>
      </c>
    </row>
    <row r="227">
      <c r="A227" s="17" t="inlineStr">
        <is>
          <t>Resource Total (Material + Labour + Machinery, as printed)</t>
        </is>
      </c>
      <c r="B227" s="18" t="n"/>
      <c r="C227" s="18" t="n"/>
      <c r="D227" s="18" t="n"/>
      <c r="E227" s="18" t="n"/>
      <c r="F227" s="19">
        <f>SUM(F223:F226)</f>
        <v/>
      </c>
    </row>
    <row r="228">
      <c r="A228" s="20" t="inlineStr">
        <is>
          <t>SAY (Rs.) — final DAR rate</t>
        </is>
      </c>
      <c r="B228" s="21" t="n"/>
      <c r="C228" s="21" t="n"/>
      <c r="D228" s="21" t="n"/>
      <c r="E228" s="21" t="n"/>
      <c r="F228" s="22" t="n">
        <v>3216.9</v>
      </c>
    </row>
    <row r="230" ht="18" customHeight="1">
      <c r="A230" s="9" t="inlineStr">
        <is>
          <t>8.10.2</t>
        </is>
      </c>
      <c r="B230" s="10" t="inlineStr">
        <is>
          <t>Granite Stone of approved shade</t>
        </is>
      </c>
      <c r="C230" s="11" t="n"/>
      <c r="D230" s="11" t="n"/>
      <c r="E230" s="11" t="n"/>
      <c r="F230" s="11" t="n"/>
    </row>
    <row r="231">
      <c r="A231" s="12" t="inlineStr">
        <is>
          <t>Rate basis: per sqm  (source: cost for 0.375 sqm)</t>
        </is>
      </c>
    </row>
    <row r="232">
      <c r="A232" s="5" t="inlineStr">
        <is>
          <t>Code</t>
        </is>
      </c>
      <c r="B232" s="5" t="inlineStr">
        <is>
          <t>Description</t>
        </is>
      </c>
      <c r="C232" s="5" t="inlineStr">
        <is>
          <t>Unit</t>
        </is>
      </c>
      <c r="D232" s="5" t="inlineStr">
        <is>
          <t>Quantity</t>
        </is>
      </c>
      <c r="E232" s="5" t="inlineStr">
        <is>
          <t>Rate (Rs.)</t>
        </is>
      </c>
      <c r="F232" s="5" t="inlineStr">
        <is>
          <t>Amount (Rs.)</t>
        </is>
      </c>
    </row>
    <row r="233">
      <c r="A233" s="13" t="inlineStr">
        <is>
          <t>7245</t>
        </is>
      </c>
      <c r="B233" s="14" t="inlineStr">
        <is>
          <t>Table rubbed polished stone 18mm thick (75x50cm) Granite stone - 18mm thick</t>
        </is>
      </c>
      <c r="C233" s="13" t="inlineStr">
        <is>
          <t>sqm</t>
        </is>
      </c>
      <c r="D233" s="15" t="n">
        <v>0.45</v>
      </c>
      <c r="E233" s="16" t="n">
        <v>1620</v>
      </c>
      <c r="F233" s="16">
        <f>D233*E233</f>
        <v/>
      </c>
    </row>
    <row r="234">
      <c r="A234" s="13" t="inlineStr">
        <is>
          <t>9999</t>
        </is>
      </c>
      <c r="B234" s="14" t="inlineStr">
        <is>
          <t>Cement concrete 1:2:4 for fixing</t>
        </is>
      </c>
      <c r="C234" s="13" t="inlineStr">
        <is>
          <t>L.S.</t>
        </is>
      </c>
      <c r="D234" s="15" t="n">
        <v>21.58</v>
      </c>
      <c r="E234" s="16" t="n">
        <v>2</v>
      </c>
      <c r="F234" s="16">
        <f>D234*E234</f>
        <v/>
      </c>
    </row>
    <row r="235">
      <c r="A235" s="13" t="inlineStr">
        <is>
          <t>9999</t>
        </is>
      </c>
      <c r="B235" s="14" t="inlineStr">
        <is>
          <t>Labour for fixing, edge rounding and final polishing .</t>
        </is>
      </c>
      <c r="C235" s="13" t="inlineStr">
        <is>
          <t>L.S.</t>
        </is>
      </c>
      <c r="D235" s="15" t="n">
        <v>43.16</v>
      </c>
      <c r="E235" s="16" t="n">
        <v>2</v>
      </c>
      <c r="F235" s="16">
        <f>D235*E235</f>
        <v/>
      </c>
    </row>
    <row r="236">
      <c r="A236" s="13" t="inlineStr">
        <is>
          <t>9999</t>
        </is>
      </c>
      <c r="B236" s="14" t="inlineStr">
        <is>
          <t>Sundries</t>
        </is>
      </c>
      <c r="C236" s="13" t="inlineStr">
        <is>
          <t>L.S.</t>
        </is>
      </c>
      <c r="D236" s="15" t="n">
        <v>21.58</v>
      </c>
      <c r="E236" s="16" t="n">
        <v>2</v>
      </c>
      <c r="F236" s="16">
        <f>D236*E236</f>
        <v/>
      </c>
    </row>
    <row r="237">
      <c r="A237" s="17" t="inlineStr">
        <is>
          <t>Resource Total (Material + Labour + Machinery, as printed)</t>
        </is>
      </c>
      <c r="B237" s="18" t="n"/>
      <c r="C237" s="18" t="n"/>
      <c r="D237" s="18" t="n"/>
      <c r="E237" s="18" t="n"/>
      <c r="F237" s="19">
        <f>SUM(F233:F236)</f>
        <v/>
      </c>
    </row>
    <row r="238">
      <c r="A238" s="20" t="inlineStr">
        <is>
          <t>SAY (Rs.) — final DAR rate</t>
        </is>
      </c>
      <c r="B238" s="21" t="n"/>
      <c r="C238" s="21" t="n"/>
      <c r="D238" s="21" t="n"/>
      <c r="E238" s="21" t="n"/>
      <c r="F238" s="22" t="n">
        <v>3216.9</v>
      </c>
    </row>
    <row r="240" ht="28" customHeight="1">
      <c r="A240" s="9" t="inlineStr">
        <is>
          <t>8.11.1</t>
        </is>
      </c>
      <c r="B240" s="10" t="inlineStr">
        <is>
          <t>18 mm thick Italian Marble stone slab,Perlato, Rosso verona, Fire Red or Dark Emperadore etc.</t>
        </is>
      </c>
      <c r="C240" s="11" t="n"/>
      <c r="D240" s="11" t="n"/>
      <c r="E240" s="11" t="n"/>
      <c r="F240" s="11" t="n"/>
    </row>
    <row r="241">
      <c r="A241" s="12" t="inlineStr">
        <is>
          <t>Rate basis: per sqm  (source: cost for 0.5 sqm)</t>
        </is>
      </c>
    </row>
    <row r="242">
      <c r="A242" s="5" t="inlineStr">
        <is>
          <t>Code</t>
        </is>
      </c>
      <c r="B242" s="5" t="inlineStr">
        <is>
          <t>Description</t>
        </is>
      </c>
      <c r="C242" s="5" t="inlineStr">
        <is>
          <t>Unit</t>
        </is>
      </c>
      <c r="D242" s="5" t="inlineStr">
        <is>
          <t>Quantity</t>
        </is>
      </c>
      <c r="E242" s="5" t="inlineStr">
        <is>
          <t>Rate (Rs.)</t>
        </is>
      </c>
      <c r="F242" s="5" t="inlineStr">
        <is>
          <t>Amount (Rs.)</t>
        </is>
      </c>
    </row>
    <row r="243">
      <c r="A243" s="13" t="inlineStr">
        <is>
          <t>3.8</t>
        </is>
      </c>
      <c r="B243" s="14" t="inlineStr">
        <is>
          <t>Rate as per SH: 3.8</t>
        </is>
      </c>
      <c r="C243" s="13" t="inlineStr">
        <is>
          <t>cum</t>
        </is>
      </c>
      <c r="D243" s="15" t="n">
        <v>0.008</v>
      </c>
      <c r="E243" s="16" t="n">
        <v>4664.55</v>
      </c>
      <c r="F243" s="16">
        <f>D243*E243</f>
        <v/>
      </c>
    </row>
    <row r="244">
      <c r="A244" s="13" t="inlineStr">
        <is>
          <t>1240</t>
        </is>
      </c>
      <c r="B244" s="14" t="inlineStr">
        <is>
          <t>18 mm thick Italian Marble stone slab, Perlato (slab area up to 0.5 sqm).</t>
        </is>
      </c>
      <c r="C244" s="13" t="inlineStr">
        <is>
          <t>sqm</t>
        </is>
      </c>
      <c r="D244" s="15" t="n">
        <v>0.6</v>
      </c>
      <c r="E244" s="16" t="n">
        <v>3209</v>
      </c>
      <c r="F244" s="16">
        <f>D244*E244</f>
        <v/>
      </c>
    </row>
    <row r="245">
      <c r="A245" s="13" t="inlineStr">
        <is>
          <t>2216</t>
        </is>
      </c>
      <c r="B245" s="14" t="inlineStr">
        <is>
          <t>Carriage of stone slab</t>
        </is>
      </c>
      <c r="C245" s="13" t="inlineStr">
        <is>
          <t>tonne</t>
        </is>
      </c>
      <c r="D245" s="15" t="n">
        <v>0.03</v>
      </c>
      <c r="E245" s="16" t="n">
        <v>92.23999999999999</v>
      </c>
      <c r="F245" s="16">
        <f>D245*E245</f>
        <v/>
      </c>
    </row>
    <row r="246">
      <c r="A246" s="13" t="inlineStr">
        <is>
          <t>0368</t>
        </is>
      </c>
      <c r="B246" s="14" t="inlineStr">
        <is>
          <t>White Cement Slurry @ 3.3kg/sqm</t>
        </is>
      </c>
      <c r="C246" s="13" t="inlineStr">
        <is>
          <t>tonne</t>
        </is>
      </c>
      <c r="D246" s="15" t="n">
        <v>0.00165</v>
      </c>
      <c r="E246" s="16" t="n">
        <v>11200</v>
      </c>
      <c r="F246" s="16">
        <f>D246*E246</f>
        <v/>
      </c>
    </row>
    <row r="247">
      <c r="A247" s="13" t="inlineStr">
        <is>
          <t>2209</t>
        </is>
      </c>
      <c r="B247" s="14" t="inlineStr">
        <is>
          <t>Carriage of white Cement</t>
        </is>
      </c>
      <c r="C247" s="13" t="inlineStr">
        <is>
          <t>tonne</t>
        </is>
      </c>
      <c r="D247" s="15" t="n">
        <v>0.00165</v>
      </c>
      <c r="E247" s="16" t="n">
        <v>92.23999999999999</v>
      </c>
      <c r="F247" s="16">
        <f>D247*E247</f>
        <v/>
      </c>
    </row>
    <row r="248">
      <c r="A248" s="13" t="inlineStr">
        <is>
          <t>9999</t>
        </is>
      </c>
      <c r="B248" s="14" t="inlineStr">
        <is>
          <t>Mortar for pointing in white cement</t>
        </is>
      </c>
      <c r="C248" s="13" t="inlineStr">
        <is>
          <t>L.S.</t>
        </is>
      </c>
      <c r="D248" s="15" t="n">
        <v>25.35</v>
      </c>
      <c r="E248" s="16" t="n">
        <v>2</v>
      </c>
      <c r="F248" s="16">
        <f>D248*E248</f>
        <v/>
      </c>
    </row>
    <row r="249">
      <c r="A249" s="13" t="inlineStr">
        <is>
          <t>0126</t>
        </is>
      </c>
      <c r="B249" s="14" t="inlineStr">
        <is>
          <t>Mason (for ornamental stone work) 1st class</t>
        </is>
      </c>
      <c r="C249" s="13" t="inlineStr">
        <is>
          <t>day</t>
        </is>
      </c>
      <c r="D249" s="15" t="n">
        <v>0.335</v>
      </c>
      <c r="E249" s="16" t="n">
        <v>738</v>
      </c>
      <c r="F249" s="16">
        <f>D249*E249</f>
        <v/>
      </c>
    </row>
    <row r="250">
      <c r="A250" s="13" t="inlineStr">
        <is>
          <t>0100</t>
        </is>
      </c>
      <c r="B250" s="14" t="inlineStr">
        <is>
          <t>Bandhani</t>
        </is>
      </c>
      <c r="C250" s="13" t="inlineStr">
        <is>
          <t>day</t>
        </is>
      </c>
      <c r="D250" s="15" t="n">
        <v>0.335</v>
      </c>
      <c r="E250" s="16" t="n">
        <v>617</v>
      </c>
      <c r="F250" s="16">
        <f>D250*E250</f>
        <v/>
      </c>
    </row>
    <row r="251">
      <c r="A251" s="13" t="inlineStr">
        <is>
          <t>0114</t>
        </is>
      </c>
      <c r="B251" s="14" t="inlineStr">
        <is>
          <t>Beldar</t>
        </is>
      </c>
      <c r="C251" s="13" t="inlineStr">
        <is>
          <t>day</t>
        </is>
      </c>
      <c r="D251" s="15" t="n">
        <v>0.335</v>
      </c>
      <c r="E251" s="16" t="n">
        <v>558</v>
      </c>
      <c r="F251" s="16">
        <f>D251*E251</f>
        <v/>
      </c>
    </row>
    <row r="252">
      <c r="A252" s="13" t="inlineStr">
        <is>
          <t>0115</t>
        </is>
      </c>
      <c r="B252" s="14" t="inlineStr">
        <is>
          <t>Coolie</t>
        </is>
      </c>
      <c r="C252" s="13" t="inlineStr">
        <is>
          <t>day</t>
        </is>
      </c>
      <c r="D252" s="15" t="n">
        <v>0.335</v>
      </c>
      <c r="E252" s="16" t="n">
        <v>558</v>
      </c>
      <c r="F252" s="16">
        <f>D252*E252</f>
        <v/>
      </c>
    </row>
    <row r="253">
      <c r="A253" s="13" t="inlineStr">
        <is>
          <t>0101</t>
        </is>
      </c>
      <c r="B253" s="14" t="inlineStr">
        <is>
          <t>Bhisti</t>
        </is>
      </c>
      <c r="C253" s="13" t="inlineStr">
        <is>
          <t>day</t>
        </is>
      </c>
      <c r="D253" s="15" t="n">
        <v>0.335</v>
      </c>
      <c r="E253" s="16" t="n">
        <v>617</v>
      </c>
      <c r="F253" s="16">
        <f>D253*E253</f>
        <v/>
      </c>
    </row>
    <row r="254">
      <c r="A254" s="13" t="inlineStr">
        <is>
          <t>0128</t>
        </is>
      </c>
      <c r="B254" s="14" t="inlineStr">
        <is>
          <t>Mate</t>
        </is>
      </c>
      <c r="C254" s="13" t="inlineStr">
        <is>
          <t>day</t>
        </is>
      </c>
      <c r="D254" s="15" t="n">
        <v>0.165</v>
      </c>
      <c r="E254" s="16" t="n">
        <v>617</v>
      </c>
      <c r="F254" s="16">
        <f>D254*E254</f>
        <v/>
      </c>
    </row>
    <row r="255">
      <c r="A255" s="13" t="inlineStr">
        <is>
          <t>0102</t>
        </is>
      </c>
      <c r="B255" s="14" t="inlineStr">
        <is>
          <t>Blacksmith 1st class</t>
        </is>
      </c>
      <c r="C255" s="13" t="inlineStr">
        <is>
          <t>day</t>
        </is>
      </c>
      <c r="D255" s="15" t="n">
        <v>0.135</v>
      </c>
      <c r="E255" s="16" t="n">
        <v>738</v>
      </c>
      <c r="F255" s="16">
        <f>D255*E255</f>
        <v/>
      </c>
    </row>
    <row r="256">
      <c r="A256" s="13" t="inlineStr">
        <is>
          <t>9999</t>
        </is>
      </c>
      <c r="B256" s="14" t="inlineStr">
        <is>
          <t>Scaffolding</t>
        </is>
      </c>
      <c r="C256" s="13" t="inlineStr">
        <is>
          <t>L.S.</t>
        </is>
      </c>
      <c r="D256" s="15" t="n">
        <v>13.39</v>
      </c>
      <c r="E256" s="16" t="n">
        <v>2</v>
      </c>
      <c r="F256" s="16">
        <f>D256*E256</f>
        <v/>
      </c>
    </row>
    <row r="257">
      <c r="A257" s="17" t="inlineStr">
        <is>
          <t>Resource Total (Material + Labour + Machinery, as printed)</t>
        </is>
      </c>
      <c r="B257" s="18" t="n"/>
      <c r="C257" s="18" t="n"/>
      <c r="D257" s="18" t="n"/>
      <c r="E257" s="18" t="n"/>
      <c r="F257" s="19">
        <f>SUM(F243:F256)</f>
        <v/>
      </c>
    </row>
    <row r="258">
      <c r="A258" s="20" t="inlineStr">
        <is>
          <t>SAY (Rs.) — final DAR rate</t>
        </is>
      </c>
      <c r="B258" s="21" t="n"/>
      <c r="C258" s="21" t="n"/>
      <c r="D258" s="21" t="n"/>
      <c r="E258" s="21" t="n"/>
      <c r="F258" s="22" t="n">
        <v>8823.75</v>
      </c>
    </row>
    <row r="260" ht="18" customHeight="1">
      <c r="A260" s="9" t="inlineStr">
        <is>
          <t>8.14.1.1</t>
        </is>
      </c>
      <c r="B260" s="10" t="inlineStr">
        <is>
          <t>70 mm thick</t>
        </is>
      </c>
      <c r="C260" s="11" t="n"/>
      <c r="D260" s="11" t="n"/>
      <c r="E260" s="11" t="n"/>
      <c r="F260" s="11" t="n"/>
    </row>
    <row r="261">
      <c r="A261" s="12" t="inlineStr">
        <is>
          <t>Rate basis: per sqm  (source: cost for 1 sqm)</t>
        </is>
      </c>
    </row>
    <row r="262">
      <c r="A262" s="5" t="inlineStr">
        <is>
          <t>Code</t>
        </is>
      </c>
      <c r="B262" s="5" t="inlineStr">
        <is>
          <t>Description</t>
        </is>
      </c>
      <c r="C262" s="5" t="inlineStr">
        <is>
          <t>Unit</t>
        </is>
      </c>
      <c r="D262" s="5" t="inlineStr">
        <is>
          <t>Quantity</t>
        </is>
      </c>
      <c r="E262" s="5" t="inlineStr">
        <is>
          <t>Rate (Rs.)</t>
        </is>
      </c>
      <c r="F262" s="5" t="inlineStr">
        <is>
          <t>Amount (Rs.)</t>
        </is>
      </c>
    </row>
    <row r="263">
      <c r="A263" s="13" t="inlineStr">
        <is>
          <t>3.8</t>
        </is>
      </c>
      <c r="B263" s="14" t="inlineStr">
        <is>
          <t>Rate as per SH: 3.8</t>
        </is>
      </c>
      <c r="C263" s="13" t="inlineStr">
        <is>
          <t>cum</t>
        </is>
      </c>
      <c r="D263" s="15" t="n">
        <v>0.018</v>
      </c>
      <c r="E263" s="16" t="n">
        <v>4664.55</v>
      </c>
      <c r="F263" s="16">
        <f>D263*E263</f>
        <v/>
      </c>
    </row>
    <row r="264">
      <c r="A264" s="13" t="inlineStr">
        <is>
          <t>2216</t>
        </is>
      </c>
      <c r="B264" s="14" t="inlineStr">
        <is>
          <t>Carriage of Stone blocks white &amp; red sand stone &amp; kota stone slab</t>
        </is>
      </c>
      <c r="C264" s="13" t="inlineStr">
        <is>
          <t>tonne</t>
        </is>
      </c>
      <c r="D264" s="15" t="n">
        <v>0.215</v>
      </c>
      <c r="E264" s="16" t="n">
        <v>92.23999999999999</v>
      </c>
      <c r="F264" s="16">
        <f>D264*E264</f>
        <v/>
      </c>
    </row>
    <row r="265">
      <c r="A265" s="13" t="inlineStr">
        <is>
          <t>9999</t>
        </is>
      </c>
      <c r="B265" s="14" t="inlineStr">
        <is>
          <t>Extra for using white cement</t>
        </is>
      </c>
      <c r="C265" s="13" t="inlineStr">
        <is>
          <t>L.S.</t>
        </is>
      </c>
      <c r="D265" s="15" t="n">
        <v>26.91</v>
      </c>
      <c r="E265" s="16" t="n">
        <v>2</v>
      </c>
      <c r="F265" s="16">
        <f>D265*E265</f>
        <v/>
      </c>
    </row>
    <row r="266">
      <c r="A266" s="13" t="inlineStr">
        <is>
          <t>0125</t>
        </is>
      </c>
      <c r="B266" s="14" t="inlineStr">
        <is>
          <t>Mason (for plain stone work) 2nd class)</t>
        </is>
      </c>
      <c r="C266" s="13" t="inlineStr">
        <is>
          <t>day</t>
        </is>
      </c>
      <c r="D266" s="15" t="n">
        <v>1.35</v>
      </c>
      <c r="E266" s="16" t="n">
        <v>679</v>
      </c>
      <c r="F266" s="16">
        <f>D266*E266</f>
        <v/>
      </c>
    </row>
    <row r="267">
      <c r="A267" s="13" t="inlineStr">
        <is>
          <t>0102</t>
        </is>
      </c>
      <c r="B267" s="14" t="inlineStr">
        <is>
          <t>Blacksmith 1st class</t>
        </is>
      </c>
      <c r="C267" s="13" t="inlineStr">
        <is>
          <t>day</t>
        </is>
      </c>
      <c r="D267" s="15" t="n">
        <v>0.032</v>
      </c>
      <c r="E267" s="16" t="n">
        <v>738</v>
      </c>
      <c r="F267" s="16">
        <f>D267*E267</f>
        <v/>
      </c>
    </row>
    <row r="268">
      <c r="A268" s="13" t="inlineStr">
        <is>
          <t>0114</t>
        </is>
      </c>
      <c r="B268" s="14" t="inlineStr">
        <is>
          <t>Beldar</t>
        </is>
      </c>
      <c r="C268" s="13" t="inlineStr">
        <is>
          <t>day</t>
        </is>
      </c>
      <c r="D268" s="15" t="n">
        <v>0.224</v>
      </c>
      <c r="E268" s="16" t="n">
        <v>558</v>
      </c>
      <c r="F268" s="16">
        <f>D268*E268</f>
        <v/>
      </c>
    </row>
    <row r="269">
      <c r="A269" s="13" t="inlineStr">
        <is>
          <t>0115</t>
        </is>
      </c>
      <c r="B269" s="14" t="inlineStr">
        <is>
          <t>Coolie</t>
        </is>
      </c>
      <c r="C269" s="13" t="inlineStr">
        <is>
          <t>day</t>
        </is>
      </c>
      <c r="D269" s="15" t="n">
        <v>0.112</v>
      </c>
      <c r="E269" s="16" t="n">
        <v>558</v>
      </c>
      <c r="F269" s="16">
        <f>D269*E269</f>
        <v/>
      </c>
    </row>
    <row r="270">
      <c r="A270" s="13" t="inlineStr">
        <is>
          <t>0100</t>
        </is>
      </c>
      <c r="B270" s="14" t="inlineStr">
        <is>
          <t>Bandhani</t>
        </is>
      </c>
      <c r="C270" s="13" t="inlineStr">
        <is>
          <t>day</t>
        </is>
      </c>
      <c r="D270" s="15" t="n">
        <v>0.224</v>
      </c>
      <c r="E270" s="16" t="n">
        <v>617</v>
      </c>
      <c r="F270" s="16">
        <f>D270*E270</f>
        <v/>
      </c>
    </row>
    <row r="271">
      <c r="A271" s="13" t="inlineStr">
        <is>
          <t>0125</t>
        </is>
      </c>
      <c r="B271" s="14" t="inlineStr">
        <is>
          <t>Mason (for plain stone work) 2nd class</t>
        </is>
      </c>
      <c r="C271" s="13" t="inlineStr">
        <is>
          <t>day</t>
        </is>
      </c>
      <c r="D271" s="15" t="n">
        <v>0.448</v>
      </c>
      <c r="E271" s="16" t="n">
        <v>679</v>
      </c>
      <c r="F271" s="16">
        <f>D271*E271</f>
        <v/>
      </c>
    </row>
    <row r="272">
      <c r="A272" s="13" t="inlineStr">
        <is>
          <t>0100</t>
        </is>
      </c>
      <c r="B272" s="14" t="inlineStr">
        <is>
          <t>Bandhani</t>
        </is>
      </c>
      <c r="C272" s="13" t="inlineStr">
        <is>
          <t>day</t>
        </is>
      </c>
      <c r="D272" s="15" t="n">
        <v>0.336</v>
      </c>
      <c r="E272" s="16" t="n">
        <v>617</v>
      </c>
      <c r="F272" s="16">
        <f>D272*E272</f>
        <v/>
      </c>
    </row>
    <row r="273">
      <c r="A273" s="13" t="inlineStr">
        <is>
          <t>0114</t>
        </is>
      </c>
      <c r="B273" s="14" t="inlineStr">
        <is>
          <t>Beldar</t>
        </is>
      </c>
      <c r="C273" s="13" t="inlineStr">
        <is>
          <t>day</t>
        </is>
      </c>
      <c r="D273" s="15" t="n">
        <v>0.336</v>
      </c>
      <c r="E273" s="16" t="n">
        <v>558</v>
      </c>
      <c r="F273" s="16">
        <f>D273*E273</f>
        <v/>
      </c>
    </row>
    <row r="274">
      <c r="A274" s="13" t="inlineStr">
        <is>
          <t>0115</t>
        </is>
      </c>
      <c r="B274" s="14" t="inlineStr">
        <is>
          <t>Coolie</t>
        </is>
      </c>
      <c r="C274" s="13" t="inlineStr">
        <is>
          <t>day</t>
        </is>
      </c>
      <c r="D274" s="15" t="n">
        <v>0.336</v>
      </c>
      <c r="E274" s="16" t="n">
        <v>558</v>
      </c>
      <c r="F274" s="16">
        <f>D274*E274</f>
        <v/>
      </c>
    </row>
    <row r="275">
      <c r="A275" s="13" t="inlineStr">
        <is>
          <t>0101</t>
        </is>
      </c>
      <c r="B275" s="14" t="inlineStr">
        <is>
          <t>Bhisti</t>
        </is>
      </c>
      <c r="C275" s="13" t="inlineStr">
        <is>
          <t>day</t>
        </is>
      </c>
      <c r="D275" s="15" t="n">
        <v>0.336</v>
      </c>
      <c r="E275" s="16" t="n">
        <v>617</v>
      </c>
      <c r="F275" s="16">
        <f>D275*E275</f>
        <v/>
      </c>
    </row>
    <row r="276">
      <c r="A276" s="13" t="inlineStr">
        <is>
          <t>1237</t>
        </is>
      </c>
      <c r="B276" s="14" t="inlineStr">
        <is>
          <t>Cutting marble or sand stone slab upto 50 mm thick by mechanical device</t>
        </is>
      </c>
      <c r="C276" s="13" t="inlineStr">
        <is>
          <t>metre</t>
        </is>
      </c>
      <c r="D276" s="15" t="n">
        <v>4</v>
      </c>
      <c r="E276" s="16" t="n">
        <v>10</v>
      </c>
      <c r="F276" s="16">
        <f>D276*E276</f>
        <v/>
      </c>
    </row>
    <row r="277">
      <c r="A277" s="13" t="inlineStr">
        <is>
          <t>9999</t>
        </is>
      </c>
      <c r="B277" s="14" t="inlineStr">
        <is>
          <t>Scaffolding</t>
        </is>
      </c>
      <c r="C277" s="13" t="inlineStr">
        <is>
          <t>L.S.</t>
        </is>
      </c>
      <c r="D277" s="15" t="n">
        <v>19.76</v>
      </c>
      <c r="E277" s="16" t="n">
        <v>2</v>
      </c>
      <c r="F277" s="16">
        <f>D277*E277</f>
        <v/>
      </c>
    </row>
    <row r="278">
      <c r="A278" s="17" t="inlineStr">
        <is>
          <t>Resource Total (Material + Labour + Machinery, as printed)</t>
        </is>
      </c>
      <c r="B278" s="18" t="n"/>
      <c r="C278" s="18" t="n"/>
      <c r="D278" s="18" t="n"/>
      <c r="E278" s="18" t="n"/>
      <c r="F278" s="19">
        <f>SUM(F263:F277)</f>
        <v/>
      </c>
    </row>
    <row r="279">
      <c r="A279" s="20" t="inlineStr">
        <is>
          <t>SAY (Rs.) — final DAR rate</t>
        </is>
      </c>
      <c r="B279" s="21" t="n"/>
      <c r="C279" s="21" t="n"/>
      <c r="D279" s="21" t="n"/>
      <c r="E279" s="21" t="n"/>
      <c r="F279" s="22" t="n">
        <v>4460.95</v>
      </c>
    </row>
    <row r="281" ht="18" customHeight="1">
      <c r="A281" s="9" t="inlineStr">
        <is>
          <t>8.14.1.2</t>
        </is>
      </c>
      <c r="B281" s="10" t="inlineStr">
        <is>
          <t>60 mm thick</t>
        </is>
      </c>
      <c r="C281" s="11" t="n"/>
      <c r="D281" s="11" t="n"/>
      <c r="E281" s="11" t="n"/>
      <c r="F281" s="11" t="n"/>
    </row>
    <row r="282">
      <c r="A282" s="12" t="inlineStr">
        <is>
          <t>Rate basis: per sqm  (source: cost for 1 sqm)</t>
        </is>
      </c>
    </row>
    <row r="283">
      <c r="A283" s="5" t="inlineStr">
        <is>
          <t>Code</t>
        </is>
      </c>
      <c r="B283" s="5" t="inlineStr">
        <is>
          <t>Description</t>
        </is>
      </c>
      <c r="C283" s="5" t="inlineStr">
        <is>
          <t>Unit</t>
        </is>
      </c>
      <c r="D283" s="5" t="inlineStr">
        <is>
          <t>Quantity</t>
        </is>
      </c>
      <c r="E283" s="5" t="inlineStr">
        <is>
          <t>Rate (Rs.)</t>
        </is>
      </c>
      <c r="F283" s="5" t="inlineStr">
        <is>
          <t>Amount (Rs.)</t>
        </is>
      </c>
    </row>
    <row r="284">
      <c r="A284" s="13" t="inlineStr">
        <is>
          <t>3.8</t>
        </is>
      </c>
      <c r="B284" s="14" t="inlineStr">
        <is>
          <t>Rate as per SH: 3.8</t>
        </is>
      </c>
      <c r="C284" s="13" t="inlineStr">
        <is>
          <t>cum</t>
        </is>
      </c>
      <c r="D284" s="15" t="n">
        <v>0.018</v>
      </c>
      <c r="E284" s="16" t="n">
        <v>4664.55</v>
      </c>
      <c r="F284" s="16">
        <f>D284*E284</f>
        <v/>
      </c>
    </row>
    <row r="285">
      <c r="A285" s="13" t="inlineStr">
        <is>
          <t>2216</t>
        </is>
      </c>
      <c r="B285" s="14" t="inlineStr">
        <is>
          <t>Carriage of Stone blocks white &amp; red sand stone &amp; kota stone slab</t>
        </is>
      </c>
      <c r="C285" s="13" t="inlineStr">
        <is>
          <t>tonne</t>
        </is>
      </c>
      <c r="D285" s="15" t="n">
        <v>0.184</v>
      </c>
      <c r="E285" s="16" t="n">
        <v>92.23999999999999</v>
      </c>
      <c r="F285" s="16">
        <f>D285*E285</f>
        <v/>
      </c>
    </row>
    <row r="286">
      <c r="A286" s="13" t="inlineStr">
        <is>
          <t>9999</t>
        </is>
      </c>
      <c r="B286" s="14" t="inlineStr">
        <is>
          <t>Extra for using white cement</t>
        </is>
      </c>
      <c r="C286" s="13" t="inlineStr">
        <is>
          <t>L.S.</t>
        </is>
      </c>
      <c r="D286" s="15" t="n">
        <v>26.91</v>
      </c>
      <c r="E286" s="16" t="n">
        <v>2</v>
      </c>
      <c r="F286" s="16">
        <f>D286*E286</f>
        <v/>
      </c>
    </row>
    <row r="287">
      <c r="A287" s="13" t="inlineStr">
        <is>
          <t>0125</t>
        </is>
      </c>
      <c r="B287" s="14" t="inlineStr">
        <is>
          <t>Mason (for plain stone work) 2nd class</t>
        </is>
      </c>
      <c r="C287" s="13" t="inlineStr">
        <is>
          <t>day</t>
        </is>
      </c>
      <c r="D287" s="15" t="n">
        <v>1.35</v>
      </c>
      <c r="E287" s="16" t="n">
        <v>679</v>
      </c>
      <c r="F287" s="16">
        <f>D287*E287</f>
        <v/>
      </c>
    </row>
    <row r="288">
      <c r="A288" s="13" t="inlineStr">
        <is>
          <t>0102</t>
        </is>
      </c>
      <c r="B288" s="14" t="inlineStr">
        <is>
          <t>Blacksmith 1st class</t>
        </is>
      </c>
      <c r="C288" s="13" t="inlineStr">
        <is>
          <t>day</t>
        </is>
      </c>
      <c r="D288" s="15" t="n">
        <v>0.032</v>
      </c>
      <c r="E288" s="16" t="n">
        <v>738</v>
      </c>
      <c r="F288" s="16">
        <f>D288*E288</f>
        <v/>
      </c>
    </row>
    <row r="289">
      <c r="A289" s="13" t="inlineStr">
        <is>
          <t>0114</t>
        </is>
      </c>
      <c r="B289" s="14" t="inlineStr">
        <is>
          <t>Beldar</t>
        </is>
      </c>
      <c r="C289" s="13" t="inlineStr">
        <is>
          <t>day</t>
        </is>
      </c>
      <c r="D289" s="15" t="n">
        <v>0.224</v>
      </c>
      <c r="E289" s="16" t="n">
        <v>558</v>
      </c>
      <c r="F289" s="16">
        <f>D289*E289</f>
        <v/>
      </c>
    </row>
    <row r="290">
      <c r="A290" s="13" t="inlineStr">
        <is>
          <t>0115</t>
        </is>
      </c>
      <c r="B290" s="14" t="inlineStr">
        <is>
          <t>Coolie</t>
        </is>
      </c>
      <c r="C290" s="13" t="inlineStr">
        <is>
          <t>day</t>
        </is>
      </c>
      <c r="D290" s="15" t="n">
        <v>0.112</v>
      </c>
      <c r="E290" s="16" t="n">
        <v>558</v>
      </c>
      <c r="F290" s="16">
        <f>D290*E290</f>
        <v/>
      </c>
    </row>
    <row r="291">
      <c r="A291" s="13" t="inlineStr">
        <is>
          <t>0100</t>
        </is>
      </c>
      <c r="B291" s="14" t="inlineStr">
        <is>
          <t>Bandhani</t>
        </is>
      </c>
      <c r="C291" s="13" t="inlineStr">
        <is>
          <t>day</t>
        </is>
      </c>
      <c r="D291" s="15" t="n">
        <v>0.224</v>
      </c>
      <c r="E291" s="16" t="n">
        <v>617</v>
      </c>
      <c r="F291" s="16">
        <f>D291*E291</f>
        <v/>
      </c>
    </row>
    <row r="292">
      <c r="A292" s="13" t="inlineStr">
        <is>
          <t>0125</t>
        </is>
      </c>
      <c r="B292" s="14" t="inlineStr">
        <is>
          <t>Mason (for plain stone work) 2nd class</t>
        </is>
      </c>
      <c r="C292" s="13" t="inlineStr">
        <is>
          <t>day</t>
        </is>
      </c>
      <c r="D292" s="15" t="n">
        <v>0.448</v>
      </c>
      <c r="E292" s="16" t="n">
        <v>679</v>
      </c>
      <c r="F292" s="16">
        <f>D292*E292</f>
        <v/>
      </c>
    </row>
    <row r="293">
      <c r="A293" s="13" t="inlineStr">
        <is>
          <t>0100</t>
        </is>
      </c>
      <c r="B293" s="14" t="inlineStr">
        <is>
          <t>Bandhani</t>
        </is>
      </c>
      <c r="C293" s="13" t="inlineStr">
        <is>
          <t>day</t>
        </is>
      </c>
      <c r="D293" s="15" t="n">
        <v>0.336</v>
      </c>
      <c r="E293" s="16" t="n">
        <v>617</v>
      </c>
      <c r="F293" s="16">
        <f>D293*E293</f>
        <v/>
      </c>
    </row>
    <row r="294">
      <c r="A294" s="13" t="inlineStr">
        <is>
          <t>0114</t>
        </is>
      </c>
      <c r="B294" s="14" t="inlineStr">
        <is>
          <t>Beldar</t>
        </is>
      </c>
      <c r="C294" s="13" t="inlineStr">
        <is>
          <t>day</t>
        </is>
      </c>
      <c r="D294" s="15" t="n">
        <v>0.336</v>
      </c>
      <c r="E294" s="16" t="n">
        <v>558</v>
      </c>
      <c r="F294" s="16">
        <f>D294*E294</f>
        <v/>
      </c>
    </row>
    <row r="295">
      <c r="A295" s="13" t="inlineStr">
        <is>
          <t>0115</t>
        </is>
      </c>
      <c r="B295" s="14" t="inlineStr">
        <is>
          <t>Coolie</t>
        </is>
      </c>
      <c r="C295" s="13" t="inlineStr">
        <is>
          <t>day</t>
        </is>
      </c>
      <c r="D295" s="15" t="n">
        <v>0.336</v>
      </c>
      <c r="E295" s="16" t="n">
        <v>558</v>
      </c>
      <c r="F295" s="16">
        <f>D295*E295</f>
        <v/>
      </c>
    </row>
    <row r="296">
      <c r="A296" s="13" t="inlineStr">
        <is>
          <t>0101</t>
        </is>
      </c>
      <c r="B296" s="14" t="inlineStr">
        <is>
          <t>Bhisti</t>
        </is>
      </c>
      <c r="C296" s="13" t="inlineStr">
        <is>
          <t>day</t>
        </is>
      </c>
      <c r="D296" s="15" t="n">
        <v>0.336</v>
      </c>
      <c r="E296" s="16" t="n">
        <v>617</v>
      </c>
      <c r="F296" s="16">
        <f>D296*E296</f>
        <v/>
      </c>
    </row>
    <row r="297">
      <c r="A297" s="13" t="inlineStr">
        <is>
          <t>1237</t>
        </is>
      </c>
      <c r="B297" s="14" t="inlineStr">
        <is>
          <t>Cutting marble or sand stone slab upto 50 mm thick by mechanical device</t>
        </is>
      </c>
      <c r="C297" s="13" t="inlineStr">
        <is>
          <t>metre</t>
        </is>
      </c>
      <c r="D297" s="15" t="n">
        <v>4</v>
      </c>
      <c r="E297" s="16" t="n">
        <v>10</v>
      </c>
      <c r="F297" s="16">
        <f>D297*E297</f>
        <v/>
      </c>
    </row>
    <row r="298">
      <c r="A298" s="13" t="inlineStr">
        <is>
          <t>9999</t>
        </is>
      </c>
      <c r="B298" s="14" t="inlineStr">
        <is>
          <t>Scaffolding</t>
        </is>
      </c>
      <c r="C298" s="13" t="inlineStr">
        <is>
          <t>L.S.</t>
        </is>
      </c>
      <c r="D298" s="15" t="n">
        <v>19.76</v>
      </c>
      <c r="E298" s="16" t="n">
        <v>2</v>
      </c>
      <c r="F298" s="16">
        <f>D298*E298</f>
        <v/>
      </c>
    </row>
    <row r="299">
      <c r="A299" s="17" t="inlineStr">
        <is>
          <t>Resource Total (Material + Labour + Machinery, as printed)</t>
        </is>
      </c>
      <c r="B299" s="18" t="n"/>
      <c r="C299" s="18" t="n"/>
      <c r="D299" s="18" t="n"/>
      <c r="E299" s="18" t="n"/>
      <c r="F299" s="19">
        <f>SUM(F284:F298)</f>
        <v/>
      </c>
    </row>
    <row r="300">
      <c r="A300" s="20" t="inlineStr">
        <is>
          <t>SAY (Rs.) — final DAR rate</t>
        </is>
      </c>
      <c r="B300" s="21" t="n"/>
      <c r="C300" s="21" t="n"/>
      <c r="D300" s="21" t="n"/>
      <c r="E300" s="21" t="n"/>
      <c r="F300" s="22" t="n">
        <v>4316.2</v>
      </c>
    </row>
    <row r="302" ht="18" customHeight="1">
      <c r="A302" s="9" t="inlineStr">
        <is>
          <t>8.14.1.3</t>
        </is>
      </c>
      <c r="B302" s="10" t="inlineStr">
        <is>
          <t>50 mm thick</t>
        </is>
      </c>
      <c r="C302" s="11" t="n"/>
      <c r="D302" s="11" t="n"/>
      <c r="E302" s="11" t="n"/>
      <c r="F302" s="11" t="n"/>
    </row>
    <row r="303">
      <c r="A303" s="12" t="inlineStr">
        <is>
          <t>Rate basis: per sqm  (source: cost for 1 sqm)</t>
        </is>
      </c>
    </row>
    <row r="304">
      <c r="A304" s="5" t="inlineStr">
        <is>
          <t>Code</t>
        </is>
      </c>
      <c r="B304" s="5" t="inlineStr">
        <is>
          <t>Description</t>
        </is>
      </c>
      <c r="C304" s="5" t="inlineStr">
        <is>
          <t>Unit</t>
        </is>
      </c>
      <c r="D304" s="5" t="inlineStr">
        <is>
          <t>Quantity</t>
        </is>
      </c>
      <c r="E304" s="5" t="inlineStr">
        <is>
          <t>Rate (Rs.)</t>
        </is>
      </c>
      <c r="F304" s="5" t="inlineStr">
        <is>
          <t>Amount (Rs.)</t>
        </is>
      </c>
    </row>
    <row r="305">
      <c r="A305" s="13" t="inlineStr">
        <is>
          <t>3.8</t>
        </is>
      </c>
      <c r="B305" s="14" t="inlineStr">
        <is>
          <t>Rate as per SH: 3.8</t>
        </is>
      </c>
      <c r="C305" s="13" t="inlineStr">
        <is>
          <t>cum</t>
        </is>
      </c>
      <c r="D305" s="15" t="n">
        <v>0.018</v>
      </c>
      <c r="E305" s="16" t="n">
        <v>4664.55</v>
      </c>
      <c r="F305" s="16">
        <f>D305*E305</f>
        <v/>
      </c>
    </row>
    <row r="306">
      <c r="A306" s="13" t="inlineStr">
        <is>
          <t>2216</t>
        </is>
      </c>
      <c r="B306" s="14" t="inlineStr">
        <is>
          <t>Carriage of Stone blocks white &amp; red sand stone &amp; kota stone slab</t>
        </is>
      </c>
      <c r="C306" s="13" t="inlineStr">
        <is>
          <t>tonne</t>
        </is>
      </c>
      <c r="D306" s="15" t="n">
        <v>0.153</v>
      </c>
      <c r="E306" s="16" t="n">
        <v>92.23999999999999</v>
      </c>
      <c r="F306" s="16">
        <f>D306*E306</f>
        <v/>
      </c>
    </row>
    <row r="307">
      <c r="A307" s="13" t="inlineStr">
        <is>
          <t>9999</t>
        </is>
      </c>
      <c r="B307" s="14" t="inlineStr">
        <is>
          <t>Extra for using white cement</t>
        </is>
      </c>
      <c r="C307" s="13" t="inlineStr">
        <is>
          <t>L.S.</t>
        </is>
      </c>
      <c r="D307" s="15" t="n">
        <v>26.91</v>
      </c>
      <c r="E307" s="16" t="n">
        <v>2</v>
      </c>
      <c r="F307" s="16">
        <f>D307*E307</f>
        <v/>
      </c>
    </row>
    <row r="308">
      <c r="A308" s="13" t="inlineStr">
        <is>
          <t>0125</t>
        </is>
      </c>
      <c r="B308" s="14" t="inlineStr">
        <is>
          <t>Mason (for plain stone work) 2nd class</t>
        </is>
      </c>
      <c r="C308" s="13" t="inlineStr">
        <is>
          <t>day</t>
        </is>
      </c>
      <c r="D308" s="15" t="n">
        <v>1.35</v>
      </c>
      <c r="E308" s="16" t="n">
        <v>679</v>
      </c>
      <c r="F308" s="16">
        <f>D308*E308</f>
        <v/>
      </c>
    </row>
    <row r="309">
      <c r="A309" s="13" t="inlineStr">
        <is>
          <t>0102</t>
        </is>
      </c>
      <c r="B309" s="14" t="inlineStr">
        <is>
          <t>Blacksmith 1st class</t>
        </is>
      </c>
      <c r="C309" s="13" t="inlineStr">
        <is>
          <t>day</t>
        </is>
      </c>
      <c r="D309" s="15" t="n">
        <v>0.032</v>
      </c>
      <c r="E309" s="16" t="n">
        <v>738</v>
      </c>
      <c r="F309" s="16">
        <f>D309*E309</f>
        <v/>
      </c>
    </row>
    <row r="310">
      <c r="A310" s="13" t="inlineStr">
        <is>
          <t>0114</t>
        </is>
      </c>
      <c r="B310" s="14" t="inlineStr">
        <is>
          <t>Beldar</t>
        </is>
      </c>
      <c r="C310" s="13" t="inlineStr">
        <is>
          <t>day</t>
        </is>
      </c>
      <c r="D310" s="15" t="n">
        <v>0.224</v>
      </c>
      <c r="E310" s="16" t="n">
        <v>558</v>
      </c>
      <c r="F310" s="16">
        <f>D310*E310</f>
        <v/>
      </c>
    </row>
    <row r="311">
      <c r="A311" s="13" t="inlineStr">
        <is>
          <t>0115</t>
        </is>
      </c>
      <c r="B311" s="14" t="inlineStr">
        <is>
          <t>Coolie</t>
        </is>
      </c>
      <c r="C311" s="13" t="inlineStr">
        <is>
          <t>day</t>
        </is>
      </c>
      <c r="D311" s="15" t="n">
        <v>0.112</v>
      </c>
      <c r="E311" s="16" t="n">
        <v>558</v>
      </c>
      <c r="F311" s="16">
        <f>D311*E311</f>
        <v/>
      </c>
    </row>
    <row r="312">
      <c r="A312" s="13" t="inlineStr">
        <is>
          <t>0100</t>
        </is>
      </c>
      <c r="B312" s="14" t="inlineStr">
        <is>
          <t>Bandhani</t>
        </is>
      </c>
      <c r="C312" s="13" t="inlineStr">
        <is>
          <t>day</t>
        </is>
      </c>
      <c r="D312" s="15" t="n">
        <v>0.224</v>
      </c>
      <c r="E312" s="16" t="n">
        <v>617</v>
      </c>
      <c r="F312" s="16">
        <f>D312*E312</f>
        <v/>
      </c>
    </row>
    <row r="313">
      <c r="A313" s="13" t="inlineStr">
        <is>
          <t>0125</t>
        </is>
      </c>
      <c r="B313" s="14" t="inlineStr">
        <is>
          <t>Mason (for plain stone work) 2nd class)</t>
        </is>
      </c>
      <c r="C313" s="13" t="inlineStr">
        <is>
          <t>day</t>
        </is>
      </c>
      <c r="D313" s="15" t="n">
        <v>0.448</v>
      </c>
      <c r="E313" s="16" t="n">
        <v>679</v>
      </c>
      <c r="F313" s="16">
        <f>D313*E313</f>
        <v/>
      </c>
    </row>
    <row r="314">
      <c r="A314" s="13" t="inlineStr">
        <is>
          <t>0100</t>
        </is>
      </c>
      <c r="B314" s="14" t="inlineStr">
        <is>
          <t>Bandhani</t>
        </is>
      </c>
      <c r="C314" s="13" t="inlineStr">
        <is>
          <t>day</t>
        </is>
      </c>
      <c r="D314" s="15" t="n">
        <v>0.336</v>
      </c>
      <c r="E314" s="16" t="n">
        <v>617</v>
      </c>
      <c r="F314" s="16">
        <f>D314*E314</f>
        <v/>
      </c>
    </row>
    <row r="315">
      <c r="A315" s="13" t="inlineStr">
        <is>
          <t>0114</t>
        </is>
      </c>
      <c r="B315" s="14" t="inlineStr">
        <is>
          <t>Beldar</t>
        </is>
      </c>
      <c r="C315" s="13" t="inlineStr">
        <is>
          <t>day</t>
        </is>
      </c>
      <c r="D315" s="15" t="n">
        <v>0.336</v>
      </c>
      <c r="E315" s="16" t="n">
        <v>558</v>
      </c>
      <c r="F315" s="16">
        <f>D315*E315</f>
        <v/>
      </c>
    </row>
    <row r="316">
      <c r="A316" s="13" t="inlineStr">
        <is>
          <t>0115</t>
        </is>
      </c>
      <c r="B316" s="14" t="inlineStr">
        <is>
          <t>Coolie</t>
        </is>
      </c>
      <c r="C316" s="13" t="inlineStr">
        <is>
          <t>day</t>
        </is>
      </c>
      <c r="D316" s="15" t="n">
        <v>0.336</v>
      </c>
      <c r="E316" s="16" t="n">
        <v>558</v>
      </c>
      <c r="F316" s="16">
        <f>D316*E316</f>
        <v/>
      </c>
    </row>
    <row r="317">
      <c r="A317" s="13" t="inlineStr">
        <is>
          <t>0101</t>
        </is>
      </c>
      <c r="B317" s="14" t="inlineStr">
        <is>
          <t>Bhisti</t>
        </is>
      </c>
      <c r="C317" s="13" t="inlineStr">
        <is>
          <t>day</t>
        </is>
      </c>
      <c r="D317" s="15" t="n">
        <v>0.336</v>
      </c>
      <c r="E317" s="16" t="n">
        <v>617</v>
      </c>
      <c r="F317" s="16">
        <f>D317*E317</f>
        <v/>
      </c>
    </row>
    <row r="318">
      <c r="A318" s="13" t="inlineStr">
        <is>
          <t>1237</t>
        </is>
      </c>
      <c r="B318" s="14" t="inlineStr">
        <is>
          <t>Cutting marble or sand stone slab upto 50 mm thick by mechanical device</t>
        </is>
      </c>
      <c r="C318" s="13" t="inlineStr">
        <is>
          <t>metre</t>
        </is>
      </c>
      <c r="D318" s="15" t="n">
        <v>4</v>
      </c>
      <c r="E318" s="16" t="n">
        <v>10</v>
      </c>
      <c r="F318" s="16">
        <f>D318*E318</f>
        <v/>
      </c>
    </row>
    <row r="319">
      <c r="A319" s="13" t="inlineStr">
        <is>
          <t>9999</t>
        </is>
      </c>
      <c r="B319" s="14" t="inlineStr">
        <is>
          <t>Scaffolding</t>
        </is>
      </c>
      <c r="C319" s="13" t="inlineStr">
        <is>
          <t>L.S.</t>
        </is>
      </c>
      <c r="D319" s="15" t="n">
        <v>19.76</v>
      </c>
      <c r="E319" s="16" t="n">
        <v>2</v>
      </c>
      <c r="F319" s="16">
        <f>D319*E319</f>
        <v/>
      </c>
    </row>
    <row r="320">
      <c r="A320" s="17" t="inlineStr">
        <is>
          <t>Resource Total (Material + Labour + Machinery, as printed)</t>
        </is>
      </c>
      <c r="B320" s="18" t="n"/>
      <c r="C320" s="18" t="n"/>
      <c r="D320" s="18" t="n"/>
      <c r="E320" s="18" t="n"/>
      <c r="F320" s="19">
        <f>SUM(F305:F319)</f>
        <v/>
      </c>
    </row>
    <row r="321">
      <c r="A321" s="20" t="inlineStr">
        <is>
          <t>SAY (Rs.) — final DAR rate</t>
        </is>
      </c>
      <c r="B321" s="21" t="n"/>
      <c r="C321" s="21" t="n"/>
      <c r="D321" s="21" t="n"/>
      <c r="E321" s="21" t="n"/>
      <c r="F321" s="22" t="n">
        <v>4171.8</v>
      </c>
    </row>
    <row r="323" ht="18" customHeight="1">
      <c r="A323" s="9" t="inlineStr">
        <is>
          <t>8.14.1.4</t>
        </is>
      </c>
      <c r="B323" s="10" t="inlineStr">
        <is>
          <t>40 mm thick</t>
        </is>
      </c>
      <c r="C323" s="11" t="n"/>
      <c r="D323" s="11" t="n"/>
      <c r="E323" s="11" t="n"/>
      <c r="F323" s="11" t="n"/>
    </row>
    <row r="324">
      <c r="A324" s="12" t="inlineStr">
        <is>
          <t>Rate basis: per sqm  (source: cost for 1 sqm)</t>
        </is>
      </c>
    </row>
    <row r="325">
      <c r="A325" s="5" t="inlineStr">
        <is>
          <t>Code</t>
        </is>
      </c>
      <c r="B325" s="5" t="inlineStr">
        <is>
          <t>Description</t>
        </is>
      </c>
      <c r="C325" s="5" t="inlineStr">
        <is>
          <t>Unit</t>
        </is>
      </c>
      <c r="D325" s="5" t="inlineStr">
        <is>
          <t>Quantity</t>
        </is>
      </c>
      <c r="E325" s="5" t="inlineStr">
        <is>
          <t>Rate (Rs.)</t>
        </is>
      </c>
      <c r="F325" s="5" t="inlineStr">
        <is>
          <t>Amount (Rs.)</t>
        </is>
      </c>
    </row>
    <row r="326">
      <c r="A326" s="13" t="inlineStr">
        <is>
          <t>3.8</t>
        </is>
      </c>
      <c r="B326" s="14" t="inlineStr">
        <is>
          <t>Rate as per SH: 3.8</t>
        </is>
      </c>
      <c r="C326" s="13" t="inlineStr">
        <is>
          <t>cum</t>
        </is>
      </c>
      <c r="D326" s="15" t="n">
        <v>0.018</v>
      </c>
      <c r="E326" s="16" t="n">
        <v>4664.55</v>
      </c>
      <c r="F326" s="16">
        <f>D326*E326</f>
        <v/>
      </c>
    </row>
    <row r="327">
      <c r="A327" s="13" t="inlineStr">
        <is>
          <t>2216</t>
        </is>
      </c>
      <c r="B327" s="14" t="inlineStr">
        <is>
          <t>Carriage of Stone blocks white &amp; red sand stone &amp; kota stone slab</t>
        </is>
      </c>
      <c r="C327" s="13" t="inlineStr">
        <is>
          <t>tonne</t>
        </is>
      </c>
      <c r="D327" s="15" t="n">
        <v>0.123</v>
      </c>
      <c r="E327" s="16" t="n">
        <v>92.23999999999999</v>
      </c>
      <c r="F327" s="16">
        <f>D327*E327</f>
        <v/>
      </c>
    </row>
    <row r="328">
      <c r="A328" s="13" t="inlineStr">
        <is>
          <t>9999</t>
        </is>
      </c>
      <c r="B328" s="14" t="inlineStr">
        <is>
          <t>Extra for using white cement</t>
        </is>
      </c>
      <c r="C328" s="13" t="inlineStr">
        <is>
          <t>L.S.</t>
        </is>
      </c>
      <c r="D328" s="15" t="n">
        <v>26.91</v>
      </c>
      <c r="E328" s="16" t="n">
        <v>2</v>
      </c>
      <c r="F328" s="16">
        <f>D328*E328</f>
        <v/>
      </c>
    </row>
    <row r="329">
      <c r="A329" s="13" t="inlineStr">
        <is>
          <t>0125</t>
        </is>
      </c>
      <c r="B329" s="14" t="inlineStr">
        <is>
          <t>Mason (for plain stone work) 2nd class)</t>
        </is>
      </c>
      <c r="C329" s="13" t="inlineStr">
        <is>
          <t>day</t>
        </is>
      </c>
      <c r="D329" s="15" t="n">
        <v>1.35</v>
      </c>
      <c r="E329" s="16" t="n">
        <v>679</v>
      </c>
      <c r="F329" s="16">
        <f>D329*E329</f>
        <v/>
      </c>
    </row>
    <row r="330">
      <c r="A330" s="13" t="inlineStr">
        <is>
          <t>0102</t>
        </is>
      </c>
      <c r="B330" s="14" t="inlineStr">
        <is>
          <t>Blacksmith 1st class</t>
        </is>
      </c>
      <c r="C330" s="13" t="inlineStr">
        <is>
          <t>day</t>
        </is>
      </c>
      <c r="D330" s="15" t="n">
        <v>0.032</v>
      </c>
      <c r="E330" s="16" t="n">
        <v>738</v>
      </c>
      <c r="F330" s="16">
        <f>D330*E330</f>
        <v/>
      </c>
    </row>
    <row r="331">
      <c r="A331" s="13" t="inlineStr">
        <is>
          <t>0114</t>
        </is>
      </c>
      <c r="B331" s="14" t="inlineStr">
        <is>
          <t>Beldar</t>
        </is>
      </c>
      <c r="C331" s="13" t="inlineStr">
        <is>
          <t>day</t>
        </is>
      </c>
      <c r="D331" s="15" t="n">
        <v>0.224</v>
      </c>
      <c r="E331" s="16" t="n">
        <v>558</v>
      </c>
      <c r="F331" s="16">
        <f>D331*E331</f>
        <v/>
      </c>
    </row>
    <row r="332">
      <c r="A332" s="13" t="inlineStr">
        <is>
          <t>0115</t>
        </is>
      </c>
      <c r="B332" s="14" t="inlineStr">
        <is>
          <t>Coolie</t>
        </is>
      </c>
      <c r="C332" s="13" t="inlineStr">
        <is>
          <t>day</t>
        </is>
      </c>
      <c r="D332" s="15" t="n">
        <v>0.112</v>
      </c>
      <c r="E332" s="16" t="n">
        <v>558</v>
      </c>
      <c r="F332" s="16">
        <f>D332*E332</f>
        <v/>
      </c>
    </row>
    <row r="333">
      <c r="A333" s="13" t="inlineStr">
        <is>
          <t>0100</t>
        </is>
      </c>
      <c r="B333" s="14" t="inlineStr">
        <is>
          <t>Bandhani</t>
        </is>
      </c>
      <c r="C333" s="13" t="inlineStr">
        <is>
          <t>day</t>
        </is>
      </c>
      <c r="D333" s="15" t="n">
        <v>0.224</v>
      </c>
      <c r="E333" s="16" t="n">
        <v>617</v>
      </c>
      <c r="F333" s="16">
        <f>D333*E333</f>
        <v/>
      </c>
    </row>
    <row r="334">
      <c r="A334" s="13" t="inlineStr">
        <is>
          <t>0125</t>
        </is>
      </c>
      <c r="B334" s="14" t="inlineStr">
        <is>
          <t>Mason (for plain stone work) 2nd class)</t>
        </is>
      </c>
      <c r="C334" s="13" t="inlineStr">
        <is>
          <t>day</t>
        </is>
      </c>
      <c r="D334" s="15" t="n">
        <v>0.448</v>
      </c>
      <c r="E334" s="16" t="n">
        <v>679</v>
      </c>
      <c r="F334" s="16">
        <f>D334*E334</f>
        <v/>
      </c>
    </row>
    <row r="335">
      <c r="A335" s="13" t="inlineStr">
        <is>
          <t>0100</t>
        </is>
      </c>
      <c r="B335" s="14" t="inlineStr">
        <is>
          <t>Bandhani</t>
        </is>
      </c>
      <c r="C335" s="13" t="inlineStr">
        <is>
          <t>day</t>
        </is>
      </c>
      <c r="D335" s="15" t="n">
        <v>0.336</v>
      </c>
      <c r="E335" s="16" t="n">
        <v>617</v>
      </c>
      <c r="F335" s="16">
        <f>D335*E335</f>
        <v/>
      </c>
    </row>
    <row r="336">
      <c r="A336" s="13" t="inlineStr">
        <is>
          <t>0114</t>
        </is>
      </c>
      <c r="B336" s="14" t="inlineStr">
        <is>
          <t>Beldar</t>
        </is>
      </c>
      <c r="C336" s="13" t="inlineStr">
        <is>
          <t>day</t>
        </is>
      </c>
      <c r="D336" s="15" t="n">
        <v>0.336</v>
      </c>
      <c r="E336" s="16" t="n">
        <v>558</v>
      </c>
      <c r="F336" s="16">
        <f>D336*E336</f>
        <v/>
      </c>
    </row>
    <row r="337">
      <c r="A337" s="13" t="inlineStr">
        <is>
          <t>0115</t>
        </is>
      </c>
      <c r="B337" s="14" t="inlineStr">
        <is>
          <t>Coolie</t>
        </is>
      </c>
      <c r="C337" s="13" t="inlineStr">
        <is>
          <t>day</t>
        </is>
      </c>
      <c r="D337" s="15" t="n">
        <v>0.336</v>
      </c>
      <c r="E337" s="16" t="n">
        <v>558</v>
      </c>
      <c r="F337" s="16">
        <f>D337*E337</f>
        <v/>
      </c>
    </row>
    <row r="338">
      <c r="A338" s="13" t="inlineStr">
        <is>
          <t>0101</t>
        </is>
      </c>
      <c r="B338" s="14" t="inlineStr">
        <is>
          <t>Bhisti</t>
        </is>
      </c>
      <c r="C338" s="13" t="inlineStr">
        <is>
          <t>day</t>
        </is>
      </c>
      <c r="D338" s="15" t="n">
        <v>0.336</v>
      </c>
      <c r="E338" s="16" t="n">
        <v>617</v>
      </c>
      <c r="F338" s="16">
        <f>D338*E338</f>
        <v/>
      </c>
    </row>
    <row r="339">
      <c r="A339" s="13" t="inlineStr">
        <is>
          <t>1237</t>
        </is>
      </c>
      <c r="B339" s="14" t="inlineStr">
        <is>
          <t>Cutting marble or sand stone slab upto 50 mm thick by mechanical device</t>
        </is>
      </c>
      <c r="C339" s="13" t="inlineStr">
        <is>
          <t>metre</t>
        </is>
      </c>
      <c r="D339" s="15" t="n">
        <v>4</v>
      </c>
      <c r="E339" s="16" t="n">
        <v>10</v>
      </c>
      <c r="F339" s="16">
        <f>D339*E339</f>
        <v/>
      </c>
    </row>
    <row r="340">
      <c r="A340" s="13" t="inlineStr">
        <is>
          <t>9999</t>
        </is>
      </c>
      <c r="B340" s="14" t="inlineStr">
        <is>
          <t>Scaffolding</t>
        </is>
      </c>
      <c r="C340" s="13" t="inlineStr">
        <is>
          <t>L.S.</t>
        </is>
      </c>
      <c r="D340" s="15" t="n">
        <v>19.76</v>
      </c>
      <c r="E340" s="16" t="n">
        <v>2</v>
      </c>
      <c r="F340" s="16">
        <f>D340*E340</f>
        <v/>
      </c>
    </row>
    <row r="341">
      <c r="A341" s="17" t="inlineStr">
        <is>
          <t>Resource Total (Material + Labour + Machinery, as printed)</t>
        </is>
      </c>
      <c r="B341" s="18" t="n"/>
      <c r="C341" s="18" t="n"/>
      <c r="D341" s="18" t="n"/>
      <c r="E341" s="18" t="n"/>
      <c r="F341" s="19">
        <f>SUM(F326:F340)</f>
        <v/>
      </c>
    </row>
    <row r="342">
      <c r="A342" s="20" t="inlineStr">
        <is>
          <t>SAY (Rs.) — final DAR rate</t>
        </is>
      </c>
      <c r="B342" s="21" t="n"/>
      <c r="C342" s="21" t="n"/>
      <c r="D342" s="21" t="n"/>
      <c r="E342" s="21" t="n"/>
      <c r="F342" s="22" t="n">
        <v>4026.8</v>
      </c>
    </row>
    <row r="344" ht="18" customHeight="1">
      <c r="A344" s="9" t="inlineStr">
        <is>
          <t>8.14.1.5</t>
        </is>
      </c>
      <c r="B344" s="10" t="inlineStr">
        <is>
          <t>30 mm thick</t>
        </is>
      </c>
      <c r="C344" s="11" t="n"/>
      <c r="D344" s="11" t="n"/>
      <c r="E344" s="11" t="n"/>
      <c r="F344" s="11" t="n"/>
    </row>
    <row r="345">
      <c r="A345" s="12" t="inlineStr">
        <is>
          <t>Rate basis: per sqm  (source: cost for 1 sqm)</t>
        </is>
      </c>
    </row>
    <row r="346">
      <c r="A346" s="5" t="inlineStr">
        <is>
          <t>Code</t>
        </is>
      </c>
      <c r="B346" s="5" t="inlineStr">
        <is>
          <t>Description</t>
        </is>
      </c>
      <c r="C346" s="5" t="inlineStr">
        <is>
          <t>Unit</t>
        </is>
      </c>
      <c r="D346" s="5" t="inlineStr">
        <is>
          <t>Quantity</t>
        </is>
      </c>
      <c r="E346" s="5" t="inlineStr">
        <is>
          <t>Rate (Rs.)</t>
        </is>
      </c>
      <c r="F346" s="5" t="inlineStr">
        <is>
          <t>Amount (Rs.)</t>
        </is>
      </c>
    </row>
    <row r="347">
      <c r="A347" s="13" t="inlineStr">
        <is>
          <t>3.8</t>
        </is>
      </c>
      <c r="B347" s="14" t="inlineStr">
        <is>
          <t>Rate as per SH: 3.8</t>
        </is>
      </c>
      <c r="C347" s="13" t="inlineStr">
        <is>
          <t>cum</t>
        </is>
      </c>
      <c r="D347" s="15" t="n">
        <v>0.018</v>
      </c>
      <c r="E347" s="16" t="n">
        <v>4664.55</v>
      </c>
      <c r="F347" s="16">
        <f>D347*E347</f>
        <v/>
      </c>
    </row>
    <row r="348">
      <c r="A348" s="13" t="inlineStr">
        <is>
          <t>2216</t>
        </is>
      </c>
      <c r="B348" s="14" t="inlineStr">
        <is>
          <t>Carriage of Stone blocks white &amp; red sand stone &amp; kota stone slab</t>
        </is>
      </c>
      <c r="C348" s="13" t="inlineStr">
        <is>
          <t>tonne</t>
        </is>
      </c>
      <c r="D348" s="15" t="n">
        <v>0.092</v>
      </c>
      <c r="E348" s="16" t="n">
        <v>92.23999999999999</v>
      </c>
      <c r="F348" s="16">
        <f>D348*E348</f>
        <v/>
      </c>
    </row>
    <row r="349">
      <c r="A349" s="13" t="inlineStr">
        <is>
          <t>9999</t>
        </is>
      </c>
      <c r="B349" s="14" t="inlineStr">
        <is>
          <t>Extra for using white cement</t>
        </is>
      </c>
      <c r="C349" s="13" t="inlineStr">
        <is>
          <t>L.S.</t>
        </is>
      </c>
      <c r="D349" s="15" t="n">
        <v>26.91</v>
      </c>
      <c r="E349" s="16" t="n">
        <v>2</v>
      </c>
      <c r="F349" s="16">
        <f>D349*E349</f>
        <v/>
      </c>
    </row>
    <row r="350">
      <c r="A350" s="13" t="inlineStr">
        <is>
          <t>0125</t>
        </is>
      </c>
      <c r="B350" s="14" t="inlineStr">
        <is>
          <t>Mason (for plain stone work) 2nd class)</t>
        </is>
      </c>
      <c r="C350" s="13" t="inlineStr">
        <is>
          <t>day</t>
        </is>
      </c>
      <c r="D350" s="15" t="n">
        <v>1.35</v>
      </c>
      <c r="E350" s="16" t="n">
        <v>679</v>
      </c>
      <c r="F350" s="16">
        <f>D350*E350</f>
        <v/>
      </c>
    </row>
    <row r="351">
      <c r="A351" s="13" t="inlineStr">
        <is>
          <t>0102</t>
        </is>
      </c>
      <c r="B351" s="14" t="inlineStr">
        <is>
          <t>Blacksmith 1st class</t>
        </is>
      </c>
      <c r="C351" s="13" t="inlineStr">
        <is>
          <t>day</t>
        </is>
      </c>
      <c r="D351" s="15" t="n">
        <v>0.032</v>
      </c>
      <c r="E351" s="16" t="n">
        <v>738</v>
      </c>
      <c r="F351" s="16">
        <f>D351*E351</f>
        <v/>
      </c>
    </row>
    <row r="352">
      <c r="A352" s="13" t="inlineStr">
        <is>
          <t>0114</t>
        </is>
      </c>
      <c r="B352" s="14" t="inlineStr">
        <is>
          <t>Beldar</t>
        </is>
      </c>
      <c r="C352" s="13" t="inlineStr">
        <is>
          <t>day</t>
        </is>
      </c>
      <c r="D352" s="15" t="n">
        <v>0.224</v>
      </c>
      <c r="E352" s="16" t="n">
        <v>558</v>
      </c>
      <c r="F352" s="16">
        <f>D352*E352</f>
        <v/>
      </c>
    </row>
    <row r="353">
      <c r="A353" s="13" t="inlineStr">
        <is>
          <t>0115</t>
        </is>
      </c>
      <c r="B353" s="14" t="inlineStr">
        <is>
          <t>Coolie</t>
        </is>
      </c>
      <c r="C353" s="13" t="inlineStr">
        <is>
          <t>day</t>
        </is>
      </c>
      <c r="D353" s="15" t="n">
        <v>0.112</v>
      </c>
      <c r="E353" s="16" t="n">
        <v>558</v>
      </c>
      <c r="F353" s="16">
        <f>D353*E353</f>
        <v/>
      </c>
    </row>
    <row r="354">
      <c r="A354" s="13" t="inlineStr">
        <is>
          <t>0100</t>
        </is>
      </c>
      <c r="B354" s="14" t="inlineStr">
        <is>
          <t>Bandhani</t>
        </is>
      </c>
      <c r="C354" s="13" t="inlineStr">
        <is>
          <t>day</t>
        </is>
      </c>
      <c r="D354" s="15" t="n">
        <v>0.224</v>
      </c>
      <c r="E354" s="16" t="n">
        <v>617</v>
      </c>
      <c r="F354" s="16">
        <f>D354*E354</f>
        <v/>
      </c>
    </row>
    <row r="355">
      <c r="A355" s="13" t="inlineStr">
        <is>
          <t>0125</t>
        </is>
      </c>
      <c r="B355" s="14" t="inlineStr">
        <is>
          <t>Mason (for plain stone work) 2nd class)</t>
        </is>
      </c>
      <c r="C355" s="13" t="inlineStr">
        <is>
          <t>day</t>
        </is>
      </c>
      <c r="D355" s="15" t="n">
        <v>0.448</v>
      </c>
      <c r="E355" s="16" t="n">
        <v>679</v>
      </c>
      <c r="F355" s="16">
        <f>D355*E355</f>
        <v/>
      </c>
    </row>
    <row r="356">
      <c r="A356" s="13" t="inlineStr">
        <is>
          <t>0100</t>
        </is>
      </c>
      <c r="B356" s="14" t="inlineStr">
        <is>
          <t>Bandhani</t>
        </is>
      </c>
      <c r="C356" s="13" t="inlineStr">
        <is>
          <t>day</t>
        </is>
      </c>
      <c r="D356" s="15" t="n">
        <v>0.336</v>
      </c>
      <c r="E356" s="16" t="n">
        <v>617</v>
      </c>
      <c r="F356" s="16">
        <f>D356*E356</f>
        <v/>
      </c>
    </row>
    <row r="357">
      <c r="A357" s="13" t="inlineStr">
        <is>
          <t>0114</t>
        </is>
      </c>
      <c r="B357" s="14" t="inlineStr">
        <is>
          <t>Beldar</t>
        </is>
      </c>
      <c r="C357" s="13" t="inlineStr">
        <is>
          <t>day</t>
        </is>
      </c>
      <c r="D357" s="15" t="n">
        <v>0.336</v>
      </c>
      <c r="E357" s="16" t="n">
        <v>558</v>
      </c>
      <c r="F357" s="16">
        <f>D357*E357</f>
        <v/>
      </c>
    </row>
    <row r="358">
      <c r="A358" s="13" t="inlineStr">
        <is>
          <t>0115</t>
        </is>
      </c>
      <c r="B358" s="14" t="inlineStr">
        <is>
          <t>Coolie</t>
        </is>
      </c>
      <c r="C358" s="13" t="inlineStr">
        <is>
          <t>day</t>
        </is>
      </c>
      <c r="D358" s="15" t="n">
        <v>0.336</v>
      </c>
      <c r="E358" s="16" t="n">
        <v>558</v>
      </c>
      <c r="F358" s="16">
        <f>D358*E358</f>
        <v/>
      </c>
    </row>
    <row r="359">
      <c r="A359" s="13" t="inlineStr">
        <is>
          <t>0101</t>
        </is>
      </c>
      <c r="B359" s="14" t="inlineStr">
        <is>
          <t>Bhisti</t>
        </is>
      </c>
      <c r="C359" s="13" t="inlineStr">
        <is>
          <t>day</t>
        </is>
      </c>
      <c r="D359" s="15" t="n">
        <v>0.336</v>
      </c>
      <c r="E359" s="16" t="n">
        <v>617</v>
      </c>
      <c r="F359" s="16">
        <f>D359*E359</f>
        <v/>
      </c>
    </row>
    <row r="360">
      <c r="A360" s="13" t="inlineStr">
        <is>
          <t>1237</t>
        </is>
      </c>
      <c r="B360" s="14" t="inlineStr">
        <is>
          <t>Cutting marble or sand stone slab upto 50 mm thick by mechanical device</t>
        </is>
      </c>
      <c r="C360" s="13" t="inlineStr">
        <is>
          <t>metre</t>
        </is>
      </c>
      <c r="D360" s="15" t="n">
        <v>4</v>
      </c>
      <c r="E360" s="16" t="n">
        <v>10</v>
      </c>
      <c r="F360" s="16">
        <f>D360*E360</f>
        <v/>
      </c>
    </row>
    <row r="361">
      <c r="A361" s="13" t="inlineStr">
        <is>
          <t>9999</t>
        </is>
      </c>
      <c r="B361" s="14" t="inlineStr">
        <is>
          <t>Scaffolding</t>
        </is>
      </c>
      <c r="C361" s="13" t="inlineStr">
        <is>
          <t>L.S.</t>
        </is>
      </c>
      <c r="D361" s="15" t="n">
        <v>19.76</v>
      </c>
      <c r="E361" s="16" t="n">
        <v>2</v>
      </c>
      <c r="F361" s="16">
        <f>D361*E361</f>
        <v/>
      </c>
    </row>
    <row r="362">
      <c r="A362" s="17" t="inlineStr">
        <is>
          <t>Resource Total (Material + Labour + Machinery, as printed)</t>
        </is>
      </c>
      <c r="B362" s="18" t="n"/>
      <c r="C362" s="18" t="n"/>
      <c r="D362" s="18" t="n"/>
      <c r="E362" s="18" t="n"/>
      <c r="F362" s="19">
        <f>SUM(F347:F361)</f>
        <v/>
      </c>
    </row>
    <row r="363">
      <c r="A363" s="20" t="inlineStr">
        <is>
          <t>SAY (Rs.) — final DAR rate</t>
        </is>
      </c>
      <c r="B363" s="21" t="n"/>
      <c r="C363" s="21" t="n"/>
      <c r="D363" s="21" t="n"/>
      <c r="E363" s="21" t="n"/>
      <c r="F363" s="22" t="n">
        <v>3882</v>
      </c>
    </row>
    <row r="365" ht="18" customHeight="1">
      <c r="A365" s="9" t="inlineStr">
        <is>
          <t>8.14.2.1</t>
        </is>
      </c>
      <c r="B365" s="10" t="inlineStr">
        <is>
          <t>70 mm thick</t>
        </is>
      </c>
      <c r="C365" s="11" t="n"/>
      <c r="D365" s="11" t="n"/>
      <c r="E365" s="11" t="n"/>
      <c r="F365" s="11" t="n"/>
    </row>
    <row r="366">
      <c r="A366" s="12" t="inlineStr">
        <is>
          <t>Rate basis: per sqm  (source: cost for 1 sqm)</t>
        </is>
      </c>
    </row>
    <row r="367">
      <c r="A367" s="5" t="inlineStr">
        <is>
          <t>Code</t>
        </is>
      </c>
      <c r="B367" s="5" t="inlineStr">
        <is>
          <t>Description</t>
        </is>
      </c>
      <c r="C367" s="5" t="inlineStr">
        <is>
          <t>Unit</t>
        </is>
      </c>
      <c r="D367" s="5" t="inlineStr">
        <is>
          <t>Quantity</t>
        </is>
      </c>
      <c r="E367" s="5" t="inlineStr">
        <is>
          <t>Rate (Rs.)</t>
        </is>
      </c>
      <c r="F367" s="5" t="inlineStr">
        <is>
          <t>Amount (Rs.)</t>
        </is>
      </c>
    </row>
    <row r="368">
      <c r="A368" s="13" t="inlineStr">
        <is>
          <t>3.8</t>
        </is>
      </c>
      <c r="B368" s="14" t="inlineStr">
        <is>
          <t>Rate as per SH: 3.8</t>
        </is>
      </c>
      <c r="C368" s="13" t="inlineStr">
        <is>
          <t>cum</t>
        </is>
      </c>
      <c r="D368" s="15" t="n">
        <v>0.018</v>
      </c>
      <c r="E368" s="16" t="n">
        <v>4664.55</v>
      </c>
      <c r="F368" s="16">
        <f>D368*E368</f>
        <v/>
      </c>
    </row>
    <row r="369">
      <c r="A369" s="13" t="inlineStr">
        <is>
          <t>2216</t>
        </is>
      </c>
      <c r="B369" s="14" t="inlineStr">
        <is>
          <t>Carriage of Stone blocks white &amp; red sand stone &amp; kota stone slab</t>
        </is>
      </c>
      <c r="C369" s="13" t="inlineStr">
        <is>
          <t>tonne</t>
        </is>
      </c>
      <c r="D369" s="15" t="n">
        <v>0.215</v>
      </c>
      <c r="E369" s="16" t="n">
        <v>92.23999999999999</v>
      </c>
      <c r="F369" s="16">
        <f>D369*E369</f>
        <v/>
      </c>
    </row>
    <row r="370">
      <c r="A370" s="13" t="inlineStr">
        <is>
          <t>9999</t>
        </is>
      </c>
      <c r="B370" s="14" t="inlineStr">
        <is>
          <t>Extra for using white cement</t>
        </is>
      </c>
      <c r="C370" s="13" t="inlineStr">
        <is>
          <t>L.S.</t>
        </is>
      </c>
      <c r="D370" s="15" t="n">
        <v>26.91</v>
      </c>
      <c r="E370" s="16" t="n">
        <v>2</v>
      </c>
      <c r="F370" s="16">
        <f>D370*E370</f>
        <v/>
      </c>
    </row>
    <row r="371">
      <c r="A371" s="13" t="inlineStr">
        <is>
          <t>0125</t>
        </is>
      </c>
      <c r="B371" s="14" t="inlineStr">
        <is>
          <t>Mason (for plain stone work) 2nd class)</t>
        </is>
      </c>
      <c r="C371" s="13" t="inlineStr">
        <is>
          <t>day</t>
        </is>
      </c>
      <c r="D371" s="15" t="n">
        <v>2.7</v>
      </c>
      <c r="E371" s="16" t="n">
        <v>679</v>
      </c>
      <c r="F371" s="16">
        <f>D371*E371</f>
        <v/>
      </c>
    </row>
    <row r="372">
      <c r="A372" s="13" t="inlineStr">
        <is>
          <t>0102</t>
        </is>
      </c>
      <c r="B372" s="14" t="inlineStr">
        <is>
          <t>Blacksmith 1st class</t>
        </is>
      </c>
      <c r="C372" s="13" t="inlineStr">
        <is>
          <t>day</t>
        </is>
      </c>
      <c r="D372" s="15" t="n">
        <v>0.064</v>
      </c>
      <c r="E372" s="16" t="n">
        <v>738</v>
      </c>
      <c r="F372" s="16">
        <f>D372*E372</f>
        <v/>
      </c>
    </row>
    <row r="373">
      <c r="A373" s="13" t="inlineStr">
        <is>
          <t>0114</t>
        </is>
      </c>
      <c r="B373" s="14" t="inlineStr">
        <is>
          <t>Beldar</t>
        </is>
      </c>
      <c r="C373" s="13" t="inlineStr">
        <is>
          <t>day</t>
        </is>
      </c>
      <c r="D373" s="15" t="n">
        <v>0.448</v>
      </c>
      <c r="E373" s="16" t="n">
        <v>558</v>
      </c>
      <c r="F373" s="16">
        <f>D373*E373</f>
        <v/>
      </c>
    </row>
    <row r="374">
      <c r="A374" s="13" t="inlineStr">
        <is>
          <t>0115</t>
        </is>
      </c>
      <c r="B374" s="14" t="inlineStr">
        <is>
          <t>Coolie</t>
        </is>
      </c>
      <c r="C374" s="13" t="inlineStr">
        <is>
          <t>day</t>
        </is>
      </c>
      <c r="D374" s="15" t="n">
        <v>0.224</v>
      </c>
      <c r="E374" s="16" t="n">
        <v>558</v>
      </c>
      <c r="F374" s="16">
        <f>D374*E374</f>
        <v/>
      </c>
    </row>
    <row r="375">
      <c r="A375" s="13" t="inlineStr">
        <is>
          <t>0100</t>
        </is>
      </c>
      <c r="B375" s="14" t="inlineStr">
        <is>
          <t>Bandhani</t>
        </is>
      </c>
      <c r="C375" s="13" t="inlineStr">
        <is>
          <t>day</t>
        </is>
      </c>
      <c r="D375" s="15" t="n">
        <v>0.448</v>
      </c>
      <c r="E375" s="16" t="n">
        <v>617</v>
      </c>
      <c r="F375" s="16">
        <f>D375*E375</f>
        <v/>
      </c>
    </row>
    <row r="376">
      <c r="A376" s="13" t="inlineStr">
        <is>
          <t>0125</t>
        </is>
      </c>
      <c r="B376" s="14" t="inlineStr">
        <is>
          <t>Mason (for plain stone work) 2nd class)</t>
        </is>
      </c>
      <c r="C376" s="13" t="inlineStr">
        <is>
          <t>day</t>
        </is>
      </c>
      <c r="D376" s="15" t="n">
        <v>0.448</v>
      </c>
      <c r="E376" s="16" t="n">
        <v>679</v>
      </c>
      <c r="F376" s="16">
        <f>D376*E376</f>
        <v/>
      </c>
    </row>
    <row r="377">
      <c r="A377" s="13" t="inlineStr">
        <is>
          <t>0100</t>
        </is>
      </c>
      <c r="B377" s="14" t="inlineStr">
        <is>
          <t>Bandhani</t>
        </is>
      </c>
      <c r="C377" s="13" t="inlineStr">
        <is>
          <t>day</t>
        </is>
      </c>
      <c r="D377" s="15" t="n">
        <v>0.336</v>
      </c>
      <c r="E377" s="16" t="n">
        <v>617</v>
      </c>
      <c r="F377" s="16">
        <f>D377*E377</f>
        <v/>
      </c>
    </row>
    <row r="378">
      <c r="A378" s="13" t="inlineStr">
        <is>
          <t>0114</t>
        </is>
      </c>
      <c r="B378" s="14" t="inlineStr">
        <is>
          <t>Beldar</t>
        </is>
      </c>
      <c r="C378" s="13" t="inlineStr">
        <is>
          <t>day</t>
        </is>
      </c>
      <c r="D378" s="15" t="n">
        <v>0.336</v>
      </c>
      <c r="E378" s="16" t="n">
        <v>558</v>
      </c>
      <c r="F378" s="16">
        <f>D378*E378</f>
        <v/>
      </c>
    </row>
    <row r="379">
      <c r="A379" s="13" t="inlineStr">
        <is>
          <t>0115</t>
        </is>
      </c>
      <c r="B379" s="14" t="inlineStr">
        <is>
          <t>Coolie</t>
        </is>
      </c>
      <c r="C379" s="13" t="inlineStr">
        <is>
          <t>day</t>
        </is>
      </c>
      <c r="D379" s="15" t="n">
        <v>0.336</v>
      </c>
      <c r="E379" s="16" t="n">
        <v>558</v>
      </c>
      <c r="F379" s="16">
        <f>D379*E379</f>
        <v/>
      </c>
    </row>
    <row r="380">
      <c r="A380" s="13" t="inlineStr">
        <is>
          <t>0101</t>
        </is>
      </c>
      <c r="B380" s="14" t="inlineStr">
        <is>
          <t>Bhisti</t>
        </is>
      </c>
      <c r="C380" s="13" t="inlineStr">
        <is>
          <t>day</t>
        </is>
      </c>
      <c r="D380" s="15" t="n">
        <v>0.336</v>
      </c>
      <c r="E380" s="16" t="n">
        <v>617</v>
      </c>
      <c r="F380" s="16">
        <f>D380*E380</f>
        <v/>
      </c>
    </row>
    <row r="381">
      <c r="A381" s="13" t="inlineStr">
        <is>
          <t>1237</t>
        </is>
      </c>
      <c r="B381" s="14" t="inlineStr">
        <is>
          <t>Cutting marble or sand stone slab upto 50 mm thick by mechanical device</t>
        </is>
      </c>
      <c r="C381" s="13" t="inlineStr">
        <is>
          <t>metre</t>
        </is>
      </c>
      <c r="D381" s="15" t="n">
        <v>4</v>
      </c>
      <c r="E381" s="16" t="n">
        <v>10</v>
      </c>
      <c r="F381" s="16">
        <f>D381*E381</f>
        <v/>
      </c>
    </row>
    <row r="382">
      <c r="A382" s="13" t="inlineStr">
        <is>
          <t>9999</t>
        </is>
      </c>
      <c r="B382" s="14" t="inlineStr">
        <is>
          <t>Scaffolding</t>
        </is>
      </c>
      <c r="C382" s="13" t="inlineStr">
        <is>
          <t>L.S.</t>
        </is>
      </c>
      <c r="D382" s="15" t="n">
        <v>19.76</v>
      </c>
      <c r="E382" s="16" t="n">
        <v>2</v>
      </c>
      <c r="F382" s="16">
        <f>D382*E382</f>
        <v/>
      </c>
    </row>
    <row r="383">
      <c r="A383" s="17" t="inlineStr">
        <is>
          <t>Resource Total (Material + Labour + Machinery, as printed)</t>
        </is>
      </c>
      <c r="B383" s="18" t="n"/>
      <c r="C383" s="18" t="n"/>
      <c r="D383" s="18" t="n"/>
      <c r="E383" s="18" t="n"/>
      <c r="F383" s="19">
        <f>SUM(F368:F382)</f>
        <v/>
      </c>
    </row>
    <row r="384">
      <c r="A384" s="20" t="inlineStr">
        <is>
          <t>SAY (Rs.) — final DAR rate</t>
        </is>
      </c>
      <c r="B384" s="21" t="n"/>
      <c r="C384" s="21" t="n"/>
      <c r="D384" s="21" t="n"/>
      <c r="E384" s="21" t="n"/>
      <c r="F384" s="22" t="n">
        <v>6154.7</v>
      </c>
    </row>
    <row r="386" ht="18" customHeight="1">
      <c r="A386" s="9" t="inlineStr">
        <is>
          <t>8.14.2.2</t>
        </is>
      </c>
      <c r="B386" s="10" t="inlineStr">
        <is>
          <t>60 mm thick</t>
        </is>
      </c>
      <c r="C386" s="11" t="n"/>
      <c r="D386" s="11" t="n"/>
      <c r="E386" s="11" t="n"/>
      <c r="F386" s="11" t="n"/>
    </row>
    <row r="387">
      <c r="A387" s="12" t="inlineStr">
        <is>
          <t>Rate basis: per sqm  (source: cost for 1 sqm)</t>
        </is>
      </c>
    </row>
    <row r="388">
      <c r="A388" s="5" t="inlineStr">
        <is>
          <t>Code</t>
        </is>
      </c>
      <c r="B388" s="5" t="inlineStr">
        <is>
          <t>Description</t>
        </is>
      </c>
      <c r="C388" s="5" t="inlineStr">
        <is>
          <t>Unit</t>
        </is>
      </c>
      <c r="D388" s="5" t="inlineStr">
        <is>
          <t>Quantity</t>
        </is>
      </c>
      <c r="E388" s="5" t="inlineStr">
        <is>
          <t>Rate (Rs.)</t>
        </is>
      </c>
      <c r="F388" s="5" t="inlineStr">
        <is>
          <t>Amount (Rs.)</t>
        </is>
      </c>
    </row>
    <row r="389">
      <c r="A389" s="13" t="inlineStr">
        <is>
          <t>3.8</t>
        </is>
      </c>
      <c r="B389" s="14" t="inlineStr">
        <is>
          <t>Rate as per SH: 3.8</t>
        </is>
      </c>
      <c r="C389" s="13" t="inlineStr">
        <is>
          <t>cum</t>
        </is>
      </c>
      <c r="D389" s="15" t="n">
        <v>0.018</v>
      </c>
      <c r="E389" s="16" t="n">
        <v>4664.55</v>
      </c>
      <c r="F389" s="16">
        <f>D389*E389</f>
        <v/>
      </c>
    </row>
    <row r="390">
      <c r="A390" s="13" t="inlineStr">
        <is>
          <t>2216</t>
        </is>
      </c>
      <c r="B390" s="14" t="inlineStr">
        <is>
          <t>Carriage of Stone blocks white &amp; red sand stone &amp; kota stone slab</t>
        </is>
      </c>
      <c r="C390" s="13" t="inlineStr">
        <is>
          <t>tonne</t>
        </is>
      </c>
      <c r="D390" s="15" t="n">
        <v>0.184</v>
      </c>
      <c r="E390" s="16" t="n">
        <v>92.23999999999999</v>
      </c>
      <c r="F390" s="16">
        <f>D390*E390</f>
        <v/>
      </c>
    </row>
    <row r="391">
      <c r="A391" s="13" t="inlineStr">
        <is>
          <t>9999</t>
        </is>
      </c>
      <c r="B391" s="14" t="inlineStr">
        <is>
          <t>Extra for using white cement</t>
        </is>
      </c>
      <c r="C391" s="13" t="inlineStr">
        <is>
          <t>L.S.</t>
        </is>
      </c>
      <c r="D391" s="15" t="n">
        <v>26.91</v>
      </c>
      <c r="E391" s="16" t="n">
        <v>2</v>
      </c>
      <c r="F391" s="16">
        <f>D391*E391</f>
        <v/>
      </c>
    </row>
    <row r="392">
      <c r="A392" s="13" t="inlineStr">
        <is>
          <t>0125</t>
        </is>
      </c>
      <c r="B392" s="14" t="inlineStr">
        <is>
          <t>Mason (for plain stone work) 2nd class)</t>
        </is>
      </c>
      <c r="C392" s="13" t="inlineStr">
        <is>
          <t>day</t>
        </is>
      </c>
      <c r="D392" s="15" t="n">
        <v>2.7</v>
      </c>
      <c r="E392" s="16" t="n">
        <v>679</v>
      </c>
      <c r="F392" s="16">
        <f>D392*E392</f>
        <v/>
      </c>
    </row>
    <row r="393">
      <c r="A393" s="13" t="inlineStr">
        <is>
          <t>0102</t>
        </is>
      </c>
      <c r="B393" s="14" t="inlineStr">
        <is>
          <t>Blacksmith 1st class</t>
        </is>
      </c>
      <c r="C393" s="13" t="inlineStr">
        <is>
          <t>day</t>
        </is>
      </c>
      <c r="D393" s="15" t="n">
        <v>0.064</v>
      </c>
      <c r="E393" s="16" t="n">
        <v>738</v>
      </c>
      <c r="F393" s="16">
        <f>D393*E393</f>
        <v/>
      </c>
    </row>
    <row r="394">
      <c r="A394" s="13" t="inlineStr">
        <is>
          <t>0114</t>
        </is>
      </c>
      <c r="B394" s="14" t="inlineStr">
        <is>
          <t>Beldar</t>
        </is>
      </c>
      <c r="C394" s="13" t="inlineStr">
        <is>
          <t>day</t>
        </is>
      </c>
      <c r="D394" s="15" t="n">
        <v>0.448</v>
      </c>
      <c r="E394" s="16" t="n">
        <v>558</v>
      </c>
      <c r="F394" s="16">
        <f>D394*E394</f>
        <v/>
      </c>
    </row>
    <row r="395">
      <c r="A395" s="13" t="inlineStr">
        <is>
          <t>0115</t>
        </is>
      </c>
      <c r="B395" s="14" t="inlineStr">
        <is>
          <t>Coolie</t>
        </is>
      </c>
      <c r="C395" s="13" t="inlineStr">
        <is>
          <t>day</t>
        </is>
      </c>
      <c r="D395" s="15" t="n">
        <v>0.224</v>
      </c>
      <c r="E395" s="16" t="n">
        <v>558</v>
      </c>
      <c r="F395" s="16">
        <f>D395*E395</f>
        <v/>
      </c>
    </row>
    <row r="396">
      <c r="A396" s="13" t="inlineStr">
        <is>
          <t>0100</t>
        </is>
      </c>
      <c r="B396" s="14" t="inlineStr">
        <is>
          <t>Bandhani</t>
        </is>
      </c>
      <c r="C396" s="13" t="inlineStr">
        <is>
          <t>day</t>
        </is>
      </c>
      <c r="D396" s="15" t="n">
        <v>0.448</v>
      </c>
      <c r="E396" s="16" t="n">
        <v>617</v>
      </c>
      <c r="F396" s="16">
        <f>D396*E396</f>
        <v/>
      </c>
    </row>
    <row r="397">
      <c r="A397" s="13" t="inlineStr">
        <is>
          <t>0125</t>
        </is>
      </c>
      <c r="B397" s="14" t="inlineStr">
        <is>
          <t>Mason (for plain stone work) 2nd class)</t>
        </is>
      </c>
      <c r="C397" s="13" t="inlineStr">
        <is>
          <t>day</t>
        </is>
      </c>
      <c r="D397" s="15" t="n">
        <v>0.448</v>
      </c>
      <c r="E397" s="16" t="n">
        <v>679</v>
      </c>
      <c r="F397" s="16">
        <f>D397*E397</f>
        <v/>
      </c>
    </row>
    <row r="398">
      <c r="A398" s="13" t="inlineStr">
        <is>
          <t>0100</t>
        </is>
      </c>
      <c r="B398" s="14" t="inlineStr">
        <is>
          <t>Bandhani</t>
        </is>
      </c>
      <c r="C398" s="13" t="inlineStr">
        <is>
          <t>day</t>
        </is>
      </c>
      <c r="D398" s="15" t="n">
        <v>0.336</v>
      </c>
      <c r="E398" s="16" t="n">
        <v>617</v>
      </c>
      <c r="F398" s="16">
        <f>D398*E398</f>
        <v/>
      </c>
    </row>
    <row r="399">
      <c r="A399" s="13" t="inlineStr">
        <is>
          <t>0114</t>
        </is>
      </c>
      <c r="B399" s="14" t="inlineStr">
        <is>
          <t>Beldar</t>
        </is>
      </c>
      <c r="C399" s="13" t="inlineStr">
        <is>
          <t>day</t>
        </is>
      </c>
      <c r="D399" s="15" t="n">
        <v>0.336</v>
      </c>
      <c r="E399" s="16" t="n">
        <v>558</v>
      </c>
      <c r="F399" s="16">
        <f>D399*E399</f>
        <v/>
      </c>
    </row>
    <row r="400">
      <c r="A400" s="13" t="inlineStr">
        <is>
          <t>0115</t>
        </is>
      </c>
      <c r="B400" s="14" t="inlineStr">
        <is>
          <t>Coolie</t>
        </is>
      </c>
      <c r="C400" s="13" t="inlineStr">
        <is>
          <t>day</t>
        </is>
      </c>
      <c r="D400" s="15" t="n">
        <v>0.336</v>
      </c>
      <c r="E400" s="16" t="n">
        <v>558</v>
      </c>
      <c r="F400" s="16">
        <f>D400*E400</f>
        <v/>
      </c>
    </row>
    <row r="401">
      <c r="A401" s="13" t="inlineStr">
        <is>
          <t>0101</t>
        </is>
      </c>
      <c r="B401" s="14" t="inlineStr">
        <is>
          <t>Bhisti</t>
        </is>
      </c>
      <c r="C401" s="13" t="inlineStr">
        <is>
          <t>day</t>
        </is>
      </c>
      <c r="D401" s="15" t="n">
        <v>0.336</v>
      </c>
      <c r="E401" s="16" t="n">
        <v>617</v>
      </c>
      <c r="F401" s="16">
        <f>D401*E401</f>
        <v/>
      </c>
    </row>
    <row r="402">
      <c r="A402" s="13" t="inlineStr">
        <is>
          <t>1237</t>
        </is>
      </c>
      <c r="B402" s="14" t="inlineStr">
        <is>
          <t>Cutting marble or sand stone slab upto 50 mm thick by mechanical device</t>
        </is>
      </c>
      <c r="C402" s="13" t="inlineStr">
        <is>
          <t>metre</t>
        </is>
      </c>
      <c r="D402" s="15" t="n">
        <v>4</v>
      </c>
      <c r="E402" s="16" t="n">
        <v>10</v>
      </c>
      <c r="F402" s="16">
        <f>D402*E402</f>
        <v/>
      </c>
    </row>
    <row r="403">
      <c r="A403" s="13" t="inlineStr">
        <is>
          <t>9999</t>
        </is>
      </c>
      <c r="B403" s="14" t="inlineStr">
        <is>
          <t>Scaffolding</t>
        </is>
      </c>
      <c r="C403" s="13" t="inlineStr">
        <is>
          <t>L.S.</t>
        </is>
      </c>
      <c r="D403" s="15" t="n">
        <v>19.76</v>
      </c>
      <c r="E403" s="16" t="n">
        <v>2</v>
      </c>
      <c r="F403" s="16">
        <f>D403*E403</f>
        <v/>
      </c>
    </row>
    <row r="404">
      <c r="A404" s="17" t="inlineStr">
        <is>
          <t>Resource Total (Material + Labour + Machinery, as printed)</t>
        </is>
      </c>
      <c r="B404" s="18" t="n"/>
      <c r="C404" s="18" t="n"/>
      <c r="D404" s="18" t="n"/>
      <c r="E404" s="18" t="n"/>
      <c r="F404" s="19">
        <f>SUM(F389:F403)</f>
        <v/>
      </c>
    </row>
    <row r="405">
      <c r="A405" s="20" t="inlineStr">
        <is>
          <t>SAY (Rs.) — final DAR rate</t>
        </is>
      </c>
      <c r="B405" s="21" t="n"/>
      <c r="C405" s="21" t="n"/>
      <c r="D405" s="21" t="n"/>
      <c r="E405" s="21" t="n"/>
      <c r="F405" s="22" t="n">
        <v>6010</v>
      </c>
    </row>
    <row r="407" ht="18" customHeight="1">
      <c r="A407" s="9" t="inlineStr">
        <is>
          <t>8.14.2.3</t>
        </is>
      </c>
      <c r="B407" s="10" t="inlineStr">
        <is>
          <t>50 mm thick</t>
        </is>
      </c>
      <c r="C407" s="11" t="n"/>
      <c r="D407" s="11" t="n"/>
      <c r="E407" s="11" t="n"/>
      <c r="F407" s="11" t="n"/>
    </row>
    <row r="408">
      <c r="A408" s="12" t="inlineStr">
        <is>
          <t>Rate basis: per sqm  (source: cost for 1 sqm)</t>
        </is>
      </c>
    </row>
    <row r="409">
      <c r="A409" s="5" t="inlineStr">
        <is>
          <t>Code</t>
        </is>
      </c>
      <c r="B409" s="5" t="inlineStr">
        <is>
          <t>Description</t>
        </is>
      </c>
      <c r="C409" s="5" t="inlineStr">
        <is>
          <t>Unit</t>
        </is>
      </c>
      <c r="D409" s="5" t="inlineStr">
        <is>
          <t>Quantity</t>
        </is>
      </c>
      <c r="E409" s="5" t="inlineStr">
        <is>
          <t>Rate (Rs.)</t>
        </is>
      </c>
      <c r="F409" s="5" t="inlineStr">
        <is>
          <t>Amount (Rs.)</t>
        </is>
      </c>
    </row>
    <row r="410">
      <c r="A410" s="13" t="inlineStr">
        <is>
          <t>3.8</t>
        </is>
      </c>
      <c r="B410" s="14" t="inlineStr">
        <is>
          <t>Rate as per SH: 3.8</t>
        </is>
      </c>
      <c r="C410" s="13" t="inlineStr">
        <is>
          <t>cum</t>
        </is>
      </c>
      <c r="D410" s="15" t="n">
        <v>0.018</v>
      </c>
      <c r="E410" s="16" t="n">
        <v>4664.55</v>
      </c>
      <c r="F410" s="16">
        <f>D410*E410</f>
        <v/>
      </c>
    </row>
    <row r="411">
      <c r="A411" s="13" t="inlineStr">
        <is>
          <t>2216</t>
        </is>
      </c>
      <c r="B411" s="14" t="inlineStr">
        <is>
          <t>Carriage of Stone blocks white &amp; red sand stone &amp; kota stone slab</t>
        </is>
      </c>
      <c r="C411" s="13" t="inlineStr">
        <is>
          <t>tonne</t>
        </is>
      </c>
      <c r="D411" s="15" t="n">
        <v>0.153</v>
      </c>
      <c r="E411" s="16" t="n">
        <v>92.23999999999999</v>
      </c>
      <c r="F411" s="16">
        <f>D411*E411</f>
        <v/>
      </c>
    </row>
    <row r="412">
      <c r="A412" s="13" t="inlineStr">
        <is>
          <t>9999</t>
        </is>
      </c>
      <c r="B412" s="14" t="inlineStr">
        <is>
          <t>Extra for using white cement</t>
        </is>
      </c>
      <c r="C412" s="13" t="inlineStr">
        <is>
          <t>L.S.</t>
        </is>
      </c>
      <c r="D412" s="15" t="n">
        <v>26.91</v>
      </c>
      <c r="E412" s="16" t="n">
        <v>2</v>
      </c>
      <c r="F412" s="16">
        <f>D412*E412</f>
        <v/>
      </c>
    </row>
    <row r="413">
      <c r="A413" s="13" t="inlineStr">
        <is>
          <t>0125</t>
        </is>
      </c>
      <c r="B413" s="14" t="inlineStr">
        <is>
          <t>Mason (for plain stone work) 2nd class)</t>
        </is>
      </c>
      <c r="C413" s="13" t="inlineStr">
        <is>
          <t>day</t>
        </is>
      </c>
      <c r="D413" s="15" t="n">
        <v>2.7</v>
      </c>
      <c r="E413" s="16" t="n">
        <v>679</v>
      </c>
      <c r="F413" s="16">
        <f>D413*E413</f>
        <v/>
      </c>
    </row>
    <row r="414">
      <c r="A414" s="13" t="inlineStr">
        <is>
          <t>0102</t>
        </is>
      </c>
      <c r="B414" s="14" t="inlineStr">
        <is>
          <t>Blacksmith 1st class</t>
        </is>
      </c>
      <c r="C414" s="13" t="inlineStr">
        <is>
          <t>day</t>
        </is>
      </c>
      <c r="D414" s="15" t="n">
        <v>0.064</v>
      </c>
      <c r="E414" s="16" t="n">
        <v>738</v>
      </c>
      <c r="F414" s="16">
        <f>D414*E414</f>
        <v/>
      </c>
    </row>
    <row r="415">
      <c r="A415" s="13" t="inlineStr">
        <is>
          <t>0114</t>
        </is>
      </c>
      <c r="B415" s="14" t="inlineStr">
        <is>
          <t>Beldar</t>
        </is>
      </c>
      <c r="C415" s="13" t="inlineStr">
        <is>
          <t>day</t>
        </is>
      </c>
      <c r="D415" s="15" t="n">
        <v>0.448</v>
      </c>
      <c r="E415" s="16" t="n">
        <v>558</v>
      </c>
      <c r="F415" s="16">
        <f>D415*E415</f>
        <v/>
      </c>
    </row>
    <row r="416">
      <c r="A416" s="13" t="inlineStr">
        <is>
          <t>0115</t>
        </is>
      </c>
      <c r="B416" s="14" t="inlineStr">
        <is>
          <t>Coolie</t>
        </is>
      </c>
      <c r="C416" s="13" t="inlineStr">
        <is>
          <t>day</t>
        </is>
      </c>
      <c r="D416" s="15" t="n">
        <v>0.224</v>
      </c>
      <c r="E416" s="16" t="n">
        <v>558</v>
      </c>
      <c r="F416" s="16">
        <f>D416*E416</f>
        <v/>
      </c>
    </row>
    <row r="417">
      <c r="A417" s="13" t="inlineStr">
        <is>
          <t>0100</t>
        </is>
      </c>
      <c r="B417" s="14" t="inlineStr">
        <is>
          <t>Bandhani</t>
        </is>
      </c>
      <c r="C417" s="13" t="inlineStr">
        <is>
          <t>day</t>
        </is>
      </c>
      <c r="D417" s="15" t="n">
        <v>0.448</v>
      </c>
      <c r="E417" s="16" t="n">
        <v>617</v>
      </c>
      <c r="F417" s="16">
        <f>D417*E417</f>
        <v/>
      </c>
    </row>
    <row r="418">
      <c r="A418" s="13" t="inlineStr">
        <is>
          <t>0125</t>
        </is>
      </c>
      <c r="B418" s="14" t="inlineStr">
        <is>
          <t>Mason (for plain stone work) 2nd class)</t>
        </is>
      </c>
      <c r="C418" s="13" t="inlineStr">
        <is>
          <t>day</t>
        </is>
      </c>
      <c r="D418" s="15" t="n">
        <v>0.448</v>
      </c>
      <c r="E418" s="16" t="n">
        <v>679</v>
      </c>
      <c r="F418" s="16">
        <f>D418*E418</f>
        <v/>
      </c>
    </row>
    <row r="419">
      <c r="A419" s="13" t="inlineStr">
        <is>
          <t>0100</t>
        </is>
      </c>
      <c r="B419" s="14" t="inlineStr">
        <is>
          <t>Bandhani</t>
        </is>
      </c>
      <c r="C419" s="13" t="inlineStr">
        <is>
          <t>day</t>
        </is>
      </c>
      <c r="D419" s="15" t="n">
        <v>0.336</v>
      </c>
      <c r="E419" s="16" t="n">
        <v>617</v>
      </c>
      <c r="F419" s="16">
        <f>D419*E419</f>
        <v/>
      </c>
    </row>
    <row r="420">
      <c r="A420" s="13" t="inlineStr">
        <is>
          <t>0114</t>
        </is>
      </c>
      <c r="B420" s="14" t="inlineStr">
        <is>
          <t>Beldar</t>
        </is>
      </c>
      <c r="C420" s="13" t="inlineStr">
        <is>
          <t>day</t>
        </is>
      </c>
      <c r="D420" s="15" t="n">
        <v>0.336</v>
      </c>
      <c r="E420" s="16" t="n">
        <v>558</v>
      </c>
      <c r="F420" s="16">
        <f>D420*E420</f>
        <v/>
      </c>
    </row>
    <row r="421">
      <c r="A421" s="13" t="inlineStr">
        <is>
          <t>0115</t>
        </is>
      </c>
      <c r="B421" s="14" t="inlineStr">
        <is>
          <t>Coolie</t>
        </is>
      </c>
      <c r="C421" s="13" t="inlineStr">
        <is>
          <t>day</t>
        </is>
      </c>
      <c r="D421" s="15" t="n">
        <v>0.336</v>
      </c>
      <c r="E421" s="16" t="n">
        <v>558</v>
      </c>
      <c r="F421" s="16">
        <f>D421*E421</f>
        <v/>
      </c>
    </row>
    <row r="422">
      <c r="A422" s="13" t="inlineStr">
        <is>
          <t>0101</t>
        </is>
      </c>
      <c r="B422" s="14" t="inlineStr">
        <is>
          <t>Bhisti</t>
        </is>
      </c>
      <c r="C422" s="13" t="inlineStr">
        <is>
          <t>day</t>
        </is>
      </c>
      <c r="D422" s="15" t="n">
        <v>0.336</v>
      </c>
      <c r="E422" s="16" t="n">
        <v>617</v>
      </c>
      <c r="F422" s="16">
        <f>D422*E422</f>
        <v/>
      </c>
    </row>
    <row r="423">
      <c r="A423" s="13" t="inlineStr">
        <is>
          <t>1237</t>
        </is>
      </c>
      <c r="B423" s="14" t="inlineStr">
        <is>
          <t>Cutting marble or sand stone slab upto 50 mm thick by mechanical device</t>
        </is>
      </c>
      <c r="C423" s="13" t="inlineStr">
        <is>
          <t>metre</t>
        </is>
      </c>
      <c r="D423" s="15" t="n">
        <v>4</v>
      </c>
      <c r="E423" s="16" t="n">
        <v>10</v>
      </c>
      <c r="F423" s="16">
        <f>D423*E423</f>
        <v/>
      </c>
    </row>
    <row r="424">
      <c r="A424" s="13" t="inlineStr">
        <is>
          <t>9999</t>
        </is>
      </c>
      <c r="B424" s="14" t="inlineStr">
        <is>
          <t>Scaffolding</t>
        </is>
      </c>
      <c r="C424" s="13" t="inlineStr">
        <is>
          <t>L.S.</t>
        </is>
      </c>
      <c r="D424" s="15" t="n">
        <v>19.76</v>
      </c>
      <c r="E424" s="16" t="n">
        <v>2</v>
      </c>
      <c r="F424" s="16">
        <f>D424*E424</f>
        <v/>
      </c>
    </row>
    <row r="425">
      <c r="A425" s="17" t="inlineStr">
        <is>
          <t>Resource Total (Material + Labour + Machinery, as printed)</t>
        </is>
      </c>
      <c r="B425" s="18" t="n"/>
      <c r="C425" s="18" t="n"/>
      <c r="D425" s="18" t="n"/>
      <c r="E425" s="18" t="n"/>
      <c r="F425" s="19">
        <f>SUM(F410:F424)</f>
        <v/>
      </c>
    </row>
    <row r="426">
      <c r="A426" s="20" t="inlineStr">
        <is>
          <t>SAY (Rs.) — final DAR rate</t>
        </is>
      </c>
      <c r="B426" s="21" t="n"/>
      <c r="C426" s="21" t="n"/>
      <c r="D426" s="21" t="n"/>
      <c r="E426" s="21" t="n"/>
      <c r="F426" s="22" t="n">
        <v>5865.6</v>
      </c>
    </row>
    <row r="428" ht="18" customHeight="1">
      <c r="A428" s="9" t="inlineStr">
        <is>
          <t>8.14.2.4</t>
        </is>
      </c>
      <c r="B428" s="10" t="inlineStr">
        <is>
          <t>40 mm thick</t>
        </is>
      </c>
      <c r="C428" s="11" t="n"/>
      <c r="D428" s="11" t="n"/>
      <c r="E428" s="11" t="n"/>
      <c r="F428" s="11" t="n"/>
    </row>
    <row r="429">
      <c r="A429" s="12" t="inlineStr">
        <is>
          <t>Rate basis: per sqm  (source: cost for 1 sqm)</t>
        </is>
      </c>
    </row>
    <row r="430">
      <c r="A430" s="5" t="inlineStr">
        <is>
          <t>Code</t>
        </is>
      </c>
      <c r="B430" s="5" t="inlineStr">
        <is>
          <t>Description</t>
        </is>
      </c>
      <c r="C430" s="5" t="inlineStr">
        <is>
          <t>Unit</t>
        </is>
      </c>
      <c r="D430" s="5" t="inlineStr">
        <is>
          <t>Quantity</t>
        </is>
      </c>
      <c r="E430" s="5" t="inlineStr">
        <is>
          <t>Rate (Rs.)</t>
        </is>
      </c>
      <c r="F430" s="5" t="inlineStr">
        <is>
          <t>Amount (Rs.)</t>
        </is>
      </c>
    </row>
    <row r="431">
      <c r="A431" s="13" t="inlineStr">
        <is>
          <t>3.8</t>
        </is>
      </c>
      <c r="B431" s="14" t="inlineStr">
        <is>
          <t>Rate as per SH: 3.8</t>
        </is>
      </c>
      <c r="C431" s="13" t="inlineStr">
        <is>
          <t>cum</t>
        </is>
      </c>
      <c r="D431" s="15" t="n">
        <v>0.018</v>
      </c>
      <c r="E431" s="16" t="n">
        <v>4664.55</v>
      </c>
      <c r="F431" s="16">
        <f>D431*E431</f>
        <v/>
      </c>
    </row>
    <row r="432">
      <c r="A432" s="13" t="inlineStr">
        <is>
          <t>2216</t>
        </is>
      </c>
      <c r="B432" s="14" t="inlineStr">
        <is>
          <t>Carriage of Stone blocks white &amp; red sand stone &amp; kota stone slab</t>
        </is>
      </c>
      <c r="C432" s="13" t="inlineStr">
        <is>
          <t>tonne</t>
        </is>
      </c>
      <c r="D432" s="15" t="n">
        <v>0.123</v>
      </c>
      <c r="E432" s="16" t="n">
        <v>92.23999999999999</v>
      </c>
      <c r="F432" s="16">
        <f>D432*E432</f>
        <v/>
      </c>
    </row>
    <row r="433">
      <c r="A433" s="13" t="inlineStr">
        <is>
          <t>9999</t>
        </is>
      </c>
      <c r="B433" s="14" t="inlineStr">
        <is>
          <t>Extra for using white cement</t>
        </is>
      </c>
      <c r="C433" s="13" t="inlineStr">
        <is>
          <t>L.S.</t>
        </is>
      </c>
      <c r="D433" s="15" t="n">
        <v>26.91</v>
      </c>
      <c r="E433" s="16" t="n">
        <v>2</v>
      </c>
      <c r="F433" s="16">
        <f>D433*E433</f>
        <v/>
      </c>
    </row>
    <row r="434">
      <c r="A434" s="13" t="inlineStr">
        <is>
          <t>0125</t>
        </is>
      </c>
      <c r="B434" s="14" t="inlineStr">
        <is>
          <t>Mason (for plain stone work) 2nd class)</t>
        </is>
      </c>
      <c r="C434" s="13" t="inlineStr">
        <is>
          <t>day</t>
        </is>
      </c>
      <c r="D434" s="15" t="n">
        <v>2.7</v>
      </c>
      <c r="E434" s="16" t="n">
        <v>679</v>
      </c>
      <c r="F434" s="16">
        <f>D434*E434</f>
        <v/>
      </c>
    </row>
    <row r="435">
      <c r="A435" s="13" t="inlineStr">
        <is>
          <t>0102</t>
        </is>
      </c>
      <c r="B435" s="14" t="inlineStr">
        <is>
          <t>Blacksmith 1st class</t>
        </is>
      </c>
      <c r="C435" s="13" t="inlineStr">
        <is>
          <t>day</t>
        </is>
      </c>
      <c r="D435" s="15" t="n">
        <v>0.064</v>
      </c>
      <c r="E435" s="16" t="n">
        <v>738</v>
      </c>
      <c r="F435" s="16">
        <f>D435*E435</f>
        <v/>
      </c>
    </row>
    <row r="436">
      <c r="A436" s="13" t="inlineStr">
        <is>
          <t>0114</t>
        </is>
      </c>
      <c r="B436" s="14" t="inlineStr">
        <is>
          <t>Beldar</t>
        </is>
      </c>
      <c r="C436" s="13" t="inlineStr">
        <is>
          <t>day</t>
        </is>
      </c>
      <c r="D436" s="15" t="n">
        <v>0.448</v>
      </c>
      <c r="E436" s="16" t="n">
        <v>558</v>
      </c>
      <c r="F436" s="16">
        <f>D436*E436</f>
        <v/>
      </c>
    </row>
    <row r="437">
      <c r="A437" s="13" t="inlineStr">
        <is>
          <t>0115</t>
        </is>
      </c>
      <c r="B437" s="14" t="inlineStr">
        <is>
          <t>Coolie</t>
        </is>
      </c>
      <c r="C437" s="13" t="inlineStr">
        <is>
          <t>day</t>
        </is>
      </c>
      <c r="D437" s="15" t="n">
        <v>0.224</v>
      </c>
      <c r="E437" s="16" t="n">
        <v>558</v>
      </c>
      <c r="F437" s="16">
        <f>D437*E437</f>
        <v/>
      </c>
    </row>
    <row r="438">
      <c r="A438" s="13" t="inlineStr">
        <is>
          <t>0100</t>
        </is>
      </c>
      <c r="B438" s="14" t="inlineStr">
        <is>
          <t>Bandhani</t>
        </is>
      </c>
      <c r="C438" s="13" t="inlineStr">
        <is>
          <t>day</t>
        </is>
      </c>
      <c r="D438" s="15" t="n">
        <v>0.448</v>
      </c>
      <c r="E438" s="16" t="n">
        <v>617</v>
      </c>
      <c r="F438" s="16">
        <f>D438*E438</f>
        <v/>
      </c>
    </row>
    <row r="439">
      <c r="A439" s="13" t="inlineStr">
        <is>
          <t>0125</t>
        </is>
      </c>
      <c r="B439" s="14" t="inlineStr">
        <is>
          <t>Mason (for plain stone work) 2nd class)</t>
        </is>
      </c>
      <c r="C439" s="13" t="inlineStr">
        <is>
          <t>day</t>
        </is>
      </c>
      <c r="D439" s="15" t="n">
        <v>0.448</v>
      </c>
      <c r="E439" s="16" t="n">
        <v>679</v>
      </c>
      <c r="F439" s="16">
        <f>D439*E439</f>
        <v/>
      </c>
    </row>
    <row r="440">
      <c r="A440" s="13" t="inlineStr">
        <is>
          <t>0100</t>
        </is>
      </c>
      <c r="B440" s="14" t="inlineStr">
        <is>
          <t>Bandhani</t>
        </is>
      </c>
      <c r="C440" s="13" t="inlineStr">
        <is>
          <t>day</t>
        </is>
      </c>
      <c r="D440" s="15" t="n">
        <v>0.336</v>
      </c>
      <c r="E440" s="16" t="n">
        <v>617</v>
      </c>
      <c r="F440" s="16">
        <f>D440*E440</f>
        <v/>
      </c>
    </row>
    <row r="441">
      <c r="A441" s="13" t="inlineStr">
        <is>
          <t>0114</t>
        </is>
      </c>
      <c r="B441" s="14" t="inlineStr">
        <is>
          <t>Beldar</t>
        </is>
      </c>
      <c r="C441" s="13" t="inlineStr">
        <is>
          <t>day</t>
        </is>
      </c>
      <c r="D441" s="15" t="n">
        <v>0.336</v>
      </c>
      <c r="E441" s="16" t="n">
        <v>558</v>
      </c>
      <c r="F441" s="16">
        <f>D441*E441</f>
        <v/>
      </c>
    </row>
    <row r="442">
      <c r="A442" s="13" t="inlineStr">
        <is>
          <t>0115</t>
        </is>
      </c>
      <c r="B442" s="14" t="inlineStr">
        <is>
          <t>Coolie</t>
        </is>
      </c>
      <c r="C442" s="13" t="inlineStr">
        <is>
          <t>day</t>
        </is>
      </c>
      <c r="D442" s="15" t="n">
        <v>0.336</v>
      </c>
      <c r="E442" s="16" t="n">
        <v>558</v>
      </c>
      <c r="F442" s="16">
        <f>D442*E442</f>
        <v/>
      </c>
    </row>
    <row r="443">
      <c r="A443" s="13" t="inlineStr">
        <is>
          <t>0101</t>
        </is>
      </c>
      <c r="B443" s="14" t="inlineStr">
        <is>
          <t>Bhisti</t>
        </is>
      </c>
      <c r="C443" s="13" t="inlineStr">
        <is>
          <t>day</t>
        </is>
      </c>
      <c r="D443" s="15" t="n">
        <v>0.336</v>
      </c>
      <c r="E443" s="16" t="n">
        <v>617</v>
      </c>
      <c r="F443" s="16">
        <f>D443*E443</f>
        <v/>
      </c>
    </row>
    <row r="444">
      <c r="A444" s="13" t="inlineStr">
        <is>
          <t>1237</t>
        </is>
      </c>
      <c r="B444" s="14" t="inlineStr">
        <is>
          <t>Cutting marble or sand stone slab upto 50 mm thick by mechanical device</t>
        </is>
      </c>
      <c r="C444" s="13" t="inlineStr">
        <is>
          <t>metre</t>
        </is>
      </c>
      <c r="D444" s="15" t="n">
        <v>4</v>
      </c>
      <c r="E444" s="16" t="n">
        <v>10</v>
      </c>
      <c r="F444" s="16">
        <f>D444*E444</f>
        <v/>
      </c>
    </row>
    <row r="445">
      <c r="A445" s="13" t="inlineStr">
        <is>
          <t>9999</t>
        </is>
      </c>
      <c r="B445" s="14" t="inlineStr">
        <is>
          <t>Scaffolding</t>
        </is>
      </c>
      <c r="C445" s="13" t="inlineStr">
        <is>
          <t>L.S.</t>
        </is>
      </c>
      <c r="D445" s="15" t="n">
        <v>19.76</v>
      </c>
      <c r="E445" s="16" t="n">
        <v>2</v>
      </c>
      <c r="F445" s="16">
        <f>D445*E445</f>
        <v/>
      </c>
    </row>
    <row r="446">
      <c r="A446" s="17" t="inlineStr">
        <is>
          <t>Resource Total (Material + Labour + Machinery, as printed)</t>
        </is>
      </c>
      <c r="B446" s="18" t="n"/>
      <c r="C446" s="18" t="n"/>
      <c r="D446" s="18" t="n"/>
      <c r="E446" s="18" t="n"/>
      <c r="F446" s="19">
        <f>SUM(F431:F445)</f>
        <v/>
      </c>
    </row>
    <row r="447">
      <c r="A447" s="20" t="inlineStr">
        <is>
          <t>SAY (Rs.) — final DAR rate</t>
        </is>
      </c>
      <c r="B447" s="21" t="n"/>
      <c r="C447" s="21" t="n"/>
      <c r="D447" s="21" t="n"/>
      <c r="E447" s="21" t="n"/>
      <c r="F447" s="22" t="n">
        <v>5720.6</v>
      </c>
    </row>
    <row r="449" ht="18" customHeight="1">
      <c r="A449" s="9" t="inlineStr">
        <is>
          <t>8.14.2.5</t>
        </is>
      </c>
      <c r="B449" s="10" t="inlineStr">
        <is>
          <t>30 mm thick</t>
        </is>
      </c>
      <c r="C449" s="11" t="n"/>
      <c r="D449" s="11" t="n"/>
      <c r="E449" s="11" t="n"/>
      <c r="F449" s="11" t="n"/>
    </row>
    <row r="450">
      <c r="A450" s="12" t="inlineStr">
        <is>
          <t>Rate basis: per sqm  (source: cost for 1 sqm)</t>
        </is>
      </c>
    </row>
    <row r="451">
      <c r="A451" s="5" t="inlineStr">
        <is>
          <t>Code</t>
        </is>
      </c>
      <c r="B451" s="5" t="inlineStr">
        <is>
          <t>Description</t>
        </is>
      </c>
      <c r="C451" s="5" t="inlineStr">
        <is>
          <t>Unit</t>
        </is>
      </c>
      <c r="D451" s="5" t="inlineStr">
        <is>
          <t>Quantity</t>
        </is>
      </c>
      <c r="E451" s="5" t="inlineStr">
        <is>
          <t>Rate (Rs.)</t>
        </is>
      </c>
      <c r="F451" s="5" t="inlineStr">
        <is>
          <t>Amount (Rs.)</t>
        </is>
      </c>
    </row>
    <row r="452">
      <c r="A452" s="13" t="inlineStr">
        <is>
          <t>3.8</t>
        </is>
      </c>
      <c r="B452" s="14" t="inlineStr">
        <is>
          <t>Rate as per SH: 3.8</t>
        </is>
      </c>
      <c r="C452" s="13" t="inlineStr">
        <is>
          <t>cum</t>
        </is>
      </c>
      <c r="D452" s="15" t="n">
        <v>0.018</v>
      </c>
      <c r="E452" s="16" t="n">
        <v>4664.55</v>
      </c>
      <c r="F452" s="16">
        <f>D452*E452</f>
        <v/>
      </c>
    </row>
    <row r="453">
      <c r="A453" s="13" t="inlineStr">
        <is>
          <t>2216</t>
        </is>
      </c>
      <c r="B453" s="14" t="inlineStr">
        <is>
          <t>Carriage of Stone blocks white &amp; red sand stone &amp; kota stone slab</t>
        </is>
      </c>
      <c r="C453" s="13" t="inlineStr">
        <is>
          <t>tonne</t>
        </is>
      </c>
      <c r="D453" s="15" t="n">
        <v>0.092</v>
      </c>
      <c r="E453" s="16" t="n">
        <v>92.23999999999999</v>
      </c>
      <c r="F453" s="16">
        <f>D453*E453</f>
        <v/>
      </c>
    </row>
    <row r="454">
      <c r="A454" s="13" t="inlineStr">
        <is>
          <t>9999</t>
        </is>
      </c>
      <c r="B454" s="14" t="inlineStr">
        <is>
          <t>Extra for using white cement</t>
        </is>
      </c>
      <c r="C454" s="13" t="inlineStr">
        <is>
          <t>L.S.</t>
        </is>
      </c>
      <c r="D454" s="15" t="n">
        <v>26.91</v>
      </c>
      <c r="E454" s="16" t="n">
        <v>2</v>
      </c>
      <c r="F454" s="16">
        <f>D454*E454</f>
        <v/>
      </c>
    </row>
    <row r="455">
      <c r="A455" s="13" t="inlineStr">
        <is>
          <t>0125</t>
        </is>
      </c>
      <c r="B455" s="14" t="inlineStr">
        <is>
          <t>Mason (for plain stone work) 2nd class)</t>
        </is>
      </c>
      <c r="C455" s="13" t="inlineStr">
        <is>
          <t>day</t>
        </is>
      </c>
      <c r="D455" s="15" t="n">
        <v>2.7</v>
      </c>
      <c r="E455" s="16" t="n">
        <v>679</v>
      </c>
      <c r="F455" s="16">
        <f>D455*E455</f>
        <v/>
      </c>
    </row>
    <row r="456">
      <c r="A456" s="13" t="inlineStr">
        <is>
          <t>0102</t>
        </is>
      </c>
      <c r="B456" s="14" t="inlineStr">
        <is>
          <t>Blacksmith 1st class</t>
        </is>
      </c>
      <c r="C456" s="13" t="inlineStr">
        <is>
          <t>day</t>
        </is>
      </c>
      <c r="D456" s="15" t="n">
        <v>0.064</v>
      </c>
      <c r="E456" s="16" t="n">
        <v>738</v>
      </c>
      <c r="F456" s="16">
        <f>D456*E456</f>
        <v/>
      </c>
    </row>
    <row r="457">
      <c r="A457" s="13" t="inlineStr">
        <is>
          <t>0114</t>
        </is>
      </c>
      <c r="B457" s="14" t="inlineStr">
        <is>
          <t>Beldar</t>
        </is>
      </c>
      <c r="C457" s="13" t="inlineStr">
        <is>
          <t>day</t>
        </is>
      </c>
      <c r="D457" s="15" t="n">
        <v>0.448</v>
      </c>
      <c r="E457" s="16" t="n">
        <v>558</v>
      </c>
      <c r="F457" s="16">
        <f>D457*E457</f>
        <v/>
      </c>
    </row>
    <row r="458">
      <c r="A458" s="13" t="inlineStr">
        <is>
          <t>0115</t>
        </is>
      </c>
      <c r="B458" s="14" t="inlineStr">
        <is>
          <t>Coolie</t>
        </is>
      </c>
      <c r="C458" s="13" t="inlineStr">
        <is>
          <t>day</t>
        </is>
      </c>
      <c r="D458" s="15" t="n">
        <v>0.224</v>
      </c>
      <c r="E458" s="16" t="n">
        <v>558</v>
      </c>
      <c r="F458" s="16">
        <f>D458*E458</f>
        <v/>
      </c>
    </row>
    <row r="459">
      <c r="A459" s="13" t="inlineStr">
        <is>
          <t>0100</t>
        </is>
      </c>
      <c r="B459" s="14" t="inlineStr">
        <is>
          <t>Bandhani</t>
        </is>
      </c>
      <c r="C459" s="13" t="inlineStr">
        <is>
          <t>day</t>
        </is>
      </c>
      <c r="D459" s="15" t="n">
        <v>0.448</v>
      </c>
      <c r="E459" s="16" t="n">
        <v>617</v>
      </c>
      <c r="F459" s="16">
        <f>D459*E459</f>
        <v/>
      </c>
    </row>
    <row r="460">
      <c r="A460" s="13" t="inlineStr">
        <is>
          <t>0125</t>
        </is>
      </c>
      <c r="B460" s="14" t="inlineStr">
        <is>
          <t>Mason (for plain stone work) 2nd class)</t>
        </is>
      </c>
      <c r="C460" s="13" t="inlineStr">
        <is>
          <t>day</t>
        </is>
      </c>
      <c r="D460" s="15" t="n">
        <v>0.448</v>
      </c>
      <c r="E460" s="16" t="n">
        <v>679</v>
      </c>
      <c r="F460" s="16">
        <f>D460*E460</f>
        <v/>
      </c>
    </row>
    <row r="461">
      <c r="A461" s="13" t="inlineStr">
        <is>
          <t>0100</t>
        </is>
      </c>
      <c r="B461" s="14" t="inlineStr">
        <is>
          <t>Bandhani</t>
        </is>
      </c>
      <c r="C461" s="13" t="inlineStr">
        <is>
          <t>day</t>
        </is>
      </c>
      <c r="D461" s="15" t="n">
        <v>0.336</v>
      </c>
      <c r="E461" s="16" t="n">
        <v>617</v>
      </c>
      <c r="F461" s="16">
        <f>D461*E461</f>
        <v/>
      </c>
    </row>
    <row r="462">
      <c r="A462" s="13" t="inlineStr">
        <is>
          <t>0114</t>
        </is>
      </c>
      <c r="B462" s="14" t="inlineStr">
        <is>
          <t>Beldar</t>
        </is>
      </c>
      <c r="C462" s="13" t="inlineStr">
        <is>
          <t>day</t>
        </is>
      </c>
      <c r="D462" s="15" t="n">
        <v>0.336</v>
      </c>
      <c r="E462" s="16" t="n">
        <v>558</v>
      </c>
      <c r="F462" s="16">
        <f>D462*E462</f>
        <v/>
      </c>
    </row>
    <row r="463">
      <c r="A463" s="13" t="inlineStr">
        <is>
          <t>0115</t>
        </is>
      </c>
      <c r="B463" s="14" t="inlineStr">
        <is>
          <t>Coolie</t>
        </is>
      </c>
      <c r="C463" s="13" t="inlineStr">
        <is>
          <t>day</t>
        </is>
      </c>
      <c r="D463" s="15" t="n">
        <v>0.336</v>
      </c>
      <c r="E463" s="16" t="n">
        <v>558</v>
      </c>
      <c r="F463" s="16">
        <f>D463*E463</f>
        <v/>
      </c>
    </row>
    <row r="464">
      <c r="A464" s="13" t="inlineStr">
        <is>
          <t>0101</t>
        </is>
      </c>
      <c r="B464" s="14" t="inlineStr">
        <is>
          <t>Bhisti</t>
        </is>
      </c>
      <c r="C464" s="13" t="inlineStr">
        <is>
          <t>day</t>
        </is>
      </c>
      <c r="D464" s="15" t="n">
        <v>0.336</v>
      </c>
      <c r="E464" s="16" t="n">
        <v>617</v>
      </c>
      <c r="F464" s="16">
        <f>D464*E464</f>
        <v/>
      </c>
    </row>
    <row r="465">
      <c r="A465" s="13" t="inlineStr">
        <is>
          <t>1237</t>
        </is>
      </c>
      <c r="B465" s="14" t="inlineStr">
        <is>
          <t>Cutting marble or sand stone slab upto 50 mm thick by mechanical device</t>
        </is>
      </c>
      <c r="C465" s="13" t="inlineStr">
        <is>
          <t>metre</t>
        </is>
      </c>
      <c r="D465" s="15" t="n">
        <v>4</v>
      </c>
      <c r="E465" s="16" t="n">
        <v>10</v>
      </c>
      <c r="F465" s="16">
        <f>D465*E465</f>
        <v/>
      </c>
    </row>
    <row r="466">
      <c r="A466" s="13" t="inlineStr">
        <is>
          <t>9999</t>
        </is>
      </c>
      <c r="B466" s="14" t="inlineStr">
        <is>
          <t>Scaffolding</t>
        </is>
      </c>
      <c r="C466" s="13" t="inlineStr">
        <is>
          <t>L.S.</t>
        </is>
      </c>
      <c r="D466" s="15" t="n">
        <v>19.76</v>
      </c>
      <c r="E466" s="16" t="n">
        <v>2</v>
      </c>
      <c r="F466" s="16">
        <f>D466*E466</f>
        <v/>
      </c>
    </row>
    <row r="467">
      <c r="A467" s="17" t="inlineStr">
        <is>
          <t>Resource Total (Material + Labour + Machinery, as printed)</t>
        </is>
      </c>
      <c r="B467" s="18" t="n"/>
      <c r="C467" s="18" t="n"/>
      <c r="D467" s="18" t="n"/>
      <c r="E467" s="18" t="n"/>
      <c r="F467" s="19">
        <f>SUM(F452:F466)</f>
        <v/>
      </c>
    </row>
    <row r="468">
      <c r="A468" s="20" t="inlineStr">
        <is>
          <t>SAY (Rs.) — final DAR rate</t>
        </is>
      </c>
      <c r="B468" s="21" t="n"/>
      <c r="C468" s="21" t="n"/>
      <c r="D468" s="21" t="n"/>
      <c r="E468" s="21" t="n"/>
      <c r="F468" s="22" t="n">
        <v>5575.75</v>
      </c>
    </row>
    <row r="470" ht="18" customHeight="1">
      <c r="A470" s="9" t="inlineStr">
        <is>
          <t>8.14.3.1</t>
        </is>
      </c>
      <c r="B470" s="10" t="inlineStr">
        <is>
          <t>70 mm thick</t>
        </is>
      </c>
      <c r="C470" s="11" t="n"/>
      <c r="D470" s="11" t="n"/>
      <c r="E470" s="11" t="n"/>
      <c r="F470" s="11" t="n"/>
    </row>
    <row r="471">
      <c r="A471" s="12" t="inlineStr">
        <is>
          <t>Rate basis: per sqm  (source: cost for 1 sqm)</t>
        </is>
      </c>
    </row>
    <row r="472">
      <c r="A472" s="5" t="inlineStr">
        <is>
          <t>Code</t>
        </is>
      </c>
      <c r="B472" s="5" t="inlineStr">
        <is>
          <t>Description</t>
        </is>
      </c>
      <c r="C472" s="5" t="inlineStr">
        <is>
          <t>Unit</t>
        </is>
      </c>
      <c r="D472" s="5" t="inlineStr">
        <is>
          <t>Quantity</t>
        </is>
      </c>
      <c r="E472" s="5" t="inlineStr">
        <is>
          <t>Rate (Rs.)</t>
        </is>
      </c>
      <c r="F472" s="5" t="inlineStr">
        <is>
          <t>Amount (Rs.)</t>
        </is>
      </c>
    </row>
    <row r="473">
      <c r="A473" s="13" t="inlineStr">
        <is>
          <t>3.8</t>
        </is>
      </c>
      <c r="B473" s="14" t="inlineStr">
        <is>
          <t>Rate as per SH: 3.8</t>
        </is>
      </c>
      <c r="C473" s="13" t="inlineStr">
        <is>
          <t>cum</t>
        </is>
      </c>
      <c r="D473" s="15" t="n">
        <v>0.018</v>
      </c>
      <c r="E473" s="16" t="n">
        <v>4664.55</v>
      </c>
      <c r="F473" s="16">
        <f>D473*E473</f>
        <v/>
      </c>
    </row>
    <row r="474">
      <c r="A474" s="13" t="inlineStr">
        <is>
          <t>2216</t>
        </is>
      </c>
      <c r="B474" s="14" t="inlineStr">
        <is>
          <t>Carriage of Stone blocks white &amp; red sand stone &amp; kota stone slab</t>
        </is>
      </c>
      <c r="C474" s="13" t="inlineStr">
        <is>
          <t>tonne</t>
        </is>
      </c>
      <c r="D474" s="15" t="n">
        <v>0.215</v>
      </c>
      <c r="E474" s="16" t="n">
        <v>92.23999999999999</v>
      </c>
      <c r="F474" s="16">
        <f>D474*E474</f>
        <v/>
      </c>
    </row>
    <row r="475">
      <c r="A475" s="13" t="inlineStr">
        <is>
          <t>9999</t>
        </is>
      </c>
      <c r="B475" s="14" t="inlineStr">
        <is>
          <t>Extra for using white cement</t>
        </is>
      </c>
      <c r="C475" s="13" t="inlineStr">
        <is>
          <t>L.S.</t>
        </is>
      </c>
      <c r="D475" s="15" t="n">
        <v>26.91</v>
      </c>
      <c r="E475" s="16" t="n">
        <v>2</v>
      </c>
      <c r="F475" s="16">
        <f>D475*E475</f>
        <v/>
      </c>
    </row>
    <row r="476">
      <c r="A476" s="13" t="inlineStr">
        <is>
          <t>0125</t>
        </is>
      </c>
      <c r="B476" s="14" t="inlineStr">
        <is>
          <t>Mason (for plain stone work) 2nd class)</t>
        </is>
      </c>
      <c r="C476" s="13" t="inlineStr">
        <is>
          <t>day</t>
        </is>
      </c>
      <c r="D476" s="15" t="n">
        <v>1.35</v>
      </c>
      <c r="E476" s="16" t="n">
        <v>679</v>
      </c>
      <c r="F476" s="16">
        <f>D476*E476</f>
        <v/>
      </c>
    </row>
    <row r="477">
      <c r="A477" s="13" t="inlineStr">
        <is>
          <t>0102</t>
        </is>
      </c>
      <c r="B477" s="14" t="inlineStr">
        <is>
          <t>Blacksmith 1st class</t>
        </is>
      </c>
      <c r="C477" s="13" t="inlineStr">
        <is>
          <t>day</t>
        </is>
      </c>
      <c r="D477" s="15" t="n">
        <v>0.032</v>
      </c>
      <c r="E477" s="16" t="n">
        <v>738</v>
      </c>
      <c r="F477" s="16">
        <f>D477*E477</f>
        <v/>
      </c>
    </row>
    <row r="478">
      <c r="A478" s="13" t="inlineStr">
        <is>
          <t>0114</t>
        </is>
      </c>
      <c r="B478" s="14" t="inlineStr">
        <is>
          <t>Beldar</t>
        </is>
      </c>
      <c r="C478" s="13" t="inlineStr">
        <is>
          <t>day</t>
        </is>
      </c>
      <c r="D478" s="15" t="n">
        <v>0.224</v>
      </c>
      <c r="E478" s="16" t="n">
        <v>558</v>
      </c>
      <c r="F478" s="16">
        <f>D478*E478</f>
        <v/>
      </c>
    </row>
    <row r="479">
      <c r="A479" s="13" t="inlineStr">
        <is>
          <t>0115</t>
        </is>
      </c>
      <c r="B479" s="14" t="inlineStr">
        <is>
          <t>Coolie</t>
        </is>
      </c>
      <c r="C479" s="13" t="inlineStr">
        <is>
          <t>Day</t>
        </is>
      </c>
      <c r="D479" s="15" t="n">
        <v>0.112</v>
      </c>
      <c r="E479" s="16" t="n">
        <v>558</v>
      </c>
      <c r="F479" s="16">
        <f>D479*E479</f>
        <v/>
      </c>
    </row>
    <row r="480">
      <c r="A480" s="13" t="inlineStr">
        <is>
          <t>0100</t>
        </is>
      </c>
      <c r="B480" s="14" t="inlineStr">
        <is>
          <t>Bandhani</t>
        </is>
      </c>
      <c r="C480" s="13" t="inlineStr">
        <is>
          <t>day</t>
        </is>
      </c>
      <c r="D480" s="15" t="n">
        <v>0.224</v>
      </c>
      <c r="E480" s="16" t="n">
        <v>617</v>
      </c>
      <c r="F480" s="16">
        <f>D480*E480</f>
        <v/>
      </c>
    </row>
    <row r="481">
      <c r="A481" s="13" t="inlineStr">
        <is>
          <t>0125</t>
        </is>
      </c>
      <c r="B481" s="14" t="inlineStr">
        <is>
          <t>Mason (for plain stone work) 2nd class)</t>
        </is>
      </c>
      <c r="C481" s="13" t="inlineStr">
        <is>
          <t>day</t>
        </is>
      </c>
      <c r="D481" s="15" t="n">
        <v>0.448</v>
      </c>
      <c r="E481" s="16" t="n">
        <v>679</v>
      </c>
      <c r="F481" s="16">
        <f>D481*E481</f>
        <v/>
      </c>
    </row>
    <row r="482">
      <c r="A482" s="13" t="inlineStr">
        <is>
          <t>0100</t>
        </is>
      </c>
      <c r="B482" s="14" t="inlineStr">
        <is>
          <t>Bandhani</t>
        </is>
      </c>
      <c r="C482" s="13" t="inlineStr">
        <is>
          <t>day</t>
        </is>
      </c>
      <c r="D482" s="15" t="n">
        <v>0.336</v>
      </c>
      <c r="E482" s="16" t="n">
        <v>617</v>
      </c>
      <c r="F482" s="16">
        <f>D482*E482</f>
        <v/>
      </c>
    </row>
    <row r="483">
      <c r="A483" s="13" t="inlineStr">
        <is>
          <t>0114</t>
        </is>
      </c>
      <c r="B483" s="14" t="inlineStr">
        <is>
          <t>Beldar</t>
        </is>
      </c>
      <c r="C483" s="13" t="inlineStr">
        <is>
          <t>day</t>
        </is>
      </c>
      <c r="D483" s="15" t="n">
        <v>0.336</v>
      </c>
      <c r="E483" s="16" t="n">
        <v>558</v>
      </c>
      <c r="F483" s="16">
        <f>D483*E483</f>
        <v/>
      </c>
    </row>
    <row r="484">
      <c r="A484" s="13" t="inlineStr">
        <is>
          <t>0115</t>
        </is>
      </c>
      <c r="B484" s="14" t="inlineStr">
        <is>
          <t>Coolie</t>
        </is>
      </c>
      <c r="C484" s="13" t="inlineStr">
        <is>
          <t>day</t>
        </is>
      </c>
      <c r="D484" s="15" t="n">
        <v>0.336</v>
      </c>
      <c r="E484" s="16" t="n">
        <v>558</v>
      </c>
      <c r="F484" s="16">
        <f>D484*E484</f>
        <v/>
      </c>
    </row>
    <row r="485">
      <c r="A485" s="13" t="inlineStr">
        <is>
          <t>0101</t>
        </is>
      </c>
      <c r="B485" s="14" t="inlineStr">
        <is>
          <t>Bhisti</t>
        </is>
      </c>
      <c r="C485" s="13" t="inlineStr">
        <is>
          <t>day</t>
        </is>
      </c>
      <c r="D485" s="15" t="n">
        <v>0.336</v>
      </c>
      <c r="E485" s="16" t="n">
        <v>617</v>
      </c>
      <c r="F485" s="16">
        <f>D485*E485</f>
        <v/>
      </c>
    </row>
    <row r="486">
      <c r="A486" s="13" t="inlineStr">
        <is>
          <t>1237</t>
        </is>
      </c>
      <c r="B486" s="14" t="inlineStr">
        <is>
          <t>Cutting marble or sand stone slab upto 50 mm thick by mechanical device</t>
        </is>
      </c>
      <c r="C486" s="13" t="inlineStr">
        <is>
          <t>metre</t>
        </is>
      </c>
      <c r="D486" s="15" t="n">
        <v>4</v>
      </c>
      <c r="E486" s="16" t="n">
        <v>10</v>
      </c>
      <c r="F486" s="16">
        <f>D486*E486</f>
        <v/>
      </c>
    </row>
    <row r="487">
      <c r="A487" s="13" t="inlineStr">
        <is>
          <t>9999</t>
        </is>
      </c>
      <c r="B487" s="14" t="inlineStr">
        <is>
          <t>Scaffolding</t>
        </is>
      </c>
      <c r="C487" s="13" t="inlineStr">
        <is>
          <t>L.S.</t>
        </is>
      </c>
      <c r="D487" s="15" t="n">
        <v>19.76</v>
      </c>
      <c r="E487" s="16" t="n">
        <v>2</v>
      </c>
      <c r="F487" s="16">
        <f>D487*E487</f>
        <v/>
      </c>
    </row>
    <row r="488">
      <c r="A488" s="17" t="inlineStr">
        <is>
          <t>Resource Total (Material + Labour + Machinery, as printed)</t>
        </is>
      </c>
      <c r="B488" s="18" t="n"/>
      <c r="C488" s="18" t="n"/>
      <c r="D488" s="18" t="n"/>
      <c r="E488" s="18" t="n"/>
      <c r="F488" s="19">
        <f>SUM(F473:F487)</f>
        <v/>
      </c>
    </row>
    <row r="489">
      <c r="A489" s="20" t="inlineStr">
        <is>
          <t>SAY (Rs.) — final DAR rate</t>
        </is>
      </c>
      <c r="B489" s="21" t="n"/>
      <c r="C489" s="21" t="n"/>
      <c r="D489" s="21" t="n"/>
      <c r="E489" s="21" t="n"/>
      <c r="F489" s="22" t="n">
        <v>6034.3</v>
      </c>
    </row>
    <row r="491" ht="18" customHeight="1">
      <c r="A491" s="9" t="inlineStr">
        <is>
          <t>8.14.3.2</t>
        </is>
      </c>
      <c r="B491" s="10" t="inlineStr">
        <is>
          <t>60 mm thick</t>
        </is>
      </c>
      <c r="C491" s="11" t="n"/>
      <c r="D491" s="11" t="n"/>
      <c r="E491" s="11" t="n"/>
      <c r="F491" s="11" t="n"/>
    </row>
    <row r="492">
      <c r="A492" s="12" t="inlineStr">
        <is>
          <t>Rate basis: per sqm  (source: cost for 1 sqm)</t>
        </is>
      </c>
    </row>
    <row r="493">
      <c r="A493" s="5" t="inlineStr">
        <is>
          <t>Code</t>
        </is>
      </c>
      <c r="B493" s="5" t="inlineStr">
        <is>
          <t>Description</t>
        </is>
      </c>
      <c r="C493" s="5" t="inlineStr">
        <is>
          <t>Unit</t>
        </is>
      </c>
      <c r="D493" s="5" t="inlineStr">
        <is>
          <t>Quantity</t>
        </is>
      </c>
      <c r="E493" s="5" t="inlineStr">
        <is>
          <t>Rate (Rs.)</t>
        </is>
      </c>
      <c r="F493" s="5" t="inlineStr">
        <is>
          <t>Amount (Rs.)</t>
        </is>
      </c>
    </row>
    <row r="494">
      <c r="A494" s="13" t="inlineStr">
        <is>
          <t>3.8</t>
        </is>
      </c>
      <c r="B494" s="14" t="inlineStr">
        <is>
          <t>Rate as per SH: 3.8</t>
        </is>
      </c>
      <c r="C494" s="13" t="inlineStr">
        <is>
          <t>cum</t>
        </is>
      </c>
      <c r="D494" s="15" t="n">
        <v>0.018</v>
      </c>
      <c r="E494" s="16" t="n">
        <v>4664.55</v>
      </c>
      <c r="F494" s="16">
        <f>D494*E494</f>
        <v/>
      </c>
    </row>
    <row r="495">
      <c r="A495" s="13" t="inlineStr">
        <is>
          <t>2216</t>
        </is>
      </c>
      <c r="B495" s="14" t="inlineStr">
        <is>
          <t>Carriage of Stone blocks white &amp; red sand stone &amp; kota stone slab @ 2.30kg/cudm</t>
        </is>
      </c>
      <c r="C495" s="13" t="inlineStr">
        <is>
          <t>tonne</t>
        </is>
      </c>
      <c r="D495" s="15" t="n">
        <v>0.184</v>
      </c>
      <c r="E495" s="16" t="n">
        <v>92.23999999999999</v>
      </c>
      <c r="F495" s="16">
        <f>D495*E495</f>
        <v/>
      </c>
    </row>
    <row r="496">
      <c r="A496" s="13" t="inlineStr">
        <is>
          <t>9999</t>
        </is>
      </c>
      <c r="B496" s="14" t="inlineStr">
        <is>
          <t>Extra for using white cement</t>
        </is>
      </c>
      <c r="C496" s="13" t="inlineStr">
        <is>
          <t>L.S.</t>
        </is>
      </c>
      <c r="D496" s="15" t="n">
        <v>26.91</v>
      </c>
      <c r="E496" s="16" t="n">
        <v>2</v>
      </c>
      <c r="F496" s="16">
        <f>D496*E496</f>
        <v/>
      </c>
    </row>
    <row r="497">
      <c r="A497" s="13" t="inlineStr">
        <is>
          <t>0125</t>
        </is>
      </c>
      <c r="B497" s="14" t="inlineStr">
        <is>
          <t>Mason (for plain stone work) 2nd class)</t>
        </is>
      </c>
      <c r="C497" s="13" t="inlineStr">
        <is>
          <t>day</t>
        </is>
      </c>
      <c r="D497" s="15" t="n">
        <v>1.35</v>
      </c>
      <c r="E497" s="16" t="n">
        <v>679</v>
      </c>
      <c r="F497" s="16">
        <f>D497*E497</f>
        <v/>
      </c>
    </row>
    <row r="498">
      <c r="A498" s="13" t="inlineStr">
        <is>
          <t>0102</t>
        </is>
      </c>
      <c r="B498" s="14" t="inlineStr">
        <is>
          <t>Blacksmith 1st class</t>
        </is>
      </c>
      <c r="C498" s="13" t="inlineStr">
        <is>
          <t>day</t>
        </is>
      </c>
      <c r="D498" s="15" t="n">
        <v>0.032</v>
      </c>
      <c r="E498" s="16" t="n">
        <v>738</v>
      </c>
      <c r="F498" s="16">
        <f>D498*E498</f>
        <v/>
      </c>
    </row>
    <row r="499">
      <c r="A499" s="13" t="inlineStr">
        <is>
          <t>0114</t>
        </is>
      </c>
      <c r="B499" s="14" t="inlineStr">
        <is>
          <t>Beldar</t>
        </is>
      </c>
      <c r="C499" s="13" t="inlineStr">
        <is>
          <t>day</t>
        </is>
      </c>
      <c r="D499" s="15" t="n">
        <v>0.224</v>
      </c>
      <c r="E499" s="16" t="n">
        <v>558</v>
      </c>
      <c r="F499" s="16">
        <f>D499*E499</f>
        <v/>
      </c>
    </row>
    <row r="500">
      <c r="A500" s="13" t="inlineStr">
        <is>
          <t>0115</t>
        </is>
      </c>
      <c r="B500" s="14" t="inlineStr">
        <is>
          <t>Coolie</t>
        </is>
      </c>
      <c r="C500" s="13" t="inlineStr">
        <is>
          <t>day</t>
        </is>
      </c>
      <c r="D500" s="15" t="n">
        <v>0.112</v>
      </c>
      <c r="E500" s="16" t="n">
        <v>558</v>
      </c>
      <c r="F500" s="16">
        <f>D500*E500</f>
        <v/>
      </c>
    </row>
    <row r="501">
      <c r="A501" s="13" t="inlineStr">
        <is>
          <t>0100</t>
        </is>
      </c>
      <c r="B501" s="14" t="inlineStr">
        <is>
          <t>Bandhani</t>
        </is>
      </c>
      <c r="C501" s="13" t="inlineStr">
        <is>
          <t>day</t>
        </is>
      </c>
      <c r="D501" s="15" t="n">
        <v>0.224</v>
      </c>
      <c r="E501" s="16" t="n">
        <v>617</v>
      </c>
      <c r="F501" s="16">
        <f>D501*E501</f>
        <v/>
      </c>
    </row>
    <row r="502">
      <c r="A502" s="13" t="inlineStr">
        <is>
          <t>0125</t>
        </is>
      </c>
      <c r="B502" s="14" t="inlineStr">
        <is>
          <t>Mason (for plain stone work) 2nd class)</t>
        </is>
      </c>
      <c r="C502" s="13" t="inlineStr">
        <is>
          <t>day</t>
        </is>
      </c>
      <c r="D502" s="15" t="n">
        <v>0.448</v>
      </c>
      <c r="E502" s="16" t="n">
        <v>679</v>
      </c>
      <c r="F502" s="16">
        <f>D502*E502</f>
        <v/>
      </c>
    </row>
    <row r="503">
      <c r="A503" s="13" t="inlineStr">
        <is>
          <t>0100</t>
        </is>
      </c>
      <c r="B503" s="14" t="inlineStr">
        <is>
          <t>Bandhani</t>
        </is>
      </c>
      <c r="C503" s="13" t="inlineStr">
        <is>
          <t>day</t>
        </is>
      </c>
      <c r="D503" s="15" t="n">
        <v>0.336</v>
      </c>
      <c r="E503" s="16" t="n">
        <v>617</v>
      </c>
      <c r="F503" s="16">
        <f>D503*E503</f>
        <v/>
      </c>
    </row>
    <row r="504">
      <c r="A504" s="13" t="inlineStr">
        <is>
          <t>0114</t>
        </is>
      </c>
      <c r="B504" s="14" t="inlineStr">
        <is>
          <t>Beldar</t>
        </is>
      </c>
      <c r="C504" s="13" t="inlineStr">
        <is>
          <t>day</t>
        </is>
      </c>
      <c r="D504" s="15" t="n">
        <v>0.336</v>
      </c>
      <c r="E504" s="16" t="n">
        <v>558</v>
      </c>
      <c r="F504" s="16">
        <f>D504*E504</f>
        <v/>
      </c>
    </row>
    <row r="505">
      <c r="A505" s="13" t="inlineStr">
        <is>
          <t>0115</t>
        </is>
      </c>
      <c r="B505" s="14" t="inlineStr">
        <is>
          <t>Coolie</t>
        </is>
      </c>
      <c r="C505" s="13" t="inlineStr">
        <is>
          <t>day</t>
        </is>
      </c>
      <c r="D505" s="15" t="n">
        <v>0.336</v>
      </c>
      <c r="E505" s="16" t="n">
        <v>558</v>
      </c>
      <c r="F505" s="16">
        <f>D505*E505</f>
        <v/>
      </c>
    </row>
    <row r="506">
      <c r="A506" s="13" t="inlineStr">
        <is>
          <t>0101</t>
        </is>
      </c>
      <c r="B506" s="14" t="inlineStr">
        <is>
          <t>Bhisti</t>
        </is>
      </c>
      <c r="C506" s="13" t="inlineStr">
        <is>
          <t>day</t>
        </is>
      </c>
      <c r="D506" s="15" t="n">
        <v>0.336</v>
      </c>
      <c r="E506" s="16" t="n">
        <v>617</v>
      </c>
      <c r="F506" s="16">
        <f>D506*E506</f>
        <v/>
      </c>
    </row>
    <row r="507">
      <c r="A507" s="13" t="inlineStr">
        <is>
          <t>1237</t>
        </is>
      </c>
      <c r="B507" s="14" t="inlineStr">
        <is>
          <t>Cutting marble or sand stone slab upto 50 mm thick by mechanical device</t>
        </is>
      </c>
      <c r="C507" s="13" t="inlineStr">
        <is>
          <t>metre</t>
        </is>
      </c>
      <c r="D507" s="15" t="n">
        <v>4</v>
      </c>
      <c r="E507" s="16" t="n">
        <v>10</v>
      </c>
      <c r="F507" s="16">
        <f>D507*E507</f>
        <v/>
      </c>
    </row>
    <row r="508">
      <c r="A508" s="13" t="inlineStr">
        <is>
          <t>9999</t>
        </is>
      </c>
      <c r="B508" s="14" t="inlineStr">
        <is>
          <t>Scaffolding</t>
        </is>
      </c>
      <c r="C508" s="13" t="inlineStr">
        <is>
          <t>L.S.</t>
        </is>
      </c>
      <c r="D508" s="15" t="n">
        <v>19.76</v>
      </c>
      <c r="E508" s="16" t="n">
        <v>2</v>
      </c>
      <c r="F508" s="16">
        <f>D508*E508</f>
        <v/>
      </c>
    </row>
    <row r="509">
      <c r="A509" s="17" t="inlineStr">
        <is>
          <t>Resource Total (Material + Labour + Machinery, as printed)</t>
        </is>
      </c>
      <c r="B509" s="18" t="n"/>
      <c r="C509" s="18" t="n"/>
      <c r="D509" s="18" t="n"/>
      <c r="E509" s="18" t="n"/>
      <c r="F509" s="19">
        <f>SUM(F494:F508)</f>
        <v/>
      </c>
    </row>
    <row r="510">
      <c r="A510" s="20" t="inlineStr">
        <is>
          <t>SAY (Rs.) — final DAR rate</t>
        </is>
      </c>
      <c r="B510" s="21" t="n"/>
      <c r="C510" s="21" t="n"/>
      <c r="D510" s="21" t="n"/>
      <c r="E510" s="21" t="n"/>
      <c r="F510" s="22" t="n">
        <v>5664.85</v>
      </c>
    </row>
    <row r="512" ht="18" customHeight="1">
      <c r="A512" s="9" t="inlineStr">
        <is>
          <t>8.14.3.3</t>
        </is>
      </c>
      <c r="B512" s="10" t="inlineStr">
        <is>
          <t>50 mm thick</t>
        </is>
      </c>
      <c r="C512" s="11" t="n"/>
      <c r="D512" s="11" t="n"/>
      <c r="E512" s="11" t="n"/>
      <c r="F512" s="11" t="n"/>
    </row>
    <row r="513">
      <c r="A513" s="12" t="inlineStr">
        <is>
          <t>Rate basis: per sqm  (source: cost for 1 sqm)</t>
        </is>
      </c>
    </row>
    <row r="514">
      <c r="A514" s="5" t="inlineStr">
        <is>
          <t>Code</t>
        </is>
      </c>
      <c r="B514" s="5" t="inlineStr">
        <is>
          <t>Description</t>
        </is>
      </c>
      <c r="C514" s="5" t="inlineStr">
        <is>
          <t>Unit</t>
        </is>
      </c>
      <c r="D514" s="5" t="inlineStr">
        <is>
          <t>Quantity</t>
        </is>
      </c>
      <c r="E514" s="5" t="inlineStr">
        <is>
          <t>Rate (Rs.)</t>
        </is>
      </c>
      <c r="F514" s="5" t="inlineStr">
        <is>
          <t>Amount (Rs.)</t>
        </is>
      </c>
    </row>
    <row r="515">
      <c r="A515" s="13" t="inlineStr">
        <is>
          <t>3.8</t>
        </is>
      </c>
      <c r="B515" s="14" t="inlineStr">
        <is>
          <t>Rate as per SH: 3.8</t>
        </is>
      </c>
      <c r="C515" s="13" t="inlineStr">
        <is>
          <t>cum</t>
        </is>
      </c>
      <c r="D515" s="15" t="n">
        <v>0.018</v>
      </c>
      <c r="E515" s="16" t="n">
        <v>4664.55</v>
      </c>
      <c r="F515" s="16">
        <f>D515*E515</f>
        <v/>
      </c>
    </row>
    <row r="516">
      <c r="A516" s="13" t="inlineStr">
        <is>
          <t>2216</t>
        </is>
      </c>
      <c r="B516" s="14" t="inlineStr">
        <is>
          <t>Carriage of Stone blocks white &amp; red sand stone &amp; kota stone slab</t>
        </is>
      </c>
      <c r="C516" s="13" t="inlineStr">
        <is>
          <t>tonne</t>
        </is>
      </c>
      <c r="D516" s="15" t="n">
        <v>0.153</v>
      </c>
      <c r="E516" s="16" t="n">
        <v>92.23999999999999</v>
      </c>
      <c r="F516" s="16">
        <f>D516*E516</f>
        <v/>
      </c>
    </row>
    <row r="517">
      <c r="A517" s="13" t="inlineStr">
        <is>
          <t>9999</t>
        </is>
      </c>
      <c r="B517" s="14" t="inlineStr">
        <is>
          <t>Extra for using white cement</t>
        </is>
      </c>
      <c r="C517" s="13" t="inlineStr">
        <is>
          <t>L.S.</t>
        </is>
      </c>
      <c r="D517" s="15" t="n">
        <v>26.91</v>
      </c>
      <c r="E517" s="16" t="n">
        <v>2</v>
      </c>
      <c r="F517" s="16">
        <f>D517*E517</f>
        <v/>
      </c>
    </row>
    <row r="518">
      <c r="A518" s="13" t="inlineStr">
        <is>
          <t>0125</t>
        </is>
      </c>
      <c r="B518" s="14" t="inlineStr">
        <is>
          <t>Mason (for plain stone work) 2nd class)</t>
        </is>
      </c>
      <c r="C518" s="13" t="inlineStr">
        <is>
          <t>day</t>
        </is>
      </c>
      <c r="D518" s="15" t="n">
        <v>1.35</v>
      </c>
      <c r="E518" s="16" t="n">
        <v>679</v>
      </c>
      <c r="F518" s="16">
        <f>D518*E518</f>
        <v/>
      </c>
    </row>
    <row r="519">
      <c r="A519" s="13" t="inlineStr">
        <is>
          <t>0102</t>
        </is>
      </c>
      <c r="B519" s="14" t="inlineStr">
        <is>
          <t>Blacksmith 1st class</t>
        </is>
      </c>
      <c r="C519" s="13" t="inlineStr">
        <is>
          <t>day</t>
        </is>
      </c>
      <c r="D519" s="15" t="n">
        <v>0.032</v>
      </c>
      <c r="E519" s="16" t="n">
        <v>738</v>
      </c>
      <c r="F519" s="16">
        <f>D519*E519</f>
        <v/>
      </c>
    </row>
    <row r="520">
      <c r="A520" s="13" t="inlineStr">
        <is>
          <t>0114</t>
        </is>
      </c>
      <c r="B520" s="14" t="inlineStr">
        <is>
          <t>Beldar</t>
        </is>
      </c>
      <c r="C520" s="13" t="inlineStr">
        <is>
          <t>day</t>
        </is>
      </c>
      <c r="D520" s="15" t="n">
        <v>0.224</v>
      </c>
      <c r="E520" s="16" t="n">
        <v>558</v>
      </c>
      <c r="F520" s="16">
        <f>D520*E520</f>
        <v/>
      </c>
    </row>
    <row r="521">
      <c r="A521" s="13" t="inlineStr">
        <is>
          <t>0115</t>
        </is>
      </c>
      <c r="B521" s="14" t="inlineStr">
        <is>
          <t>Coolie</t>
        </is>
      </c>
      <c r="C521" s="13" t="inlineStr">
        <is>
          <t>day</t>
        </is>
      </c>
      <c r="D521" s="15" t="n">
        <v>0.112</v>
      </c>
      <c r="E521" s="16" t="n">
        <v>558</v>
      </c>
      <c r="F521" s="16">
        <f>D521*E521</f>
        <v/>
      </c>
    </row>
    <row r="522">
      <c r="A522" s="13" t="inlineStr">
        <is>
          <t>0100</t>
        </is>
      </c>
      <c r="B522" s="14" t="inlineStr">
        <is>
          <t>Bandhani</t>
        </is>
      </c>
      <c r="C522" s="13" t="inlineStr">
        <is>
          <t>day</t>
        </is>
      </c>
      <c r="D522" s="15" t="n">
        <v>0.224</v>
      </c>
      <c r="E522" s="16" t="n">
        <v>617</v>
      </c>
      <c r="F522" s="16">
        <f>D522*E522</f>
        <v/>
      </c>
    </row>
    <row r="523">
      <c r="A523" s="13" t="inlineStr">
        <is>
          <t>0125</t>
        </is>
      </c>
      <c r="B523" s="14" t="inlineStr">
        <is>
          <t>Mason (for plain stone work) 2nd class)</t>
        </is>
      </c>
      <c r="C523" s="13" t="inlineStr">
        <is>
          <t>day</t>
        </is>
      </c>
      <c r="D523" s="15" t="n">
        <v>0.448</v>
      </c>
      <c r="E523" s="16" t="n">
        <v>679</v>
      </c>
      <c r="F523" s="16">
        <f>D523*E523</f>
        <v/>
      </c>
    </row>
    <row r="524">
      <c r="A524" s="13" t="inlineStr">
        <is>
          <t>0100</t>
        </is>
      </c>
      <c r="B524" s="14" t="inlineStr">
        <is>
          <t>Bandhani</t>
        </is>
      </c>
      <c r="C524" s="13" t="inlineStr">
        <is>
          <t>day</t>
        </is>
      </c>
      <c r="D524" s="15" t="n">
        <v>0.336</v>
      </c>
      <c r="E524" s="16" t="n">
        <v>617</v>
      </c>
      <c r="F524" s="16">
        <f>D524*E524</f>
        <v/>
      </c>
    </row>
    <row r="525">
      <c r="A525" s="13" t="inlineStr">
        <is>
          <t>0114</t>
        </is>
      </c>
      <c r="B525" s="14" t="inlineStr">
        <is>
          <t>Beldar</t>
        </is>
      </c>
      <c r="C525" s="13" t="inlineStr">
        <is>
          <t>day</t>
        </is>
      </c>
      <c r="D525" s="15" t="n">
        <v>0.336</v>
      </c>
      <c r="E525" s="16" t="n">
        <v>558</v>
      </c>
      <c r="F525" s="16">
        <f>D525*E525</f>
        <v/>
      </c>
    </row>
    <row r="526">
      <c r="A526" s="13" t="inlineStr">
        <is>
          <t>0115</t>
        </is>
      </c>
      <c r="B526" s="14" t="inlineStr">
        <is>
          <t>Coolie</t>
        </is>
      </c>
      <c r="C526" s="13" t="inlineStr">
        <is>
          <t>day</t>
        </is>
      </c>
      <c r="D526" s="15" t="n">
        <v>0.336</v>
      </c>
      <c r="E526" s="16" t="n">
        <v>558</v>
      </c>
      <c r="F526" s="16">
        <f>D526*E526</f>
        <v/>
      </c>
    </row>
    <row r="527">
      <c r="A527" s="13" t="inlineStr">
        <is>
          <t>0101</t>
        </is>
      </c>
      <c r="B527" s="14" t="inlineStr">
        <is>
          <t>Bhisti</t>
        </is>
      </c>
      <c r="C527" s="13" t="inlineStr">
        <is>
          <t>day</t>
        </is>
      </c>
      <c r="D527" s="15" t="n">
        <v>0.336</v>
      </c>
      <c r="E527" s="16" t="n">
        <v>617</v>
      </c>
      <c r="F527" s="16">
        <f>D527*E527</f>
        <v/>
      </c>
    </row>
    <row r="528">
      <c r="A528" s="13" t="inlineStr">
        <is>
          <t>1237</t>
        </is>
      </c>
      <c r="B528" s="14" t="inlineStr">
        <is>
          <t>Cutting marble or sand stone slab upto 50 mm thick by mechanical device</t>
        </is>
      </c>
      <c r="C528" s="13" t="inlineStr">
        <is>
          <t>metre</t>
        </is>
      </c>
      <c r="D528" s="15" t="n">
        <v>4</v>
      </c>
      <c r="E528" s="16" t="n">
        <v>10</v>
      </c>
      <c r="F528" s="16">
        <f>D528*E528</f>
        <v/>
      </c>
    </row>
    <row r="529">
      <c r="A529" s="13" t="inlineStr">
        <is>
          <t>9999</t>
        </is>
      </c>
      <c r="B529" s="14" t="inlineStr">
        <is>
          <t>Scaffolding</t>
        </is>
      </c>
      <c r="C529" s="13" t="inlineStr">
        <is>
          <t>L.S.</t>
        </is>
      </c>
      <c r="D529" s="15" t="n">
        <v>19.76</v>
      </c>
      <c r="E529" s="16" t="n">
        <v>2</v>
      </c>
      <c r="F529" s="16">
        <f>D529*E529</f>
        <v/>
      </c>
    </row>
    <row r="530">
      <c r="A530" s="17" t="inlineStr">
        <is>
          <t>Resource Total (Material + Labour + Machinery, as printed)</t>
        </is>
      </c>
      <c r="B530" s="18" t="n"/>
      <c r="C530" s="18" t="n"/>
      <c r="D530" s="18" t="n"/>
      <c r="E530" s="18" t="n"/>
      <c r="F530" s="19">
        <f>SUM(F515:F529)</f>
        <v/>
      </c>
    </row>
    <row r="531">
      <c r="A531" s="20" t="inlineStr">
        <is>
          <t>SAY (Rs.) — final DAR rate</t>
        </is>
      </c>
      <c r="B531" s="21" t="n"/>
      <c r="C531" s="21" t="n"/>
      <c r="D531" s="21" t="n"/>
      <c r="E531" s="21" t="n"/>
      <c r="F531" s="22" t="n">
        <v>5296.25</v>
      </c>
    </row>
    <row r="533" ht="18" customHeight="1">
      <c r="A533" s="9" t="inlineStr">
        <is>
          <t>8.14.3.4</t>
        </is>
      </c>
      <c r="B533" s="10" t="inlineStr">
        <is>
          <t>40 mm thick</t>
        </is>
      </c>
      <c r="C533" s="11" t="n"/>
      <c r="D533" s="11" t="n"/>
      <c r="E533" s="11" t="n"/>
      <c r="F533" s="11" t="n"/>
    </row>
    <row r="534">
      <c r="A534" s="12" t="inlineStr">
        <is>
          <t>Rate basis: per sqm  (source: cost for 1 sqm)</t>
        </is>
      </c>
    </row>
    <row r="535">
      <c r="A535" s="5" t="inlineStr">
        <is>
          <t>Code</t>
        </is>
      </c>
      <c r="B535" s="5" t="inlineStr">
        <is>
          <t>Description</t>
        </is>
      </c>
      <c r="C535" s="5" t="inlineStr">
        <is>
          <t>Unit</t>
        </is>
      </c>
      <c r="D535" s="5" t="inlineStr">
        <is>
          <t>Quantity</t>
        </is>
      </c>
      <c r="E535" s="5" t="inlineStr">
        <is>
          <t>Rate (Rs.)</t>
        </is>
      </c>
      <c r="F535" s="5" t="inlineStr">
        <is>
          <t>Amount (Rs.)</t>
        </is>
      </c>
    </row>
    <row r="536">
      <c r="A536" s="13" t="inlineStr">
        <is>
          <t>3.8</t>
        </is>
      </c>
      <c r="B536" s="14" t="inlineStr">
        <is>
          <t>Rate as per SH: 3.8</t>
        </is>
      </c>
      <c r="C536" s="13" t="inlineStr">
        <is>
          <t>cum</t>
        </is>
      </c>
      <c r="D536" s="15" t="n">
        <v>0.018</v>
      </c>
      <c r="E536" s="16" t="n">
        <v>4664.55</v>
      </c>
      <c r="F536" s="16">
        <f>D536*E536</f>
        <v/>
      </c>
    </row>
    <row r="537">
      <c r="A537" s="13" t="inlineStr">
        <is>
          <t>2216</t>
        </is>
      </c>
      <c r="B537" s="14" t="inlineStr">
        <is>
          <t>Carriage of Stone blocks white &amp; red sand stone &amp; kota stone slab</t>
        </is>
      </c>
      <c r="C537" s="13" t="inlineStr">
        <is>
          <t>tonne</t>
        </is>
      </c>
      <c r="D537" s="15" t="n">
        <v>0.123</v>
      </c>
      <c r="E537" s="16" t="n">
        <v>92.23999999999999</v>
      </c>
      <c r="F537" s="16">
        <f>D537*E537</f>
        <v/>
      </c>
    </row>
    <row r="538">
      <c r="A538" s="13" t="inlineStr">
        <is>
          <t>9999</t>
        </is>
      </c>
      <c r="B538" s="14" t="inlineStr">
        <is>
          <t>Extra for using white cement</t>
        </is>
      </c>
      <c r="C538" s="13" t="inlineStr">
        <is>
          <t>L.S.</t>
        </is>
      </c>
      <c r="D538" s="15" t="n">
        <v>26.91</v>
      </c>
      <c r="E538" s="16" t="n">
        <v>2</v>
      </c>
      <c r="F538" s="16">
        <f>D538*E538</f>
        <v/>
      </c>
    </row>
    <row r="539">
      <c r="A539" s="13" t="inlineStr">
        <is>
          <t>0125</t>
        </is>
      </c>
      <c r="B539" s="14" t="inlineStr">
        <is>
          <t>Mason (for plain stone work) 2nd class)</t>
        </is>
      </c>
      <c r="C539" s="13" t="inlineStr">
        <is>
          <t>day</t>
        </is>
      </c>
      <c r="D539" s="15" t="n">
        <v>1.35</v>
      </c>
      <c r="E539" s="16" t="n">
        <v>679</v>
      </c>
      <c r="F539" s="16">
        <f>D539*E539</f>
        <v/>
      </c>
    </row>
    <row r="540">
      <c r="A540" s="13" t="inlineStr">
        <is>
          <t>0102</t>
        </is>
      </c>
      <c r="B540" s="14" t="inlineStr">
        <is>
          <t>Blacksmith 1st class</t>
        </is>
      </c>
      <c r="C540" s="13" t="inlineStr">
        <is>
          <t>day</t>
        </is>
      </c>
      <c r="D540" s="15" t="n">
        <v>0.032</v>
      </c>
      <c r="E540" s="16" t="n">
        <v>738</v>
      </c>
      <c r="F540" s="16">
        <f>D540*E540</f>
        <v/>
      </c>
    </row>
    <row r="541">
      <c r="A541" s="13" t="inlineStr">
        <is>
          <t>0114</t>
        </is>
      </c>
      <c r="B541" s="14" t="inlineStr">
        <is>
          <t>Beldar</t>
        </is>
      </c>
      <c r="C541" s="13" t="inlineStr">
        <is>
          <t>day</t>
        </is>
      </c>
      <c r="D541" s="15" t="n">
        <v>0.224</v>
      </c>
      <c r="E541" s="16" t="n">
        <v>558</v>
      </c>
      <c r="F541" s="16">
        <f>D541*E541</f>
        <v/>
      </c>
    </row>
    <row r="542">
      <c r="A542" s="13" t="inlineStr">
        <is>
          <t>0115</t>
        </is>
      </c>
      <c r="B542" s="14" t="inlineStr">
        <is>
          <t>Coolie</t>
        </is>
      </c>
      <c r="C542" s="13" t="inlineStr">
        <is>
          <t>day</t>
        </is>
      </c>
      <c r="D542" s="15" t="n">
        <v>0.112</v>
      </c>
      <c r="E542" s="16" t="n">
        <v>558</v>
      </c>
      <c r="F542" s="16">
        <f>D542*E542</f>
        <v/>
      </c>
    </row>
    <row r="543">
      <c r="A543" s="13" t="inlineStr">
        <is>
          <t>0100</t>
        </is>
      </c>
      <c r="B543" s="14" t="inlineStr">
        <is>
          <t>Bandhani</t>
        </is>
      </c>
      <c r="C543" s="13" t="inlineStr">
        <is>
          <t>day</t>
        </is>
      </c>
      <c r="D543" s="15" t="n">
        <v>0.224</v>
      </c>
      <c r="E543" s="16" t="n">
        <v>617</v>
      </c>
      <c r="F543" s="16">
        <f>D543*E543</f>
        <v/>
      </c>
    </row>
    <row r="544">
      <c r="A544" s="13" t="inlineStr">
        <is>
          <t>0125</t>
        </is>
      </c>
      <c r="B544" s="14" t="inlineStr">
        <is>
          <t>Mason (for plain stone work) 2nd class)</t>
        </is>
      </c>
      <c r="C544" s="13" t="inlineStr">
        <is>
          <t>day</t>
        </is>
      </c>
      <c r="D544" s="15" t="n">
        <v>0.448</v>
      </c>
      <c r="E544" s="16" t="n">
        <v>679</v>
      </c>
      <c r="F544" s="16">
        <f>D544*E544</f>
        <v/>
      </c>
    </row>
    <row r="545">
      <c r="A545" s="13" t="inlineStr">
        <is>
          <t>0100</t>
        </is>
      </c>
      <c r="B545" s="14" t="inlineStr">
        <is>
          <t>Bandhani</t>
        </is>
      </c>
      <c r="C545" s="13" t="inlineStr">
        <is>
          <t>day</t>
        </is>
      </c>
      <c r="D545" s="15" t="n">
        <v>0.336</v>
      </c>
      <c r="E545" s="16" t="n">
        <v>617</v>
      </c>
      <c r="F545" s="16">
        <f>D545*E545</f>
        <v/>
      </c>
    </row>
    <row r="546">
      <c r="A546" s="13" t="inlineStr">
        <is>
          <t>0114</t>
        </is>
      </c>
      <c r="B546" s="14" t="inlineStr">
        <is>
          <t>Beldar</t>
        </is>
      </c>
      <c r="C546" s="13" t="inlineStr">
        <is>
          <t>day</t>
        </is>
      </c>
      <c r="D546" s="15" t="n">
        <v>0.336</v>
      </c>
      <c r="E546" s="16" t="n">
        <v>558</v>
      </c>
      <c r="F546" s="16">
        <f>D546*E546</f>
        <v/>
      </c>
    </row>
    <row r="547">
      <c r="A547" s="13" t="inlineStr">
        <is>
          <t>0115</t>
        </is>
      </c>
      <c r="B547" s="14" t="inlineStr">
        <is>
          <t>Coolie</t>
        </is>
      </c>
      <c r="C547" s="13" t="inlineStr">
        <is>
          <t>day</t>
        </is>
      </c>
      <c r="D547" s="15" t="n">
        <v>0.336</v>
      </c>
      <c r="E547" s="16" t="n">
        <v>558</v>
      </c>
      <c r="F547" s="16">
        <f>D547*E547</f>
        <v/>
      </c>
    </row>
    <row r="548">
      <c r="A548" s="13" t="inlineStr">
        <is>
          <t>0101</t>
        </is>
      </c>
      <c r="B548" s="14" t="inlineStr">
        <is>
          <t>Bhisti</t>
        </is>
      </c>
      <c r="C548" s="13" t="inlineStr">
        <is>
          <t>day</t>
        </is>
      </c>
      <c r="D548" s="15" t="n">
        <v>0.336</v>
      </c>
      <c r="E548" s="16" t="n">
        <v>617</v>
      </c>
      <c r="F548" s="16">
        <f>D548*E548</f>
        <v/>
      </c>
    </row>
    <row r="549">
      <c r="A549" s="13" t="inlineStr">
        <is>
          <t>1237</t>
        </is>
      </c>
      <c r="B549" s="14" t="inlineStr">
        <is>
          <t>Cutting marble or sand stone slab upto 50 mm thick by mechanical device</t>
        </is>
      </c>
      <c r="C549" s="13" t="inlineStr">
        <is>
          <t>metre</t>
        </is>
      </c>
      <c r="D549" s="15" t="n">
        <v>4</v>
      </c>
      <c r="E549" s="16" t="n">
        <v>10</v>
      </c>
      <c r="F549" s="16">
        <f>D549*E549</f>
        <v/>
      </c>
    </row>
    <row r="550">
      <c r="A550" s="13" t="inlineStr">
        <is>
          <t>9999</t>
        </is>
      </c>
      <c r="B550" s="14" t="inlineStr">
        <is>
          <t>Scaffolding</t>
        </is>
      </c>
      <c r="C550" s="13" t="inlineStr">
        <is>
          <t>L.S.</t>
        </is>
      </c>
      <c r="D550" s="15" t="n">
        <v>19.76</v>
      </c>
      <c r="E550" s="16" t="n">
        <v>2</v>
      </c>
      <c r="F550" s="16">
        <f>D550*E550</f>
        <v/>
      </c>
    </row>
    <row r="551">
      <c r="A551" s="17" t="inlineStr">
        <is>
          <t>Resource Total (Material + Labour + Machinery, as printed)</t>
        </is>
      </c>
      <c r="B551" s="18" t="n"/>
      <c r="C551" s="18" t="n"/>
      <c r="D551" s="18" t="n"/>
      <c r="E551" s="18" t="n"/>
      <c r="F551" s="19">
        <f>SUM(F536:F550)</f>
        <v/>
      </c>
    </row>
    <row r="552">
      <c r="A552" s="20" t="inlineStr">
        <is>
          <t>SAY (Rs.) — final DAR rate</t>
        </is>
      </c>
      <c r="B552" s="21" t="n"/>
      <c r="C552" s="21" t="n"/>
      <c r="D552" s="21" t="n"/>
      <c r="E552" s="21" t="n"/>
      <c r="F552" s="22" t="n">
        <v>4925</v>
      </c>
    </row>
    <row r="554" ht="18" customHeight="1">
      <c r="A554" s="9" t="inlineStr">
        <is>
          <t>8.14.3.5</t>
        </is>
      </c>
      <c r="B554" s="10" t="inlineStr">
        <is>
          <t>30 mm thick</t>
        </is>
      </c>
      <c r="C554" s="11" t="n"/>
      <c r="D554" s="11" t="n"/>
      <c r="E554" s="11" t="n"/>
      <c r="F554" s="11" t="n"/>
    </row>
    <row r="555">
      <c r="A555" s="12" t="inlineStr">
        <is>
          <t>Rate basis: per sqm  (source: cost for 1 sqm)</t>
        </is>
      </c>
    </row>
    <row r="556">
      <c r="A556" s="5" t="inlineStr">
        <is>
          <t>Code</t>
        </is>
      </c>
      <c r="B556" s="5" t="inlineStr">
        <is>
          <t>Description</t>
        </is>
      </c>
      <c r="C556" s="5" t="inlineStr">
        <is>
          <t>Unit</t>
        </is>
      </c>
      <c r="D556" s="5" t="inlineStr">
        <is>
          <t>Quantity</t>
        </is>
      </c>
      <c r="E556" s="5" t="inlineStr">
        <is>
          <t>Rate (Rs.)</t>
        </is>
      </c>
      <c r="F556" s="5" t="inlineStr">
        <is>
          <t>Amount (Rs.)</t>
        </is>
      </c>
    </row>
    <row r="557">
      <c r="A557" s="13" t="inlineStr">
        <is>
          <t>3.8</t>
        </is>
      </c>
      <c r="B557" s="14" t="inlineStr">
        <is>
          <t>Rate as per SH: 3.8</t>
        </is>
      </c>
      <c r="C557" s="13" t="inlineStr">
        <is>
          <t>cum</t>
        </is>
      </c>
      <c r="D557" s="15" t="n">
        <v>0.018</v>
      </c>
      <c r="E557" s="16" t="n">
        <v>4664.55</v>
      </c>
      <c r="F557" s="16">
        <f>D557*E557</f>
        <v/>
      </c>
    </row>
    <row r="558">
      <c r="A558" s="13" t="inlineStr">
        <is>
          <t>2216</t>
        </is>
      </c>
      <c r="B558" s="14" t="inlineStr">
        <is>
          <t>Carriage of Stone blocks white &amp; red sand stone &amp; kota stone slab</t>
        </is>
      </c>
      <c r="C558" s="13" t="inlineStr">
        <is>
          <t>tonne</t>
        </is>
      </c>
      <c r="D558" s="15" t="n">
        <v>0.092</v>
      </c>
      <c r="E558" s="16" t="n">
        <v>92.23999999999999</v>
      </c>
      <c r="F558" s="16">
        <f>D558*E558</f>
        <v/>
      </c>
    </row>
    <row r="559">
      <c r="A559" s="13" t="inlineStr">
        <is>
          <t>9999</t>
        </is>
      </c>
      <c r="B559" s="14" t="inlineStr">
        <is>
          <t>Extra for using white cement</t>
        </is>
      </c>
      <c r="C559" s="13" t="inlineStr">
        <is>
          <t>L.S.</t>
        </is>
      </c>
      <c r="D559" s="15" t="n">
        <v>26.91</v>
      </c>
      <c r="E559" s="16" t="n">
        <v>2</v>
      </c>
      <c r="F559" s="16">
        <f>D559*E559</f>
        <v/>
      </c>
    </row>
    <row r="560">
      <c r="A560" s="13" t="inlineStr">
        <is>
          <t>0125</t>
        </is>
      </c>
      <c r="B560" s="14" t="inlineStr">
        <is>
          <t>Mason (for plain stone work) 2nd class)</t>
        </is>
      </c>
      <c r="C560" s="13" t="inlineStr">
        <is>
          <t>day</t>
        </is>
      </c>
      <c r="D560" s="15" t="n">
        <v>1.35</v>
      </c>
      <c r="E560" s="16" t="n">
        <v>679</v>
      </c>
      <c r="F560" s="16">
        <f>D560*E560</f>
        <v/>
      </c>
    </row>
    <row r="561">
      <c r="A561" s="13" t="inlineStr">
        <is>
          <t>0102</t>
        </is>
      </c>
      <c r="B561" s="14" t="inlineStr">
        <is>
          <t>Blacksmith 1st class</t>
        </is>
      </c>
      <c r="C561" s="13" t="inlineStr">
        <is>
          <t>day</t>
        </is>
      </c>
      <c r="D561" s="15" t="n">
        <v>0.032</v>
      </c>
      <c r="E561" s="16" t="n">
        <v>738</v>
      </c>
      <c r="F561" s="16">
        <f>D561*E561</f>
        <v/>
      </c>
    </row>
    <row r="562">
      <c r="A562" s="13" t="inlineStr">
        <is>
          <t>0114</t>
        </is>
      </c>
      <c r="B562" s="14" t="inlineStr">
        <is>
          <t>Beldar</t>
        </is>
      </c>
      <c r="C562" s="13" t="inlineStr">
        <is>
          <t>day</t>
        </is>
      </c>
      <c r="D562" s="15" t="n">
        <v>0.224</v>
      </c>
      <c r="E562" s="16" t="n">
        <v>558</v>
      </c>
      <c r="F562" s="16">
        <f>D562*E562</f>
        <v/>
      </c>
    </row>
    <row r="563">
      <c r="A563" s="13" t="inlineStr">
        <is>
          <t>0115</t>
        </is>
      </c>
      <c r="B563" s="14" t="inlineStr">
        <is>
          <t>Coolie</t>
        </is>
      </c>
      <c r="C563" s="13" t="inlineStr">
        <is>
          <t>day</t>
        </is>
      </c>
      <c r="D563" s="15" t="n">
        <v>0.112</v>
      </c>
      <c r="E563" s="16" t="n">
        <v>558</v>
      </c>
      <c r="F563" s="16">
        <f>D563*E563</f>
        <v/>
      </c>
    </row>
    <row r="564">
      <c r="A564" s="13" t="inlineStr">
        <is>
          <t>0100</t>
        </is>
      </c>
      <c r="B564" s="14" t="inlineStr">
        <is>
          <t>Bandhani</t>
        </is>
      </c>
      <c r="C564" s="13" t="inlineStr">
        <is>
          <t>day</t>
        </is>
      </c>
      <c r="D564" s="15" t="n">
        <v>0.224</v>
      </c>
      <c r="E564" s="16" t="n">
        <v>617</v>
      </c>
      <c r="F564" s="16">
        <f>D564*E564</f>
        <v/>
      </c>
    </row>
    <row r="565">
      <c r="A565" s="13" t="inlineStr">
        <is>
          <t>0125</t>
        </is>
      </c>
      <c r="B565" s="14" t="inlineStr">
        <is>
          <t>Mason (for plain stone work) 2nd class)</t>
        </is>
      </c>
      <c r="C565" s="13" t="inlineStr">
        <is>
          <t>day</t>
        </is>
      </c>
      <c r="D565" s="15" t="n">
        <v>0.448</v>
      </c>
      <c r="E565" s="16" t="n">
        <v>679</v>
      </c>
      <c r="F565" s="16">
        <f>D565*E565</f>
        <v/>
      </c>
    </row>
    <row r="566">
      <c r="A566" s="13" t="inlineStr">
        <is>
          <t>0100</t>
        </is>
      </c>
      <c r="B566" s="14" t="inlineStr">
        <is>
          <t>Bandhani</t>
        </is>
      </c>
      <c r="C566" s="13" t="inlineStr">
        <is>
          <t>day</t>
        </is>
      </c>
      <c r="D566" s="15" t="n">
        <v>0.336</v>
      </c>
      <c r="E566" s="16" t="n">
        <v>617</v>
      </c>
      <c r="F566" s="16">
        <f>D566*E566</f>
        <v/>
      </c>
    </row>
    <row r="567">
      <c r="A567" s="13" t="inlineStr">
        <is>
          <t>0114</t>
        </is>
      </c>
      <c r="B567" s="14" t="inlineStr">
        <is>
          <t>Beldar</t>
        </is>
      </c>
      <c r="C567" s="13" t="inlineStr">
        <is>
          <t>day</t>
        </is>
      </c>
      <c r="D567" s="15" t="n">
        <v>0.336</v>
      </c>
      <c r="E567" s="16" t="n">
        <v>558</v>
      </c>
      <c r="F567" s="16">
        <f>D567*E567</f>
        <v/>
      </c>
    </row>
    <row r="568">
      <c r="A568" s="13" t="inlineStr">
        <is>
          <t>0115</t>
        </is>
      </c>
      <c r="B568" s="14" t="inlineStr">
        <is>
          <t>Coolie</t>
        </is>
      </c>
      <c r="C568" s="13" t="inlineStr">
        <is>
          <t>day</t>
        </is>
      </c>
      <c r="D568" s="15" t="n">
        <v>0.336</v>
      </c>
      <c r="E568" s="16" t="n">
        <v>558</v>
      </c>
      <c r="F568" s="16">
        <f>D568*E568</f>
        <v/>
      </c>
    </row>
    <row r="569">
      <c r="A569" s="13" t="inlineStr">
        <is>
          <t>0101</t>
        </is>
      </c>
      <c r="B569" s="14" t="inlineStr">
        <is>
          <t>Bhisti</t>
        </is>
      </c>
      <c r="C569" s="13" t="inlineStr">
        <is>
          <t>day</t>
        </is>
      </c>
      <c r="D569" s="15" t="n">
        <v>0.336</v>
      </c>
      <c r="E569" s="16" t="n">
        <v>617</v>
      </c>
      <c r="F569" s="16">
        <f>D569*E569</f>
        <v/>
      </c>
    </row>
    <row r="570">
      <c r="A570" s="13" t="inlineStr">
        <is>
          <t>1237</t>
        </is>
      </c>
      <c r="B570" s="14" t="inlineStr">
        <is>
          <t>Cutting marble or sand stone slab upto 50 mm thick by mechanical device</t>
        </is>
      </c>
      <c r="C570" s="13" t="inlineStr">
        <is>
          <t>metre</t>
        </is>
      </c>
      <c r="D570" s="15" t="n">
        <v>4</v>
      </c>
      <c r="E570" s="16" t="n">
        <v>10</v>
      </c>
      <c r="F570" s="16">
        <f>D570*E570</f>
        <v/>
      </c>
    </row>
    <row r="571">
      <c r="A571" s="13" t="inlineStr">
        <is>
          <t>9999</t>
        </is>
      </c>
      <c r="B571" s="14" t="inlineStr">
        <is>
          <t>Scaffolding</t>
        </is>
      </c>
      <c r="C571" s="13" t="inlineStr">
        <is>
          <t>L.S.</t>
        </is>
      </c>
      <c r="D571" s="15" t="n">
        <v>19.76</v>
      </c>
      <c r="E571" s="16" t="n">
        <v>2</v>
      </c>
      <c r="F571" s="16">
        <f>D571*E571</f>
        <v/>
      </c>
    </row>
    <row r="572">
      <c r="A572" s="17" t="inlineStr">
        <is>
          <t>Resource Total (Material + Labour + Machinery, as printed)</t>
        </is>
      </c>
      <c r="B572" s="18" t="n"/>
      <c r="C572" s="18" t="n"/>
      <c r="D572" s="18" t="n"/>
      <c r="E572" s="18" t="n"/>
      <c r="F572" s="19">
        <f>SUM(F557:F571)</f>
        <v/>
      </c>
    </row>
    <row r="573">
      <c r="A573" s="20" t="inlineStr">
        <is>
          <t>SAY (Rs.) — final DAR rate</t>
        </is>
      </c>
      <c r="B573" s="21" t="n"/>
      <c r="C573" s="21" t="n"/>
      <c r="D573" s="21" t="n"/>
      <c r="E573" s="21" t="n"/>
      <c r="F573" s="22" t="n">
        <v>4556.15</v>
      </c>
    </row>
    <row r="575" ht="18" customHeight="1">
      <c r="A575" s="9" t="inlineStr">
        <is>
          <t>8.14.4.1</t>
        </is>
      </c>
      <c r="B575" s="10" t="inlineStr">
        <is>
          <t>70 mm thick</t>
        </is>
      </c>
      <c r="C575" s="11" t="n"/>
      <c r="D575" s="11" t="n"/>
      <c r="E575" s="11" t="n"/>
      <c r="F575" s="11" t="n"/>
    </row>
    <row r="576">
      <c r="A576" s="12" t="inlineStr">
        <is>
          <t>Rate basis: per sqm  (source: cost for 1 sqm)</t>
        </is>
      </c>
    </row>
    <row r="577">
      <c r="A577" s="5" t="inlineStr">
        <is>
          <t>Code</t>
        </is>
      </c>
      <c r="B577" s="5" t="inlineStr">
        <is>
          <t>Description</t>
        </is>
      </c>
      <c r="C577" s="5" t="inlineStr">
        <is>
          <t>Unit</t>
        </is>
      </c>
      <c r="D577" s="5" t="inlineStr">
        <is>
          <t>Quantity</t>
        </is>
      </c>
      <c r="E577" s="5" t="inlineStr">
        <is>
          <t>Rate (Rs.)</t>
        </is>
      </c>
      <c r="F577" s="5" t="inlineStr">
        <is>
          <t>Amount (Rs.)</t>
        </is>
      </c>
    </row>
    <row r="578">
      <c r="A578" s="13" t="inlineStr">
        <is>
          <t>3.8</t>
        </is>
      </c>
      <c r="B578" s="14" t="inlineStr">
        <is>
          <t>Rate as per SH: 3.8</t>
        </is>
      </c>
      <c r="C578" s="13" t="inlineStr">
        <is>
          <t>cum</t>
        </is>
      </c>
      <c r="D578" s="15" t="n">
        <v>0.018</v>
      </c>
      <c r="E578" s="16" t="n">
        <v>4664.55</v>
      </c>
      <c r="F578" s="16">
        <f>D578*E578</f>
        <v/>
      </c>
    </row>
    <row r="579">
      <c r="A579" s="13" t="inlineStr">
        <is>
          <t>2216</t>
        </is>
      </c>
      <c r="B579" s="14" t="inlineStr">
        <is>
          <t>Carriage of Stone blocks white &amp; red sand stone &amp; kota stone slab</t>
        </is>
      </c>
      <c r="C579" s="13" t="inlineStr">
        <is>
          <t>tonne</t>
        </is>
      </c>
      <c r="D579" s="15" t="n">
        <v>0.215</v>
      </c>
      <c r="E579" s="16" t="n">
        <v>92.23999999999999</v>
      </c>
      <c r="F579" s="16">
        <f>D579*E579</f>
        <v/>
      </c>
    </row>
    <row r="580">
      <c r="A580" s="13" t="inlineStr">
        <is>
          <t>9999</t>
        </is>
      </c>
      <c r="B580" s="14" t="inlineStr">
        <is>
          <t>Extra for using white cement</t>
        </is>
      </c>
      <c r="C580" s="13" t="inlineStr">
        <is>
          <t>L.S.</t>
        </is>
      </c>
      <c r="D580" s="15" t="n">
        <v>26.91</v>
      </c>
      <c r="E580" s="16" t="n">
        <v>2</v>
      </c>
      <c r="F580" s="16">
        <f>D580*E580</f>
        <v/>
      </c>
    </row>
    <row r="581">
      <c r="A581" s="13" t="inlineStr">
        <is>
          <t>0125</t>
        </is>
      </c>
      <c r="B581" s="14" t="inlineStr">
        <is>
          <t>Mason (for plain stone work) 2nd class)</t>
        </is>
      </c>
      <c r="C581" s="13" t="inlineStr">
        <is>
          <t>day</t>
        </is>
      </c>
      <c r="D581" s="15" t="n">
        <v>2.7</v>
      </c>
      <c r="E581" s="16" t="n">
        <v>679</v>
      </c>
      <c r="F581" s="16">
        <f>D581*E581</f>
        <v/>
      </c>
    </row>
    <row r="582">
      <c r="A582" s="13" t="inlineStr">
        <is>
          <t>0102</t>
        </is>
      </c>
      <c r="B582" s="14" t="inlineStr">
        <is>
          <t>Blacksmith 1st class</t>
        </is>
      </c>
      <c r="C582" s="13" t="inlineStr">
        <is>
          <t>day</t>
        </is>
      </c>
      <c r="D582" s="15" t="n">
        <v>0.064</v>
      </c>
      <c r="E582" s="16" t="n">
        <v>738</v>
      </c>
      <c r="F582" s="16">
        <f>D582*E582</f>
        <v/>
      </c>
    </row>
    <row r="583">
      <c r="A583" s="13" t="inlineStr">
        <is>
          <t>0114</t>
        </is>
      </c>
      <c r="B583" s="14" t="inlineStr">
        <is>
          <t>Beldar</t>
        </is>
      </c>
      <c r="C583" s="13" t="inlineStr">
        <is>
          <t>day</t>
        </is>
      </c>
      <c r="D583" s="15" t="n">
        <v>0.448</v>
      </c>
      <c r="E583" s="16" t="n">
        <v>558</v>
      </c>
      <c r="F583" s="16">
        <f>D583*E583</f>
        <v/>
      </c>
    </row>
    <row r="584">
      <c r="A584" s="13" t="inlineStr">
        <is>
          <t>0115</t>
        </is>
      </c>
      <c r="B584" s="14" t="inlineStr">
        <is>
          <t>Coolie</t>
        </is>
      </c>
      <c r="C584" s="13" t="inlineStr">
        <is>
          <t>day</t>
        </is>
      </c>
      <c r="D584" s="15" t="n">
        <v>0.224</v>
      </c>
      <c r="E584" s="16" t="n">
        <v>558</v>
      </c>
      <c r="F584" s="16">
        <f>D584*E584</f>
        <v/>
      </c>
    </row>
    <row r="585">
      <c r="A585" s="13" t="inlineStr">
        <is>
          <t>0100</t>
        </is>
      </c>
      <c r="B585" s="14" t="inlineStr">
        <is>
          <t>Bandhani</t>
        </is>
      </c>
      <c r="C585" s="13" t="inlineStr">
        <is>
          <t>day</t>
        </is>
      </c>
      <c r="D585" s="15" t="n">
        <v>0.448</v>
      </c>
      <c r="E585" s="16" t="n">
        <v>617</v>
      </c>
      <c r="F585" s="16">
        <f>D585*E585</f>
        <v/>
      </c>
    </row>
    <row r="586">
      <c r="A586" s="13" t="inlineStr">
        <is>
          <t>0125</t>
        </is>
      </c>
      <c r="B586" s="14" t="inlineStr">
        <is>
          <t>Mason (for plain stone work) 2nd class)</t>
        </is>
      </c>
      <c r="C586" s="13" t="inlineStr">
        <is>
          <t>day</t>
        </is>
      </c>
      <c r="D586" s="15" t="n">
        <v>0.448</v>
      </c>
      <c r="E586" s="16" t="n">
        <v>679</v>
      </c>
      <c r="F586" s="16">
        <f>D586*E586</f>
        <v/>
      </c>
    </row>
    <row r="587">
      <c r="A587" s="13" t="inlineStr">
        <is>
          <t>0100</t>
        </is>
      </c>
      <c r="B587" s="14" t="inlineStr">
        <is>
          <t>Bandhani</t>
        </is>
      </c>
      <c r="C587" s="13" t="inlineStr">
        <is>
          <t>day</t>
        </is>
      </c>
      <c r="D587" s="15" t="n">
        <v>0.336</v>
      </c>
      <c r="E587" s="16" t="n">
        <v>617</v>
      </c>
      <c r="F587" s="16">
        <f>D587*E587</f>
        <v/>
      </c>
    </row>
    <row r="588">
      <c r="A588" s="13" t="inlineStr">
        <is>
          <t>0114</t>
        </is>
      </c>
      <c r="B588" s="14" t="inlineStr">
        <is>
          <t>Beldar</t>
        </is>
      </c>
      <c r="C588" s="13" t="inlineStr">
        <is>
          <t>day</t>
        </is>
      </c>
      <c r="D588" s="15" t="n">
        <v>0.336</v>
      </c>
      <c r="E588" s="16" t="n">
        <v>558</v>
      </c>
      <c r="F588" s="16">
        <f>D588*E588</f>
        <v/>
      </c>
    </row>
    <row r="589">
      <c r="A589" s="13" t="inlineStr">
        <is>
          <t>0115</t>
        </is>
      </c>
      <c r="B589" s="14" t="inlineStr">
        <is>
          <t>Coolie</t>
        </is>
      </c>
      <c r="C589" s="13" t="inlineStr">
        <is>
          <t>day</t>
        </is>
      </c>
      <c r="D589" s="15" t="n">
        <v>0.336</v>
      </c>
      <c r="E589" s="16" t="n">
        <v>558</v>
      </c>
      <c r="F589" s="16">
        <f>D589*E589</f>
        <v/>
      </c>
    </row>
    <row r="590">
      <c r="A590" s="13" t="inlineStr">
        <is>
          <t>0101</t>
        </is>
      </c>
      <c r="B590" s="14" t="inlineStr">
        <is>
          <t>Bhisti</t>
        </is>
      </c>
      <c r="C590" s="13" t="inlineStr">
        <is>
          <t>day</t>
        </is>
      </c>
      <c r="D590" s="15" t="n">
        <v>0.336</v>
      </c>
      <c r="E590" s="16" t="n">
        <v>617</v>
      </c>
      <c r="F590" s="16">
        <f>D590*E590</f>
        <v/>
      </c>
    </row>
    <row r="591">
      <c r="A591" s="13" t="inlineStr">
        <is>
          <t>1237</t>
        </is>
      </c>
      <c r="B591" s="14" t="inlineStr">
        <is>
          <t>Cutting marble or sand stone slab upto 50 mm thick by mechanical device</t>
        </is>
      </c>
      <c r="C591" s="13" t="inlineStr">
        <is>
          <t>metre</t>
        </is>
      </c>
      <c r="D591" s="15" t="n">
        <v>4</v>
      </c>
      <c r="E591" s="16" t="n">
        <v>10</v>
      </c>
      <c r="F591" s="16">
        <f>D591*E591</f>
        <v/>
      </c>
    </row>
    <row r="592">
      <c r="A592" s="13" t="inlineStr">
        <is>
          <t>9999</t>
        </is>
      </c>
      <c r="B592" s="14" t="inlineStr">
        <is>
          <t>Scaffolding</t>
        </is>
      </c>
      <c r="C592" s="13" t="inlineStr">
        <is>
          <t>L.S.</t>
        </is>
      </c>
      <c r="D592" s="15" t="n">
        <v>19.76</v>
      </c>
      <c r="E592" s="16" t="n">
        <v>2</v>
      </c>
      <c r="F592" s="16">
        <f>D592*E592</f>
        <v/>
      </c>
    </row>
    <row r="593">
      <c r="A593" s="17" t="inlineStr">
        <is>
          <t>Resource Total (Material + Labour + Machinery, as printed)</t>
        </is>
      </c>
      <c r="B593" s="18" t="n"/>
      <c r="C593" s="18" t="n"/>
      <c r="D593" s="18" t="n"/>
      <c r="E593" s="18" t="n"/>
      <c r="F593" s="19">
        <f>SUM(F578:F592)</f>
        <v/>
      </c>
    </row>
    <row r="594">
      <c r="A594" s="20" t="inlineStr">
        <is>
          <t>SAY (Rs.) — final DAR rate</t>
        </is>
      </c>
      <c r="B594" s="21" t="n"/>
      <c r="C594" s="21" t="n"/>
      <c r="D594" s="21" t="n"/>
      <c r="E594" s="21" t="n"/>
      <c r="F594" s="22" t="n">
        <v>7728.1</v>
      </c>
    </row>
    <row r="596" ht="18" customHeight="1">
      <c r="A596" s="9" t="inlineStr">
        <is>
          <t>8.14.4.2</t>
        </is>
      </c>
      <c r="B596" s="10" t="inlineStr">
        <is>
          <t>60 mm thick</t>
        </is>
      </c>
      <c r="C596" s="11" t="n"/>
      <c r="D596" s="11" t="n"/>
      <c r="E596" s="11" t="n"/>
      <c r="F596" s="11" t="n"/>
    </row>
    <row r="597">
      <c r="A597" s="12" t="inlineStr">
        <is>
          <t>Rate basis: per sqm  (source: cost for 1 sqm)</t>
        </is>
      </c>
    </row>
    <row r="598">
      <c r="A598" s="5" t="inlineStr">
        <is>
          <t>Code</t>
        </is>
      </c>
      <c r="B598" s="5" t="inlineStr">
        <is>
          <t>Description</t>
        </is>
      </c>
      <c r="C598" s="5" t="inlineStr">
        <is>
          <t>Unit</t>
        </is>
      </c>
      <c r="D598" s="5" t="inlineStr">
        <is>
          <t>Quantity</t>
        </is>
      </c>
      <c r="E598" s="5" t="inlineStr">
        <is>
          <t>Rate (Rs.)</t>
        </is>
      </c>
      <c r="F598" s="5" t="inlineStr">
        <is>
          <t>Amount (Rs.)</t>
        </is>
      </c>
    </row>
    <row r="599">
      <c r="A599" s="13" t="inlineStr">
        <is>
          <t>3.8</t>
        </is>
      </c>
      <c r="B599" s="14" t="inlineStr">
        <is>
          <t>Rate as per SH: 3.8</t>
        </is>
      </c>
      <c r="C599" s="13" t="inlineStr">
        <is>
          <t>cum</t>
        </is>
      </c>
      <c r="D599" s="15" t="n">
        <v>0.018</v>
      </c>
      <c r="E599" s="16" t="n">
        <v>4664.55</v>
      </c>
      <c r="F599" s="16">
        <f>D599*E599</f>
        <v/>
      </c>
    </row>
    <row r="600">
      <c r="A600" s="13" t="inlineStr">
        <is>
          <t>2216</t>
        </is>
      </c>
      <c r="B600" s="14" t="inlineStr">
        <is>
          <t>Carriage of Stone blocks white &amp; red sand stone &amp; kota stone slab</t>
        </is>
      </c>
      <c r="C600" s="13" t="inlineStr">
        <is>
          <t>tonne</t>
        </is>
      </c>
      <c r="D600" s="15" t="n">
        <v>0.184</v>
      </c>
      <c r="E600" s="16" t="n">
        <v>92.23999999999999</v>
      </c>
      <c r="F600" s="16">
        <f>D600*E600</f>
        <v/>
      </c>
    </row>
    <row r="601">
      <c r="A601" s="13" t="inlineStr">
        <is>
          <t>9999</t>
        </is>
      </c>
      <c r="B601" s="14" t="inlineStr">
        <is>
          <t>Extra for using white cement</t>
        </is>
      </c>
      <c r="C601" s="13" t="inlineStr">
        <is>
          <t>L.S.</t>
        </is>
      </c>
      <c r="D601" s="15" t="n">
        <v>26.91</v>
      </c>
      <c r="E601" s="16" t="n">
        <v>2</v>
      </c>
      <c r="F601" s="16">
        <f>D601*E601</f>
        <v/>
      </c>
    </row>
    <row r="602">
      <c r="A602" s="13" t="inlineStr">
        <is>
          <t>0125</t>
        </is>
      </c>
      <c r="B602" s="14" t="inlineStr">
        <is>
          <t>Mason (for plain stone work) 2nd class)</t>
        </is>
      </c>
      <c r="C602" s="13" t="inlineStr">
        <is>
          <t>day</t>
        </is>
      </c>
      <c r="D602" s="15" t="n">
        <v>2.7</v>
      </c>
      <c r="E602" s="16" t="n">
        <v>679</v>
      </c>
      <c r="F602" s="16">
        <f>D602*E602</f>
        <v/>
      </c>
    </row>
    <row r="603">
      <c r="A603" s="13" t="inlineStr">
        <is>
          <t>0102</t>
        </is>
      </c>
      <c r="B603" s="14" t="inlineStr">
        <is>
          <t>Blacksmith 1st class</t>
        </is>
      </c>
      <c r="C603" s="13" t="inlineStr">
        <is>
          <t>day</t>
        </is>
      </c>
      <c r="D603" s="15" t="n">
        <v>0.064</v>
      </c>
      <c r="E603" s="16" t="n">
        <v>738</v>
      </c>
      <c r="F603" s="16">
        <f>D603*E603</f>
        <v/>
      </c>
    </row>
    <row r="604">
      <c r="A604" s="13" t="inlineStr">
        <is>
          <t>0114</t>
        </is>
      </c>
      <c r="B604" s="14" t="inlineStr">
        <is>
          <t>Beldar</t>
        </is>
      </c>
      <c r="C604" s="13" t="inlineStr">
        <is>
          <t>day</t>
        </is>
      </c>
      <c r="D604" s="15" t="n">
        <v>0.448</v>
      </c>
      <c r="E604" s="16" t="n">
        <v>558</v>
      </c>
      <c r="F604" s="16">
        <f>D604*E604</f>
        <v/>
      </c>
    </row>
    <row r="605">
      <c r="A605" s="13" t="inlineStr">
        <is>
          <t>0115</t>
        </is>
      </c>
      <c r="B605" s="14" t="inlineStr">
        <is>
          <t>Coolie</t>
        </is>
      </c>
      <c r="C605" s="13" t="inlineStr">
        <is>
          <t>day</t>
        </is>
      </c>
      <c r="D605" s="15" t="n">
        <v>0.224</v>
      </c>
      <c r="E605" s="16" t="n">
        <v>558</v>
      </c>
      <c r="F605" s="16">
        <f>D605*E605</f>
        <v/>
      </c>
    </row>
    <row r="606">
      <c r="A606" s="13" t="inlineStr">
        <is>
          <t>0100</t>
        </is>
      </c>
      <c r="B606" s="14" t="inlineStr">
        <is>
          <t>Bandhani</t>
        </is>
      </c>
      <c r="C606" s="13" t="inlineStr">
        <is>
          <t>day</t>
        </is>
      </c>
      <c r="D606" s="15" t="n">
        <v>0.448</v>
      </c>
      <c r="E606" s="16" t="n">
        <v>617</v>
      </c>
      <c r="F606" s="16">
        <f>D606*E606</f>
        <v/>
      </c>
    </row>
    <row r="607">
      <c r="A607" s="13" t="inlineStr">
        <is>
          <t>0125</t>
        </is>
      </c>
      <c r="B607" s="14" t="inlineStr">
        <is>
          <t>Mason (for plain stone work) 2nd class)</t>
        </is>
      </c>
      <c r="C607" s="13" t="inlineStr">
        <is>
          <t>day</t>
        </is>
      </c>
      <c r="D607" s="15" t="n">
        <v>0.448</v>
      </c>
      <c r="E607" s="16" t="n">
        <v>679</v>
      </c>
      <c r="F607" s="16">
        <f>D607*E607</f>
        <v/>
      </c>
    </row>
    <row r="608">
      <c r="A608" s="13" t="inlineStr">
        <is>
          <t>0100</t>
        </is>
      </c>
      <c r="B608" s="14" t="inlineStr">
        <is>
          <t>Bandhani</t>
        </is>
      </c>
      <c r="C608" s="13" t="inlineStr">
        <is>
          <t>day</t>
        </is>
      </c>
      <c r="D608" s="15" t="n">
        <v>0.336</v>
      </c>
      <c r="E608" s="16" t="n">
        <v>617</v>
      </c>
      <c r="F608" s="16">
        <f>D608*E608</f>
        <v/>
      </c>
    </row>
    <row r="609">
      <c r="A609" s="13" t="inlineStr">
        <is>
          <t>0114</t>
        </is>
      </c>
      <c r="B609" s="14" t="inlineStr">
        <is>
          <t>Beldar</t>
        </is>
      </c>
      <c r="C609" s="13" t="inlineStr">
        <is>
          <t>day</t>
        </is>
      </c>
      <c r="D609" s="15" t="n">
        <v>0.336</v>
      </c>
      <c r="E609" s="16" t="n">
        <v>558</v>
      </c>
      <c r="F609" s="16">
        <f>D609*E609</f>
        <v/>
      </c>
    </row>
    <row r="610">
      <c r="A610" s="13" t="inlineStr">
        <is>
          <t>0115</t>
        </is>
      </c>
      <c r="B610" s="14" t="inlineStr">
        <is>
          <t>Coolie</t>
        </is>
      </c>
      <c r="C610" s="13" t="inlineStr">
        <is>
          <t>day</t>
        </is>
      </c>
      <c r="D610" s="15" t="n">
        <v>0.336</v>
      </c>
      <c r="E610" s="16" t="n">
        <v>558</v>
      </c>
      <c r="F610" s="16">
        <f>D610*E610</f>
        <v/>
      </c>
    </row>
    <row r="611">
      <c r="A611" s="13" t="inlineStr">
        <is>
          <t>0101</t>
        </is>
      </c>
      <c r="B611" s="14" t="inlineStr">
        <is>
          <t>Bhisti</t>
        </is>
      </c>
      <c r="C611" s="13" t="inlineStr">
        <is>
          <t>day</t>
        </is>
      </c>
      <c r="D611" s="15" t="n">
        <v>0.336</v>
      </c>
      <c r="E611" s="16" t="n">
        <v>617</v>
      </c>
      <c r="F611" s="16">
        <f>D611*E611</f>
        <v/>
      </c>
    </row>
    <row r="612">
      <c r="A612" s="13" t="inlineStr">
        <is>
          <t>1237</t>
        </is>
      </c>
      <c r="B612" s="14" t="inlineStr">
        <is>
          <t>Cutting marble or sand stone slab upto 50 mm thick by mechanical device</t>
        </is>
      </c>
      <c r="C612" s="13" t="inlineStr">
        <is>
          <t>metre</t>
        </is>
      </c>
      <c r="D612" s="15" t="n">
        <v>4</v>
      </c>
      <c r="E612" s="16" t="n">
        <v>10</v>
      </c>
      <c r="F612" s="16">
        <f>D612*E612</f>
        <v/>
      </c>
    </row>
    <row r="613">
      <c r="A613" s="13" t="inlineStr">
        <is>
          <t>9999</t>
        </is>
      </c>
      <c r="B613" s="14" t="inlineStr">
        <is>
          <t>Scaffolding</t>
        </is>
      </c>
      <c r="C613" s="13" t="inlineStr">
        <is>
          <t>L.S.</t>
        </is>
      </c>
      <c r="D613" s="15" t="n">
        <v>19.76</v>
      </c>
      <c r="E613" s="16" t="n">
        <v>2</v>
      </c>
      <c r="F613" s="16">
        <f>D613*E613</f>
        <v/>
      </c>
    </row>
    <row r="614">
      <c r="A614" s="17" t="inlineStr">
        <is>
          <t>Resource Total (Material + Labour + Machinery, as printed)</t>
        </is>
      </c>
      <c r="B614" s="18" t="n"/>
      <c r="C614" s="18" t="n"/>
      <c r="D614" s="18" t="n"/>
      <c r="E614" s="18" t="n"/>
      <c r="F614" s="19">
        <f>SUM(F599:F613)</f>
        <v/>
      </c>
    </row>
    <row r="615">
      <c r="A615" s="20" t="inlineStr">
        <is>
          <t>SAY (Rs.) — final DAR rate</t>
        </is>
      </c>
      <c r="B615" s="21" t="n"/>
      <c r="C615" s="21" t="n"/>
      <c r="D615" s="21" t="n"/>
      <c r="E615" s="21" t="n"/>
      <c r="F615" s="22" t="n">
        <v>7358.65</v>
      </c>
    </row>
    <row r="617" ht="18" customHeight="1">
      <c r="A617" s="9" t="inlineStr">
        <is>
          <t>8.14.4.3</t>
        </is>
      </c>
      <c r="B617" s="10" t="inlineStr">
        <is>
          <t>50 mm thick</t>
        </is>
      </c>
      <c r="C617" s="11" t="n"/>
      <c r="D617" s="11" t="n"/>
      <c r="E617" s="11" t="n"/>
      <c r="F617" s="11" t="n"/>
    </row>
    <row r="618">
      <c r="A618" s="12" t="inlineStr">
        <is>
          <t>Rate basis: per sqm  (source: cost for 1 sqm)</t>
        </is>
      </c>
    </row>
    <row r="619">
      <c r="A619" s="5" t="inlineStr">
        <is>
          <t>Code</t>
        </is>
      </c>
      <c r="B619" s="5" t="inlineStr">
        <is>
          <t>Description</t>
        </is>
      </c>
      <c r="C619" s="5" t="inlineStr">
        <is>
          <t>Unit</t>
        </is>
      </c>
      <c r="D619" s="5" t="inlineStr">
        <is>
          <t>Quantity</t>
        </is>
      </c>
      <c r="E619" s="5" t="inlineStr">
        <is>
          <t>Rate (Rs.)</t>
        </is>
      </c>
      <c r="F619" s="5" t="inlineStr">
        <is>
          <t>Amount (Rs.)</t>
        </is>
      </c>
    </row>
    <row r="620">
      <c r="A620" s="13" t="inlineStr">
        <is>
          <t>3.8</t>
        </is>
      </c>
      <c r="B620" s="14" t="inlineStr">
        <is>
          <t>Rate as per SH: 3.8</t>
        </is>
      </c>
      <c r="C620" s="13" t="inlineStr">
        <is>
          <t>cum</t>
        </is>
      </c>
      <c r="D620" s="15" t="n">
        <v>0.018</v>
      </c>
      <c r="E620" s="16" t="n">
        <v>4664.55</v>
      </c>
      <c r="F620" s="16">
        <f>D620*E620</f>
        <v/>
      </c>
    </row>
    <row r="621">
      <c r="A621" s="13" t="inlineStr">
        <is>
          <t>2216</t>
        </is>
      </c>
      <c r="B621" s="14" t="inlineStr">
        <is>
          <t>Carriage of Stone blocks white &amp; red sand stone &amp; kota stone slab</t>
        </is>
      </c>
      <c r="C621" s="13" t="inlineStr">
        <is>
          <t>tonne</t>
        </is>
      </c>
      <c r="D621" s="15" t="n">
        <v>0.153</v>
      </c>
      <c r="E621" s="16" t="n">
        <v>92.23999999999999</v>
      </c>
      <c r="F621" s="16">
        <f>D621*E621</f>
        <v/>
      </c>
    </row>
    <row r="622">
      <c r="A622" s="13" t="inlineStr">
        <is>
          <t>9999</t>
        </is>
      </c>
      <c r="B622" s="14" t="inlineStr">
        <is>
          <t>Extra for using white cement</t>
        </is>
      </c>
      <c r="C622" s="13" t="inlineStr">
        <is>
          <t>L.S.</t>
        </is>
      </c>
      <c r="D622" s="15" t="n">
        <v>26.91</v>
      </c>
      <c r="E622" s="16" t="n">
        <v>2</v>
      </c>
      <c r="F622" s="16">
        <f>D622*E622</f>
        <v/>
      </c>
    </row>
    <row r="623">
      <c r="A623" s="13" t="inlineStr">
        <is>
          <t>0125</t>
        </is>
      </c>
      <c r="B623" s="14" t="inlineStr">
        <is>
          <t>Mason (for plain stone work) 2nd class)</t>
        </is>
      </c>
      <c r="C623" s="13" t="inlineStr">
        <is>
          <t>day</t>
        </is>
      </c>
      <c r="D623" s="15" t="n">
        <v>2.7</v>
      </c>
      <c r="E623" s="16" t="n">
        <v>679</v>
      </c>
      <c r="F623" s="16">
        <f>D623*E623</f>
        <v/>
      </c>
    </row>
    <row r="624">
      <c r="A624" s="13" t="inlineStr">
        <is>
          <t>0102</t>
        </is>
      </c>
      <c r="B624" s="14" t="inlineStr">
        <is>
          <t>Blacksmith 1st class</t>
        </is>
      </c>
      <c r="C624" s="13" t="inlineStr">
        <is>
          <t>day</t>
        </is>
      </c>
      <c r="D624" s="15" t="n">
        <v>0.064</v>
      </c>
      <c r="E624" s="16" t="n">
        <v>738</v>
      </c>
      <c r="F624" s="16">
        <f>D624*E624</f>
        <v/>
      </c>
    </row>
    <row r="625">
      <c r="A625" s="13" t="inlineStr">
        <is>
          <t>0114</t>
        </is>
      </c>
      <c r="B625" s="14" t="inlineStr">
        <is>
          <t>Beldar</t>
        </is>
      </c>
      <c r="C625" s="13" t="inlineStr">
        <is>
          <t>day</t>
        </is>
      </c>
      <c r="D625" s="15" t="n">
        <v>0.448</v>
      </c>
      <c r="E625" s="16" t="n">
        <v>558</v>
      </c>
      <c r="F625" s="16">
        <f>D625*E625</f>
        <v/>
      </c>
    </row>
    <row r="626">
      <c r="A626" s="13" t="inlineStr">
        <is>
          <t>0115</t>
        </is>
      </c>
      <c r="B626" s="14" t="inlineStr">
        <is>
          <t>Coolie</t>
        </is>
      </c>
      <c r="C626" s="13" t="inlineStr">
        <is>
          <t>day</t>
        </is>
      </c>
      <c r="D626" s="15" t="n">
        <v>0.224</v>
      </c>
      <c r="E626" s="16" t="n">
        <v>558</v>
      </c>
      <c r="F626" s="16">
        <f>D626*E626</f>
        <v/>
      </c>
    </row>
    <row r="627">
      <c r="A627" s="13" t="inlineStr">
        <is>
          <t>0100</t>
        </is>
      </c>
      <c r="B627" s="14" t="inlineStr">
        <is>
          <t>Bandhani</t>
        </is>
      </c>
      <c r="C627" s="13" t="inlineStr">
        <is>
          <t>day</t>
        </is>
      </c>
      <c r="D627" s="15" t="n">
        <v>0.448</v>
      </c>
      <c r="E627" s="16" t="n">
        <v>617</v>
      </c>
      <c r="F627" s="16">
        <f>D627*E627</f>
        <v/>
      </c>
    </row>
    <row r="628">
      <c r="A628" s="13" t="inlineStr">
        <is>
          <t>0125</t>
        </is>
      </c>
      <c r="B628" s="14" t="inlineStr">
        <is>
          <t>Mason (for plain stone work) 2nd class)</t>
        </is>
      </c>
      <c r="C628" s="13" t="inlineStr">
        <is>
          <t>day</t>
        </is>
      </c>
      <c r="D628" s="15" t="n">
        <v>0.448</v>
      </c>
      <c r="E628" s="16" t="n">
        <v>679</v>
      </c>
      <c r="F628" s="16">
        <f>D628*E628</f>
        <v/>
      </c>
    </row>
    <row r="629">
      <c r="A629" s="13" t="inlineStr">
        <is>
          <t>0100</t>
        </is>
      </c>
      <c r="B629" s="14" t="inlineStr">
        <is>
          <t>Bandhani</t>
        </is>
      </c>
      <c r="C629" s="13" t="inlineStr">
        <is>
          <t>day</t>
        </is>
      </c>
      <c r="D629" s="15" t="n">
        <v>0.336</v>
      </c>
      <c r="E629" s="16" t="n">
        <v>617</v>
      </c>
      <c r="F629" s="16">
        <f>D629*E629</f>
        <v/>
      </c>
    </row>
    <row r="630">
      <c r="A630" s="13" t="inlineStr">
        <is>
          <t>0114</t>
        </is>
      </c>
      <c r="B630" s="14" t="inlineStr">
        <is>
          <t>Beldar</t>
        </is>
      </c>
      <c r="C630" s="13" t="inlineStr">
        <is>
          <t>day</t>
        </is>
      </c>
      <c r="D630" s="15" t="n">
        <v>0.336</v>
      </c>
      <c r="E630" s="16" t="n">
        <v>558</v>
      </c>
      <c r="F630" s="16">
        <f>D630*E630</f>
        <v/>
      </c>
    </row>
    <row r="631">
      <c r="A631" s="13" t="inlineStr">
        <is>
          <t>0115</t>
        </is>
      </c>
      <c r="B631" s="14" t="inlineStr">
        <is>
          <t>Coolie</t>
        </is>
      </c>
      <c r="C631" s="13" t="inlineStr">
        <is>
          <t>day</t>
        </is>
      </c>
      <c r="D631" s="15" t="n">
        <v>0.336</v>
      </c>
      <c r="E631" s="16" t="n">
        <v>558</v>
      </c>
      <c r="F631" s="16">
        <f>D631*E631</f>
        <v/>
      </c>
    </row>
    <row r="632">
      <c r="A632" s="13" t="inlineStr">
        <is>
          <t>0101</t>
        </is>
      </c>
      <c r="B632" s="14" t="inlineStr">
        <is>
          <t>Bhisti</t>
        </is>
      </c>
      <c r="C632" s="13" t="inlineStr">
        <is>
          <t>day</t>
        </is>
      </c>
      <c r="D632" s="15" t="n">
        <v>0.336</v>
      </c>
      <c r="E632" s="16" t="n">
        <v>617</v>
      </c>
      <c r="F632" s="16">
        <f>D632*E632</f>
        <v/>
      </c>
    </row>
    <row r="633">
      <c r="A633" s="13" t="inlineStr">
        <is>
          <t>1237</t>
        </is>
      </c>
      <c r="B633" s="14" t="inlineStr">
        <is>
          <t>Cutting marble or sand stone slab upto 50 mm thick by mechanical device</t>
        </is>
      </c>
      <c r="C633" s="13" t="inlineStr">
        <is>
          <t>metre</t>
        </is>
      </c>
      <c r="D633" s="15" t="n">
        <v>4</v>
      </c>
      <c r="E633" s="16" t="n">
        <v>10</v>
      </c>
      <c r="F633" s="16">
        <f>D633*E633</f>
        <v/>
      </c>
    </row>
    <row r="634">
      <c r="A634" s="13" t="inlineStr">
        <is>
          <t>9999</t>
        </is>
      </c>
      <c r="B634" s="14" t="inlineStr">
        <is>
          <t>Scaffolding</t>
        </is>
      </c>
      <c r="C634" s="13" t="inlineStr">
        <is>
          <t>L.S.</t>
        </is>
      </c>
      <c r="D634" s="15" t="n">
        <v>19.76</v>
      </c>
      <c r="E634" s="16" t="n">
        <v>2</v>
      </c>
      <c r="F634" s="16">
        <f>D634*E634</f>
        <v/>
      </c>
    </row>
    <row r="635">
      <c r="A635" s="17" t="inlineStr">
        <is>
          <t>Resource Total (Material + Labour + Machinery, as printed)</t>
        </is>
      </c>
      <c r="B635" s="18" t="n"/>
      <c r="C635" s="18" t="n"/>
      <c r="D635" s="18" t="n"/>
      <c r="E635" s="18" t="n"/>
      <c r="F635" s="19">
        <f>SUM(F620:F634)</f>
        <v/>
      </c>
    </row>
    <row r="636">
      <c r="A636" s="20" t="inlineStr">
        <is>
          <t>SAY (Rs.) — final DAR rate</t>
        </is>
      </c>
      <c r="B636" s="21" t="n"/>
      <c r="C636" s="21" t="n"/>
      <c r="D636" s="21" t="n"/>
      <c r="E636" s="21" t="n"/>
      <c r="F636" s="22" t="n">
        <v>6990.05</v>
      </c>
    </row>
    <row r="638" ht="18" customHeight="1">
      <c r="A638" s="9" t="inlineStr">
        <is>
          <t>8.14.4.4</t>
        </is>
      </c>
      <c r="B638" s="10" t="inlineStr">
        <is>
          <t>40 mm thick</t>
        </is>
      </c>
      <c r="C638" s="11" t="n"/>
      <c r="D638" s="11" t="n"/>
      <c r="E638" s="11" t="n"/>
      <c r="F638" s="11" t="n"/>
    </row>
    <row r="639">
      <c r="A639" s="12" t="inlineStr">
        <is>
          <t>Rate basis: per sqm  (source: cost for 1 sqm)</t>
        </is>
      </c>
    </row>
    <row r="640">
      <c r="A640" s="5" t="inlineStr">
        <is>
          <t>Code</t>
        </is>
      </c>
      <c r="B640" s="5" t="inlineStr">
        <is>
          <t>Description</t>
        </is>
      </c>
      <c r="C640" s="5" t="inlineStr">
        <is>
          <t>Unit</t>
        </is>
      </c>
      <c r="D640" s="5" t="inlineStr">
        <is>
          <t>Quantity</t>
        </is>
      </c>
      <c r="E640" s="5" t="inlineStr">
        <is>
          <t>Rate (Rs.)</t>
        </is>
      </c>
      <c r="F640" s="5" t="inlineStr">
        <is>
          <t>Amount (Rs.)</t>
        </is>
      </c>
    </row>
    <row r="641">
      <c r="A641" s="13" t="inlineStr">
        <is>
          <t>3.8</t>
        </is>
      </c>
      <c r="B641" s="14" t="inlineStr">
        <is>
          <t>Rate as per SH: 3.8</t>
        </is>
      </c>
      <c r="C641" s="13" t="inlineStr">
        <is>
          <t>cum</t>
        </is>
      </c>
      <c r="D641" s="15" t="n">
        <v>0.018</v>
      </c>
      <c r="E641" s="16" t="n">
        <v>4664.55</v>
      </c>
      <c r="F641" s="16">
        <f>D641*E641</f>
        <v/>
      </c>
    </row>
    <row r="642">
      <c r="A642" s="13" t="inlineStr">
        <is>
          <t>2216</t>
        </is>
      </c>
      <c r="B642" s="14" t="inlineStr">
        <is>
          <t>Carriage of Stone blocks white &amp; red sand stone &amp; kota stone slab</t>
        </is>
      </c>
      <c r="C642" s="13" t="inlineStr">
        <is>
          <t>tonne</t>
        </is>
      </c>
      <c r="D642" s="15" t="n">
        <v>0.123</v>
      </c>
      <c r="E642" s="16" t="n">
        <v>92.23999999999999</v>
      </c>
      <c r="F642" s="16">
        <f>D642*E642</f>
        <v/>
      </c>
    </row>
    <row r="643">
      <c r="A643" s="13" t="inlineStr">
        <is>
          <t>9999</t>
        </is>
      </c>
      <c r="B643" s="14" t="inlineStr">
        <is>
          <t>Extra for using white cement</t>
        </is>
      </c>
      <c r="C643" s="13" t="inlineStr">
        <is>
          <t>L.S.</t>
        </is>
      </c>
      <c r="D643" s="15" t="n">
        <v>26.91</v>
      </c>
      <c r="E643" s="16" t="n">
        <v>2</v>
      </c>
      <c r="F643" s="16">
        <f>D643*E643</f>
        <v/>
      </c>
    </row>
    <row r="644">
      <c r="A644" s="13" t="inlineStr">
        <is>
          <t>0125</t>
        </is>
      </c>
      <c r="B644" s="14" t="inlineStr">
        <is>
          <t>Mason (for plain stone work) 2nd class)</t>
        </is>
      </c>
      <c r="C644" s="13" t="inlineStr">
        <is>
          <t>day</t>
        </is>
      </c>
      <c r="D644" s="15" t="n">
        <v>2.7</v>
      </c>
      <c r="E644" s="16" t="n">
        <v>679</v>
      </c>
      <c r="F644" s="16">
        <f>D644*E644</f>
        <v/>
      </c>
    </row>
    <row r="645">
      <c r="A645" s="13" t="inlineStr">
        <is>
          <t>0102</t>
        </is>
      </c>
      <c r="B645" s="14" t="inlineStr">
        <is>
          <t>Blacksmith 1st class</t>
        </is>
      </c>
      <c r="C645" s="13" t="inlineStr">
        <is>
          <t>day</t>
        </is>
      </c>
      <c r="D645" s="15" t="n">
        <v>0.064</v>
      </c>
      <c r="E645" s="16" t="n">
        <v>738</v>
      </c>
      <c r="F645" s="16">
        <f>D645*E645</f>
        <v/>
      </c>
    </row>
    <row r="646">
      <c r="A646" s="13" t="inlineStr">
        <is>
          <t>0114</t>
        </is>
      </c>
      <c r="B646" s="14" t="inlineStr">
        <is>
          <t>Beldar</t>
        </is>
      </c>
      <c r="C646" s="13" t="inlineStr">
        <is>
          <t>day</t>
        </is>
      </c>
      <c r="D646" s="15" t="n">
        <v>0.448</v>
      </c>
      <c r="E646" s="16" t="n">
        <v>558</v>
      </c>
      <c r="F646" s="16">
        <f>D646*E646</f>
        <v/>
      </c>
    </row>
    <row r="647">
      <c r="A647" s="13" t="inlineStr">
        <is>
          <t>0115</t>
        </is>
      </c>
      <c r="B647" s="14" t="inlineStr">
        <is>
          <t>Coolie</t>
        </is>
      </c>
      <c r="C647" s="13" t="inlineStr">
        <is>
          <t>day</t>
        </is>
      </c>
      <c r="D647" s="15" t="n">
        <v>0.224</v>
      </c>
      <c r="E647" s="16" t="n">
        <v>558</v>
      </c>
      <c r="F647" s="16">
        <f>D647*E647</f>
        <v/>
      </c>
    </row>
    <row r="648">
      <c r="A648" s="13" t="inlineStr">
        <is>
          <t>0100</t>
        </is>
      </c>
      <c r="B648" s="14" t="inlineStr">
        <is>
          <t>Bandhani</t>
        </is>
      </c>
      <c r="C648" s="13" t="inlineStr">
        <is>
          <t>day</t>
        </is>
      </c>
      <c r="D648" s="15" t="n">
        <v>0.448</v>
      </c>
      <c r="E648" s="16" t="n">
        <v>617</v>
      </c>
      <c r="F648" s="16">
        <f>D648*E648</f>
        <v/>
      </c>
    </row>
    <row r="649">
      <c r="A649" s="13" t="inlineStr">
        <is>
          <t>0125</t>
        </is>
      </c>
      <c r="B649" s="14" t="inlineStr">
        <is>
          <t>Mason (for plain stone work) 2nd class)</t>
        </is>
      </c>
      <c r="C649" s="13" t="inlineStr">
        <is>
          <t>day</t>
        </is>
      </c>
      <c r="D649" s="15" t="n">
        <v>0.448</v>
      </c>
      <c r="E649" s="16" t="n">
        <v>679</v>
      </c>
      <c r="F649" s="16">
        <f>D649*E649</f>
        <v/>
      </c>
    </row>
    <row r="650">
      <c r="A650" s="13" t="inlineStr">
        <is>
          <t>0100</t>
        </is>
      </c>
      <c r="B650" s="14" t="inlineStr">
        <is>
          <t>Bandhani</t>
        </is>
      </c>
      <c r="C650" s="13" t="inlineStr">
        <is>
          <t>day</t>
        </is>
      </c>
      <c r="D650" s="15" t="n">
        <v>0.336</v>
      </c>
      <c r="E650" s="16" t="n">
        <v>617</v>
      </c>
      <c r="F650" s="16">
        <f>D650*E650</f>
        <v/>
      </c>
    </row>
    <row r="651">
      <c r="A651" s="13" t="inlineStr">
        <is>
          <t>0114</t>
        </is>
      </c>
      <c r="B651" s="14" t="inlineStr">
        <is>
          <t>Beldar</t>
        </is>
      </c>
      <c r="C651" s="13" t="inlineStr">
        <is>
          <t>day</t>
        </is>
      </c>
      <c r="D651" s="15" t="n">
        <v>0.336</v>
      </c>
      <c r="E651" s="16" t="n">
        <v>558</v>
      </c>
      <c r="F651" s="16">
        <f>D651*E651</f>
        <v/>
      </c>
    </row>
    <row r="652">
      <c r="A652" s="13" t="inlineStr">
        <is>
          <t>0115</t>
        </is>
      </c>
      <c r="B652" s="14" t="inlineStr">
        <is>
          <t>Coolie</t>
        </is>
      </c>
      <c r="C652" s="13" t="inlineStr">
        <is>
          <t>day</t>
        </is>
      </c>
      <c r="D652" s="15" t="n">
        <v>0.336</v>
      </c>
      <c r="E652" s="16" t="n">
        <v>558</v>
      </c>
      <c r="F652" s="16">
        <f>D652*E652</f>
        <v/>
      </c>
    </row>
    <row r="653">
      <c r="A653" s="13" t="inlineStr">
        <is>
          <t>0101</t>
        </is>
      </c>
      <c r="B653" s="14" t="inlineStr">
        <is>
          <t>Bhisti</t>
        </is>
      </c>
      <c r="C653" s="13" t="inlineStr">
        <is>
          <t>day</t>
        </is>
      </c>
      <c r="D653" s="15" t="n">
        <v>0.336</v>
      </c>
      <c r="E653" s="16" t="n">
        <v>617</v>
      </c>
      <c r="F653" s="16">
        <f>D653*E653</f>
        <v/>
      </c>
    </row>
    <row r="654">
      <c r="A654" s="13" t="inlineStr">
        <is>
          <t>1237</t>
        </is>
      </c>
      <c r="B654" s="14" t="inlineStr">
        <is>
          <t>Cutting marble or sand stone slab upto 50 mm thick by mechanical device</t>
        </is>
      </c>
      <c r="C654" s="13" t="inlineStr">
        <is>
          <t>metre</t>
        </is>
      </c>
      <c r="D654" s="15" t="n">
        <v>4</v>
      </c>
      <c r="E654" s="16" t="n">
        <v>10</v>
      </c>
      <c r="F654" s="16">
        <f>D654*E654</f>
        <v/>
      </c>
    </row>
    <row r="655">
      <c r="A655" s="13" t="inlineStr">
        <is>
          <t>9999</t>
        </is>
      </c>
      <c r="B655" s="14" t="inlineStr">
        <is>
          <t>Scaffolding</t>
        </is>
      </c>
      <c r="C655" s="13" t="inlineStr">
        <is>
          <t>L.S.</t>
        </is>
      </c>
      <c r="D655" s="15" t="n">
        <v>19.76</v>
      </c>
      <c r="E655" s="16" t="n">
        <v>2</v>
      </c>
      <c r="F655" s="16">
        <f>D655*E655</f>
        <v/>
      </c>
    </row>
    <row r="656">
      <c r="A656" s="17" t="inlineStr">
        <is>
          <t>Resource Total (Material + Labour + Machinery, as printed)</t>
        </is>
      </c>
      <c r="B656" s="18" t="n"/>
      <c r="C656" s="18" t="n"/>
      <c r="D656" s="18" t="n"/>
      <c r="E656" s="18" t="n"/>
      <c r="F656" s="19">
        <f>SUM(F641:F655)</f>
        <v/>
      </c>
    </row>
    <row r="657">
      <c r="A657" s="20" t="inlineStr">
        <is>
          <t>SAY (Rs.) — final DAR rate</t>
        </is>
      </c>
      <c r="B657" s="21" t="n"/>
      <c r="C657" s="21" t="n"/>
      <c r="D657" s="21" t="n"/>
      <c r="E657" s="21" t="n"/>
      <c r="F657" s="22" t="n">
        <v>6618.8</v>
      </c>
    </row>
    <row r="659" ht="18" customHeight="1">
      <c r="A659" s="9" t="inlineStr">
        <is>
          <t>8.14.4.5</t>
        </is>
      </c>
      <c r="B659" s="10" t="inlineStr">
        <is>
          <t>30 mm thick</t>
        </is>
      </c>
      <c r="C659" s="11" t="n"/>
      <c r="D659" s="11" t="n"/>
      <c r="E659" s="11" t="n"/>
      <c r="F659" s="11" t="n"/>
    </row>
    <row r="660">
      <c r="A660" s="12" t="inlineStr">
        <is>
          <t>Rate basis: per sqm  (source: cost for 1 sqm)</t>
        </is>
      </c>
    </row>
    <row r="661">
      <c r="A661" s="5" t="inlineStr">
        <is>
          <t>Code</t>
        </is>
      </c>
      <c r="B661" s="5" t="inlineStr">
        <is>
          <t>Description</t>
        </is>
      </c>
      <c r="C661" s="5" t="inlineStr">
        <is>
          <t>Unit</t>
        </is>
      </c>
      <c r="D661" s="5" t="inlineStr">
        <is>
          <t>Quantity</t>
        </is>
      </c>
      <c r="E661" s="5" t="inlineStr">
        <is>
          <t>Rate (Rs.)</t>
        </is>
      </c>
      <c r="F661" s="5" t="inlineStr">
        <is>
          <t>Amount (Rs.)</t>
        </is>
      </c>
    </row>
    <row r="662">
      <c r="A662" s="13" t="inlineStr">
        <is>
          <t>3.8</t>
        </is>
      </c>
      <c r="B662" s="14" t="inlineStr">
        <is>
          <t>Rate as per SH: 3.8</t>
        </is>
      </c>
      <c r="C662" s="13" t="inlineStr">
        <is>
          <t>cum</t>
        </is>
      </c>
      <c r="D662" s="15" t="n">
        <v>0.018</v>
      </c>
      <c r="E662" s="16" t="n">
        <v>4664.55</v>
      </c>
      <c r="F662" s="16">
        <f>D662*E662</f>
        <v/>
      </c>
    </row>
    <row r="663">
      <c r="A663" s="13" t="inlineStr">
        <is>
          <t>2216</t>
        </is>
      </c>
      <c r="B663" s="14" t="inlineStr">
        <is>
          <t>Carriage of Stone blocks white &amp; red sand stone &amp; kota stone slab</t>
        </is>
      </c>
      <c r="C663" s="13" t="inlineStr">
        <is>
          <t>tonne</t>
        </is>
      </c>
      <c r="D663" s="15" t="n">
        <v>0.092</v>
      </c>
      <c r="E663" s="16" t="n">
        <v>92.23999999999999</v>
      </c>
      <c r="F663" s="16">
        <f>D663*E663</f>
        <v/>
      </c>
    </row>
    <row r="664">
      <c r="A664" s="13" t="inlineStr">
        <is>
          <t>9999</t>
        </is>
      </c>
      <c r="B664" s="14" t="inlineStr">
        <is>
          <t>Extra for using white cement</t>
        </is>
      </c>
      <c r="C664" s="13" t="inlineStr">
        <is>
          <t>L.S.</t>
        </is>
      </c>
      <c r="D664" s="15" t="n">
        <v>26.91</v>
      </c>
      <c r="E664" s="16" t="n">
        <v>2</v>
      </c>
      <c r="F664" s="16">
        <f>D664*E664</f>
        <v/>
      </c>
    </row>
    <row r="665">
      <c r="A665" s="13" t="inlineStr">
        <is>
          <t>0125</t>
        </is>
      </c>
      <c r="B665" s="14" t="inlineStr">
        <is>
          <t>Mason (for plain stone work) 2nd class)</t>
        </is>
      </c>
      <c r="C665" s="13" t="inlineStr">
        <is>
          <t>day</t>
        </is>
      </c>
      <c r="D665" s="15" t="n">
        <v>2.7</v>
      </c>
      <c r="E665" s="16" t="n">
        <v>679</v>
      </c>
      <c r="F665" s="16">
        <f>D665*E665</f>
        <v/>
      </c>
    </row>
    <row r="666">
      <c r="A666" s="13" t="inlineStr">
        <is>
          <t>0102</t>
        </is>
      </c>
      <c r="B666" s="14" t="inlineStr">
        <is>
          <t>Blacksmith 1st class</t>
        </is>
      </c>
      <c r="C666" s="13" t="inlineStr">
        <is>
          <t>day</t>
        </is>
      </c>
      <c r="D666" s="15" t="n">
        <v>0.064</v>
      </c>
      <c r="E666" s="16" t="n">
        <v>738</v>
      </c>
      <c r="F666" s="16">
        <f>D666*E666</f>
        <v/>
      </c>
    </row>
    <row r="667">
      <c r="A667" s="13" t="inlineStr">
        <is>
          <t>0114</t>
        </is>
      </c>
      <c r="B667" s="14" t="inlineStr">
        <is>
          <t>Beldar</t>
        </is>
      </c>
      <c r="C667" s="13" t="inlineStr">
        <is>
          <t>day</t>
        </is>
      </c>
      <c r="D667" s="15" t="n">
        <v>0.448</v>
      </c>
      <c r="E667" s="16" t="n">
        <v>558</v>
      </c>
      <c r="F667" s="16">
        <f>D667*E667</f>
        <v/>
      </c>
    </row>
    <row r="668">
      <c r="A668" s="13" t="inlineStr">
        <is>
          <t>0115</t>
        </is>
      </c>
      <c r="B668" s="14" t="inlineStr">
        <is>
          <t>Coolie</t>
        </is>
      </c>
      <c r="C668" s="13" t="inlineStr">
        <is>
          <t>day</t>
        </is>
      </c>
      <c r="D668" s="15" t="n">
        <v>0.224</v>
      </c>
      <c r="E668" s="16" t="n">
        <v>558</v>
      </c>
      <c r="F668" s="16">
        <f>D668*E668</f>
        <v/>
      </c>
    </row>
    <row r="669">
      <c r="A669" s="13" t="inlineStr">
        <is>
          <t>0100</t>
        </is>
      </c>
      <c r="B669" s="14" t="inlineStr">
        <is>
          <t>Bandhani</t>
        </is>
      </c>
      <c r="C669" s="13" t="inlineStr">
        <is>
          <t>day</t>
        </is>
      </c>
      <c r="D669" s="15" t="n">
        <v>0.448</v>
      </c>
      <c r="E669" s="16" t="n">
        <v>617</v>
      </c>
      <c r="F669" s="16">
        <f>D669*E669</f>
        <v/>
      </c>
    </row>
    <row r="670">
      <c r="A670" s="13" t="inlineStr">
        <is>
          <t>0125</t>
        </is>
      </c>
      <c r="B670" s="14" t="inlineStr">
        <is>
          <t>Mason (for plain stone work) 2nd class)</t>
        </is>
      </c>
      <c r="C670" s="13" t="inlineStr">
        <is>
          <t>day</t>
        </is>
      </c>
      <c r="D670" s="15" t="n">
        <v>0.448</v>
      </c>
      <c r="E670" s="16" t="n">
        <v>679</v>
      </c>
      <c r="F670" s="16">
        <f>D670*E670</f>
        <v/>
      </c>
    </row>
    <row r="671">
      <c r="A671" s="13" t="inlineStr">
        <is>
          <t>0100</t>
        </is>
      </c>
      <c r="B671" s="14" t="inlineStr">
        <is>
          <t>Bandhani</t>
        </is>
      </c>
      <c r="C671" s="13" t="inlineStr">
        <is>
          <t>day</t>
        </is>
      </c>
      <c r="D671" s="15" t="n">
        <v>0.336</v>
      </c>
      <c r="E671" s="16" t="n">
        <v>617</v>
      </c>
      <c r="F671" s="16">
        <f>D671*E671</f>
        <v/>
      </c>
    </row>
    <row r="672">
      <c r="A672" s="13" t="inlineStr">
        <is>
          <t>0114</t>
        </is>
      </c>
      <c r="B672" s="14" t="inlineStr">
        <is>
          <t>Beldar</t>
        </is>
      </c>
      <c r="C672" s="13" t="inlineStr">
        <is>
          <t>day</t>
        </is>
      </c>
      <c r="D672" s="15" t="n">
        <v>0.336</v>
      </c>
      <c r="E672" s="16" t="n">
        <v>558</v>
      </c>
      <c r="F672" s="16">
        <f>D672*E672</f>
        <v/>
      </c>
    </row>
    <row r="673">
      <c r="A673" s="13" t="inlineStr">
        <is>
          <t>0115</t>
        </is>
      </c>
      <c r="B673" s="14" t="inlineStr">
        <is>
          <t>Coolie</t>
        </is>
      </c>
      <c r="C673" s="13" t="inlineStr">
        <is>
          <t>day</t>
        </is>
      </c>
      <c r="D673" s="15" t="n">
        <v>0.336</v>
      </c>
      <c r="E673" s="16" t="n">
        <v>558</v>
      </c>
      <c r="F673" s="16">
        <f>D673*E673</f>
        <v/>
      </c>
    </row>
    <row r="674">
      <c r="A674" s="13" t="inlineStr">
        <is>
          <t>0101</t>
        </is>
      </c>
      <c r="B674" s="14" t="inlineStr">
        <is>
          <t>Bhisti</t>
        </is>
      </c>
      <c r="C674" s="13" t="inlineStr">
        <is>
          <t>day</t>
        </is>
      </c>
      <c r="D674" s="15" t="n">
        <v>0.336</v>
      </c>
      <c r="E674" s="16" t="n">
        <v>617</v>
      </c>
      <c r="F674" s="16">
        <f>D674*E674</f>
        <v/>
      </c>
    </row>
    <row r="675">
      <c r="A675" s="13" t="inlineStr">
        <is>
          <t>1237</t>
        </is>
      </c>
      <c r="B675" s="14" t="inlineStr">
        <is>
          <t>Cutting marble or sand stone slab upto 50 mm thick by mechanical device</t>
        </is>
      </c>
      <c r="C675" s="13" t="inlineStr">
        <is>
          <t>metre</t>
        </is>
      </c>
      <c r="D675" s="15" t="n">
        <v>4</v>
      </c>
      <c r="E675" s="16" t="n">
        <v>10</v>
      </c>
      <c r="F675" s="16">
        <f>D675*E675</f>
        <v/>
      </c>
    </row>
    <row r="676">
      <c r="A676" s="13" t="inlineStr">
        <is>
          <t>9999</t>
        </is>
      </c>
      <c r="B676" s="14" t="inlineStr">
        <is>
          <t>Scaffolding</t>
        </is>
      </c>
      <c r="C676" s="13" t="inlineStr">
        <is>
          <t>L.S.</t>
        </is>
      </c>
      <c r="D676" s="15" t="n">
        <v>19.76</v>
      </c>
      <c r="E676" s="16" t="n">
        <v>2</v>
      </c>
      <c r="F676" s="16">
        <f>D676*E676</f>
        <v/>
      </c>
    </row>
    <row r="677">
      <c r="A677" s="17" t="inlineStr">
        <is>
          <t>Resource Total (Material + Labour + Machinery, as printed)</t>
        </is>
      </c>
      <c r="B677" s="18" t="n"/>
      <c r="C677" s="18" t="n"/>
      <c r="D677" s="18" t="n"/>
      <c r="E677" s="18" t="n"/>
      <c r="F677" s="19">
        <f>SUM(F662:F676)</f>
        <v/>
      </c>
    </row>
    <row r="678">
      <c r="A678" s="20" t="inlineStr">
        <is>
          <t>SAY (Rs.) — final DAR rate</t>
        </is>
      </c>
      <c r="B678" s="21" t="n"/>
      <c r="C678" s="21" t="n"/>
      <c r="D678" s="21" t="n"/>
      <c r="E678" s="21" t="n"/>
      <c r="F678" s="22" t="n">
        <v>6249.9</v>
      </c>
    </row>
    <row r="680" ht="18" customHeight="1">
      <c r="A680" s="9" t="inlineStr">
        <is>
          <t>8.14.5.1</t>
        </is>
      </c>
      <c r="B680" s="10" t="inlineStr">
        <is>
          <t>30mm thick White sand stone</t>
        </is>
      </c>
      <c r="C680" s="11" t="n"/>
      <c r="D680" s="11" t="n"/>
      <c r="E680" s="11" t="n"/>
      <c r="F680" s="11" t="n"/>
    </row>
    <row r="681">
      <c r="A681" s="12" t="inlineStr">
        <is>
          <t>Rate basis: per sqm  (source: cost for 1 sqm)</t>
        </is>
      </c>
    </row>
    <row r="682">
      <c r="A682" s="5" t="inlineStr">
        <is>
          <t>Code</t>
        </is>
      </c>
      <c r="B682" s="5" t="inlineStr">
        <is>
          <t>Description</t>
        </is>
      </c>
      <c r="C682" s="5" t="inlineStr">
        <is>
          <t>Unit</t>
        </is>
      </c>
      <c r="D682" s="5" t="inlineStr">
        <is>
          <t>Quantity</t>
        </is>
      </c>
      <c r="E682" s="5" t="inlineStr">
        <is>
          <t>Rate (Rs.)</t>
        </is>
      </c>
      <c r="F682" s="5" t="inlineStr">
        <is>
          <t>Amount (Rs.)</t>
        </is>
      </c>
    </row>
    <row r="683">
      <c r="A683" s="13" t="inlineStr">
        <is>
          <t>3.8</t>
        </is>
      </c>
      <c r="B683" s="14" t="inlineStr">
        <is>
          <t>Rate as per SH: 3.8</t>
        </is>
      </c>
      <c r="C683" s="13" t="inlineStr">
        <is>
          <t>cum</t>
        </is>
      </c>
      <c r="D683" s="15" t="n">
        <v>0.018</v>
      </c>
      <c r="E683" s="16" t="n">
        <v>4664.55</v>
      </c>
      <c r="F683" s="16">
        <f>D683*E683</f>
        <v/>
      </c>
    </row>
    <row r="684">
      <c r="A684" s="13" t="inlineStr">
        <is>
          <t>8684</t>
        </is>
      </c>
      <c r="B684" s="14" t="inlineStr">
        <is>
          <t>White sand stone gang saw cut 30 mm thick</t>
        </is>
      </c>
      <c r="C684" s="13" t="inlineStr">
        <is>
          <t>sqm</t>
        </is>
      </c>
      <c r="D684" s="15" t="n">
        <v>1.05</v>
      </c>
      <c r="E684" s="16" t="n">
        <v>560</v>
      </c>
      <c r="F684" s="16">
        <f>D684*E684</f>
        <v/>
      </c>
    </row>
    <row r="685">
      <c r="A685" s="13" t="inlineStr">
        <is>
          <t>2216</t>
        </is>
      </c>
      <c r="B685" s="14" t="inlineStr">
        <is>
          <t>Carriage of Stone blocks white &amp; red sand stone &amp; kota stone slab @ 2.30 kg/cudm.</t>
        </is>
      </c>
      <c r="C685" s="13" t="inlineStr">
        <is>
          <t>tonne</t>
        </is>
      </c>
      <c r="D685" s="15" t="n">
        <v>0.07199999999999999</v>
      </c>
      <c r="E685" s="16" t="n">
        <v>92.23999999999999</v>
      </c>
      <c r="F685" s="16">
        <f>D685*E685</f>
        <v/>
      </c>
    </row>
    <row r="686">
      <c r="A686" s="13" t="inlineStr">
        <is>
          <t>9999</t>
        </is>
      </c>
      <c r="B686" s="14" t="inlineStr">
        <is>
          <t>Extra for using white cement</t>
        </is>
      </c>
      <c r="C686" s="13" t="inlineStr">
        <is>
          <t>L.S.</t>
        </is>
      </c>
      <c r="D686" s="15" t="n">
        <v>26.91</v>
      </c>
      <c r="E686" s="16" t="n">
        <v>2</v>
      </c>
      <c r="F686" s="16">
        <f>D686*E686</f>
        <v/>
      </c>
    </row>
    <row r="687">
      <c r="A687" s="13" t="inlineStr">
        <is>
          <t>0125</t>
        </is>
      </c>
      <c r="B687" s="14" t="inlineStr">
        <is>
          <t>Mason (for plain stone work) 2nd class</t>
        </is>
      </c>
      <c r="C687" s="13" t="inlineStr">
        <is>
          <t>day</t>
        </is>
      </c>
      <c r="D687" s="15" t="n">
        <v>0.448</v>
      </c>
      <c r="E687" s="16" t="n">
        <v>679</v>
      </c>
      <c r="F687" s="16">
        <f>D687*E687</f>
        <v/>
      </c>
    </row>
    <row r="688">
      <c r="A688" s="13" t="inlineStr">
        <is>
          <t>0100</t>
        </is>
      </c>
      <c r="B688" s="14" t="inlineStr">
        <is>
          <t>Bandhani</t>
        </is>
      </c>
      <c r="C688" s="13" t="inlineStr">
        <is>
          <t>day</t>
        </is>
      </c>
      <c r="D688" s="15" t="n">
        <v>0.336</v>
      </c>
      <c r="E688" s="16" t="n">
        <v>617</v>
      </c>
      <c r="F688" s="16">
        <f>D688*E688</f>
        <v/>
      </c>
    </row>
    <row r="689">
      <c r="A689" s="13" t="inlineStr">
        <is>
          <t>0114</t>
        </is>
      </c>
      <c r="B689" s="14" t="inlineStr">
        <is>
          <t>Beldar</t>
        </is>
      </c>
      <c r="C689" s="13" t="inlineStr">
        <is>
          <t>day</t>
        </is>
      </c>
      <c r="D689" s="15" t="n">
        <v>0.336</v>
      </c>
      <c r="E689" s="16" t="n">
        <v>558</v>
      </c>
      <c r="F689" s="16">
        <f>D689*E689</f>
        <v/>
      </c>
    </row>
    <row r="690">
      <c r="A690" s="13" t="inlineStr">
        <is>
          <t>0115</t>
        </is>
      </c>
      <c r="B690" s="14" t="inlineStr">
        <is>
          <t>Coolie</t>
        </is>
      </c>
      <c r="C690" s="13" t="inlineStr">
        <is>
          <t>day</t>
        </is>
      </c>
      <c r="D690" s="15" t="n">
        <v>0.336</v>
      </c>
      <c r="E690" s="16" t="n">
        <v>558</v>
      </c>
      <c r="F690" s="16">
        <f>D690*E690</f>
        <v/>
      </c>
    </row>
    <row r="691">
      <c r="A691" s="13" t="inlineStr">
        <is>
          <t>0101</t>
        </is>
      </c>
      <c r="B691" s="14" t="inlineStr">
        <is>
          <t>Bhisti</t>
        </is>
      </c>
      <c r="C691" s="13" t="inlineStr">
        <is>
          <t>day</t>
        </is>
      </c>
      <c r="D691" s="15" t="n">
        <v>0.336</v>
      </c>
      <c r="E691" s="16" t="n">
        <v>617</v>
      </c>
      <c r="F691" s="16">
        <f>D691*E691</f>
        <v/>
      </c>
    </row>
    <row r="692">
      <c r="A692" s="13" t="inlineStr">
        <is>
          <t>1237</t>
        </is>
      </c>
      <c r="B692" s="14" t="inlineStr">
        <is>
          <t>Cutting marble or sand stone slab upto 50 mm thick by mechanical device</t>
        </is>
      </c>
      <c r="C692" s="13" t="inlineStr">
        <is>
          <t>metre</t>
        </is>
      </c>
      <c r="D692" s="15" t="n">
        <v>4</v>
      </c>
      <c r="E692" s="16" t="n">
        <v>10</v>
      </c>
      <c r="F692" s="16">
        <f>D692*E692</f>
        <v/>
      </c>
    </row>
    <row r="693">
      <c r="A693" s="13" t="inlineStr">
        <is>
          <t>9999</t>
        </is>
      </c>
      <c r="B693" s="14" t="inlineStr">
        <is>
          <t>Scaffolding</t>
        </is>
      </c>
      <c r="C693" s="13" t="inlineStr">
        <is>
          <t>L.S.</t>
        </is>
      </c>
      <c r="D693" s="15" t="n">
        <v>19.76</v>
      </c>
      <c r="E693" s="16" t="n">
        <v>2</v>
      </c>
      <c r="F693" s="16">
        <f>D693*E693</f>
        <v/>
      </c>
    </row>
    <row r="694">
      <c r="A694" s="17" t="inlineStr">
        <is>
          <t>Resource Total (Material + Labour + Machinery, as printed)</t>
        </is>
      </c>
      <c r="B694" s="18" t="n"/>
      <c r="C694" s="18" t="n"/>
      <c r="D694" s="18" t="n"/>
      <c r="E694" s="18" t="n"/>
      <c r="F694" s="19">
        <f>SUM(F683:F693)</f>
        <v/>
      </c>
    </row>
    <row r="695">
      <c r="A695" s="20" t="inlineStr">
        <is>
          <t>SAY (Rs.) — final DAR rate</t>
        </is>
      </c>
      <c r="B695" s="21" t="n"/>
      <c r="C695" s="21" t="n"/>
      <c r="D695" s="21" t="n"/>
      <c r="E695" s="21" t="n"/>
      <c r="F695" s="22" t="n">
        <v>2549.75</v>
      </c>
    </row>
    <row r="697" ht="18" customHeight="1">
      <c r="A697" s="9" t="inlineStr">
        <is>
          <t>8.14.5.2</t>
        </is>
      </c>
      <c r="B697" s="10" t="inlineStr">
        <is>
          <t>30mm thick Red sand stone</t>
        </is>
      </c>
      <c r="C697" s="11" t="n"/>
      <c r="D697" s="11" t="n"/>
      <c r="E697" s="11" t="n"/>
      <c r="F697" s="11" t="n"/>
    </row>
    <row r="698">
      <c r="A698" s="12" t="inlineStr">
        <is>
          <t>Rate basis: per sqm  (source: cost for 1 sqm)</t>
        </is>
      </c>
    </row>
    <row r="699">
      <c r="A699" s="5" t="inlineStr">
        <is>
          <t>Code</t>
        </is>
      </c>
      <c r="B699" s="5" t="inlineStr">
        <is>
          <t>Description</t>
        </is>
      </c>
      <c r="C699" s="5" t="inlineStr">
        <is>
          <t>Unit</t>
        </is>
      </c>
      <c r="D699" s="5" t="inlineStr">
        <is>
          <t>Quantity</t>
        </is>
      </c>
      <c r="E699" s="5" t="inlineStr">
        <is>
          <t>Rate (Rs.)</t>
        </is>
      </c>
      <c r="F699" s="5" t="inlineStr">
        <is>
          <t>Amount (Rs.)</t>
        </is>
      </c>
    </row>
    <row r="700">
      <c r="A700" s="13" t="inlineStr">
        <is>
          <t>3.8</t>
        </is>
      </c>
      <c r="B700" s="14" t="inlineStr">
        <is>
          <t>Rate as per SH: 3.8</t>
        </is>
      </c>
      <c r="C700" s="13" t="inlineStr">
        <is>
          <t>cum</t>
        </is>
      </c>
      <c r="D700" s="15" t="n">
        <v>0.018</v>
      </c>
      <c r="E700" s="16" t="n">
        <v>4664.55</v>
      </c>
      <c r="F700" s="16">
        <f>D700*E700</f>
        <v/>
      </c>
    </row>
    <row r="701">
      <c r="A701" s="13" t="inlineStr">
        <is>
          <t>8683</t>
        </is>
      </c>
      <c r="B701" s="14" t="inlineStr">
        <is>
          <t>Red sand stone gang saw cut 30 mm thick</t>
        </is>
      </c>
      <c r="C701" s="13" t="inlineStr">
        <is>
          <t>sqm</t>
        </is>
      </c>
      <c r="D701" s="15" t="n">
        <v>1.05</v>
      </c>
      <c r="E701" s="16" t="n">
        <v>425</v>
      </c>
      <c r="F701" s="16">
        <f>D701*E701</f>
        <v/>
      </c>
    </row>
    <row r="702">
      <c r="A702" s="13" t="inlineStr">
        <is>
          <t>2216</t>
        </is>
      </c>
      <c r="B702" s="14" t="inlineStr">
        <is>
          <t>Carriage of Stone blocks white &amp; red sand stone &amp; kota stone slab @ 2.30 kg/cudm.</t>
        </is>
      </c>
      <c r="C702" s="13" t="inlineStr">
        <is>
          <t>tonne</t>
        </is>
      </c>
      <c r="D702" s="15" t="n">
        <v>0.07199999999999999</v>
      </c>
      <c r="E702" s="16" t="n">
        <v>92.23999999999999</v>
      </c>
      <c r="F702" s="16">
        <f>D702*E702</f>
        <v/>
      </c>
    </row>
    <row r="703">
      <c r="A703" s="13" t="inlineStr">
        <is>
          <t>9999</t>
        </is>
      </c>
      <c r="B703" s="14" t="inlineStr">
        <is>
          <t>Extra for using white cement</t>
        </is>
      </c>
      <c r="C703" s="13" t="inlineStr">
        <is>
          <t>L.S.</t>
        </is>
      </c>
      <c r="D703" s="15" t="n">
        <v>26.91</v>
      </c>
      <c r="E703" s="16" t="n">
        <v>2</v>
      </c>
      <c r="F703" s="16">
        <f>D703*E703</f>
        <v/>
      </c>
    </row>
    <row r="704">
      <c r="A704" s="13" t="inlineStr">
        <is>
          <t>0125</t>
        </is>
      </c>
      <c r="B704" s="14" t="inlineStr">
        <is>
          <t>Mason (for plain stone work) 2nd class</t>
        </is>
      </c>
      <c r="C704" s="13" t="inlineStr">
        <is>
          <t>day</t>
        </is>
      </c>
      <c r="D704" s="15" t="n">
        <v>0.448</v>
      </c>
      <c r="E704" s="16" t="n">
        <v>679</v>
      </c>
      <c r="F704" s="16">
        <f>D704*E704</f>
        <v/>
      </c>
    </row>
    <row r="705">
      <c r="A705" s="13" t="inlineStr">
        <is>
          <t>0100</t>
        </is>
      </c>
      <c r="B705" s="14" t="inlineStr">
        <is>
          <t>Bandhani</t>
        </is>
      </c>
      <c r="C705" s="13" t="inlineStr">
        <is>
          <t>day</t>
        </is>
      </c>
      <c r="D705" s="15" t="n">
        <v>0.336</v>
      </c>
      <c r="E705" s="16" t="n">
        <v>617</v>
      </c>
      <c r="F705" s="16">
        <f>D705*E705</f>
        <v/>
      </c>
    </row>
    <row r="706">
      <c r="A706" s="13" t="inlineStr">
        <is>
          <t>0114</t>
        </is>
      </c>
      <c r="B706" s="14" t="inlineStr">
        <is>
          <t>Beldar</t>
        </is>
      </c>
      <c r="C706" s="13" t="inlineStr">
        <is>
          <t>day</t>
        </is>
      </c>
      <c r="D706" s="15" t="n">
        <v>0.336</v>
      </c>
      <c r="E706" s="16" t="n">
        <v>558</v>
      </c>
      <c r="F706" s="16">
        <f>D706*E706</f>
        <v/>
      </c>
    </row>
    <row r="707">
      <c r="A707" s="13" t="inlineStr">
        <is>
          <t>0115</t>
        </is>
      </c>
      <c r="B707" s="14" t="inlineStr">
        <is>
          <t>Coolie</t>
        </is>
      </c>
      <c r="C707" s="13" t="inlineStr">
        <is>
          <t>day</t>
        </is>
      </c>
      <c r="D707" s="15" t="n">
        <v>0.336</v>
      </c>
      <c r="E707" s="16" t="n">
        <v>558</v>
      </c>
      <c r="F707" s="16">
        <f>D707*E707</f>
        <v/>
      </c>
    </row>
    <row r="708">
      <c r="A708" s="13" t="inlineStr">
        <is>
          <t>0101</t>
        </is>
      </c>
      <c r="B708" s="14" t="inlineStr">
        <is>
          <t>Bhisti</t>
        </is>
      </c>
      <c r="C708" s="13" t="inlineStr">
        <is>
          <t>day</t>
        </is>
      </c>
      <c r="D708" s="15" t="n">
        <v>0.336</v>
      </c>
      <c r="E708" s="16" t="n">
        <v>617</v>
      </c>
      <c r="F708" s="16">
        <f>D708*E708</f>
        <v/>
      </c>
    </row>
    <row r="709">
      <c r="A709" s="13" t="inlineStr">
        <is>
          <t>1237</t>
        </is>
      </c>
      <c r="B709" s="14" t="inlineStr">
        <is>
          <t>Cutting marble or sand stone slab upto 50 mm thick by mechanical device</t>
        </is>
      </c>
      <c r="C709" s="13" t="inlineStr">
        <is>
          <t>metre</t>
        </is>
      </c>
      <c r="D709" s="15" t="n">
        <v>4</v>
      </c>
      <c r="E709" s="16" t="n">
        <v>10</v>
      </c>
      <c r="F709" s="16">
        <f>D709*E709</f>
        <v/>
      </c>
    </row>
    <row r="710">
      <c r="A710" s="13" t="inlineStr">
        <is>
          <t>9999</t>
        </is>
      </c>
      <c r="B710" s="14" t="inlineStr">
        <is>
          <t>Scaffolding</t>
        </is>
      </c>
      <c r="C710" s="13" t="inlineStr">
        <is>
          <t>L.S.</t>
        </is>
      </c>
      <c r="D710" s="15" t="n">
        <v>19.76</v>
      </c>
      <c r="E710" s="16" t="n">
        <v>2</v>
      </c>
      <c r="F710" s="16">
        <f>D710*E710</f>
        <v/>
      </c>
    </row>
    <row r="711">
      <c r="A711" s="17" t="inlineStr">
        <is>
          <t>Resource Total (Material + Labour + Machinery, as printed)</t>
        </is>
      </c>
      <c r="B711" s="18" t="n"/>
      <c r="C711" s="18" t="n"/>
      <c r="D711" s="18" t="n"/>
      <c r="E711" s="18" t="n"/>
      <c r="F711" s="19">
        <f>SUM(F700:F710)</f>
        <v/>
      </c>
    </row>
    <row r="712">
      <c r="A712" s="20" t="inlineStr">
        <is>
          <t>SAY (Rs.) — final DAR rate</t>
        </is>
      </c>
      <c r="B712" s="21" t="n"/>
      <c r="C712" s="21" t="n"/>
      <c r="D712" s="21" t="n"/>
      <c r="E712" s="21" t="n"/>
      <c r="F712" s="22" t="n">
        <v>2360.1</v>
      </c>
    </row>
    <row r="714" ht="28" customHeight="1">
      <c r="A714" s="9" t="inlineStr">
        <is>
          <t>8.15</t>
        </is>
      </c>
      <c r="B714" s="10" t="inlineStr">
        <is>
          <t>Providing and fixing stainless steel cramps of required size and shape for anchoring stone wall lining to the backing or securing adjacent s</t>
        </is>
      </c>
      <c r="C714" s="11" t="n"/>
      <c r="D714" s="11" t="n"/>
      <c r="E714" s="11" t="n"/>
      <c r="F714" s="11" t="n"/>
    </row>
    <row r="715">
      <c r="A715" s="12" t="inlineStr">
        <is>
          <t>Rate basis: per x  (source: cost for 9.6 x)</t>
        </is>
      </c>
    </row>
    <row r="716">
      <c r="A716" s="5" t="inlineStr">
        <is>
          <t>Code</t>
        </is>
      </c>
      <c r="B716" s="5" t="inlineStr">
        <is>
          <t>Description</t>
        </is>
      </c>
      <c r="C716" s="5" t="inlineStr">
        <is>
          <t>Unit</t>
        </is>
      </c>
      <c r="D716" s="5" t="inlineStr">
        <is>
          <t>Quantity</t>
        </is>
      </c>
      <c r="E716" s="5" t="inlineStr">
        <is>
          <t>Rate (Rs.)</t>
        </is>
      </c>
      <c r="F716" s="5" t="inlineStr">
        <is>
          <t>Amount (Rs.)</t>
        </is>
      </c>
    </row>
    <row r="717">
      <c r="A717" s="13" t="inlineStr">
        <is>
          <t>3.7</t>
        </is>
      </c>
      <c r="B717" s="14" t="inlineStr">
        <is>
          <t>Rate as per SH: 3.7</t>
        </is>
      </c>
      <c r="C717" s="13" t="inlineStr">
        <is>
          <t>cum</t>
        </is>
      </c>
      <c r="D717" s="15" t="n">
        <v>0.001</v>
      </c>
      <c r="E717" s="16" t="n">
        <v>5345.55</v>
      </c>
      <c r="F717" s="16">
        <f>D717*E717</f>
        <v/>
      </c>
    </row>
    <row r="718">
      <c r="A718" s="13" t="inlineStr">
        <is>
          <t>7339</t>
        </is>
      </c>
      <c r="B718" s="14" t="inlineStr">
        <is>
          <t>Stainless steel cramp</t>
        </is>
      </c>
      <c r="C718" s="13" t="inlineStr">
        <is>
          <t>kilogram</t>
        </is>
      </c>
      <c r="D718" s="15" t="n">
        <v>0.981</v>
      </c>
      <c r="E718" s="16" t="n">
        <v>290</v>
      </c>
      <c r="F718" s="16">
        <f>D718*E718</f>
        <v/>
      </c>
    </row>
    <row r="719">
      <c r="A719" s="13" t="inlineStr">
        <is>
          <t>9977</t>
        </is>
      </c>
      <c r="B719" s="14" t="inlineStr">
        <is>
          <t>CARRIAGE</t>
        </is>
      </c>
      <c r="C719" s="13" t="inlineStr">
        <is>
          <t>L.S.</t>
        </is>
      </c>
      <c r="D719" s="15" t="n">
        <v>3.9</v>
      </c>
      <c r="E719" s="16" t="n">
        <v>2</v>
      </c>
      <c r="F719" s="16">
        <f>D719*E719</f>
        <v/>
      </c>
    </row>
    <row r="720">
      <c r="A720" s="13" t="inlineStr">
        <is>
          <t>9999</t>
        </is>
      </c>
      <c r="B720" s="14" t="inlineStr">
        <is>
          <t>Labour for fixing in position</t>
        </is>
      </c>
      <c r="C720" s="13" t="inlineStr">
        <is>
          <t>L.S.</t>
        </is>
      </c>
      <c r="D720" s="15" t="n">
        <v>65</v>
      </c>
      <c r="E720" s="16" t="n">
        <v>2</v>
      </c>
      <c r="F720" s="16">
        <f>D720*E720</f>
        <v/>
      </c>
    </row>
    <row r="721">
      <c r="A721" s="17" t="inlineStr">
        <is>
          <t>Resource Total (Material + Labour + Machinery, as printed)</t>
        </is>
      </c>
      <c r="B721" s="18" t="n"/>
      <c r="C721" s="18" t="n"/>
      <c r="D721" s="18" t="n"/>
      <c r="E721" s="18" t="n"/>
      <c r="F721" s="19">
        <f>SUM(F717:F720)</f>
        <v/>
      </c>
    </row>
    <row r="722">
      <c r="A722" s="20" t="inlineStr">
        <is>
          <t>SAY (Rs.) — final DAR rate</t>
        </is>
      </c>
      <c r="B722" s="21" t="n"/>
      <c r="C722" s="21" t="n"/>
      <c r="D722" s="21" t="n"/>
      <c r="E722" s="21" t="n"/>
      <c r="F722" s="22" t="n">
        <v>612.6</v>
      </c>
    </row>
    <row r="724" ht="28" customHeight="1">
      <c r="A724" s="9" t="inlineStr">
        <is>
          <t>8.16</t>
        </is>
      </c>
      <c r="B724" s="10" t="inlineStr">
        <is>
          <t xml:space="preserve">Providing and fixing copper pins 7.5 cm long 6 mm diameter for securing adjacent stones in stone wall lining in cement mortar 1:2 (1 cement </t>
        </is>
      </c>
      <c r="C724" s="11" t="n"/>
      <c r="D724" s="11" t="n"/>
      <c r="E724" s="11" t="n"/>
      <c r="F724" s="11" t="n"/>
    </row>
    <row r="725">
      <c r="A725" s="12" t="inlineStr">
        <is>
          <t>Rate basis: per nos  (source: cost for 1 nos)</t>
        </is>
      </c>
    </row>
    <row r="726">
      <c r="A726" s="5" t="inlineStr">
        <is>
          <t>Code</t>
        </is>
      </c>
      <c r="B726" s="5" t="inlineStr">
        <is>
          <t>Description</t>
        </is>
      </c>
      <c r="C726" s="5" t="inlineStr">
        <is>
          <t>Unit</t>
        </is>
      </c>
      <c r="D726" s="5" t="inlineStr">
        <is>
          <t>Quantity</t>
        </is>
      </c>
      <c r="E726" s="5" t="inlineStr">
        <is>
          <t>Rate (Rs.)</t>
        </is>
      </c>
      <c r="F726" s="5" t="inlineStr">
        <is>
          <t>Amount (Rs.)</t>
        </is>
      </c>
    </row>
    <row r="727">
      <c r="A727" s="13" t="inlineStr">
        <is>
          <t>3.7</t>
        </is>
      </c>
      <c r="B727" s="14" t="inlineStr">
        <is>
          <t>Rate as per SH: 3.7</t>
        </is>
      </c>
      <c r="C727" s="13" t="inlineStr">
        <is>
          <t>cum</t>
        </is>
      </c>
      <c r="D727" s="15" t="n">
        <v>0.001</v>
      </c>
      <c r="E727" s="16" t="n">
        <v>5345.55</v>
      </c>
      <c r="F727" s="16">
        <f>D727*E727</f>
        <v/>
      </c>
    </row>
    <row r="728">
      <c r="A728" s="13" t="inlineStr">
        <is>
          <t>0873</t>
        </is>
      </c>
      <c r="B728" s="14" t="inlineStr">
        <is>
          <t>Copper pins 6 mm dia 7.5 cm long</t>
        </is>
      </c>
      <c r="C728" s="13" t="inlineStr">
        <is>
          <t>each</t>
        </is>
      </c>
      <c r="D728" s="15" t="n">
        <v>1</v>
      </c>
      <c r="E728" s="16" t="n">
        <v>10</v>
      </c>
      <c r="F728" s="16">
        <f>D728*E728</f>
        <v/>
      </c>
    </row>
    <row r="729">
      <c r="A729" s="13" t="inlineStr">
        <is>
          <t>9999</t>
        </is>
      </c>
      <c r="B729" s="14" t="inlineStr">
        <is>
          <t>Labour for making pin in to required shape and size, cutting chases in stone and fixing in position</t>
        </is>
      </c>
      <c r="C729" s="13" t="inlineStr">
        <is>
          <t>L.S.</t>
        </is>
      </c>
      <c r="D729" s="15" t="n">
        <v>3.9</v>
      </c>
      <c r="E729" s="16" t="n">
        <v>2</v>
      </c>
      <c r="F729" s="16">
        <f>D729*E729</f>
        <v/>
      </c>
    </row>
    <row r="730">
      <c r="A730" s="13" t="inlineStr">
        <is>
          <t>9999</t>
        </is>
      </c>
      <c r="B730" s="14" t="inlineStr">
        <is>
          <t>Sundries including hire charges of hand cut machine etc.</t>
        </is>
      </c>
      <c r="C730" s="13" t="inlineStr">
        <is>
          <t>L.S.</t>
        </is>
      </c>
      <c r="D730" s="15" t="n">
        <v>1.95</v>
      </c>
      <c r="E730" s="16" t="n">
        <v>2</v>
      </c>
      <c r="F730" s="16">
        <f>D730*E730</f>
        <v/>
      </c>
    </row>
    <row r="731">
      <c r="A731" s="17" t="inlineStr">
        <is>
          <t>Resource Total (Material + Labour + Machinery, as printed)</t>
        </is>
      </c>
      <c r="B731" s="18" t="n"/>
      <c r="C731" s="18" t="n"/>
      <c r="D731" s="18" t="n"/>
      <c r="E731" s="18" t="n"/>
      <c r="F731" s="19">
        <f>SUM(F727:F730)</f>
        <v/>
      </c>
    </row>
    <row r="732">
      <c r="A732" s="20" t="inlineStr">
        <is>
          <t>SAY (Rs.) — final DAR rate</t>
        </is>
      </c>
      <c r="B732" s="21" t="n"/>
      <c r="C732" s="21" t="n"/>
      <c r="D732" s="21" t="n"/>
      <c r="E732" s="21" t="n"/>
      <c r="F732" s="22" t="n">
        <v>36.2</v>
      </c>
    </row>
    <row r="734" ht="28" customHeight="1">
      <c r="A734" s="9" t="inlineStr">
        <is>
          <t>8.17</t>
        </is>
      </c>
      <c r="B734" s="10" t="inlineStr">
        <is>
          <t>Wall lining butch work upto 10m height with Dholpur stone 40 mm thick rough facing on the exposed surface with stone strips of minimum lengt</t>
        </is>
      </c>
      <c r="C734" s="11" t="n"/>
      <c r="D734" s="11" t="n"/>
      <c r="E734" s="11" t="n"/>
      <c r="F734" s="11" t="n"/>
    </row>
    <row r="735">
      <c r="A735" s="12" t="inlineStr">
        <is>
          <t>Rate basis: per sqm  (source: cost for 1 sqm)</t>
        </is>
      </c>
    </row>
    <row r="736">
      <c r="A736" s="5" t="inlineStr">
        <is>
          <t>Code</t>
        </is>
      </c>
      <c r="B736" s="5" t="inlineStr">
        <is>
          <t>Description</t>
        </is>
      </c>
      <c r="C736" s="5" t="inlineStr">
        <is>
          <t>Unit</t>
        </is>
      </c>
      <c r="D736" s="5" t="inlineStr">
        <is>
          <t>Quantity</t>
        </is>
      </c>
      <c r="E736" s="5" t="inlineStr">
        <is>
          <t>Rate (Rs.)</t>
        </is>
      </c>
      <c r="F736" s="5" t="inlineStr">
        <is>
          <t>Amount (Rs.)</t>
        </is>
      </c>
    </row>
    <row r="737">
      <c r="A737" s="13" t="inlineStr">
        <is>
          <t>3.8</t>
        </is>
      </c>
      <c r="B737" s="14" t="inlineStr">
        <is>
          <t>Rate as per SH: 3.8</t>
        </is>
      </c>
      <c r="C737" s="13" t="inlineStr">
        <is>
          <t>cum</t>
        </is>
      </c>
      <c r="D737" s="15" t="n">
        <v>0.0304</v>
      </c>
      <c r="E737" s="16" t="n">
        <v>4664.55</v>
      </c>
      <c r="F737" s="16">
        <f>D737*E737</f>
        <v/>
      </c>
    </row>
    <row r="738">
      <c r="A738" s="13" t="inlineStr">
        <is>
          <t>18.78</t>
        </is>
      </c>
      <c r="B738" s="14" t="inlineStr">
        <is>
          <t>Rate as per SH: 18.78</t>
        </is>
      </c>
      <c r="C738" s="13" t="inlineStr">
        <is>
          <t>metre</t>
        </is>
      </c>
      <c r="D738" s="15" t="n">
        <v>3</v>
      </c>
      <c r="E738" s="16" t="n">
        <v>154.15</v>
      </c>
      <c r="F738" s="16">
        <f>D738*E738</f>
        <v/>
      </c>
    </row>
    <row r="739">
      <c r="A739" s="13" t="inlineStr">
        <is>
          <t>1165</t>
        </is>
      </c>
      <c r="B739" s="14" t="inlineStr">
        <is>
          <t>White sand stone slab 40 mm thick (un-dressed)</t>
        </is>
      </c>
      <c r="C739" s="13" t="inlineStr">
        <is>
          <t>sqm</t>
        </is>
      </c>
      <c r="D739" s="15" t="n">
        <v>0.92</v>
      </c>
      <c r="E739" s="16" t="n">
        <v>200</v>
      </c>
      <c r="F739" s="16">
        <f>D739*E739</f>
        <v/>
      </c>
    </row>
    <row r="740">
      <c r="A740" s="13" t="inlineStr">
        <is>
          <t>1163</t>
        </is>
      </c>
      <c r="B740" s="14" t="inlineStr">
        <is>
          <t>White sand stone slab 75 mm thick (un-dressed)</t>
        </is>
      </c>
      <c r="C740" s="13" t="inlineStr">
        <is>
          <t>sqm</t>
        </is>
      </c>
      <c r="D740" s="15" t="n">
        <v>0.13</v>
      </c>
      <c r="E740" s="16" t="n">
        <v>900</v>
      </c>
      <c r="F740" s="16">
        <f>D740*E740</f>
        <v/>
      </c>
    </row>
    <row r="741">
      <c r="A741" s="13" t="inlineStr">
        <is>
          <t>2216</t>
        </is>
      </c>
      <c r="B741" s="14" t="inlineStr">
        <is>
          <t>Carriage of Stone blocks white &amp; red sand stone &amp; kota stone slab</t>
        </is>
      </c>
      <c r="C741" s="13" t="inlineStr">
        <is>
          <t>tonne</t>
        </is>
      </c>
      <c r="D741" s="15" t="n">
        <v>0.108</v>
      </c>
      <c r="E741" s="16" t="n">
        <v>92.23999999999999</v>
      </c>
      <c r="F741" s="16">
        <f>D741*E741</f>
        <v/>
      </c>
    </row>
    <row r="742">
      <c r="A742" s="13" t="inlineStr">
        <is>
          <t>1237</t>
        </is>
      </c>
      <c r="B742" s="14" t="inlineStr">
        <is>
          <t>Cutting marble or sand stone slab upto 50 mm thick by mechanical device</t>
        </is>
      </c>
      <c r="C742" s="13" t="inlineStr">
        <is>
          <t>metre</t>
        </is>
      </c>
      <c r="D742" s="15" t="n">
        <v>20</v>
      </c>
      <c r="E742" s="16" t="n">
        <v>10</v>
      </c>
      <c r="F742" s="16">
        <f>D742*E742</f>
        <v/>
      </c>
    </row>
    <row r="743">
      <c r="A743" s="13" t="inlineStr">
        <is>
          <t>9999</t>
        </is>
      </c>
      <c r="B743" s="14" t="inlineStr">
        <is>
          <t>White cement and pigment for pointing</t>
        </is>
      </c>
      <c r="C743" s="13" t="inlineStr">
        <is>
          <t>L.S.</t>
        </is>
      </c>
      <c r="D743" s="15" t="n">
        <v>40.43</v>
      </c>
      <c r="E743" s="16" t="n">
        <v>2</v>
      </c>
      <c r="F743" s="16">
        <f>D743*E743</f>
        <v/>
      </c>
    </row>
    <row r="744">
      <c r="A744" s="13" t="inlineStr">
        <is>
          <t>0126</t>
        </is>
      </c>
      <c r="B744" s="14" t="inlineStr">
        <is>
          <t>Mason (for ornamental stone work) 1st class</t>
        </is>
      </c>
      <c r="C744" s="13" t="inlineStr">
        <is>
          <t>day</t>
        </is>
      </c>
      <c r="D744" s="15" t="n">
        <v>0.25</v>
      </c>
      <c r="E744" s="16" t="n">
        <v>738</v>
      </c>
      <c r="F744" s="16">
        <f>D744*E744</f>
        <v/>
      </c>
    </row>
    <row r="745">
      <c r="A745" s="13" t="inlineStr">
        <is>
          <t>0125</t>
        </is>
      </c>
      <c r="B745" s="14" t="inlineStr">
        <is>
          <t>Mason (for plain stone work) 2nd class)</t>
        </is>
      </c>
      <c r="C745" s="13" t="inlineStr">
        <is>
          <t>day</t>
        </is>
      </c>
      <c r="D745" s="15" t="n">
        <v>0.25</v>
      </c>
      <c r="E745" s="16" t="n">
        <v>679</v>
      </c>
      <c r="F745" s="16">
        <f>D745*E745</f>
        <v/>
      </c>
    </row>
    <row r="746">
      <c r="A746" s="13" t="inlineStr">
        <is>
          <t>0114</t>
        </is>
      </c>
      <c r="B746" s="14" t="inlineStr">
        <is>
          <t>Beldar</t>
        </is>
      </c>
      <c r="C746" s="13" t="inlineStr">
        <is>
          <t>day</t>
        </is>
      </c>
      <c r="D746" s="15" t="n">
        <v>0.5</v>
      </c>
      <c r="E746" s="16" t="n">
        <v>558</v>
      </c>
      <c r="F746" s="16">
        <f>D746*E746</f>
        <v/>
      </c>
    </row>
    <row r="747">
      <c r="A747" s="13" t="inlineStr">
        <is>
          <t>0101</t>
        </is>
      </c>
      <c r="B747" s="14" t="inlineStr">
        <is>
          <t>Bhisti</t>
        </is>
      </c>
      <c r="C747" s="13" t="inlineStr">
        <is>
          <t>day</t>
        </is>
      </c>
      <c r="D747" s="15" t="n">
        <v>0.03</v>
      </c>
      <c r="E747" s="16" t="n">
        <v>617</v>
      </c>
      <c r="F747" s="16">
        <f>D747*E747</f>
        <v/>
      </c>
    </row>
    <row r="748">
      <c r="A748" s="13" t="inlineStr">
        <is>
          <t>9999</t>
        </is>
      </c>
      <c r="B748" s="14" t="inlineStr">
        <is>
          <t>Sundries and scaffolding brushes etc.</t>
        </is>
      </c>
      <c r="C748" s="13" t="inlineStr">
        <is>
          <t>L.S.</t>
        </is>
      </c>
      <c r="D748" s="15" t="n">
        <v>26.91</v>
      </c>
      <c r="E748" s="16" t="n">
        <v>2</v>
      </c>
      <c r="F748" s="16">
        <f>D748*E748</f>
        <v/>
      </c>
    </row>
    <row r="749">
      <c r="A749" s="17" t="inlineStr">
        <is>
          <t>Resource Total (Material + Labour + Machinery, as printed)</t>
        </is>
      </c>
      <c r="B749" s="18" t="n"/>
      <c r="C749" s="18" t="n"/>
      <c r="D749" s="18" t="n"/>
      <c r="E749" s="18" t="n"/>
      <c r="F749" s="19">
        <f>SUM(F737:F748)</f>
        <v/>
      </c>
    </row>
    <row r="750">
      <c r="A750" s="20" t="inlineStr">
        <is>
          <t>SAY (Rs.) — final DAR rate</t>
        </is>
      </c>
      <c r="B750" s="21" t="n"/>
      <c r="C750" s="21" t="n"/>
      <c r="D750" s="21" t="n"/>
      <c r="E750" s="21" t="n"/>
      <c r="F750" s="22" t="n">
        <v>2388</v>
      </c>
    </row>
    <row r="752" ht="18" customHeight="1">
      <c r="A752" s="9" t="inlineStr">
        <is>
          <t>8.18.1.1</t>
        </is>
      </c>
      <c r="B752" s="10" t="inlineStr">
        <is>
          <t>25 mm thick</t>
        </is>
      </c>
      <c r="C752" s="11" t="n"/>
      <c r="D752" s="11" t="n"/>
      <c r="E752" s="11" t="n"/>
      <c r="F752" s="11" t="n"/>
    </row>
    <row r="753">
      <c r="A753" s="12" t="inlineStr">
        <is>
          <t>Rate basis: per sqm  (source: cost for 10 sqm)</t>
        </is>
      </c>
    </row>
    <row r="754">
      <c r="A754" s="5" t="inlineStr">
        <is>
          <t>Code</t>
        </is>
      </c>
      <c r="B754" s="5" t="inlineStr">
        <is>
          <t>Description</t>
        </is>
      </c>
      <c r="C754" s="5" t="inlineStr">
        <is>
          <t>Unit</t>
        </is>
      </c>
      <c r="D754" s="5" t="inlineStr">
        <is>
          <t>Quantity</t>
        </is>
      </c>
      <c r="E754" s="5" t="inlineStr">
        <is>
          <t>Rate (Rs.)</t>
        </is>
      </c>
      <c r="F754" s="5" t="inlineStr">
        <is>
          <t>Amount (Rs.)</t>
        </is>
      </c>
    </row>
    <row r="755">
      <c r="A755" s="13" t="inlineStr">
        <is>
          <t>3.8</t>
        </is>
      </c>
      <c r="B755" s="14" t="inlineStr">
        <is>
          <t>Rate as per SH: 3.8</t>
        </is>
      </c>
      <c r="C755" s="13" t="inlineStr">
        <is>
          <t>cum</t>
        </is>
      </c>
      <c r="D755" s="15" t="n">
        <v>0.144</v>
      </c>
      <c r="E755" s="16" t="n">
        <v>4664.55</v>
      </c>
      <c r="F755" s="16">
        <f>D755*E755</f>
        <v/>
      </c>
    </row>
    <row r="756">
      <c r="A756" s="13" t="inlineStr">
        <is>
          <t>2216</t>
        </is>
      </c>
      <c r="B756" s="14" t="inlineStr">
        <is>
          <t>Carriage of Stone blocks white &amp; red sand stone &amp; kota stone slab</t>
        </is>
      </c>
      <c r="C756" s="13" t="inlineStr">
        <is>
          <t>tonne</t>
        </is>
      </c>
      <c r="D756" s="15" t="n">
        <v>0.67</v>
      </c>
      <c r="E756" s="16" t="n">
        <v>92.23999999999999</v>
      </c>
      <c r="F756" s="16">
        <f>D756*E756</f>
        <v/>
      </c>
    </row>
    <row r="757">
      <c r="A757" s="13" t="inlineStr">
        <is>
          <t>9999</t>
        </is>
      </c>
      <c r="B757" s="14" t="inlineStr">
        <is>
          <t>Cement mortar for pointing.</t>
        </is>
      </c>
      <c r="C757" s="13" t="inlineStr">
        <is>
          <t>L.S.</t>
        </is>
      </c>
      <c r="D757" s="15" t="n">
        <v>40.43</v>
      </c>
      <c r="E757" s="16" t="n">
        <v>2</v>
      </c>
      <c r="F757" s="16">
        <f>D757*E757</f>
        <v/>
      </c>
    </row>
    <row r="758">
      <c r="A758" s="13" t="inlineStr">
        <is>
          <t>0125</t>
        </is>
      </c>
      <c r="B758" s="14" t="inlineStr">
        <is>
          <t>Mason (for plain stone work) 2nd class)</t>
        </is>
      </c>
      <c r="C758" s="13" t="inlineStr">
        <is>
          <t>day</t>
        </is>
      </c>
      <c r="D758" s="15" t="n">
        <v>6.5</v>
      </c>
      <c r="E758" s="16" t="n">
        <v>679</v>
      </c>
      <c r="F758" s="16">
        <f>D758*E758</f>
        <v/>
      </c>
    </row>
    <row r="759">
      <c r="A759" s="13" t="inlineStr">
        <is>
          <t>0114</t>
        </is>
      </c>
      <c r="B759" s="14" t="inlineStr">
        <is>
          <t>Beldar</t>
        </is>
      </c>
      <c r="C759" s="13" t="inlineStr">
        <is>
          <t>day</t>
        </is>
      </c>
      <c r="D759" s="15" t="n">
        <v>6.5</v>
      </c>
      <c r="E759" s="16" t="n">
        <v>558</v>
      </c>
      <c r="F759" s="16">
        <f>D759*E759</f>
        <v/>
      </c>
    </row>
    <row r="760">
      <c r="A760" s="13" t="inlineStr">
        <is>
          <t>0115</t>
        </is>
      </c>
      <c r="B760" s="14" t="inlineStr">
        <is>
          <t>Coolie</t>
        </is>
      </c>
      <c r="C760" s="13" t="inlineStr">
        <is>
          <t>day</t>
        </is>
      </c>
      <c r="D760" s="15" t="n">
        <v>4.3</v>
      </c>
      <c r="E760" s="16" t="n">
        <v>558</v>
      </c>
      <c r="F760" s="16">
        <f>D760*E760</f>
        <v/>
      </c>
    </row>
    <row r="761">
      <c r="A761" s="13" t="inlineStr">
        <is>
          <t>0139</t>
        </is>
      </c>
      <c r="B761" s="14" t="inlineStr">
        <is>
          <t>Skilled Beldar (for floor rubbing etc.)</t>
        </is>
      </c>
      <c r="C761" s="13" t="inlineStr">
        <is>
          <t>day</t>
        </is>
      </c>
      <c r="D761" s="15" t="n">
        <v>10.8</v>
      </c>
      <c r="E761" s="16" t="n">
        <v>617</v>
      </c>
      <c r="F761" s="16">
        <f>D761*E761</f>
        <v/>
      </c>
    </row>
    <row r="762">
      <c r="A762" s="13" t="inlineStr">
        <is>
          <t>9999</t>
        </is>
      </c>
      <c r="B762" s="14" t="inlineStr">
        <is>
          <t>Sundries</t>
        </is>
      </c>
      <c r="C762" s="13" t="inlineStr">
        <is>
          <t>L.S.</t>
        </is>
      </c>
      <c r="D762" s="15" t="n">
        <v>111.54</v>
      </c>
      <c r="E762" s="16" t="n">
        <v>2</v>
      </c>
      <c r="F762" s="16">
        <f>D762*E762</f>
        <v/>
      </c>
    </row>
    <row r="763">
      <c r="A763" s="17" t="inlineStr">
        <is>
          <t>Resource Total (Material + Labour + Machinery, as printed)</t>
        </is>
      </c>
      <c r="B763" s="18" t="n"/>
      <c r="C763" s="18" t="n"/>
      <c r="D763" s="18" t="n"/>
      <c r="E763" s="18" t="n"/>
      <c r="F763" s="19">
        <f>SUM(F755:F762)</f>
        <v/>
      </c>
    </row>
    <row r="764">
      <c r="A764" s="20" t="inlineStr">
        <is>
          <t>SAY (Rs.) — final DAR rate</t>
        </is>
      </c>
      <c r="B764" s="21" t="n"/>
      <c r="C764" s="21" t="n"/>
      <c r="D764" s="21" t="n"/>
      <c r="E764" s="21" t="n"/>
      <c r="F764" s="22" t="n">
        <v>2890.25</v>
      </c>
    </row>
    <row r="766" ht="28" customHeight="1">
      <c r="A766" s="9" t="inlineStr">
        <is>
          <t>8.19</t>
        </is>
      </c>
      <c r="B766" s="10" t="inlineStr">
        <is>
          <t>Extra for stone work for wall lining on exterior walls of height more than 10 m from ground level for every additional height of 3 m or part</t>
        </is>
      </c>
      <c r="C766" s="11" t="n"/>
      <c r="D766" s="11" t="n"/>
      <c r="E766" s="11" t="n"/>
      <c r="F766" s="11" t="n"/>
    </row>
    <row r="767">
      <c r="A767" s="12" t="inlineStr">
        <is>
          <t>Rate basis: per sqm  (source: cost for 10 sqm)</t>
        </is>
      </c>
    </row>
    <row r="768">
      <c r="A768" s="5" t="inlineStr">
        <is>
          <t>Code</t>
        </is>
      </c>
      <c r="B768" s="5" t="inlineStr">
        <is>
          <t>Description</t>
        </is>
      </c>
      <c r="C768" s="5" t="inlineStr">
        <is>
          <t>Unit</t>
        </is>
      </c>
      <c r="D768" s="5" t="inlineStr">
        <is>
          <t>Quantity</t>
        </is>
      </c>
      <c r="E768" s="5" t="inlineStr">
        <is>
          <t>Rate (Rs.)</t>
        </is>
      </c>
      <c r="F768" s="5" t="inlineStr">
        <is>
          <t>Amount (Rs.)</t>
        </is>
      </c>
    </row>
    <row r="769">
      <c r="A769" s="13" t="inlineStr">
        <is>
          <t>9999</t>
        </is>
      </c>
      <c r="B769" s="14" t="inlineStr">
        <is>
          <t>Scaffolding</t>
        </is>
      </c>
      <c r="C769" s="13" t="inlineStr">
        <is>
          <t>L.S.</t>
        </is>
      </c>
      <c r="D769" s="15" t="n">
        <v>215.28</v>
      </c>
      <c r="E769" s="16" t="n">
        <v>2</v>
      </c>
      <c r="F769" s="16">
        <f>D769*E769</f>
        <v/>
      </c>
    </row>
    <row r="770">
      <c r="A770" s="13" t="inlineStr">
        <is>
          <t>0123</t>
        </is>
      </c>
      <c r="B770" s="14" t="inlineStr">
        <is>
          <t>Mason (brick layer) 1st class</t>
        </is>
      </c>
      <c r="C770" s="13" t="inlineStr">
        <is>
          <t>day</t>
        </is>
      </c>
      <c r="D770" s="15" t="n">
        <v>0.3</v>
      </c>
      <c r="E770" s="16" t="n">
        <v>738</v>
      </c>
      <c r="F770" s="16">
        <f>D770*E770</f>
        <v/>
      </c>
    </row>
    <row r="771">
      <c r="A771" s="13" t="inlineStr">
        <is>
          <t>0114</t>
        </is>
      </c>
      <c r="B771" s="14" t="inlineStr">
        <is>
          <t>Beldar</t>
        </is>
      </c>
      <c r="C771" s="13" t="inlineStr">
        <is>
          <t>day</t>
        </is>
      </c>
      <c r="D771" s="15" t="n">
        <v>0.3</v>
      </c>
      <c r="E771" s="16" t="n">
        <v>558</v>
      </c>
      <c r="F771" s="16">
        <f>D771*E771</f>
        <v/>
      </c>
    </row>
    <row r="772">
      <c r="A772" s="13" t="inlineStr">
        <is>
          <t>0101</t>
        </is>
      </c>
      <c r="B772" s="14" t="inlineStr">
        <is>
          <t>Bhisti</t>
        </is>
      </c>
      <c r="C772" s="13" t="inlineStr">
        <is>
          <t>day</t>
        </is>
      </c>
      <c r="D772" s="15" t="n">
        <v>0.15</v>
      </c>
      <c r="E772" s="16" t="n">
        <v>617</v>
      </c>
      <c r="F772" s="16">
        <f>D772*E772</f>
        <v/>
      </c>
    </row>
    <row r="773">
      <c r="A773" s="13" t="inlineStr">
        <is>
          <t>9999</t>
        </is>
      </c>
      <c r="B773" s="14" t="inlineStr">
        <is>
          <t>Sundries</t>
        </is>
      </c>
      <c r="C773" s="13" t="inlineStr">
        <is>
          <t>L.S.</t>
        </is>
      </c>
      <c r="D773" s="15" t="n">
        <v>28.6</v>
      </c>
      <c r="E773" s="16" t="n">
        <v>2</v>
      </c>
      <c r="F773" s="16">
        <f>D773*E773</f>
        <v/>
      </c>
    </row>
    <row r="774">
      <c r="A774" s="17" t="inlineStr">
        <is>
          <t>Resource Total (Material + Labour + Machinery, as printed)</t>
        </is>
      </c>
      <c r="B774" s="18" t="n"/>
      <c r="C774" s="18" t="n"/>
      <c r="D774" s="18" t="n"/>
      <c r="E774" s="18" t="n"/>
      <c r="F774" s="19">
        <f>SUM(F769:F773)</f>
        <v/>
      </c>
    </row>
    <row r="775">
      <c r="A775" s="20" t="inlineStr">
        <is>
          <t>SAY (Rs.) — final DAR rate</t>
        </is>
      </c>
      <c r="B775" s="21" t="n"/>
      <c r="C775" s="21" t="n"/>
      <c r="D775" s="21" t="n"/>
      <c r="E775" s="21" t="n"/>
      <c r="F775" s="22" t="n">
        <v>129.65</v>
      </c>
    </row>
    <row r="777" ht="18" customHeight="1">
      <c r="A777" s="9" t="inlineStr">
        <is>
          <t>8.20.1</t>
        </is>
      </c>
      <c r="B777" s="10" t="inlineStr">
        <is>
          <t>Red sand stone - 30mm thick gang saw cut stone</t>
        </is>
      </c>
      <c r="C777" s="11" t="n"/>
      <c r="D777" s="11" t="n"/>
      <c r="E777" s="11" t="n"/>
      <c r="F777" s="11" t="n"/>
    </row>
    <row r="778">
      <c r="A778" s="12" t="inlineStr">
        <is>
          <t>Rate basis: per sqm  (source: cost for 1 sqm)</t>
        </is>
      </c>
    </row>
    <row r="779">
      <c r="A779" s="5" t="inlineStr">
        <is>
          <t>Code</t>
        </is>
      </c>
      <c r="B779" s="5" t="inlineStr">
        <is>
          <t>Description</t>
        </is>
      </c>
      <c r="C779" s="5" t="inlineStr">
        <is>
          <t>Unit</t>
        </is>
      </c>
      <c r="D779" s="5" t="inlineStr">
        <is>
          <t>Quantity</t>
        </is>
      </c>
      <c r="E779" s="5" t="inlineStr">
        <is>
          <t>Rate (Rs.)</t>
        </is>
      </c>
      <c r="F779" s="5" t="inlineStr">
        <is>
          <t>Amount (Rs.)</t>
        </is>
      </c>
    </row>
    <row r="780">
      <c r="A780" s="13" t="inlineStr">
        <is>
          <t>8683</t>
        </is>
      </c>
      <c r="B780" s="14" t="inlineStr">
        <is>
          <t>Red sand stone gang saw cut 30 mm thick</t>
        </is>
      </c>
      <c r="C780" s="13" t="inlineStr">
        <is>
          <t>sqm</t>
        </is>
      </c>
      <c r="D780" s="15" t="n">
        <v>1.05</v>
      </c>
      <c r="E780" s="16" t="n">
        <v>425</v>
      </c>
      <c r="F780" s="16">
        <f>D780*E780</f>
        <v/>
      </c>
    </row>
    <row r="781">
      <c r="A781" s="13" t="inlineStr">
        <is>
          <t>2216</t>
        </is>
      </c>
      <c r="B781" s="14" t="inlineStr">
        <is>
          <t>Carriage of Stone blocks white &amp; red sand stone &amp; kota stone slab @ 2.30kg/cudm</t>
        </is>
      </c>
      <c r="C781" s="13" t="inlineStr">
        <is>
          <t>tonne</t>
        </is>
      </c>
      <c r="D781" s="15" t="n">
        <v>0.07199999999999999</v>
      </c>
      <c r="E781" s="16" t="n">
        <v>92.23999999999999</v>
      </c>
      <c r="F781" s="16">
        <f>D781*E781</f>
        <v/>
      </c>
    </row>
    <row r="782">
      <c r="A782" s="13" t="inlineStr">
        <is>
          <t>0125</t>
        </is>
      </c>
      <c r="B782" s="14" t="inlineStr">
        <is>
          <t>Mason (for plain stone work) 2nd class</t>
        </is>
      </c>
      <c r="C782" s="13" t="inlineStr">
        <is>
          <t>day</t>
        </is>
      </c>
      <c r="D782" s="15" t="n">
        <v>0.448</v>
      </c>
      <c r="E782" s="16" t="n">
        <v>679</v>
      </c>
      <c r="F782" s="16">
        <f>D782*E782</f>
        <v/>
      </c>
    </row>
    <row r="783">
      <c r="A783" s="13" t="inlineStr">
        <is>
          <t>0100</t>
        </is>
      </c>
      <c r="B783" s="14" t="inlineStr">
        <is>
          <t>Bandhani</t>
        </is>
      </c>
      <c r="C783" s="13" t="inlineStr">
        <is>
          <t>day</t>
        </is>
      </c>
      <c r="D783" s="15" t="n">
        <v>0.336</v>
      </c>
      <c r="E783" s="16" t="n">
        <v>617</v>
      </c>
      <c r="F783" s="16">
        <f>D783*E783</f>
        <v/>
      </c>
    </row>
    <row r="784">
      <c r="A784" s="13" t="inlineStr">
        <is>
          <t>0114</t>
        </is>
      </c>
      <c r="B784" s="14" t="inlineStr">
        <is>
          <t>Beldar</t>
        </is>
      </c>
      <c r="C784" s="13" t="inlineStr">
        <is>
          <t>day</t>
        </is>
      </c>
      <c r="D784" s="15" t="n">
        <v>0.336</v>
      </c>
      <c r="E784" s="16" t="n">
        <v>558</v>
      </c>
      <c r="F784" s="16">
        <f>D784*E784</f>
        <v/>
      </c>
    </row>
    <row r="785">
      <c r="A785" s="13" t="inlineStr">
        <is>
          <t>0115</t>
        </is>
      </c>
      <c r="B785" s="14" t="inlineStr">
        <is>
          <t>Coolie</t>
        </is>
      </c>
      <c r="C785" s="13" t="inlineStr">
        <is>
          <t>day</t>
        </is>
      </c>
      <c r="D785" s="15" t="n">
        <v>0.336</v>
      </c>
      <c r="E785" s="16" t="n">
        <v>558</v>
      </c>
      <c r="F785" s="16">
        <f>D785*E785</f>
        <v/>
      </c>
    </row>
    <row r="786">
      <c r="A786" s="13" t="inlineStr">
        <is>
          <t>1237</t>
        </is>
      </c>
      <c r="B786" s="14" t="inlineStr">
        <is>
          <t>Cutting marble or sand stone slab up to 50 mm thick by mechanical device</t>
        </is>
      </c>
      <c r="C786" s="13" t="inlineStr">
        <is>
          <t>metre</t>
        </is>
      </c>
      <c r="D786" s="15" t="n">
        <v>4</v>
      </c>
      <c r="E786" s="16" t="n">
        <v>10</v>
      </c>
      <c r="F786" s="16">
        <f>D786*E786</f>
        <v/>
      </c>
    </row>
    <row r="787">
      <c r="A787" s="13" t="inlineStr">
        <is>
          <t>9999</t>
        </is>
      </c>
      <c r="B787" s="14" t="inlineStr">
        <is>
          <t>Scaffolding</t>
        </is>
      </c>
      <c r="C787" s="13" t="inlineStr">
        <is>
          <t>L.S.</t>
        </is>
      </c>
      <c r="D787" s="15" t="n">
        <v>19.76</v>
      </c>
      <c r="E787" s="16" t="n">
        <v>2</v>
      </c>
      <c r="F787" s="16">
        <f>D787*E787</f>
        <v/>
      </c>
    </row>
    <row r="788">
      <c r="A788" s="13" t="inlineStr">
        <is>
          <t>9999</t>
        </is>
      </c>
      <c r="B788" s="14" t="inlineStr">
        <is>
          <t>Fixing including weather sealant and removing</t>
        </is>
      </c>
      <c r="C788" s="13" t="inlineStr">
        <is>
          <t>L.S.</t>
        </is>
      </c>
      <c r="D788" s="15" t="n">
        <v>51.1</v>
      </c>
      <c r="E788" s="16" t="n">
        <v>2</v>
      </c>
      <c r="F788" s="16">
        <f>D788*E788</f>
        <v/>
      </c>
    </row>
    <row r="789">
      <c r="A789" s="13" t="inlineStr">
        <is>
          <t>9999</t>
        </is>
      </c>
      <c r="B789" s="14" t="inlineStr">
        <is>
          <t>Silicon gun/ pump etc.</t>
        </is>
      </c>
      <c r="C789" s="13" t="inlineStr">
        <is>
          <t>L.S.</t>
        </is>
      </c>
      <c r="D789" s="15" t="n">
        <v>68.25</v>
      </c>
      <c r="E789" s="16" t="n">
        <v>2</v>
      </c>
      <c r="F789" s="16">
        <f>D789*E789</f>
        <v/>
      </c>
    </row>
    <row r="790">
      <c r="A790" s="17" t="inlineStr">
        <is>
          <t>Resource Total (Material + Labour + Machinery, as printed)</t>
        </is>
      </c>
      <c r="B790" s="18" t="n"/>
      <c r="C790" s="18" t="n"/>
      <c r="D790" s="18" t="n"/>
      <c r="E790" s="18" t="n"/>
      <c r="F790" s="19">
        <f>SUM(F780:F789)</f>
        <v/>
      </c>
    </row>
    <row r="791">
      <c r="A791" s="20" t="inlineStr">
        <is>
          <t>SAY (Rs.) — final DAR rate</t>
        </is>
      </c>
      <c r="B791" s="21" t="n"/>
      <c r="C791" s="21" t="n"/>
      <c r="D791" s="21" t="n"/>
      <c r="E791" s="21" t="n"/>
      <c r="F791" s="22" t="n">
        <v>2217.75</v>
      </c>
    </row>
    <row r="793" ht="18" customHeight="1">
      <c r="A793" s="9" t="inlineStr">
        <is>
          <t>8.20.2</t>
        </is>
      </c>
      <c r="B793" s="10" t="inlineStr">
        <is>
          <t>White sand stone - 30mm thick gang saw cut stone</t>
        </is>
      </c>
      <c r="C793" s="11" t="n"/>
      <c r="D793" s="11" t="n"/>
      <c r="E793" s="11" t="n"/>
      <c r="F793" s="11" t="n"/>
    </row>
    <row r="794">
      <c r="A794" s="12" t="inlineStr">
        <is>
          <t>Rate basis: per sqm  (source: cost for 1 sqm)</t>
        </is>
      </c>
    </row>
    <row r="795">
      <c r="A795" s="5" t="inlineStr">
        <is>
          <t>Code</t>
        </is>
      </c>
      <c r="B795" s="5" t="inlineStr">
        <is>
          <t>Description</t>
        </is>
      </c>
      <c r="C795" s="5" t="inlineStr">
        <is>
          <t>Unit</t>
        </is>
      </c>
      <c r="D795" s="5" t="inlineStr">
        <is>
          <t>Quantity</t>
        </is>
      </c>
      <c r="E795" s="5" t="inlineStr">
        <is>
          <t>Rate (Rs.)</t>
        </is>
      </c>
      <c r="F795" s="5" t="inlineStr">
        <is>
          <t>Amount (Rs.)</t>
        </is>
      </c>
    </row>
    <row r="796">
      <c r="A796" s="13" t="inlineStr">
        <is>
          <t>8684</t>
        </is>
      </c>
      <c r="B796" s="14" t="inlineStr">
        <is>
          <t>White sand stone gang saw cut 30 mm thick</t>
        </is>
      </c>
      <c r="C796" s="13" t="inlineStr">
        <is>
          <t>sqm</t>
        </is>
      </c>
      <c r="D796" s="15" t="n">
        <v>1.05</v>
      </c>
      <c r="E796" s="16" t="n">
        <v>560</v>
      </c>
      <c r="F796" s="16">
        <f>D796*E796</f>
        <v/>
      </c>
    </row>
    <row r="797">
      <c r="A797" s="13" t="inlineStr">
        <is>
          <t>2216</t>
        </is>
      </c>
      <c r="B797" s="14" t="inlineStr">
        <is>
          <t>Carriage of Stone blocks white &amp; red sand stone &amp; kota stone slab @ 2.30kg/cudm</t>
        </is>
      </c>
      <c r="C797" s="13" t="inlineStr">
        <is>
          <t>tonne</t>
        </is>
      </c>
      <c r="D797" s="15" t="n">
        <v>0.07199999999999999</v>
      </c>
      <c r="E797" s="16" t="n">
        <v>92.23999999999999</v>
      </c>
      <c r="F797" s="16">
        <f>D797*E797</f>
        <v/>
      </c>
    </row>
    <row r="798">
      <c r="A798" s="13" t="inlineStr">
        <is>
          <t>0125</t>
        </is>
      </c>
      <c r="B798" s="14" t="inlineStr">
        <is>
          <t>Mason (for plain stone work) 2nd class</t>
        </is>
      </c>
      <c r="C798" s="13" t="inlineStr">
        <is>
          <t>day</t>
        </is>
      </c>
      <c r="D798" s="15" t="n">
        <v>0.448</v>
      </c>
      <c r="E798" s="16" t="n">
        <v>679</v>
      </c>
      <c r="F798" s="16">
        <f>D798*E798</f>
        <v/>
      </c>
    </row>
    <row r="799">
      <c r="A799" s="13" t="inlineStr">
        <is>
          <t>0100</t>
        </is>
      </c>
      <c r="B799" s="14" t="inlineStr">
        <is>
          <t>Bandhani</t>
        </is>
      </c>
      <c r="C799" s="13" t="inlineStr">
        <is>
          <t>day</t>
        </is>
      </c>
      <c r="D799" s="15" t="n">
        <v>0.336</v>
      </c>
      <c r="E799" s="16" t="n">
        <v>617</v>
      </c>
      <c r="F799" s="16">
        <f>D799*E799</f>
        <v/>
      </c>
    </row>
    <row r="800">
      <c r="A800" s="13" t="inlineStr">
        <is>
          <t>0114</t>
        </is>
      </c>
      <c r="B800" s="14" t="inlineStr">
        <is>
          <t>Beldar</t>
        </is>
      </c>
      <c r="C800" s="13" t="inlineStr">
        <is>
          <t>day</t>
        </is>
      </c>
      <c r="D800" s="15" t="n">
        <v>0.336</v>
      </c>
      <c r="E800" s="16" t="n">
        <v>558</v>
      </c>
      <c r="F800" s="16">
        <f>D800*E800</f>
        <v/>
      </c>
    </row>
    <row r="801">
      <c r="A801" s="13" t="inlineStr">
        <is>
          <t>0115</t>
        </is>
      </c>
      <c r="B801" s="14" t="inlineStr">
        <is>
          <t>Coolie</t>
        </is>
      </c>
      <c r="C801" s="13" t="inlineStr">
        <is>
          <t>day</t>
        </is>
      </c>
      <c r="D801" s="15" t="n">
        <v>0.336</v>
      </c>
      <c r="E801" s="16" t="n">
        <v>558</v>
      </c>
      <c r="F801" s="16">
        <f>D801*E801</f>
        <v/>
      </c>
    </row>
    <row r="802">
      <c r="A802" s="13" t="inlineStr">
        <is>
          <t>1237</t>
        </is>
      </c>
      <c r="B802" s="14" t="inlineStr">
        <is>
          <t>Cutting marble or sand stone slab up to 50 mm thick by mechanical device</t>
        </is>
      </c>
      <c r="C802" s="13" t="inlineStr">
        <is>
          <t>metre</t>
        </is>
      </c>
      <c r="D802" s="15" t="n">
        <v>4</v>
      </c>
      <c r="E802" s="16" t="n">
        <v>10</v>
      </c>
      <c r="F802" s="16">
        <f>D802*E802</f>
        <v/>
      </c>
    </row>
    <row r="803">
      <c r="A803" s="13" t="inlineStr">
        <is>
          <t>9999</t>
        </is>
      </c>
      <c r="B803" s="14" t="inlineStr">
        <is>
          <t>Scaffolding</t>
        </is>
      </c>
      <c r="C803" s="13" t="inlineStr">
        <is>
          <t>L.S.</t>
        </is>
      </c>
      <c r="D803" s="15" t="n">
        <v>19.76</v>
      </c>
      <c r="E803" s="16" t="n">
        <v>2</v>
      </c>
      <c r="F803" s="16">
        <f>D803*E803</f>
        <v/>
      </c>
    </row>
    <row r="804">
      <c r="A804" s="13" t="inlineStr">
        <is>
          <t>9999</t>
        </is>
      </c>
      <c r="B804" s="14" t="inlineStr">
        <is>
          <t>Fixing including weather sealant and removing</t>
        </is>
      </c>
      <c r="C804" s="13" t="inlineStr">
        <is>
          <t>L.S.</t>
        </is>
      </c>
      <c r="D804" s="15" t="n">
        <v>51.1</v>
      </c>
      <c r="E804" s="16" t="n">
        <v>2</v>
      </c>
      <c r="F804" s="16">
        <f>D804*E804</f>
        <v/>
      </c>
    </row>
    <row r="805">
      <c r="A805" s="13" t="inlineStr">
        <is>
          <t>9999</t>
        </is>
      </c>
      <c r="B805" s="14" t="inlineStr">
        <is>
          <t>Silicon gun/ pump etc.</t>
        </is>
      </c>
      <c r="C805" s="13" t="inlineStr">
        <is>
          <t>L.S.</t>
        </is>
      </c>
      <c r="D805" s="15" t="n">
        <v>68.25</v>
      </c>
      <c r="E805" s="16" t="n">
        <v>2</v>
      </c>
      <c r="F805" s="16">
        <f>D805*E805</f>
        <v/>
      </c>
    </row>
    <row r="806">
      <c r="A806" s="17" t="inlineStr">
        <is>
          <t>Resource Total (Material + Labour + Machinery, as printed)</t>
        </is>
      </c>
      <c r="B806" s="18" t="n"/>
      <c r="C806" s="18" t="n"/>
      <c r="D806" s="18" t="n"/>
      <c r="E806" s="18" t="n"/>
      <c r="F806" s="19">
        <f>SUM(F796:F805)</f>
        <v/>
      </c>
    </row>
    <row r="807">
      <c r="A807" s="20" t="inlineStr">
        <is>
          <t>SAY (Rs.) — final DAR rate</t>
        </is>
      </c>
      <c r="B807" s="21" t="n"/>
      <c r="C807" s="21" t="n"/>
      <c r="D807" s="21" t="n"/>
      <c r="E807" s="21" t="n"/>
      <c r="F807" s="22" t="n">
        <v>2407.4</v>
      </c>
    </row>
    <row r="809" ht="28" customHeight="1">
      <c r="A809" s="9" t="inlineStr">
        <is>
          <t>8.21</t>
        </is>
      </c>
      <c r="B809" s="10" t="inlineStr">
        <is>
          <t>Providing and fixing structural steel frame (for dry cladding with 30 mm thick gang saw cut with machine cut edges sand stone) on walls at a</t>
        </is>
      </c>
      <c r="C809" s="11" t="n"/>
      <c r="D809" s="11" t="n"/>
      <c r="E809" s="11" t="n"/>
      <c r="F809" s="11" t="n"/>
    </row>
    <row r="810">
      <c r="A810" s="12" t="inlineStr">
        <is>
          <t>Rate basis: per kg  (source: cost for 100.78 kg)</t>
        </is>
      </c>
    </row>
    <row r="811">
      <c r="A811" s="5" t="inlineStr">
        <is>
          <t>Code</t>
        </is>
      </c>
      <c r="B811" s="5" t="inlineStr">
        <is>
          <t>Description</t>
        </is>
      </c>
      <c r="C811" s="5" t="inlineStr">
        <is>
          <t>Unit</t>
        </is>
      </c>
      <c r="D811" s="5" t="inlineStr">
        <is>
          <t>Quantity</t>
        </is>
      </c>
      <c r="E811" s="5" t="inlineStr">
        <is>
          <t>Rate (Rs.)</t>
        </is>
      </c>
      <c r="F811" s="5" t="inlineStr">
        <is>
          <t>Amount (Rs.)</t>
        </is>
      </c>
    </row>
    <row r="812">
      <c r="A812" s="13" t="inlineStr">
        <is>
          <t>4.1.3</t>
        </is>
      </c>
      <c r="B812" s="14" t="inlineStr">
        <is>
          <t>Rate as per SH: 4.1.3</t>
        </is>
      </c>
      <c r="C812" s="13" t="inlineStr">
        <is>
          <t>cum</t>
        </is>
      </c>
      <c r="D812" s="15" t="n">
        <v>0.331</v>
      </c>
      <c r="E812" s="16" t="n">
        <v>6788.6</v>
      </c>
      <c r="F812" s="16">
        <f>D812*E812</f>
        <v/>
      </c>
    </row>
    <row r="813">
      <c r="A813" s="13" t="inlineStr">
        <is>
          <t>13.52.1</t>
        </is>
      </c>
      <c r="B813" s="14" t="inlineStr">
        <is>
          <t>Rate as per SH: 13.52.1</t>
        </is>
      </c>
      <c r="C813" s="13" t="inlineStr">
        <is>
          <t>sqm</t>
        </is>
      </c>
      <c r="D813" s="15" t="n">
        <v>5.82</v>
      </c>
      <c r="E813" s="16" t="n">
        <v>189.75</v>
      </c>
      <c r="F813" s="16">
        <f>D813*E813</f>
        <v/>
      </c>
    </row>
    <row r="814">
      <c r="A814" s="13" t="inlineStr">
        <is>
          <t>4009</t>
        </is>
      </c>
      <c r="B814" s="14" t="inlineStr">
        <is>
          <t>Mild steel tubes hot finished welded type</t>
        </is>
      </c>
      <c r="C814" s="13" t="inlineStr">
        <is>
          <t>kilogram</t>
        </is>
      </c>
      <c r="D814" s="15" t="n">
        <v>51.47</v>
      </c>
      <c r="E814" s="16" t="n">
        <v>57</v>
      </c>
      <c r="F814" s="16">
        <f>D814*E814</f>
        <v/>
      </c>
    </row>
    <row r="815">
      <c r="A815" s="13" t="inlineStr">
        <is>
          <t>1007</t>
        </is>
      </c>
      <c r="B815" s="14" t="inlineStr">
        <is>
          <t>Structurals such as tees, angles channels and R.S. joists</t>
        </is>
      </c>
      <c r="C815" s="13" t="inlineStr">
        <is>
          <t>quintal</t>
        </is>
      </c>
      <c r="D815" s="15" t="n">
        <v>0.594</v>
      </c>
      <c r="E815" s="16" t="n">
        <v>4600</v>
      </c>
      <c r="F815" s="16">
        <f>D815*E815</f>
        <v/>
      </c>
    </row>
    <row r="816">
      <c r="A816" s="13" t="inlineStr">
        <is>
          <t>0123</t>
        </is>
      </c>
      <c r="B816" s="14" t="inlineStr">
        <is>
          <t>Mason (brick layer) 1st class</t>
        </is>
      </c>
      <c r="C816" s="13" t="inlineStr">
        <is>
          <t>day</t>
        </is>
      </c>
      <c r="D816" s="15" t="n">
        <v>0.26</v>
      </c>
      <c r="E816" s="16" t="n">
        <v>738</v>
      </c>
      <c r="F816" s="16">
        <f>D816*E816</f>
        <v/>
      </c>
    </row>
    <row r="817">
      <c r="A817" s="13" t="inlineStr">
        <is>
          <t>0124</t>
        </is>
      </c>
      <c r="B817" s="14" t="inlineStr">
        <is>
          <t>Mason (brick layer) 2nd class</t>
        </is>
      </c>
      <c r="C817" s="13" t="inlineStr">
        <is>
          <t>day</t>
        </is>
      </c>
      <c r="D817" s="15" t="n">
        <v>0.26</v>
      </c>
      <c r="E817" s="16" t="n">
        <v>679</v>
      </c>
      <c r="F817" s="16">
        <f>D817*E817</f>
        <v/>
      </c>
    </row>
    <row r="818">
      <c r="A818" s="13" t="inlineStr">
        <is>
          <t>0114</t>
        </is>
      </c>
      <c r="B818" s="14" t="inlineStr">
        <is>
          <t>Beldar</t>
        </is>
      </c>
      <c r="C818" s="13" t="inlineStr">
        <is>
          <t>day</t>
        </is>
      </c>
      <c r="D818" s="15" t="n">
        <v>2</v>
      </c>
      <c r="E818" s="16" t="n">
        <v>558</v>
      </c>
      <c r="F818" s="16">
        <f>D818*E818</f>
        <v/>
      </c>
    </row>
    <row r="819">
      <c r="A819" s="13" t="inlineStr">
        <is>
          <t>1215</t>
        </is>
      </c>
      <c r="B819" s="14" t="inlineStr">
        <is>
          <t>Welding by electric plant</t>
        </is>
      </c>
      <c r="C819" s="13" t="inlineStr">
        <is>
          <t>cm</t>
        </is>
      </c>
      <c r="D819" s="15" t="n">
        <v>560</v>
      </c>
      <c r="E819" s="16" t="n">
        <v>2</v>
      </c>
      <c r="F819" s="16">
        <f>D819*E819</f>
        <v/>
      </c>
    </row>
    <row r="820">
      <c r="A820" s="13" t="inlineStr">
        <is>
          <t>0102</t>
        </is>
      </c>
      <c r="B820" s="14" t="inlineStr">
        <is>
          <t>Blacksmith 1st class</t>
        </is>
      </c>
      <c r="C820" s="13" t="inlineStr">
        <is>
          <t>day</t>
        </is>
      </c>
      <c r="D820" s="15" t="n">
        <v>1.34</v>
      </c>
      <c r="E820" s="16" t="n">
        <v>738</v>
      </c>
      <c r="F820" s="16">
        <f>D820*E820</f>
        <v/>
      </c>
    </row>
    <row r="821">
      <c r="A821" s="13" t="inlineStr">
        <is>
          <t>0100</t>
        </is>
      </c>
      <c r="B821" s="14" t="inlineStr">
        <is>
          <t>Bandhani</t>
        </is>
      </c>
      <c r="C821" s="13" t="inlineStr">
        <is>
          <t>day</t>
        </is>
      </c>
      <c r="D821" s="15" t="n">
        <v>0.67</v>
      </c>
      <c r="E821" s="16" t="n">
        <v>617</v>
      </c>
      <c r="F821" s="16">
        <f>D821*E821</f>
        <v/>
      </c>
    </row>
    <row r="822">
      <c r="A822" s="13" t="inlineStr">
        <is>
          <t>0114</t>
        </is>
      </c>
      <c r="B822" s="14" t="inlineStr">
        <is>
          <t>Beldar</t>
        </is>
      </c>
      <c r="C822" s="13" t="inlineStr">
        <is>
          <t>day</t>
        </is>
      </c>
      <c r="D822" s="15" t="n">
        <v>4.92</v>
      </c>
      <c r="E822" s="16" t="n">
        <v>558</v>
      </c>
      <c r="F822" s="16">
        <f>D822*E822</f>
        <v/>
      </c>
    </row>
    <row r="823">
      <c r="A823" s="13" t="inlineStr">
        <is>
          <t>9999</t>
        </is>
      </c>
      <c r="B823" s="14" t="inlineStr">
        <is>
          <t>Sundries</t>
        </is>
      </c>
      <c r="C823" s="13" t="inlineStr">
        <is>
          <t>L.S.</t>
        </is>
      </c>
      <c r="D823" s="15" t="n">
        <v>80.73</v>
      </c>
      <c r="E823" s="16" t="n">
        <v>2</v>
      </c>
      <c r="F823" s="16">
        <f>D823*E823</f>
        <v/>
      </c>
    </row>
    <row r="824">
      <c r="A824" s="13" t="inlineStr">
        <is>
          <t>9999</t>
        </is>
      </c>
      <c r="B824" s="14" t="inlineStr">
        <is>
          <t>For labour scaffocaling etc</t>
        </is>
      </c>
      <c r="C824" s="13" t="inlineStr">
        <is>
          <t>L.S.</t>
        </is>
      </c>
      <c r="D824" s="15" t="n">
        <v>80.73</v>
      </c>
      <c r="E824" s="16" t="n">
        <v>2</v>
      </c>
      <c r="F824" s="16">
        <f>D824*E824</f>
        <v/>
      </c>
    </row>
    <row r="825">
      <c r="A825" s="17" t="inlineStr">
        <is>
          <t>Resource Total (Material + Labour + Machinery, as printed)</t>
        </is>
      </c>
      <c r="B825" s="18" t="n"/>
      <c r="C825" s="18" t="n"/>
      <c r="D825" s="18" t="n"/>
      <c r="E825" s="18" t="n"/>
      <c r="F825" s="19">
        <f>SUM(F812:F824)</f>
        <v/>
      </c>
    </row>
    <row r="826">
      <c r="A826" s="20" t="inlineStr">
        <is>
          <t>SAY (Rs.) — final DAR rate</t>
        </is>
      </c>
      <c r="B826" s="21" t="n"/>
      <c r="C826" s="21" t="n"/>
      <c r="D826" s="21" t="n"/>
      <c r="E826" s="21" t="n"/>
      <c r="F826" s="22" t="n">
        <v>183.35</v>
      </c>
    </row>
    <row r="828" ht="28" customHeight="1">
      <c r="A828" s="9" t="inlineStr">
        <is>
          <t>8.22</t>
        </is>
      </c>
      <c r="B828" s="10" t="inlineStr">
        <is>
          <t>Providing and fixing adjustable stainless steel cramps of approved quality, required shape and size, adjustable with stainless steel nuts, b</t>
        </is>
      </c>
      <c r="C828" s="11" t="n"/>
      <c r="D828" s="11" t="n"/>
      <c r="E828" s="11" t="n"/>
      <c r="F828" s="11" t="n"/>
    </row>
    <row r="829">
      <c r="A829" s="12" t="inlineStr">
        <is>
          <t>Rate basis: per Nos  (source: cost for 10 Nos)</t>
        </is>
      </c>
    </row>
    <row r="830">
      <c r="A830" s="5" t="inlineStr">
        <is>
          <t>Code</t>
        </is>
      </c>
      <c r="B830" s="5" t="inlineStr">
        <is>
          <t>Description</t>
        </is>
      </c>
      <c r="C830" s="5" t="inlineStr">
        <is>
          <t>Unit</t>
        </is>
      </c>
      <c r="D830" s="5" t="inlineStr">
        <is>
          <t>Quantity</t>
        </is>
      </c>
      <c r="E830" s="5" t="inlineStr">
        <is>
          <t>Rate (Rs.)</t>
        </is>
      </c>
      <c r="F830" s="5" t="inlineStr">
        <is>
          <t>Amount (Rs.)</t>
        </is>
      </c>
    </row>
    <row r="831">
      <c r="A831" s="13" t="inlineStr">
        <is>
          <t>8698</t>
        </is>
      </c>
      <c r="B831" s="14" t="inlineStr">
        <is>
          <t>Stainless steel cramps (weight 260 grams) with nuts, bolts and washer for dry stone cladding</t>
        </is>
      </c>
      <c r="C831" s="13" t="inlineStr">
        <is>
          <t>each</t>
        </is>
      </c>
      <c r="D831" s="15" t="n">
        <v>10</v>
      </c>
      <c r="E831" s="16" t="n">
        <v>100</v>
      </c>
      <c r="F831" s="16">
        <f>D831*E831</f>
        <v/>
      </c>
    </row>
    <row r="832">
      <c r="A832" s="13" t="inlineStr">
        <is>
          <t>0103</t>
        </is>
      </c>
      <c r="B832" s="14" t="inlineStr">
        <is>
          <t>Blacksmith 2nd class</t>
        </is>
      </c>
      <c r="C832" s="13" t="inlineStr">
        <is>
          <t>day</t>
        </is>
      </c>
      <c r="D832" s="15" t="n">
        <v>0.1</v>
      </c>
      <c r="E832" s="16" t="n">
        <v>679</v>
      </c>
      <c r="F832" s="16">
        <f>D832*E832</f>
        <v/>
      </c>
    </row>
    <row r="833">
      <c r="A833" s="13" t="inlineStr">
        <is>
          <t>0124</t>
        </is>
      </c>
      <c r="B833" s="14" t="inlineStr">
        <is>
          <t>Mason (brick layer) 2nd class</t>
        </is>
      </c>
      <c r="C833" s="13" t="inlineStr">
        <is>
          <t>day</t>
        </is>
      </c>
      <c r="D833" s="15" t="n">
        <v>1</v>
      </c>
      <c r="E833" s="16" t="n">
        <v>679</v>
      </c>
      <c r="F833" s="16">
        <f>D833*E833</f>
        <v/>
      </c>
    </row>
    <row r="834">
      <c r="A834" s="13" t="inlineStr">
        <is>
          <t>0114</t>
        </is>
      </c>
      <c r="B834" s="14" t="inlineStr">
        <is>
          <t>Beldar</t>
        </is>
      </c>
      <c r="C834" s="13" t="inlineStr">
        <is>
          <t>day</t>
        </is>
      </c>
      <c r="D834" s="15" t="n">
        <v>1.1</v>
      </c>
      <c r="E834" s="16" t="n">
        <v>558</v>
      </c>
      <c r="F834" s="16">
        <f>D834*E834</f>
        <v/>
      </c>
    </row>
    <row r="835">
      <c r="A835" s="13" t="inlineStr">
        <is>
          <t>9999</t>
        </is>
      </c>
      <c r="B835" s="14" t="inlineStr">
        <is>
          <t>Scaffolding, hire charges of drill machine etc.</t>
        </is>
      </c>
      <c r="C835" s="13" t="inlineStr">
        <is>
          <t>L.S.</t>
        </is>
      </c>
      <c r="D835" s="15" t="n">
        <v>20.8</v>
      </c>
      <c r="E835" s="16" t="n">
        <v>2</v>
      </c>
      <c r="F835" s="16">
        <f>D835*E835</f>
        <v/>
      </c>
    </row>
    <row r="836">
      <c r="A836" s="13" t="inlineStr">
        <is>
          <t>9999</t>
        </is>
      </c>
      <c r="B836" s="14" t="inlineStr">
        <is>
          <t>Sundries</t>
        </is>
      </c>
      <c r="C836" s="13" t="inlineStr">
        <is>
          <t>L.S.</t>
        </is>
      </c>
      <c r="D836" s="15" t="n">
        <v>20.8</v>
      </c>
      <c r="E836" s="16" t="n">
        <v>2</v>
      </c>
      <c r="F836" s="16">
        <f>D836*E836</f>
        <v/>
      </c>
    </row>
    <row r="837">
      <c r="A837" s="17" t="inlineStr">
        <is>
          <t>Resource Total (Material + Labour + Machinery, as printed)</t>
        </is>
      </c>
      <c r="B837" s="18" t="n"/>
      <c r="C837" s="18" t="n"/>
      <c r="D837" s="18" t="n"/>
      <c r="E837" s="18" t="n"/>
      <c r="F837" s="19">
        <f>SUM(F831:F836)</f>
        <v/>
      </c>
    </row>
    <row r="838">
      <c r="A838" s="20" t="inlineStr">
        <is>
          <t>SAY (Rs.) — final DAR rate</t>
        </is>
      </c>
      <c r="B838" s="21" t="n"/>
      <c r="C838" s="21" t="n"/>
      <c r="D838" s="21" t="n"/>
      <c r="E838" s="21" t="n"/>
      <c r="F838" s="22" t="n">
        <v>327</v>
      </c>
    </row>
    <row r="840" ht="28" customHeight="1">
      <c r="A840" s="9" t="inlineStr">
        <is>
          <t>8.23</t>
        </is>
      </c>
      <c r="B840" s="10" t="inlineStr">
        <is>
          <t>Providing 50x50x50 mm 2nd class teak wood plugs including cutting brick work and fixing in cement mortar 1:3 (1 cement : 3 fine sand) and ma</t>
        </is>
      </c>
      <c r="C840" s="11" t="n"/>
      <c r="D840" s="11" t="n"/>
      <c r="E840" s="11" t="n"/>
      <c r="F840" s="11" t="n"/>
    </row>
    <row r="841">
      <c r="A841" s="12" t="inlineStr">
        <is>
          <t>Rate basis: per Nos  (source: cost for 100 Nos)</t>
        </is>
      </c>
    </row>
    <row r="842">
      <c r="A842" s="5" t="inlineStr">
        <is>
          <t>Code</t>
        </is>
      </c>
      <c r="B842" s="5" t="inlineStr">
        <is>
          <t>Description</t>
        </is>
      </c>
      <c r="C842" s="5" t="inlineStr">
        <is>
          <t>Unit</t>
        </is>
      </c>
      <c r="D842" s="5" t="inlineStr">
        <is>
          <t>Quantity</t>
        </is>
      </c>
      <c r="E842" s="5" t="inlineStr">
        <is>
          <t>Rate (Rs.)</t>
        </is>
      </c>
      <c r="F842" s="5" t="inlineStr">
        <is>
          <t>Amount (Rs.)</t>
        </is>
      </c>
    </row>
    <row r="843">
      <c r="A843" s="13" t="inlineStr">
        <is>
          <t>3.3</t>
        </is>
      </c>
      <c r="B843" s="14" t="inlineStr">
        <is>
          <t>Rate as per SH: 3.3</t>
        </is>
      </c>
      <c r="C843" s="13" t="inlineStr">
        <is>
          <t>cum</t>
        </is>
      </c>
      <c r="D843" s="15" t="n">
        <v>0.002</v>
      </c>
      <c r="E843" s="16" t="n">
        <v>4183.05</v>
      </c>
      <c r="F843" s="16">
        <f>D843*E843</f>
        <v/>
      </c>
    </row>
    <row r="844">
      <c r="A844" s="13" t="inlineStr">
        <is>
          <t>2204</t>
        </is>
      </c>
      <c r="B844" s="14" t="inlineStr">
        <is>
          <t>Carriage of Timber</t>
        </is>
      </c>
      <c r="C844" s="13" t="inlineStr">
        <is>
          <t>cum</t>
        </is>
      </c>
      <c r="D844" s="15" t="n">
        <v>0.014</v>
      </c>
      <c r="E844" s="16" t="n">
        <v>118.59</v>
      </c>
      <c r="F844" s="16">
        <f>D844*E844</f>
        <v/>
      </c>
    </row>
    <row r="845">
      <c r="A845" s="13" t="inlineStr">
        <is>
          <t>0112</t>
        </is>
      </c>
      <c r="B845" s="14" t="inlineStr">
        <is>
          <t>Carpenter 2nd class</t>
        </is>
      </c>
      <c r="C845" s="13" t="inlineStr">
        <is>
          <t>day</t>
        </is>
      </c>
      <c r="D845" s="15" t="n">
        <v>0.75</v>
      </c>
      <c r="E845" s="16" t="n">
        <v>679</v>
      </c>
      <c r="F845" s="16">
        <f>D845*E845</f>
        <v/>
      </c>
    </row>
    <row r="846">
      <c r="A846" s="13" t="inlineStr">
        <is>
          <t>0124</t>
        </is>
      </c>
      <c r="B846" s="14" t="inlineStr">
        <is>
          <t>Mason (brick layer) 2nd class</t>
        </is>
      </c>
      <c r="C846" s="13" t="inlineStr">
        <is>
          <t>day</t>
        </is>
      </c>
      <c r="D846" s="15" t="n">
        <v>0.75</v>
      </c>
      <c r="E846" s="16" t="n">
        <v>679</v>
      </c>
      <c r="F846" s="16">
        <f>D846*E846</f>
        <v/>
      </c>
    </row>
    <row r="847">
      <c r="A847" s="13" t="inlineStr">
        <is>
          <t>0114</t>
        </is>
      </c>
      <c r="B847" s="14" t="inlineStr">
        <is>
          <t>Beldar</t>
        </is>
      </c>
      <c r="C847" s="13" t="inlineStr">
        <is>
          <t>day</t>
        </is>
      </c>
      <c r="D847" s="15" t="n">
        <v>0.75</v>
      </c>
      <c r="E847" s="16" t="n">
        <v>558</v>
      </c>
      <c r="F847" s="16">
        <f>D847*E847</f>
        <v/>
      </c>
    </row>
    <row r="848">
      <c r="A848" s="17" t="inlineStr">
        <is>
          <t>Resource Total (Material + Labour + Machinery, as printed)</t>
        </is>
      </c>
      <c r="B848" s="18" t="n"/>
      <c r="C848" s="18" t="n"/>
      <c r="D848" s="18" t="n"/>
      <c r="E848" s="18" t="n"/>
      <c r="F848" s="19">
        <f>SUM(F843:F847)</f>
        <v/>
      </c>
    </row>
    <row r="849">
      <c r="A849" s="20" t="inlineStr">
        <is>
          <t>SAY (Rs.) — final DAR rate</t>
        </is>
      </c>
      <c r="B849" s="21" t="n"/>
      <c r="C849" s="21" t="n"/>
      <c r="D849" s="21" t="n"/>
      <c r="E849" s="21" t="n"/>
      <c r="F849" s="22" t="n">
        <v>33.9</v>
      </c>
    </row>
    <row r="851" ht="18" customHeight="1">
      <c r="A851" s="9" t="inlineStr">
        <is>
          <t>8.24.1</t>
        </is>
      </c>
      <c r="B851" s="10" t="inlineStr">
        <is>
          <t>25 mm long</t>
        </is>
      </c>
      <c r="C851" s="11" t="n"/>
      <c r="D851" s="11" t="n"/>
      <c r="E851" s="11" t="n"/>
      <c r="F851" s="11" t="n"/>
    </row>
    <row r="852">
      <c r="A852" s="12" t="inlineStr">
        <is>
          <t>Rate basis: per nos  (source: cost for 10 nos)</t>
        </is>
      </c>
    </row>
    <row r="853">
      <c r="A853" s="5" t="inlineStr">
        <is>
          <t>Code</t>
        </is>
      </c>
      <c r="B853" s="5" t="inlineStr">
        <is>
          <t>Description</t>
        </is>
      </c>
      <c r="C853" s="5" t="inlineStr">
        <is>
          <t>Unit</t>
        </is>
      </c>
      <c r="D853" s="5" t="inlineStr">
        <is>
          <t>Quantity</t>
        </is>
      </c>
      <c r="E853" s="5" t="inlineStr">
        <is>
          <t>Rate (Rs.)</t>
        </is>
      </c>
      <c r="F853" s="5" t="inlineStr">
        <is>
          <t>Amount (Rs.)</t>
        </is>
      </c>
    </row>
    <row r="854">
      <c r="A854" s="13" t="inlineStr">
        <is>
          <t>7312</t>
        </is>
      </c>
      <c r="B854" s="14" t="inlineStr">
        <is>
          <t>Expandable fastner with plastic sleeve and M.S. screws. 25 mm long</t>
        </is>
      </c>
      <c r="C854" s="13" t="inlineStr">
        <is>
          <t>each</t>
        </is>
      </c>
      <c r="D854" s="15" t="n">
        <v>10</v>
      </c>
      <c r="E854" s="16" t="n">
        <v>10</v>
      </c>
      <c r="F854" s="16">
        <f>D854*E854</f>
        <v/>
      </c>
    </row>
    <row r="855">
      <c r="A855" s="13" t="inlineStr">
        <is>
          <t>9999</t>
        </is>
      </c>
      <c r="B855" s="14" t="inlineStr">
        <is>
          <t>Labour for drilling holes and making good etc.</t>
        </is>
      </c>
      <c r="C855" s="13" t="inlineStr">
        <is>
          <t>L.S.</t>
        </is>
      </c>
      <c r="D855" s="15" t="n">
        <v>20.8</v>
      </c>
      <c r="E855" s="16" t="n">
        <v>2</v>
      </c>
      <c r="F855" s="16">
        <f>D855*E855</f>
        <v/>
      </c>
    </row>
    <row r="856">
      <c r="A856" s="17" t="inlineStr">
        <is>
          <t>Resource Total (Material + Labour + Machinery, as printed)</t>
        </is>
      </c>
      <c r="B856" s="18" t="n"/>
      <c r="C856" s="18" t="n"/>
      <c r="D856" s="18" t="n"/>
      <c r="E856" s="18" t="n"/>
      <c r="F856" s="19">
        <f>SUM(F854:F855)</f>
        <v/>
      </c>
    </row>
    <row r="857">
      <c r="A857" s="20" t="inlineStr">
        <is>
          <t>SAY (Rs.) — final DAR rate</t>
        </is>
      </c>
      <c r="B857" s="21" t="n"/>
      <c r="C857" s="21" t="n"/>
      <c r="D857" s="21" t="n"/>
      <c r="E857" s="21" t="n"/>
      <c r="F857" s="22" t="n">
        <v>18.95</v>
      </c>
    </row>
    <row r="859" ht="18" customHeight="1">
      <c r="A859" s="9" t="inlineStr">
        <is>
          <t>8.24.2</t>
        </is>
      </c>
      <c r="B859" s="10" t="inlineStr">
        <is>
          <t>32 mm long</t>
        </is>
      </c>
      <c r="C859" s="11" t="n"/>
      <c r="D859" s="11" t="n"/>
      <c r="E859" s="11" t="n"/>
      <c r="F859" s="11" t="n"/>
    </row>
    <row r="860">
      <c r="A860" s="12" t="inlineStr">
        <is>
          <t>Rate basis: per nos  (source: cost for 10 nos)</t>
        </is>
      </c>
    </row>
    <row r="861">
      <c r="A861" s="5" t="inlineStr">
        <is>
          <t>Code</t>
        </is>
      </c>
      <c r="B861" s="5" t="inlineStr">
        <is>
          <t>Description</t>
        </is>
      </c>
      <c r="C861" s="5" t="inlineStr">
        <is>
          <t>Unit</t>
        </is>
      </c>
      <c r="D861" s="5" t="inlineStr">
        <is>
          <t>Quantity</t>
        </is>
      </c>
      <c r="E861" s="5" t="inlineStr">
        <is>
          <t>Rate (Rs.)</t>
        </is>
      </c>
      <c r="F861" s="5" t="inlineStr">
        <is>
          <t>Amount (Rs.)</t>
        </is>
      </c>
    </row>
    <row r="862">
      <c r="A862" s="13" t="inlineStr">
        <is>
          <t>7313</t>
        </is>
      </c>
      <c r="B862" s="14" t="inlineStr">
        <is>
          <t>Expandable fastner with plastic sleeve and M.S. screws. 32 mm long</t>
        </is>
      </c>
      <c r="C862" s="13" t="inlineStr">
        <is>
          <t>each</t>
        </is>
      </c>
      <c r="D862" s="15" t="n">
        <v>10</v>
      </c>
      <c r="E862" s="16" t="n">
        <v>10</v>
      </c>
      <c r="F862" s="16">
        <f>D862*E862</f>
        <v/>
      </c>
    </row>
    <row r="863">
      <c r="A863" s="13" t="inlineStr">
        <is>
          <t>9999</t>
        </is>
      </c>
      <c r="B863" s="14" t="inlineStr">
        <is>
          <t>Labour for drilling holes and making good etc.</t>
        </is>
      </c>
      <c r="C863" s="13" t="inlineStr">
        <is>
          <t>L.S.</t>
        </is>
      </c>
      <c r="D863" s="15" t="n">
        <v>26</v>
      </c>
      <c r="E863" s="16" t="n">
        <v>2</v>
      </c>
      <c r="F863" s="16">
        <f>D863*E863</f>
        <v/>
      </c>
    </row>
    <row r="864">
      <c r="A864" s="17" t="inlineStr">
        <is>
          <t>Resource Total (Material + Labour + Machinery, as printed)</t>
        </is>
      </c>
      <c r="B864" s="18" t="n"/>
      <c r="C864" s="18" t="n"/>
      <c r="D864" s="18" t="n"/>
      <c r="E864" s="18" t="n"/>
      <c r="F864" s="19">
        <f>SUM(F862:F863)</f>
        <v/>
      </c>
    </row>
    <row r="865">
      <c r="A865" s="20" t="inlineStr">
        <is>
          <t>SAY (Rs.) — final DAR rate</t>
        </is>
      </c>
      <c r="B865" s="21" t="n"/>
      <c r="C865" s="21" t="n"/>
      <c r="D865" s="21" t="n"/>
      <c r="E865" s="21" t="n"/>
      <c r="F865" s="22" t="n">
        <v>20.35</v>
      </c>
    </row>
    <row r="867" ht="18" customHeight="1">
      <c r="A867" s="9" t="inlineStr">
        <is>
          <t>8.24.3</t>
        </is>
      </c>
      <c r="B867" s="10" t="inlineStr">
        <is>
          <t>40 mm long</t>
        </is>
      </c>
      <c r="C867" s="11" t="n"/>
      <c r="D867" s="11" t="n"/>
      <c r="E867" s="11" t="n"/>
      <c r="F867" s="11" t="n"/>
    </row>
    <row r="868">
      <c r="A868" s="12" t="inlineStr">
        <is>
          <t>Rate basis: per nos  (source: cost for 10 nos)</t>
        </is>
      </c>
    </row>
    <row r="869">
      <c r="A869" s="5" t="inlineStr">
        <is>
          <t>Code</t>
        </is>
      </c>
      <c r="B869" s="5" t="inlineStr">
        <is>
          <t>Description</t>
        </is>
      </c>
      <c r="C869" s="5" t="inlineStr">
        <is>
          <t>Unit</t>
        </is>
      </c>
      <c r="D869" s="5" t="inlineStr">
        <is>
          <t>Quantity</t>
        </is>
      </c>
      <c r="E869" s="5" t="inlineStr">
        <is>
          <t>Rate (Rs.)</t>
        </is>
      </c>
      <c r="F869" s="5" t="inlineStr">
        <is>
          <t>Amount (Rs.)</t>
        </is>
      </c>
    </row>
    <row r="870">
      <c r="A870" s="13" t="inlineStr">
        <is>
          <t>7314</t>
        </is>
      </c>
      <c r="B870" s="14" t="inlineStr">
        <is>
          <t>Expandable fastner with plastic sleeve and M.S. screws. 40 mm long</t>
        </is>
      </c>
      <c r="C870" s="13" t="inlineStr">
        <is>
          <t>each</t>
        </is>
      </c>
      <c r="D870" s="15" t="n">
        <v>10</v>
      </c>
      <c r="E870" s="16" t="n">
        <v>13</v>
      </c>
      <c r="F870" s="16">
        <f>D870*E870</f>
        <v/>
      </c>
    </row>
    <row r="871">
      <c r="A871" s="13" t="inlineStr">
        <is>
          <t>9999</t>
        </is>
      </c>
      <c r="B871" s="14" t="inlineStr">
        <is>
          <t>Labour for drilling holes and making good etc.</t>
        </is>
      </c>
      <c r="C871" s="13" t="inlineStr">
        <is>
          <t>L.S.</t>
        </is>
      </c>
      <c r="D871" s="15" t="n">
        <v>26</v>
      </c>
      <c r="E871" s="16" t="n">
        <v>2</v>
      </c>
      <c r="F871" s="16">
        <f>D871*E871</f>
        <v/>
      </c>
    </row>
    <row r="872">
      <c r="A872" s="17" t="inlineStr">
        <is>
          <t>Resource Total (Material + Labour + Machinery, as printed)</t>
        </is>
      </c>
      <c r="B872" s="18" t="n"/>
      <c r="C872" s="18" t="n"/>
      <c r="D872" s="18" t="n"/>
      <c r="E872" s="18" t="n"/>
      <c r="F872" s="19">
        <f>SUM(F870:F871)</f>
        <v/>
      </c>
    </row>
    <row r="873">
      <c r="A873" s="20" t="inlineStr">
        <is>
          <t>SAY (Rs.) — final DAR rate</t>
        </is>
      </c>
      <c r="B873" s="21" t="n"/>
      <c r="C873" s="21" t="n"/>
      <c r="D873" s="21" t="n"/>
      <c r="E873" s="21" t="n"/>
      <c r="F873" s="22" t="n">
        <v>24.35</v>
      </c>
    </row>
    <row r="875" ht="18" customHeight="1">
      <c r="A875" s="9" t="inlineStr">
        <is>
          <t>8.24.4</t>
        </is>
      </c>
      <c r="B875" s="10" t="inlineStr">
        <is>
          <t>50 mm long</t>
        </is>
      </c>
      <c r="C875" s="11" t="n"/>
      <c r="D875" s="11" t="n"/>
      <c r="E875" s="11" t="n"/>
      <c r="F875" s="11" t="n"/>
    </row>
    <row r="876">
      <c r="A876" s="12" t="inlineStr">
        <is>
          <t>Rate basis: per nos  (source: cost for 10 nos)</t>
        </is>
      </c>
    </row>
    <row r="877">
      <c r="A877" s="5" t="inlineStr">
        <is>
          <t>Code</t>
        </is>
      </c>
      <c r="B877" s="5" t="inlineStr">
        <is>
          <t>Description</t>
        </is>
      </c>
      <c r="C877" s="5" t="inlineStr">
        <is>
          <t>Unit</t>
        </is>
      </c>
      <c r="D877" s="5" t="inlineStr">
        <is>
          <t>Quantity</t>
        </is>
      </c>
      <c r="E877" s="5" t="inlineStr">
        <is>
          <t>Rate (Rs.)</t>
        </is>
      </c>
      <c r="F877" s="5" t="inlineStr">
        <is>
          <t>Amount (Rs.)</t>
        </is>
      </c>
    </row>
    <row r="878">
      <c r="A878" s="13" t="inlineStr">
        <is>
          <t>7315</t>
        </is>
      </c>
      <c r="B878" s="14" t="inlineStr">
        <is>
          <t>Expandable fastner with plastic sleeve and M.S. screws. 50 mm long</t>
        </is>
      </c>
      <c r="C878" s="13" t="inlineStr">
        <is>
          <t>each</t>
        </is>
      </c>
      <c r="D878" s="15" t="n">
        <v>10</v>
      </c>
      <c r="E878" s="16" t="n">
        <v>14</v>
      </c>
      <c r="F878" s="16">
        <f>D878*E878</f>
        <v/>
      </c>
    </row>
    <row r="879">
      <c r="A879" s="13" t="inlineStr">
        <is>
          <t>9999</t>
        </is>
      </c>
      <c r="B879" s="14" t="inlineStr">
        <is>
          <t>Labour for drilling holes and making good etc.</t>
        </is>
      </c>
      <c r="C879" s="13" t="inlineStr">
        <is>
          <t>L.S.</t>
        </is>
      </c>
      <c r="D879" s="15" t="n">
        <v>26</v>
      </c>
      <c r="E879" s="16" t="n">
        <v>2</v>
      </c>
      <c r="F879" s="16">
        <f>D879*E879</f>
        <v/>
      </c>
    </row>
    <row r="880">
      <c r="A880" s="17" t="inlineStr">
        <is>
          <t>Resource Total (Material + Labour + Machinery, as printed)</t>
        </is>
      </c>
      <c r="B880" s="18" t="n"/>
      <c r="C880" s="18" t="n"/>
      <c r="D880" s="18" t="n"/>
      <c r="E880" s="18" t="n"/>
      <c r="F880" s="19">
        <f>SUM(F878:F879)</f>
        <v/>
      </c>
    </row>
    <row r="881">
      <c r="A881" s="20" t="inlineStr">
        <is>
          <t>SAY (Rs.) — final DAR rate</t>
        </is>
      </c>
      <c r="B881" s="21" t="n"/>
      <c r="C881" s="21" t="n"/>
      <c r="D881" s="21" t="n"/>
      <c r="E881" s="21" t="n"/>
      <c r="F881" s="22" t="n">
        <v>25.7</v>
      </c>
    </row>
    <row r="883" ht="18" customHeight="1">
      <c r="A883" s="9" t="inlineStr">
        <is>
          <t>8.25.1</t>
        </is>
      </c>
      <c r="B883" s="10" t="inlineStr">
        <is>
          <t>40 mm thick</t>
        </is>
      </c>
      <c r="C883" s="11" t="n"/>
      <c r="D883" s="11" t="n"/>
      <c r="E883" s="11" t="n"/>
      <c r="F883" s="11" t="n"/>
    </row>
    <row r="884">
      <c r="A884" s="12" t="inlineStr">
        <is>
          <t>Rate basis: per sqm  (source: cost for 10 sqm)</t>
        </is>
      </c>
    </row>
    <row r="885">
      <c r="A885" s="5" t="inlineStr">
        <is>
          <t>Code</t>
        </is>
      </c>
      <c r="B885" s="5" t="inlineStr">
        <is>
          <t>Description</t>
        </is>
      </c>
      <c r="C885" s="5" t="inlineStr">
        <is>
          <t>Unit</t>
        </is>
      </c>
      <c r="D885" s="5" t="inlineStr">
        <is>
          <t>Quantity</t>
        </is>
      </c>
      <c r="E885" s="5" t="inlineStr">
        <is>
          <t>Rate (Rs.)</t>
        </is>
      </c>
      <c r="F885" s="5" t="inlineStr">
        <is>
          <t>Amount (Rs.)</t>
        </is>
      </c>
    </row>
    <row r="886">
      <c r="A886" s="13" t="inlineStr">
        <is>
          <t>9.32</t>
        </is>
      </c>
      <c r="B886" s="14" t="inlineStr">
        <is>
          <t>Rate as per SH: 9.32</t>
        </is>
      </c>
      <c r="C886" s="13" t="inlineStr">
        <is>
          <t>each</t>
        </is>
      </c>
      <c r="D886" s="15" t="n">
        <v>55</v>
      </c>
      <c r="E886" s="16" t="n">
        <v>33.9</v>
      </c>
      <c r="F886" s="16">
        <f>D886*E886</f>
        <v/>
      </c>
    </row>
    <row r="887">
      <c r="A887" s="13" t="inlineStr">
        <is>
          <t>13.50.1</t>
        </is>
      </c>
      <c r="B887" s="14" t="inlineStr">
        <is>
          <t>Rate as per SH: 13.50.1</t>
        </is>
      </c>
      <c r="C887" s="13" t="inlineStr">
        <is>
          <t>sqm</t>
        </is>
      </c>
      <c r="D887" s="15" t="n">
        <v>10</v>
      </c>
      <c r="E887" s="16" t="n">
        <v>57.05</v>
      </c>
      <c r="F887" s="16">
        <f>D887*E887</f>
        <v/>
      </c>
    </row>
    <row r="888">
      <c r="A888" s="13" t="inlineStr">
        <is>
          <t>2204</t>
        </is>
      </c>
      <c r="B888" s="14" t="inlineStr">
        <is>
          <t>Carriage of Timber</t>
        </is>
      </c>
      <c r="C888" s="13" t="inlineStr">
        <is>
          <t>cum</t>
        </is>
      </c>
      <c r="D888" s="15" t="n">
        <v>0.44</v>
      </c>
      <c r="E888" s="16" t="n">
        <v>118.59</v>
      </c>
      <c r="F888" s="16">
        <f>D888*E888</f>
        <v/>
      </c>
    </row>
    <row r="889">
      <c r="A889" s="13" t="inlineStr">
        <is>
          <t>0111</t>
        </is>
      </c>
      <c r="B889" s="14" t="inlineStr">
        <is>
          <t>Carpenter 1st class</t>
        </is>
      </c>
      <c r="C889" s="13" t="inlineStr">
        <is>
          <t>day</t>
        </is>
      </c>
      <c r="D889" s="15" t="n">
        <v>2.15</v>
      </c>
      <c r="E889" s="16" t="n">
        <v>738</v>
      </c>
      <c r="F889" s="16">
        <f>D889*E889</f>
        <v/>
      </c>
    </row>
    <row r="890">
      <c r="A890" s="13" t="inlineStr">
        <is>
          <t>0114</t>
        </is>
      </c>
      <c r="B890" s="14" t="inlineStr">
        <is>
          <t>Beldar</t>
        </is>
      </c>
      <c r="C890" s="13" t="inlineStr">
        <is>
          <t>day</t>
        </is>
      </c>
      <c r="D890" s="15" t="n">
        <v>1.62</v>
      </c>
      <c r="E890" s="16" t="n">
        <v>558</v>
      </c>
      <c r="F890" s="16">
        <f>D890*E890</f>
        <v/>
      </c>
    </row>
    <row r="891">
      <c r="A891" s="13" t="inlineStr">
        <is>
          <t>9999</t>
        </is>
      </c>
      <c r="B891" s="14" t="inlineStr">
        <is>
          <t>Sundries &amp; screws etc.</t>
        </is>
      </c>
      <c r="C891" s="13" t="inlineStr">
        <is>
          <t>L.S.</t>
        </is>
      </c>
      <c r="D891" s="15" t="n">
        <v>53.82</v>
      </c>
      <c r="E891" s="16" t="n">
        <v>2</v>
      </c>
      <c r="F891" s="16">
        <f>D891*E891</f>
        <v/>
      </c>
    </row>
    <row r="892">
      <c r="A892" s="17" t="inlineStr">
        <is>
          <t>Resource Total (Material + Labour + Machinery, as printed)</t>
        </is>
      </c>
      <c r="B892" s="18" t="n"/>
      <c r="C892" s="18" t="n"/>
      <c r="D892" s="18" t="n"/>
      <c r="E892" s="18" t="n"/>
      <c r="F892" s="19">
        <f>SUM(F886:F891)</f>
        <v/>
      </c>
    </row>
    <row r="893">
      <c r="A893" s="20" t="inlineStr">
        <is>
          <t>SAY (Rs.) — final DAR rate</t>
        </is>
      </c>
      <c r="B893" s="21" t="n"/>
      <c r="C893" s="21" t="n"/>
      <c r="D893" s="21" t="n"/>
      <c r="E893" s="21" t="n"/>
      <c r="F893" s="22" t="n">
        <v>6137.7</v>
      </c>
    </row>
    <row r="895" ht="18" customHeight="1">
      <c r="A895" s="9" t="inlineStr">
        <is>
          <t>8.25.2</t>
        </is>
      </c>
      <c r="B895" s="10" t="inlineStr">
        <is>
          <t>25 mm thick</t>
        </is>
      </c>
      <c r="C895" s="11" t="n"/>
      <c r="D895" s="11" t="n"/>
      <c r="E895" s="11" t="n"/>
      <c r="F895" s="11" t="n"/>
    </row>
    <row r="896">
      <c r="A896" s="12" t="inlineStr">
        <is>
          <t>Rate basis: per sqm  (source: cost for 10 sqm)</t>
        </is>
      </c>
    </row>
    <row r="897">
      <c r="A897" s="5" t="inlineStr">
        <is>
          <t>Code</t>
        </is>
      </c>
      <c r="B897" s="5" t="inlineStr">
        <is>
          <t>Description</t>
        </is>
      </c>
      <c r="C897" s="5" t="inlineStr">
        <is>
          <t>Unit</t>
        </is>
      </c>
      <c r="D897" s="5" t="inlineStr">
        <is>
          <t>Quantity</t>
        </is>
      </c>
      <c r="E897" s="5" t="inlineStr">
        <is>
          <t>Rate (Rs.)</t>
        </is>
      </c>
      <c r="F897" s="5" t="inlineStr">
        <is>
          <t>Amount (Rs.)</t>
        </is>
      </c>
    </row>
    <row r="898">
      <c r="A898" s="13" t="inlineStr">
        <is>
          <t>9.32</t>
        </is>
      </c>
      <c r="B898" s="14" t="inlineStr">
        <is>
          <t>Rate as per SH: 9.32</t>
        </is>
      </c>
      <c r="C898" s="13" t="inlineStr">
        <is>
          <t>each</t>
        </is>
      </c>
      <c r="D898" s="15" t="n">
        <v>55</v>
      </c>
      <c r="E898" s="16" t="n">
        <v>33.9</v>
      </c>
      <c r="F898" s="16">
        <f>D898*E898</f>
        <v/>
      </c>
    </row>
    <row r="899">
      <c r="A899" s="13" t="inlineStr">
        <is>
          <t>13.50.1</t>
        </is>
      </c>
      <c r="B899" s="14" t="inlineStr">
        <is>
          <t>Rate as per SH: 13.50.1</t>
        </is>
      </c>
      <c r="C899" s="13" t="inlineStr">
        <is>
          <t>sqm</t>
        </is>
      </c>
      <c r="D899" s="15" t="n">
        <v>10</v>
      </c>
      <c r="E899" s="16" t="n">
        <v>57.05</v>
      </c>
      <c r="F899" s="16">
        <f>D899*E899</f>
        <v/>
      </c>
    </row>
    <row r="900">
      <c r="A900" s="13" t="inlineStr">
        <is>
          <t>2204</t>
        </is>
      </c>
      <c r="B900" s="14" t="inlineStr">
        <is>
          <t>Carriage of Timber</t>
        </is>
      </c>
      <c r="C900" s="13" t="inlineStr">
        <is>
          <t>cum</t>
        </is>
      </c>
      <c r="D900" s="15" t="n">
        <v>0.275</v>
      </c>
      <c r="E900" s="16" t="n">
        <v>118.59</v>
      </c>
      <c r="F900" s="16">
        <f>D900*E900</f>
        <v/>
      </c>
    </row>
    <row r="901">
      <c r="A901" s="13" t="inlineStr">
        <is>
          <t>0111</t>
        </is>
      </c>
      <c r="B901" s="14" t="inlineStr">
        <is>
          <t>Carpenter 1st class</t>
        </is>
      </c>
      <c r="C901" s="13" t="inlineStr">
        <is>
          <t>day</t>
        </is>
      </c>
      <c r="D901" s="15" t="n">
        <v>2.15</v>
      </c>
      <c r="E901" s="16" t="n">
        <v>738</v>
      </c>
      <c r="F901" s="16">
        <f>D901*E901</f>
        <v/>
      </c>
    </row>
    <row r="902">
      <c r="A902" s="13" t="inlineStr">
        <is>
          <t>0114</t>
        </is>
      </c>
      <c r="B902" s="14" t="inlineStr">
        <is>
          <t>Beldar</t>
        </is>
      </c>
      <c r="C902" s="13" t="inlineStr">
        <is>
          <t>day</t>
        </is>
      </c>
      <c r="D902" s="15" t="n">
        <v>1.62</v>
      </c>
      <c r="E902" s="16" t="n">
        <v>558</v>
      </c>
      <c r="F902" s="16">
        <f>D902*E902</f>
        <v/>
      </c>
    </row>
    <row r="903">
      <c r="A903" s="13" t="inlineStr">
        <is>
          <t>9999</t>
        </is>
      </c>
      <c r="B903" s="14" t="inlineStr">
        <is>
          <t>Sundries &amp; screws etc.</t>
        </is>
      </c>
      <c r="C903" s="13" t="inlineStr">
        <is>
          <t>L.S.</t>
        </is>
      </c>
      <c r="D903" s="15" t="n">
        <v>53.82</v>
      </c>
      <c r="E903" s="16" t="n">
        <v>2</v>
      </c>
      <c r="F903" s="16">
        <f>D903*E903</f>
        <v/>
      </c>
    </row>
    <row r="904">
      <c r="A904" s="17" t="inlineStr">
        <is>
          <t>Resource Total (Material + Labour + Machinery, as printed)</t>
        </is>
      </c>
      <c r="B904" s="18" t="n"/>
      <c r="C904" s="18" t="n"/>
      <c r="D904" s="18" t="n"/>
      <c r="E904" s="18" t="n"/>
      <c r="F904" s="19">
        <f>SUM(F898:F903)</f>
        <v/>
      </c>
    </row>
    <row r="905">
      <c r="A905" s="20" t="inlineStr">
        <is>
          <t>SAY (Rs.) — final DAR rate</t>
        </is>
      </c>
      <c r="B905" s="21" t="n"/>
      <c r="C905" s="21" t="n"/>
      <c r="D905" s="21" t="n"/>
      <c r="E905" s="21" t="n"/>
      <c r="F905" s="22" t="n">
        <v>4057.75</v>
      </c>
    </row>
    <row r="907" ht="18" customHeight="1">
      <c r="A907" s="9" t="inlineStr">
        <is>
          <t>8.25.3</t>
        </is>
      </c>
      <c r="B907" s="10" t="inlineStr">
        <is>
          <t>20 mm thick</t>
        </is>
      </c>
      <c r="C907" s="11" t="n"/>
      <c r="D907" s="11" t="n"/>
      <c r="E907" s="11" t="n"/>
      <c r="F907" s="11" t="n"/>
    </row>
    <row r="908">
      <c r="A908" s="12" t="inlineStr">
        <is>
          <t>Rate basis: per sqm  (source: cost for 10 sqm)</t>
        </is>
      </c>
    </row>
    <row r="909">
      <c r="A909" s="5" t="inlineStr">
        <is>
          <t>Code</t>
        </is>
      </c>
      <c r="B909" s="5" t="inlineStr">
        <is>
          <t>Description</t>
        </is>
      </c>
      <c r="C909" s="5" t="inlineStr">
        <is>
          <t>Unit</t>
        </is>
      </c>
      <c r="D909" s="5" t="inlineStr">
        <is>
          <t>Quantity</t>
        </is>
      </c>
      <c r="E909" s="5" t="inlineStr">
        <is>
          <t>Rate (Rs.)</t>
        </is>
      </c>
      <c r="F909" s="5" t="inlineStr">
        <is>
          <t>Amount (Rs.)</t>
        </is>
      </c>
    </row>
    <row r="910">
      <c r="A910" s="13" t="inlineStr">
        <is>
          <t>9.32</t>
        </is>
      </c>
      <c r="B910" s="14" t="inlineStr">
        <is>
          <t>Rate as per SH: 9.32</t>
        </is>
      </c>
      <c r="C910" s="13" t="inlineStr">
        <is>
          <t>each</t>
        </is>
      </c>
      <c r="D910" s="15" t="n">
        <v>55</v>
      </c>
      <c r="E910" s="16" t="n">
        <v>33.9</v>
      </c>
      <c r="F910" s="16">
        <f>D910*E910</f>
        <v/>
      </c>
    </row>
    <row r="911">
      <c r="A911" s="13" t="inlineStr">
        <is>
          <t>13.50.1</t>
        </is>
      </c>
      <c r="B911" s="14" t="inlineStr">
        <is>
          <t>Rate as per SH: 13.50.1</t>
        </is>
      </c>
      <c r="C911" s="13" t="inlineStr">
        <is>
          <t>sqm</t>
        </is>
      </c>
      <c r="D911" s="15" t="n">
        <v>10</v>
      </c>
      <c r="E911" s="16" t="n">
        <v>57.05</v>
      </c>
      <c r="F911" s="16">
        <f>D911*E911</f>
        <v/>
      </c>
    </row>
    <row r="912">
      <c r="A912" s="13" t="inlineStr">
        <is>
          <t>2204</t>
        </is>
      </c>
      <c r="B912" s="14" t="inlineStr">
        <is>
          <t>Carriage of Timber</t>
        </is>
      </c>
      <c r="C912" s="13" t="inlineStr">
        <is>
          <t>cum</t>
        </is>
      </c>
      <c r="D912" s="15" t="n">
        <v>0.22</v>
      </c>
      <c r="E912" s="16" t="n">
        <v>118.59</v>
      </c>
      <c r="F912" s="16">
        <f>D912*E912</f>
        <v/>
      </c>
    </row>
    <row r="913">
      <c r="A913" s="13" t="inlineStr">
        <is>
          <t>0111</t>
        </is>
      </c>
      <c r="B913" s="14" t="inlineStr">
        <is>
          <t>Carpenter 1st class</t>
        </is>
      </c>
      <c r="C913" s="13" t="inlineStr">
        <is>
          <t>day</t>
        </is>
      </c>
      <c r="D913" s="15" t="n">
        <v>1.08</v>
      </c>
      <c r="E913" s="16" t="n">
        <v>738</v>
      </c>
      <c r="F913" s="16">
        <f>D913*E913</f>
        <v/>
      </c>
    </row>
    <row r="914">
      <c r="A914" s="13" t="inlineStr">
        <is>
          <t>0112</t>
        </is>
      </c>
      <c r="B914" s="14" t="inlineStr">
        <is>
          <t>Carpenter 2nd class</t>
        </is>
      </c>
      <c r="C914" s="13" t="inlineStr">
        <is>
          <t>day</t>
        </is>
      </c>
      <c r="D914" s="15" t="n">
        <v>0.8</v>
      </c>
      <c r="E914" s="16" t="n">
        <v>679</v>
      </c>
      <c r="F914" s="16">
        <f>D914*E914</f>
        <v/>
      </c>
    </row>
    <row r="915">
      <c r="A915" s="13" t="inlineStr">
        <is>
          <t>0114</t>
        </is>
      </c>
      <c r="B915" s="14" t="inlineStr">
        <is>
          <t>Beldar</t>
        </is>
      </c>
      <c r="C915" s="13" t="inlineStr">
        <is>
          <t>day</t>
        </is>
      </c>
      <c r="D915" s="15" t="n">
        <v>1.08</v>
      </c>
      <c r="E915" s="16" t="n">
        <v>558</v>
      </c>
      <c r="F915" s="16">
        <f>D915*E915</f>
        <v/>
      </c>
    </row>
    <row r="916">
      <c r="A916" s="13" t="inlineStr">
        <is>
          <t>9999</t>
        </is>
      </c>
      <c r="B916" s="14" t="inlineStr">
        <is>
          <t>Sundries &amp; screws etc.</t>
        </is>
      </c>
      <c r="C916" s="13" t="inlineStr">
        <is>
          <t>L.S.</t>
        </is>
      </c>
      <c r="D916" s="15" t="n">
        <v>53.82</v>
      </c>
      <c r="E916" s="16" t="n">
        <v>2</v>
      </c>
      <c r="F916" s="16">
        <f>D916*E916</f>
        <v/>
      </c>
    </row>
    <row r="917">
      <c r="A917" s="17" t="inlineStr">
        <is>
          <t>Resource Total (Material + Labour + Machinery, as printed)</t>
        </is>
      </c>
      <c r="B917" s="18" t="n"/>
      <c r="C917" s="18" t="n"/>
      <c r="D917" s="18" t="n"/>
      <c r="E917" s="18" t="n"/>
      <c r="F917" s="19">
        <f>SUM(F910:F916)</f>
        <v/>
      </c>
    </row>
    <row r="918">
      <c r="A918" s="20" t="inlineStr">
        <is>
          <t>SAY (Rs.) — final DAR rate</t>
        </is>
      </c>
      <c r="B918" s="21" t="n"/>
      <c r="C918" s="21" t="n"/>
      <c r="D918" s="21" t="n"/>
      <c r="E918" s="21" t="n"/>
      <c r="F918" s="22" t="n">
        <v>3291.15</v>
      </c>
    </row>
    <row r="920" ht="18" customHeight="1">
      <c r="A920" s="9" t="inlineStr">
        <is>
          <t>8.25.4</t>
        </is>
      </c>
      <c r="B920" s="10" t="inlineStr">
        <is>
          <t>12 mm thick</t>
        </is>
      </c>
      <c r="C920" s="11" t="n"/>
      <c r="D920" s="11" t="n"/>
      <c r="E920" s="11" t="n"/>
      <c r="F920" s="11" t="n"/>
    </row>
    <row r="921">
      <c r="A921" s="12" t="inlineStr">
        <is>
          <t>Rate basis: per sqm  (source: cost for 10 sqm)</t>
        </is>
      </c>
    </row>
    <row r="922">
      <c r="A922" s="5" t="inlineStr">
        <is>
          <t>Code</t>
        </is>
      </c>
      <c r="B922" s="5" t="inlineStr">
        <is>
          <t>Description</t>
        </is>
      </c>
      <c r="C922" s="5" t="inlineStr">
        <is>
          <t>Unit</t>
        </is>
      </c>
      <c r="D922" s="5" t="inlineStr">
        <is>
          <t>Quantity</t>
        </is>
      </c>
      <c r="E922" s="5" t="inlineStr">
        <is>
          <t>Rate (Rs.)</t>
        </is>
      </c>
      <c r="F922" s="5" t="inlineStr">
        <is>
          <t>Amount (Rs.)</t>
        </is>
      </c>
    </row>
    <row r="923">
      <c r="A923" s="13" t="inlineStr">
        <is>
          <t>9.32</t>
        </is>
      </c>
      <c r="B923" s="14" t="inlineStr">
        <is>
          <t>Rate as per SH: 9.32</t>
        </is>
      </c>
      <c r="C923" s="13" t="inlineStr">
        <is>
          <t>each</t>
        </is>
      </c>
      <c r="D923" s="15" t="n">
        <v>55</v>
      </c>
      <c r="E923" s="16" t="n">
        <v>33.9</v>
      </c>
      <c r="F923" s="16">
        <f>D923*E923</f>
        <v/>
      </c>
    </row>
    <row r="924">
      <c r="A924" s="13" t="inlineStr">
        <is>
          <t>13.50.1</t>
        </is>
      </c>
      <c r="B924" s="14" t="inlineStr">
        <is>
          <t>Rate as per SH: 13.50.1</t>
        </is>
      </c>
      <c r="C924" s="13" t="inlineStr">
        <is>
          <t>sqm</t>
        </is>
      </c>
      <c r="D924" s="15" t="n">
        <v>10</v>
      </c>
      <c r="E924" s="16" t="n">
        <v>57.05</v>
      </c>
      <c r="F924" s="16">
        <f>D924*E924</f>
        <v/>
      </c>
    </row>
    <row r="925">
      <c r="A925" s="13" t="inlineStr">
        <is>
          <t>2204</t>
        </is>
      </c>
      <c r="B925" s="14" t="inlineStr">
        <is>
          <t>Carriage of Timber</t>
        </is>
      </c>
      <c r="C925" s="13" t="inlineStr">
        <is>
          <t>cum</t>
        </is>
      </c>
      <c r="D925" s="15" t="n">
        <v>0.132</v>
      </c>
      <c r="E925" s="16" t="n">
        <v>118.59</v>
      </c>
      <c r="F925" s="16">
        <f>D925*E925</f>
        <v/>
      </c>
    </row>
    <row r="926">
      <c r="A926" s="13" t="inlineStr">
        <is>
          <t>0111</t>
        </is>
      </c>
      <c r="B926" s="14" t="inlineStr">
        <is>
          <t>Carpenter 1st class</t>
        </is>
      </c>
      <c r="C926" s="13" t="inlineStr">
        <is>
          <t>day</t>
        </is>
      </c>
      <c r="D926" s="15" t="n">
        <v>1.08</v>
      </c>
      <c r="E926" s="16" t="n">
        <v>738</v>
      </c>
      <c r="F926" s="16">
        <f>D926*E926</f>
        <v/>
      </c>
    </row>
    <row r="927">
      <c r="A927" s="13" t="inlineStr">
        <is>
          <t>0112</t>
        </is>
      </c>
      <c r="B927" s="14" t="inlineStr">
        <is>
          <t>Carpenter 2nd class</t>
        </is>
      </c>
      <c r="C927" s="13" t="inlineStr">
        <is>
          <t>day</t>
        </is>
      </c>
      <c r="D927" s="15" t="n">
        <v>0.8</v>
      </c>
      <c r="E927" s="16" t="n">
        <v>679</v>
      </c>
      <c r="F927" s="16">
        <f>D927*E927</f>
        <v/>
      </c>
    </row>
    <row r="928">
      <c r="A928" s="13" t="inlineStr">
        <is>
          <t>0114</t>
        </is>
      </c>
      <c r="B928" s="14" t="inlineStr">
        <is>
          <t>Beldar</t>
        </is>
      </c>
      <c r="C928" s="13" t="inlineStr">
        <is>
          <t>day</t>
        </is>
      </c>
      <c r="D928" s="15" t="n">
        <v>1.08</v>
      </c>
      <c r="E928" s="16" t="n">
        <v>558</v>
      </c>
      <c r="F928" s="16">
        <f>D928*E928</f>
        <v/>
      </c>
    </row>
    <row r="929">
      <c r="A929" s="13" t="inlineStr">
        <is>
          <t>9999</t>
        </is>
      </c>
      <c r="B929" s="14" t="inlineStr">
        <is>
          <t>Sundries &amp; screws etc.</t>
        </is>
      </c>
      <c r="C929" s="13" t="inlineStr">
        <is>
          <t>L.S.</t>
        </is>
      </c>
      <c r="D929" s="15" t="n">
        <v>53.82</v>
      </c>
      <c r="E929" s="16" t="n">
        <v>2</v>
      </c>
      <c r="F929" s="16">
        <f>D929*E929</f>
        <v/>
      </c>
    </row>
    <row r="930">
      <c r="A930" s="17" t="inlineStr">
        <is>
          <t>Resource Total (Material + Labour + Machinery, as printed)</t>
        </is>
      </c>
      <c r="B930" s="18" t="n"/>
      <c r="C930" s="18" t="n"/>
      <c r="D930" s="18" t="n"/>
      <c r="E930" s="18" t="n"/>
      <c r="F930" s="19">
        <f>SUM(F923:F929)</f>
        <v/>
      </c>
    </row>
    <row r="931">
      <c r="A931" s="20" t="inlineStr">
        <is>
          <t>SAY (Rs.) — final DAR rate</t>
        </is>
      </c>
      <c r="B931" s="21" t="n"/>
      <c r="C931" s="21" t="n"/>
      <c r="D931" s="21" t="n"/>
      <c r="E931" s="21" t="n"/>
      <c r="F931" s="22" t="n">
        <v>2181.8</v>
      </c>
    </row>
    <row r="933" ht="18" customHeight="1">
      <c r="A933" s="9" t="inlineStr">
        <is>
          <t>8.26.1</t>
        </is>
      </c>
      <c r="B933" s="10" t="inlineStr">
        <is>
          <t>12 mm thick</t>
        </is>
      </c>
      <c r="C933" s="11" t="n"/>
      <c r="D933" s="11" t="n"/>
      <c r="E933" s="11" t="n"/>
      <c r="F933" s="11" t="n"/>
    </row>
    <row r="934">
      <c r="A934" s="12" t="inlineStr">
        <is>
          <t>Rate basis: per sqm  (source: cost for 10 sqm)</t>
        </is>
      </c>
    </row>
    <row r="935">
      <c r="A935" s="5" t="inlineStr">
        <is>
          <t>Code</t>
        </is>
      </c>
      <c r="B935" s="5" t="inlineStr">
        <is>
          <t>Description</t>
        </is>
      </c>
      <c r="C935" s="5" t="inlineStr">
        <is>
          <t>Unit</t>
        </is>
      </c>
      <c r="D935" s="5" t="inlineStr">
        <is>
          <t>Quantity</t>
        </is>
      </c>
      <c r="E935" s="5" t="inlineStr">
        <is>
          <t>Rate (Rs.)</t>
        </is>
      </c>
      <c r="F935" s="5" t="inlineStr">
        <is>
          <t>Amount (Rs.)</t>
        </is>
      </c>
    </row>
    <row r="936">
      <c r="A936" s="13" t="inlineStr">
        <is>
          <t>13.50.1</t>
        </is>
      </c>
      <c r="B936" s="14" t="inlineStr">
        <is>
          <t>Rate as per SH: 13.50.1</t>
        </is>
      </c>
      <c r="C936" s="13" t="inlineStr">
        <is>
          <t>sqm</t>
        </is>
      </c>
      <c r="D936" s="15" t="n">
        <v>10</v>
      </c>
      <c r="E936" s="16" t="n">
        <v>57.05</v>
      </c>
      <c r="F936" s="16">
        <f>D936*E936</f>
        <v/>
      </c>
    </row>
    <row r="937">
      <c r="A937" s="13" t="inlineStr">
        <is>
          <t>7477</t>
        </is>
      </c>
      <c r="B937" s="14" t="inlineStr">
        <is>
          <t>Prelaminated particle board with one side decorative and other side balancing lamination, flat pressed 3 layer &amp; graded (medium density) Grade I, Type II conforming to IS : 12823 (exterior grade) 12 mm thick</t>
        </is>
      </c>
      <c r="C937" s="13" t="inlineStr">
        <is>
          <t>sqm</t>
        </is>
      </c>
      <c r="D937" s="15" t="n">
        <v>11</v>
      </c>
      <c r="E937" s="16" t="n">
        <v>540</v>
      </c>
      <c r="F937" s="16">
        <f>D937*E937</f>
        <v/>
      </c>
    </row>
    <row r="938">
      <c r="A938" s="13" t="inlineStr">
        <is>
          <t>9977</t>
        </is>
      </c>
      <c r="B938" s="14" t="inlineStr">
        <is>
          <t>Carriage of particle board</t>
        </is>
      </c>
      <c r="C938" s="13" t="inlineStr">
        <is>
          <t>L.S.</t>
        </is>
      </c>
      <c r="D938" s="15" t="n">
        <v>13.52</v>
      </c>
      <c r="E938" s="16" t="n">
        <v>2</v>
      </c>
      <c r="F938" s="16">
        <f>D938*E938</f>
        <v/>
      </c>
    </row>
    <row r="939">
      <c r="A939" s="13" t="inlineStr">
        <is>
          <t>9999</t>
        </is>
      </c>
      <c r="B939" s="14" t="inlineStr">
        <is>
          <t>Sundries and screws</t>
        </is>
      </c>
      <c r="C939" s="13" t="inlineStr">
        <is>
          <t>L.S.</t>
        </is>
      </c>
      <c r="D939" s="15" t="n">
        <v>26.91</v>
      </c>
      <c r="E939" s="16" t="n">
        <v>2</v>
      </c>
      <c r="F939" s="16">
        <f>D939*E939</f>
        <v/>
      </c>
    </row>
    <row r="940">
      <c r="A940" s="13" t="inlineStr">
        <is>
          <t>0112</t>
        </is>
      </c>
      <c r="B940" s="14" t="inlineStr">
        <is>
          <t>Carpenter 2nd class</t>
        </is>
      </c>
      <c r="C940" s="13" t="inlineStr">
        <is>
          <t>day</t>
        </is>
      </c>
      <c r="D940" s="15" t="n">
        <v>1.28</v>
      </c>
      <c r="E940" s="16" t="n">
        <v>679</v>
      </c>
      <c r="F940" s="16">
        <f>D940*E940</f>
        <v/>
      </c>
    </row>
    <row r="941">
      <c r="A941" s="13" t="inlineStr">
        <is>
          <t>0114</t>
        </is>
      </c>
      <c r="B941" s="14" t="inlineStr">
        <is>
          <t>Beldar</t>
        </is>
      </c>
      <c r="C941" s="13" t="inlineStr">
        <is>
          <t>day</t>
        </is>
      </c>
      <c r="D941" s="15" t="n">
        <v>1.43</v>
      </c>
      <c r="E941" s="16" t="n">
        <v>558</v>
      </c>
      <c r="F941" s="16">
        <f>D941*E941</f>
        <v/>
      </c>
    </row>
    <row r="942">
      <c r="A942" s="13" t="inlineStr">
        <is>
          <t>7048</t>
        </is>
      </c>
      <c r="B942" s="14" t="inlineStr">
        <is>
          <t>Rawl plug 50 mm (designation 10 no.)</t>
        </is>
      </c>
      <c r="C942" s="13" t="inlineStr">
        <is>
          <t>each</t>
        </is>
      </c>
      <c r="D942" s="15" t="n">
        <v>55</v>
      </c>
      <c r="E942" s="16" t="n">
        <v>25</v>
      </c>
      <c r="F942" s="16">
        <f>D942*E942</f>
        <v/>
      </c>
    </row>
    <row r="943">
      <c r="A943" s="17" t="inlineStr">
        <is>
          <t>Resource Total (Material + Labour + Machinery, as printed)</t>
        </is>
      </c>
      <c r="B943" s="18" t="n"/>
      <c r="C943" s="18" t="n"/>
      <c r="D943" s="18" t="n"/>
      <c r="E943" s="18" t="n"/>
      <c r="F943" s="19">
        <f>SUM(F936:F942)</f>
        <v/>
      </c>
    </row>
    <row r="944">
      <c r="A944" s="20" t="inlineStr">
        <is>
          <t>SAY (Rs.) — final DAR rate</t>
        </is>
      </c>
      <c r="B944" s="21" t="n"/>
      <c r="C944" s="21" t="n"/>
      <c r="D944" s="21" t="n"/>
      <c r="E944" s="21" t="n"/>
      <c r="F944" s="22" t="n">
        <v>1269.6</v>
      </c>
    </row>
    <row r="946" ht="18" customHeight="1">
      <c r="A946" s="9" t="inlineStr">
        <is>
          <t>8.26.2</t>
        </is>
      </c>
      <c r="B946" s="10" t="inlineStr">
        <is>
          <t>18 mm thick</t>
        </is>
      </c>
      <c r="C946" s="11" t="n"/>
      <c r="D946" s="11" t="n"/>
      <c r="E946" s="11" t="n"/>
      <c r="F946" s="11" t="n"/>
    </row>
    <row r="947">
      <c r="A947" s="12" t="inlineStr">
        <is>
          <t>Rate basis: per sqm  (source: cost for 10 sqm)</t>
        </is>
      </c>
    </row>
    <row r="948">
      <c r="A948" s="5" t="inlineStr">
        <is>
          <t>Code</t>
        </is>
      </c>
      <c r="B948" s="5" t="inlineStr">
        <is>
          <t>Description</t>
        </is>
      </c>
      <c r="C948" s="5" t="inlineStr">
        <is>
          <t>Unit</t>
        </is>
      </c>
      <c r="D948" s="5" t="inlineStr">
        <is>
          <t>Quantity</t>
        </is>
      </c>
      <c r="E948" s="5" t="inlineStr">
        <is>
          <t>Rate (Rs.)</t>
        </is>
      </c>
      <c r="F948" s="5" t="inlineStr">
        <is>
          <t>Amount (Rs.)</t>
        </is>
      </c>
    </row>
    <row r="949">
      <c r="A949" s="13" t="inlineStr">
        <is>
          <t>13.50.1</t>
        </is>
      </c>
      <c r="B949" s="14" t="inlineStr">
        <is>
          <t>Rate as per SH: 13.50.1</t>
        </is>
      </c>
      <c r="C949" s="13" t="inlineStr">
        <is>
          <t>sqm</t>
        </is>
      </c>
      <c r="D949" s="15" t="n">
        <v>10</v>
      </c>
      <c r="E949" s="16" t="n">
        <v>57.05</v>
      </c>
      <c r="F949" s="16">
        <f>D949*E949</f>
        <v/>
      </c>
    </row>
    <row r="950">
      <c r="A950" s="13" t="inlineStr">
        <is>
          <t>7478</t>
        </is>
      </c>
      <c r="B950" s="14" t="inlineStr">
        <is>
          <t>Prelaminated particle board with one side decorative and other side balancing lamination, flat pressed 3 layer &amp; graded (medium density) Grade I, Type II conforming to IS : 12823 (exterior grade) 18 mm thick</t>
        </is>
      </c>
      <c r="C950" s="13" t="inlineStr">
        <is>
          <t>sqm</t>
        </is>
      </c>
      <c r="D950" s="15" t="n">
        <v>11</v>
      </c>
      <c r="E950" s="16" t="n">
        <v>650</v>
      </c>
      <c r="F950" s="16">
        <f>D950*E950</f>
        <v/>
      </c>
    </row>
    <row r="951">
      <c r="A951" s="13" t="inlineStr">
        <is>
          <t>9977</t>
        </is>
      </c>
      <c r="B951" s="14" t="inlineStr">
        <is>
          <t>Carriage of particle board</t>
        </is>
      </c>
      <c r="C951" s="13" t="inlineStr">
        <is>
          <t>L.S.</t>
        </is>
      </c>
      <c r="D951" s="15" t="n">
        <v>13.52</v>
      </c>
      <c r="E951" s="16" t="n">
        <v>2</v>
      </c>
      <c r="F951" s="16">
        <f>D951*E951</f>
        <v/>
      </c>
    </row>
    <row r="952">
      <c r="A952" s="13" t="inlineStr">
        <is>
          <t>9999</t>
        </is>
      </c>
      <c r="B952" s="14" t="inlineStr">
        <is>
          <t>Sundries and screws</t>
        </is>
      </c>
      <c r="C952" s="13" t="inlineStr">
        <is>
          <t>L.S.</t>
        </is>
      </c>
      <c r="D952" s="15" t="n">
        <v>26.91</v>
      </c>
      <c r="E952" s="16" t="n">
        <v>2</v>
      </c>
      <c r="F952" s="16">
        <f>D952*E952</f>
        <v/>
      </c>
    </row>
    <row r="953">
      <c r="A953" s="13" t="inlineStr">
        <is>
          <t>0112</t>
        </is>
      </c>
      <c r="B953" s="14" t="inlineStr">
        <is>
          <t>Carpenter 2nd class</t>
        </is>
      </c>
      <c r="C953" s="13" t="inlineStr">
        <is>
          <t>day</t>
        </is>
      </c>
      <c r="D953" s="15" t="n">
        <v>1.28</v>
      </c>
      <c r="E953" s="16" t="n">
        <v>679</v>
      </c>
      <c r="F953" s="16">
        <f>D953*E953</f>
        <v/>
      </c>
    </row>
    <row r="954">
      <c r="A954" s="13" t="inlineStr">
        <is>
          <t>0114</t>
        </is>
      </c>
      <c r="B954" s="14" t="inlineStr">
        <is>
          <t>Beldar</t>
        </is>
      </c>
      <c r="C954" s="13" t="inlineStr">
        <is>
          <t>day</t>
        </is>
      </c>
      <c r="D954" s="15" t="n">
        <v>1.43</v>
      </c>
      <c r="E954" s="16" t="n">
        <v>558</v>
      </c>
      <c r="F954" s="16">
        <f>D954*E954</f>
        <v/>
      </c>
    </row>
    <row r="955">
      <c r="A955" s="13" t="inlineStr">
        <is>
          <t>7048</t>
        </is>
      </c>
      <c r="B955" s="14" t="inlineStr">
        <is>
          <t>Rawl plug 50 mm (designation 10 no.)</t>
        </is>
      </c>
      <c r="C955" s="13" t="inlineStr">
        <is>
          <t>each</t>
        </is>
      </c>
      <c r="D955" s="15" t="n">
        <v>55</v>
      </c>
      <c r="E955" s="16" t="n">
        <v>25</v>
      </c>
      <c r="F955" s="16">
        <f>D955*E955</f>
        <v/>
      </c>
    </row>
    <row r="956">
      <c r="A956" s="17" t="inlineStr">
        <is>
          <t>Resource Total (Material + Labour + Machinery, as printed)</t>
        </is>
      </c>
      <c r="B956" s="18" t="n"/>
      <c r="C956" s="18" t="n"/>
      <c r="D956" s="18" t="n"/>
      <c r="E956" s="18" t="n"/>
      <c r="F956" s="19">
        <f>SUM(F949:F955)</f>
        <v/>
      </c>
    </row>
    <row r="957">
      <c r="A957" s="20" t="inlineStr">
        <is>
          <t>SAY (Rs.) — final DAR rate</t>
        </is>
      </c>
      <c r="B957" s="21" t="n"/>
      <c r="C957" s="21" t="n"/>
      <c r="D957" s="21" t="n"/>
      <c r="E957" s="21" t="n"/>
      <c r="F957" s="22" t="n">
        <v>1431.5</v>
      </c>
    </row>
    <row r="959" ht="18" customHeight="1">
      <c r="A959" s="9" t="inlineStr">
        <is>
          <t>8.26.3</t>
        </is>
      </c>
      <c r="B959" s="10" t="inlineStr">
        <is>
          <t>25 mm thick</t>
        </is>
      </c>
      <c r="C959" s="11" t="n"/>
      <c r="D959" s="11" t="n"/>
      <c r="E959" s="11" t="n"/>
      <c r="F959" s="11" t="n"/>
    </row>
    <row r="960">
      <c r="A960" s="12" t="inlineStr">
        <is>
          <t>Rate basis: per sqm  (source: cost for 10 sqm)</t>
        </is>
      </c>
    </row>
    <row r="961">
      <c r="A961" s="5" t="inlineStr">
        <is>
          <t>Code</t>
        </is>
      </c>
      <c r="B961" s="5" t="inlineStr">
        <is>
          <t>Description</t>
        </is>
      </c>
      <c r="C961" s="5" t="inlineStr">
        <is>
          <t>Unit</t>
        </is>
      </c>
      <c r="D961" s="5" t="inlineStr">
        <is>
          <t>Quantity</t>
        </is>
      </c>
      <c r="E961" s="5" t="inlineStr">
        <is>
          <t>Rate (Rs.)</t>
        </is>
      </c>
      <c r="F961" s="5" t="inlineStr">
        <is>
          <t>Amount (Rs.)</t>
        </is>
      </c>
    </row>
    <row r="962">
      <c r="A962" s="13" t="inlineStr">
        <is>
          <t>13.50.1</t>
        </is>
      </c>
      <c r="B962" s="14" t="inlineStr">
        <is>
          <t>Rate as per SH: 13.50.1</t>
        </is>
      </c>
      <c r="C962" s="13" t="inlineStr">
        <is>
          <t>sqm</t>
        </is>
      </c>
      <c r="D962" s="15" t="n">
        <v>10</v>
      </c>
      <c r="E962" s="16" t="n">
        <v>57.05</v>
      </c>
      <c r="F962" s="16">
        <f>D962*E962</f>
        <v/>
      </c>
    </row>
    <row r="963">
      <c r="A963" s="13" t="inlineStr">
        <is>
          <t>7479</t>
        </is>
      </c>
      <c r="B963" s="14" t="inlineStr">
        <is>
          <t>Prelaminated particle board with one side decorative and other side balancing lamination, flat pressed 3 layer &amp; graded (medium density) Grade I, Type II conforming to IS : 12823 (exterior grade) 25 mm thick</t>
        </is>
      </c>
      <c r="C963" s="13" t="inlineStr">
        <is>
          <t>sqm</t>
        </is>
      </c>
      <c r="D963" s="15" t="n">
        <v>11</v>
      </c>
      <c r="E963" s="16" t="n">
        <v>900</v>
      </c>
      <c r="F963" s="16">
        <f>D963*E963</f>
        <v/>
      </c>
    </row>
    <row r="964">
      <c r="A964" s="13" t="inlineStr">
        <is>
          <t>9977</t>
        </is>
      </c>
      <c r="B964" s="14" t="inlineStr">
        <is>
          <t>Carriage of particle board</t>
        </is>
      </c>
      <c r="C964" s="13" t="inlineStr">
        <is>
          <t>L.S.</t>
        </is>
      </c>
      <c r="D964" s="15" t="n">
        <v>13.52</v>
      </c>
      <c r="E964" s="16" t="n">
        <v>2</v>
      </c>
      <c r="F964" s="16">
        <f>D964*E964</f>
        <v/>
      </c>
    </row>
    <row r="965">
      <c r="A965" s="13" t="inlineStr">
        <is>
          <t>9999</t>
        </is>
      </c>
      <c r="B965" s="14" t="inlineStr">
        <is>
          <t>Sundries and screws etc</t>
        </is>
      </c>
      <c r="C965" s="13" t="inlineStr">
        <is>
          <t>L.S.</t>
        </is>
      </c>
      <c r="D965" s="15" t="n">
        <v>26.91</v>
      </c>
      <c r="E965" s="16" t="n">
        <v>2</v>
      </c>
      <c r="F965" s="16">
        <f>D965*E965</f>
        <v/>
      </c>
    </row>
    <row r="966">
      <c r="A966" s="13" t="inlineStr">
        <is>
          <t>0112</t>
        </is>
      </c>
      <c r="B966" s="14" t="inlineStr">
        <is>
          <t>Carpenter 2nd class</t>
        </is>
      </c>
      <c r="C966" s="13" t="inlineStr">
        <is>
          <t>day</t>
        </is>
      </c>
      <c r="D966" s="15" t="n">
        <v>1.28</v>
      </c>
      <c r="E966" s="16" t="n">
        <v>679</v>
      </c>
      <c r="F966" s="16">
        <f>D966*E966</f>
        <v/>
      </c>
    </row>
    <row r="967">
      <c r="A967" s="13" t="inlineStr">
        <is>
          <t>0114</t>
        </is>
      </c>
      <c r="B967" s="14" t="inlineStr">
        <is>
          <t>Beldar</t>
        </is>
      </c>
      <c r="C967" s="13" t="inlineStr">
        <is>
          <t>day</t>
        </is>
      </c>
      <c r="D967" s="15" t="n">
        <v>1.43</v>
      </c>
      <c r="E967" s="16" t="n">
        <v>558</v>
      </c>
      <c r="F967" s="16">
        <f>D967*E967</f>
        <v/>
      </c>
    </row>
    <row r="968">
      <c r="A968" s="13" t="inlineStr">
        <is>
          <t>7048</t>
        </is>
      </c>
      <c r="B968" s="14" t="inlineStr">
        <is>
          <t>Rawl plug 50 mm (designation 10 no.)</t>
        </is>
      </c>
      <c r="C968" s="13" t="inlineStr">
        <is>
          <t>each</t>
        </is>
      </c>
      <c r="D968" s="15" t="n">
        <v>55</v>
      </c>
      <c r="E968" s="16" t="n">
        <v>25</v>
      </c>
      <c r="F968" s="16">
        <f>D968*E968</f>
        <v/>
      </c>
    </row>
    <row r="969">
      <c r="A969" s="17" t="inlineStr">
        <is>
          <t>Resource Total (Material + Labour + Machinery, as printed)</t>
        </is>
      </c>
      <c r="B969" s="18" t="n"/>
      <c r="C969" s="18" t="n"/>
      <c r="D969" s="18" t="n"/>
      <c r="E969" s="18" t="n"/>
      <c r="F969" s="19">
        <f>SUM(F962:F968)</f>
        <v/>
      </c>
    </row>
    <row r="970">
      <c r="A970" s="20" t="inlineStr">
        <is>
          <t>SAY (Rs.) — final DAR rate</t>
        </is>
      </c>
      <c r="B970" s="21" t="n"/>
      <c r="C970" s="21" t="n"/>
      <c r="D970" s="21" t="n"/>
      <c r="E970" s="21" t="n"/>
      <c r="F970" s="22" t="n">
        <v>1799.45</v>
      </c>
    </row>
    <row r="972" ht="18" customHeight="1">
      <c r="A972" s="9" t="inlineStr">
        <is>
          <t>8.27.1</t>
        </is>
      </c>
      <c r="B972" s="10" t="inlineStr">
        <is>
          <t>Kiln seasoned and chemically treated hollock wood</t>
        </is>
      </c>
      <c r="C972" s="11" t="n"/>
      <c r="D972" s="11" t="n"/>
      <c r="E972" s="11" t="n"/>
      <c r="F972" s="11" t="n"/>
    </row>
    <row r="973">
      <c r="A973" s="12" t="inlineStr">
        <is>
          <t>Rate basis: per no  (source: cost for 5 no)</t>
        </is>
      </c>
    </row>
    <row r="974">
      <c r="A974" s="5" t="inlineStr">
        <is>
          <t>Code</t>
        </is>
      </c>
      <c r="B974" s="5" t="inlineStr">
        <is>
          <t>Description</t>
        </is>
      </c>
      <c r="C974" s="5" t="inlineStr">
        <is>
          <t>Unit</t>
        </is>
      </c>
      <c r="D974" s="5" t="inlineStr">
        <is>
          <t>Quantity</t>
        </is>
      </c>
      <c r="E974" s="5" t="inlineStr">
        <is>
          <t>Rate (Rs.)</t>
        </is>
      </c>
      <c r="F974" s="5" t="inlineStr">
        <is>
          <t>Amount (Rs.)</t>
        </is>
      </c>
    </row>
    <row r="975">
      <c r="A975" s="13" t="inlineStr">
        <is>
          <t>13.50.1</t>
        </is>
      </c>
      <c r="B975" s="14" t="inlineStr">
        <is>
          <t>Rate as per SH: 13.50.1</t>
        </is>
      </c>
      <c r="C975" s="13" t="inlineStr">
        <is>
          <t>sqm</t>
        </is>
      </c>
      <c r="D975" s="15" t="n">
        <v>3.75</v>
      </c>
      <c r="E975" s="16" t="n">
        <v>57.05</v>
      </c>
      <c r="F975" s="16">
        <f>D975*E975</f>
        <v/>
      </c>
    </row>
    <row r="976">
      <c r="A976" s="13" t="inlineStr">
        <is>
          <t>2204</t>
        </is>
      </c>
      <c r="B976" s="14" t="inlineStr">
        <is>
          <t>Carriage of Timber</t>
        </is>
      </c>
      <c r="C976" s="13" t="inlineStr">
        <is>
          <t>cum</t>
        </is>
      </c>
      <c r="D976" s="15" t="n">
        <v>0.033</v>
      </c>
      <c r="E976" s="16" t="n">
        <v>118.59</v>
      </c>
      <c r="F976" s="16">
        <f>D976*E976</f>
        <v/>
      </c>
    </row>
    <row r="977">
      <c r="A977" s="13" t="inlineStr">
        <is>
          <t>0111</t>
        </is>
      </c>
      <c r="B977" s="14" t="inlineStr">
        <is>
          <t>Carpenter 1st class</t>
        </is>
      </c>
      <c r="C977" s="13" t="inlineStr">
        <is>
          <t>day</t>
        </is>
      </c>
      <c r="D977" s="15" t="n">
        <v>1</v>
      </c>
      <c r="E977" s="16" t="n">
        <v>738</v>
      </c>
      <c r="F977" s="16">
        <f>D977*E977</f>
        <v/>
      </c>
    </row>
    <row r="978">
      <c r="A978" s="13" t="inlineStr">
        <is>
          <t>0114</t>
        </is>
      </c>
      <c r="B978" s="14" t="inlineStr">
        <is>
          <t>Beldar</t>
        </is>
      </c>
      <c r="C978" s="13" t="inlineStr">
        <is>
          <t>day</t>
        </is>
      </c>
      <c r="D978" s="15" t="n">
        <v>0.25</v>
      </c>
      <c r="E978" s="16" t="n">
        <v>558</v>
      </c>
      <c r="F978" s="16">
        <f>D978*E978</f>
        <v/>
      </c>
    </row>
    <row r="979">
      <c r="A979" s="13" t="inlineStr">
        <is>
          <t>9999</t>
        </is>
      </c>
      <c r="B979" s="14" t="inlineStr">
        <is>
          <t>Sundries</t>
        </is>
      </c>
      <c r="C979" s="13" t="inlineStr">
        <is>
          <t>L.S.</t>
        </is>
      </c>
      <c r="D979" s="15" t="n">
        <v>6.76</v>
      </c>
      <c r="E979" s="16" t="n">
        <v>2</v>
      </c>
      <c r="F979" s="16">
        <f>D979*E979</f>
        <v/>
      </c>
    </row>
    <row r="980">
      <c r="A980" s="13" t="inlineStr">
        <is>
          <t>7048</t>
        </is>
      </c>
      <c r="B980" s="14" t="inlineStr">
        <is>
          <t>Rawl plug 50 mm (designation 10 no.)</t>
        </is>
      </c>
      <c r="C980" s="13" t="inlineStr">
        <is>
          <t>each</t>
        </is>
      </c>
      <c r="D980" s="15" t="n">
        <v>55</v>
      </c>
      <c r="E980" s="16" t="n">
        <v>25</v>
      </c>
      <c r="F980" s="16">
        <f>D980*E980</f>
        <v/>
      </c>
    </row>
    <row r="981">
      <c r="A981" s="13" t="inlineStr">
        <is>
          <t>9999</t>
        </is>
      </c>
      <c r="B981" s="14" t="inlineStr">
        <is>
          <t>Labour for drilling holes, steel tape, sundries etc.</t>
        </is>
      </c>
      <c r="C981" s="13" t="inlineStr">
        <is>
          <t>L.S.</t>
        </is>
      </c>
      <c r="D981" s="15" t="n">
        <v>71.5</v>
      </c>
      <c r="E981" s="16" t="n">
        <v>2</v>
      </c>
      <c r="F981" s="16">
        <f>D981*E981</f>
        <v/>
      </c>
    </row>
    <row r="982">
      <c r="A982" s="17" t="inlineStr">
        <is>
          <t>Resource Total (Material + Labour + Machinery, as printed)</t>
        </is>
      </c>
      <c r="B982" s="18" t="n"/>
      <c r="C982" s="18" t="n"/>
      <c r="D982" s="18" t="n"/>
      <c r="E982" s="18" t="n"/>
      <c r="F982" s="19">
        <f>SUM(F975:F981)</f>
        <v/>
      </c>
    </row>
    <row r="983">
      <c r="A983" s="20" t="inlineStr">
        <is>
          <t>SAY (Rs.) — final DAR rate</t>
        </is>
      </c>
      <c r="B983" s="21" t="n"/>
      <c r="C983" s="21" t="n"/>
      <c r="D983" s="21" t="n"/>
      <c r="E983" s="21" t="n"/>
      <c r="F983" s="22" t="n">
        <v>165255.05</v>
      </c>
    </row>
    <row r="985" ht="18" customHeight="1">
      <c r="A985" s="9" t="inlineStr">
        <is>
          <t>8.28.1</t>
        </is>
      </c>
      <c r="B985" s="10" t="inlineStr">
        <is>
          <t>Decorative veneer facings of approved manufacture</t>
        </is>
      </c>
      <c r="C985" s="11" t="n"/>
      <c r="D985" s="11" t="n"/>
      <c r="E985" s="11" t="n"/>
      <c r="F985" s="11" t="n"/>
    </row>
    <row r="986">
      <c r="A986" s="12" t="inlineStr">
        <is>
          <t>Rate basis: per sqm  (source: cost for 10 sqm)</t>
        </is>
      </c>
    </row>
    <row r="987">
      <c r="A987" s="5" t="inlineStr">
        <is>
          <t>Code</t>
        </is>
      </c>
      <c r="B987" s="5" t="inlineStr">
        <is>
          <t>Description</t>
        </is>
      </c>
      <c r="C987" s="5" t="inlineStr">
        <is>
          <t>Unit</t>
        </is>
      </c>
      <c r="D987" s="5" t="inlineStr">
        <is>
          <t>Quantity</t>
        </is>
      </c>
      <c r="E987" s="5" t="inlineStr">
        <is>
          <t>Rate (Rs.)</t>
        </is>
      </c>
      <c r="F987" s="5" t="inlineStr">
        <is>
          <t>Amount (Rs.)</t>
        </is>
      </c>
    </row>
    <row r="988">
      <c r="A988" s="13" t="inlineStr">
        <is>
          <t>9.32</t>
        </is>
      </c>
      <c r="B988" s="14" t="inlineStr">
        <is>
          <t>Rate as per SH: 9.32</t>
        </is>
      </c>
      <c r="C988" s="13" t="inlineStr">
        <is>
          <t>each</t>
        </is>
      </c>
      <c r="D988" s="15" t="n">
        <v>55</v>
      </c>
      <c r="E988" s="16" t="n">
        <v>33.9</v>
      </c>
      <c r="F988" s="16">
        <f>D988*E988</f>
        <v/>
      </c>
    </row>
    <row r="989">
      <c r="A989" s="13" t="inlineStr">
        <is>
          <t>13.50.1</t>
        </is>
      </c>
      <c r="B989" s="14" t="inlineStr">
        <is>
          <t>Rate as per SH: 13.50.1</t>
        </is>
      </c>
      <c r="C989" s="13" t="inlineStr">
        <is>
          <t>sqm</t>
        </is>
      </c>
      <c r="D989" s="15" t="n">
        <v>10</v>
      </c>
      <c r="E989" s="16" t="n">
        <v>57.05</v>
      </c>
      <c r="F989" s="16">
        <f>D989*E989</f>
        <v/>
      </c>
    </row>
    <row r="990">
      <c r="A990" s="13" t="inlineStr">
        <is>
          <t>0759</t>
        </is>
      </c>
      <c r="B990" s="14" t="inlineStr">
        <is>
          <t>Decorative plywood 4 mm</t>
        </is>
      </c>
      <c r="C990" s="13" t="inlineStr">
        <is>
          <t>sqm</t>
        </is>
      </c>
      <c r="D990" s="15" t="n">
        <v>12</v>
      </c>
      <c r="E990" s="16" t="n">
        <v>320</v>
      </c>
      <c r="F990" s="16">
        <f>D990*E990</f>
        <v/>
      </c>
    </row>
    <row r="991">
      <c r="A991" s="13" t="inlineStr">
        <is>
          <t>9977</t>
        </is>
      </c>
      <c r="B991" s="14" t="inlineStr">
        <is>
          <t>Carriage of ply wood</t>
        </is>
      </c>
      <c r="C991" s="13" t="inlineStr">
        <is>
          <t>L.S.</t>
        </is>
      </c>
      <c r="D991" s="15" t="n">
        <v>5.46</v>
      </c>
      <c r="E991" s="16" t="n">
        <v>2</v>
      </c>
      <c r="F991" s="16">
        <f>D991*E991</f>
        <v/>
      </c>
    </row>
    <row r="992">
      <c r="A992" s="13" t="inlineStr">
        <is>
          <t>0111</t>
        </is>
      </c>
      <c r="B992" s="14" t="inlineStr">
        <is>
          <t>Carpenter 1st class</t>
        </is>
      </c>
      <c r="C992" s="13" t="inlineStr">
        <is>
          <t>day</t>
        </is>
      </c>
      <c r="D992" s="15" t="n">
        <v>3.8</v>
      </c>
      <c r="E992" s="16" t="n">
        <v>738</v>
      </c>
      <c r="F992" s="16">
        <f>D992*E992</f>
        <v/>
      </c>
    </row>
    <row r="993">
      <c r="A993" s="13" t="inlineStr">
        <is>
          <t>0114</t>
        </is>
      </c>
      <c r="B993" s="14" t="inlineStr">
        <is>
          <t>Beldar</t>
        </is>
      </c>
      <c r="C993" s="13" t="inlineStr">
        <is>
          <t>day</t>
        </is>
      </c>
      <c r="D993" s="15" t="n">
        <v>4.6</v>
      </c>
      <c r="E993" s="16" t="n">
        <v>558</v>
      </c>
      <c r="F993" s="16">
        <f>D993*E993</f>
        <v/>
      </c>
    </row>
    <row r="994">
      <c r="A994" s="13" t="inlineStr">
        <is>
          <t>0130</t>
        </is>
      </c>
      <c r="B994" s="14" t="inlineStr">
        <is>
          <t>Mistry</t>
        </is>
      </c>
      <c r="C994" s="13" t="inlineStr">
        <is>
          <t>day</t>
        </is>
      </c>
      <c r="D994" s="15" t="n">
        <v>0.6</v>
      </c>
      <c r="E994" s="16" t="n">
        <v>738</v>
      </c>
      <c r="F994" s="16">
        <f>D994*E994</f>
        <v/>
      </c>
    </row>
    <row r="995">
      <c r="A995" s="13" t="inlineStr">
        <is>
          <t>9999</t>
        </is>
      </c>
      <c r="B995" s="14" t="inlineStr">
        <is>
          <t>20mm nails without head for fixing ply</t>
        </is>
      </c>
      <c r="C995" s="13" t="inlineStr">
        <is>
          <t>L.S.</t>
        </is>
      </c>
      <c r="D995" s="15" t="n">
        <v>53.82</v>
      </c>
      <c r="E995" s="16" t="n">
        <v>2</v>
      </c>
      <c r="F995" s="16">
        <f>D995*E995</f>
        <v/>
      </c>
    </row>
    <row r="996">
      <c r="A996" s="17" t="inlineStr">
        <is>
          <t>Resource Total (Material + Labour + Machinery, as printed)</t>
        </is>
      </c>
      <c r="B996" s="18" t="n"/>
      <c r="C996" s="18" t="n"/>
      <c r="D996" s="18" t="n"/>
      <c r="E996" s="18" t="n"/>
      <c r="F996" s="19">
        <f>SUM(F988:F995)</f>
        <v/>
      </c>
    </row>
    <row r="997">
      <c r="A997" s="20" t="inlineStr">
        <is>
          <t>SAY (Rs.) — final DAR rate</t>
        </is>
      </c>
      <c r="B997" s="21" t="n"/>
      <c r="C997" s="21" t="n"/>
      <c r="D997" s="21" t="n"/>
      <c r="E997" s="21" t="n"/>
      <c r="F997" s="22" t="n">
        <v>1551</v>
      </c>
    </row>
    <row r="999" ht="28" customHeight="1">
      <c r="A999" s="9" t="inlineStr">
        <is>
          <t>8.29</t>
        </is>
      </c>
      <c r="B999" s="10" t="inlineStr">
        <is>
          <t>Providing and fixing 4mm thick coir veneer board, ISI marked IS : 14842, plain lining with necessary screws, priming coat on unexposed surfa</t>
        </is>
      </c>
      <c r="C999" s="11" t="n"/>
      <c r="D999" s="11" t="n"/>
      <c r="E999" s="11" t="n"/>
      <c r="F999" s="11" t="n"/>
    </row>
    <row r="1000">
      <c r="A1000" s="12" t="inlineStr">
        <is>
          <t>Rate basis: per sqm  (source: cost for 10 sqm)</t>
        </is>
      </c>
    </row>
    <row r="1001">
      <c r="A1001" s="5" t="inlineStr">
        <is>
          <t>Code</t>
        </is>
      </c>
      <c r="B1001" s="5" t="inlineStr">
        <is>
          <t>Description</t>
        </is>
      </c>
      <c r="C1001" s="5" t="inlineStr">
        <is>
          <t>Unit</t>
        </is>
      </c>
      <c r="D1001" s="5" t="inlineStr">
        <is>
          <t>Quantity</t>
        </is>
      </c>
      <c r="E1001" s="5" t="inlineStr">
        <is>
          <t>Rate (Rs.)</t>
        </is>
      </c>
      <c r="F1001" s="5" t="inlineStr">
        <is>
          <t>Amount (Rs.)</t>
        </is>
      </c>
    </row>
    <row r="1002">
      <c r="A1002" s="13" t="inlineStr">
        <is>
          <t>9.32</t>
        </is>
      </c>
      <c r="B1002" s="14" t="inlineStr">
        <is>
          <t>Rate as per SH: 9.32</t>
        </is>
      </c>
      <c r="C1002" s="13" t="inlineStr">
        <is>
          <t>each</t>
        </is>
      </c>
      <c r="D1002" s="15" t="n">
        <v>55</v>
      </c>
      <c r="E1002" s="16" t="n">
        <v>33.9</v>
      </c>
      <c r="F1002" s="16">
        <f>D1002*E1002</f>
        <v/>
      </c>
    </row>
    <row r="1003">
      <c r="A1003" s="13" t="inlineStr">
        <is>
          <t>13.50.1</t>
        </is>
      </c>
      <c r="B1003" s="14" t="inlineStr">
        <is>
          <t>Rate as per SH: 13.50.1</t>
        </is>
      </c>
      <c r="C1003" s="13" t="inlineStr">
        <is>
          <t>sqm</t>
        </is>
      </c>
      <c r="D1003" s="15" t="n">
        <v>10</v>
      </c>
      <c r="E1003" s="16" t="n">
        <v>57.05</v>
      </c>
      <c r="F1003" s="16">
        <f>D1003*E1003</f>
        <v/>
      </c>
    </row>
    <row r="1004">
      <c r="A1004" s="13" t="inlineStr">
        <is>
          <t>7552</t>
        </is>
      </c>
      <c r="B1004" s="14" t="inlineStr">
        <is>
          <t>Coir veneered board 4mm thick</t>
        </is>
      </c>
      <c r="C1004" s="13" t="inlineStr">
        <is>
          <t>sqm</t>
        </is>
      </c>
      <c r="D1004" s="15" t="n">
        <v>12</v>
      </c>
      <c r="E1004" s="16" t="n">
        <v>290</v>
      </c>
      <c r="F1004" s="16">
        <f>D1004*E1004</f>
        <v/>
      </c>
    </row>
    <row r="1005">
      <c r="A1005" s="13" t="inlineStr">
        <is>
          <t>9977</t>
        </is>
      </c>
      <c r="B1005" s="14" t="inlineStr">
        <is>
          <t>Carriage of Coir veneered board</t>
        </is>
      </c>
      <c r="C1005" s="13" t="inlineStr">
        <is>
          <t>L.S.</t>
        </is>
      </c>
      <c r="D1005" s="15" t="n">
        <v>5.46</v>
      </c>
      <c r="E1005" s="16" t="n">
        <v>2</v>
      </c>
      <c r="F1005" s="16">
        <f>D1005*E1005</f>
        <v/>
      </c>
    </row>
    <row r="1006">
      <c r="A1006" s="13" t="inlineStr">
        <is>
          <t>0111</t>
        </is>
      </c>
      <c r="B1006" s="14" t="inlineStr">
        <is>
          <t>Carpenter 1st class</t>
        </is>
      </c>
      <c r="C1006" s="13" t="inlineStr">
        <is>
          <t>day</t>
        </is>
      </c>
      <c r="D1006" s="15" t="n">
        <v>3.8</v>
      </c>
      <c r="E1006" s="16" t="n">
        <v>738</v>
      </c>
      <c r="F1006" s="16">
        <f>D1006*E1006</f>
        <v/>
      </c>
    </row>
    <row r="1007">
      <c r="A1007" s="13" t="inlineStr">
        <is>
          <t>0114</t>
        </is>
      </c>
      <c r="B1007" s="14" t="inlineStr">
        <is>
          <t>Beldar</t>
        </is>
      </c>
      <c r="C1007" s="13" t="inlineStr">
        <is>
          <t>day</t>
        </is>
      </c>
      <c r="D1007" s="15" t="n">
        <v>4.6</v>
      </c>
      <c r="E1007" s="16" t="n">
        <v>558</v>
      </c>
      <c r="F1007" s="16">
        <f>D1007*E1007</f>
        <v/>
      </c>
    </row>
    <row r="1008">
      <c r="A1008" s="13" t="inlineStr">
        <is>
          <t>0130</t>
        </is>
      </c>
      <c r="B1008" s="14" t="inlineStr">
        <is>
          <t>Mistry</t>
        </is>
      </c>
      <c r="C1008" s="13" t="inlineStr">
        <is>
          <t>day</t>
        </is>
      </c>
      <c r="D1008" s="15" t="n">
        <v>0.6</v>
      </c>
      <c r="E1008" s="16" t="n">
        <v>738</v>
      </c>
      <c r="F1008" s="16">
        <f>D1008*E1008</f>
        <v/>
      </c>
    </row>
    <row r="1009">
      <c r="A1009" s="13" t="inlineStr">
        <is>
          <t>9999</t>
        </is>
      </c>
      <c r="B1009" s="14" t="inlineStr">
        <is>
          <t>20mm nails without head for fixing ply</t>
        </is>
      </c>
      <c r="C1009" s="13" t="inlineStr">
        <is>
          <t>L.S.</t>
        </is>
      </c>
      <c r="D1009" s="15" t="n">
        <v>53.82</v>
      </c>
      <c r="E1009" s="16" t="n">
        <v>2</v>
      </c>
      <c r="F1009" s="16">
        <f>D1009*E1009</f>
        <v/>
      </c>
    </row>
    <row r="1010">
      <c r="A1010" s="17" t="inlineStr">
        <is>
          <t>Resource Total (Material + Labour + Machinery, as printed)</t>
        </is>
      </c>
      <c r="B1010" s="18" t="n"/>
      <c r="C1010" s="18" t="n"/>
      <c r="D1010" s="18" t="n"/>
      <c r="E1010" s="18" t="n"/>
      <c r="F1010" s="19">
        <f>SUM(F1002:F1009)</f>
        <v/>
      </c>
    </row>
    <row r="1011">
      <c r="A1011" s="20" t="inlineStr">
        <is>
          <t>SAY (Rs.) — final DAR rate</t>
        </is>
      </c>
      <c r="B1011" s="21" t="n"/>
      <c r="C1011" s="21" t="n"/>
      <c r="D1011" s="21" t="n"/>
      <c r="E1011" s="21" t="n"/>
      <c r="F1011" s="22" t="n">
        <v>1502.85</v>
      </c>
    </row>
    <row r="1013" ht="18" customHeight="1">
      <c r="A1013" s="9" t="inlineStr">
        <is>
          <t>8.30.1</t>
        </is>
      </c>
      <c r="B1013" s="10" t="inlineStr">
        <is>
          <t>18 mm thick</t>
        </is>
      </c>
      <c r="C1013" s="11" t="n"/>
      <c r="D1013" s="11" t="n"/>
      <c r="E1013" s="11" t="n"/>
      <c r="F1013" s="11" t="n"/>
    </row>
    <row r="1014">
      <c r="A1014" s="12" t="inlineStr">
        <is>
          <t>Rate basis: per x30  (source: cost for 0.2 x30)</t>
        </is>
      </c>
    </row>
    <row r="1015">
      <c r="A1015" s="5" t="inlineStr">
        <is>
          <t>Code</t>
        </is>
      </c>
      <c r="B1015" s="5" t="inlineStr">
        <is>
          <t>Description</t>
        </is>
      </c>
      <c r="C1015" s="5" t="inlineStr">
        <is>
          <t>Unit</t>
        </is>
      </c>
      <c r="D1015" s="5" t="inlineStr">
        <is>
          <t>Quantity</t>
        </is>
      </c>
      <c r="E1015" s="5" t="inlineStr">
        <is>
          <t>Rate (Rs.)</t>
        </is>
      </c>
      <c r="F1015" s="5" t="inlineStr">
        <is>
          <t>Amount (Rs.)</t>
        </is>
      </c>
    </row>
    <row r="1016">
      <c r="A1016" s="13" t="inlineStr">
        <is>
          <t>13.50.1</t>
        </is>
      </c>
      <c r="B1016" s="14" t="inlineStr">
        <is>
          <t>Rate as per SH: 13.50.1</t>
        </is>
      </c>
      <c r="C1016" s="13" t="inlineStr">
        <is>
          <t>sqm</t>
        </is>
      </c>
      <c r="D1016" s="15" t="n">
        <v>6</v>
      </c>
      <c r="E1016" s="16" t="n">
        <v>57.05</v>
      </c>
      <c r="F1016" s="16">
        <f>D1016*E1016</f>
        <v/>
      </c>
    </row>
    <row r="1017">
      <c r="A1017" s="13" t="inlineStr">
        <is>
          <t>7478</t>
        </is>
      </c>
      <c r="B1017" s="14" t="inlineStr">
        <is>
          <t>Prelaminated particle board with one side decorative and other side balancing lamination, flat pressed 3 layer &amp; graded (medium density) Grade I, Type II conforming to IS : 12823 (exterior grade) 18 mm thick</t>
        </is>
      </c>
      <c r="C1017" s="13" t="inlineStr">
        <is>
          <t>sqm</t>
        </is>
      </c>
      <c r="D1017" s="15" t="n">
        <v>6.6</v>
      </c>
      <c r="E1017" s="16" t="n">
        <v>650</v>
      </c>
      <c r="F1017" s="16">
        <f>D1017*E1017</f>
        <v/>
      </c>
    </row>
    <row r="1018">
      <c r="A1018" s="13" t="inlineStr">
        <is>
          <t>9977</t>
        </is>
      </c>
      <c r="B1018" s="14" t="inlineStr">
        <is>
          <t>Carriage of particle board</t>
        </is>
      </c>
      <c r="C1018" s="13" t="inlineStr">
        <is>
          <t>L.S.</t>
        </is>
      </c>
      <c r="D1018" s="15" t="n">
        <v>8.109999999999999</v>
      </c>
      <c r="E1018" s="16" t="n">
        <v>2</v>
      </c>
      <c r="F1018" s="16">
        <f>D1018*E1018</f>
        <v/>
      </c>
    </row>
    <row r="1019">
      <c r="A1019" s="13" t="inlineStr">
        <is>
          <t>7048</t>
        </is>
      </c>
      <c r="B1019" s="14" t="inlineStr">
        <is>
          <t>Rawl plug 50 mm (designation 10 no.)</t>
        </is>
      </c>
      <c r="C1019" s="13" t="inlineStr">
        <is>
          <t>each</t>
        </is>
      </c>
      <c r="D1019" s="15" t="n">
        <v>102</v>
      </c>
      <c r="E1019" s="16" t="n">
        <v>25</v>
      </c>
      <c r="F1019" s="16">
        <f>D1019*E1019</f>
        <v/>
      </c>
    </row>
    <row r="1020">
      <c r="A1020" s="13" t="inlineStr">
        <is>
          <t>9999</t>
        </is>
      </c>
      <c r="B1020" s="14" t="inlineStr">
        <is>
          <t>Labour for drilling holes</t>
        </is>
      </c>
      <c r="C1020" s="13" t="inlineStr">
        <is>
          <t>L.S.</t>
        </is>
      </c>
      <c r="D1020" s="15" t="n">
        <v>130</v>
      </c>
      <c r="E1020" s="16" t="n">
        <v>2</v>
      </c>
      <c r="F1020" s="16">
        <f>D1020*E1020</f>
        <v/>
      </c>
    </row>
    <row r="1021">
      <c r="A1021" s="13" t="inlineStr">
        <is>
          <t>0112</t>
        </is>
      </c>
      <c r="B1021" s="14" t="inlineStr">
        <is>
          <t>Carpenter 2nd class</t>
        </is>
      </c>
      <c r="C1021" s="13" t="inlineStr">
        <is>
          <t>day</t>
        </is>
      </c>
      <c r="D1021" s="15" t="n">
        <v>0.77</v>
      </c>
      <c r="E1021" s="16" t="n">
        <v>679</v>
      </c>
      <c r="F1021" s="16">
        <f>D1021*E1021</f>
        <v/>
      </c>
    </row>
    <row r="1022">
      <c r="A1022" s="13" t="inlineStr">
        <is>
          <t>0114</t>
        </is>
      </c>
      <c r="B1022" s="14" t="inlineStr">
        <is>
          <t>Beldar</t>
        </is>
      </c>
      <c r="C1022" s="13" t="inlineStr">
        <is>
          <t>day</t>
        </is>
      </c>
      <c r="D1022" s="15" t="n">
        <v>0.86</v>
      </c>
      <c r="E1022" s="16" t="n">
        <v>558</v>
      </c>
      <c r="F1022" s="16">
        <f>D1022*E1022</f>
        <v/>
      </c>
    </row>
    <row r="1023">
      <c r="A1023" s="13" t="inlineStr">
        <is>
          <t>9999</t>
        </is>
      </c>
      <c r="B1023" s="14" t="inlineStr">
        <is>
          <t>Sundries (Screws, sand paper)</t>
        </is>
      </c>
      <c r="C1023" s="13" t="inlineStr">
        <is>
          <t>L.S.</t>
        </is>
      </c>
      <c r="D1023" s="15" t="n">
        <v>53.82</v>
      </c>
      <c r="E1023" s="16" t="n">
        <v>2</v>
      </c>
      <c r="F1023" s="16">
        <f>D1023*E1023</f>
        <v/>
      </c>
    </row>
    <row r="1024">
      <c r="A1024" s="17" t="inlineStr">
        <is>
          <t>Resource Total (Material + Labour + Machinery, as printed)</t>
        </is>
      </c>
      <c r="B1024" s="18" t="n"/>
      <c r="C1024" s="18" t="n"/>
      <c r="D1024" s="18" t="n"/>
      <c r="E1024" s="18" t="n"/>
      <c r="F1024" s="19">
        <f>SUM(F1016:F1023)</f>
        <v/>
      </c>
    </row>
    <row r="1025">
      <c r="A1025" s="20" t="inlineStr">
        <is>
          <t>SAY (Rs.) — final DAR rate</t>
        </is>
      </c>
      <c r="B1025" s="21" t="n"/>
      <c r="C1025" s="21" t="n"/>
      <c r="D1025" s="21" t="n"/>
      <c r="E1025" s="21" t="n"/>
      <c r="F1025" s="22" t="n">
        <v>1891.5</v>
      </c>
    </row>
    <row r="1027" ht="18" customHeight="1">
      <c r="A1027" s="9" t="inlineStr">
        <is>
          <t>8.30.2</t>
        </is>
      </c>
      <c r="B1027" s="10" t="inlineStr">
        <is>
          <t>25 mm thick</t>
        </is>
      </c>
      <c r="C1027" s="11" t="n"/>
      <c r="D1027" s="11" t="n"/>
      <c r="E1027" s="11" t="n"/>
      <c r="F1027" s="11" t="n"/>
    </row>
    <row r="1028">
      <c r="A1028" s="12" t="inlineStr">
        <is>
          <t>Rate basis: per x30  (source: cost for 0.2 x30)</t>
        </is>
      </c>
    </row>
    <row r="1029">
      <c r="A1029" s="5" t="inlineStr">
        <is>
          <t>Code</t>
        </is>
      </c>
      <c r="B1029" s="5" t="inlineStr">
        <is>
          <t>Description</t>
        </is>
      </c>
      <c r="C1029" s="5" t="inlineStr">
        <is>
          <t>Unit</t>
        </is>
      </c>
      <c r="D1029" s="5" t="inlineStr">
        <is>
          <t>Quantity</t>
        </is>
      </c>
      <c r="E1029" s="5" t="inlineStr">
        <is>
          <t>Rate (Rs.)</t>
        </is>
      </c>
      <c r="F1029" s="5" t="inlineStr">
        <is>
          <t>Amount (Rs.)</t>
        </is>
      </c>
    </row>
    <row r="1030">
      <c r="A1030" s="13" t="inlineStr">
        <is>
          <t>13.50.1</t>
        </is>
      </c>
      <c r="B1030" s="14" t="inlineStr">
        <is>
          <t>Rate as per SH: 13.50.1</t>
        </is>
      </c>
      <c r="C1030" s="13" t="inlineStr">
        <is>
          <t>sqm</t>
        </is>
      </c>
      <c r="D1030" s="15" t="n">
        <v>6</v>
      </c>
      <c r="E1030" s="16" t="n">
        <v>57.05</v>
      </c>
      <c r="F1030" s="16">
        <f>D1030*E1030</f>
        <v/>
      </c>
    </row>
    <row r="1031">
      <c r="A1031" s="13" t="inlineStr">
        <is>
          <t>7479</t>
        </is>
      </c>
      <c r="B1031" s="14" t="inlineStr">
        <is>
          <t>Prelaminated particle board with one side decorative and other side balancing lamination, flat pressed 3 layer &amp; graded (medium density) Grade I, Type II conforming to IS : 12823 (exterior grade) 25 mm thick</t>
        </is>
      </c>
      <c r="C1031" s="13" t="inlineStr">
        <is>
          <t>sqm</t>
        </is>
      </c>
      <c r="D1031" s="15" t="n">
        <v>6.6</v>
      </c>
      <c r="E1031" s="16" t="n">
        <v>900</v>
      </c>
      <c r="F1031" s="16">
        <f>D1031*E1031</f>
        <v/>
      </c>
    </row>
    <row r="1032">
      <c r="A1032" s="13" t="inlineStr">
        <is>
          <t>9977</t>
        </is>
      </c>
      <c r="B1032" s="14" t="inlineStr">
        <is>
          <t>Carriage of particle board</t>
        </is>
      </c>
      <c r="C1032" s="13" t="inlineStr">
        <is>
          <t>L.S.</t>
        </is>
      </c>
      <c r="D1032" s="15" t="n">
        <v>8.109999999999999</v>
      </c>
      <c r="E1032" s="16" t="n">
        <v>2</v>
      </c>
      <c r="F1032" s="16">
        <f>D1032*E1032</f>
        <v/>
      </c>
    </row>
    <row r="1033">
      <c r="A1033" s="13" t="inlineStr">
        <is>
          <t>7048</t>
        </is>
      </c>
      <c r="B1033" s="14" t="inlineStr">
        <is>
          <t>Rawl plug 50 mm (designation 10 no.)</t>
        </is>
      </c>
      <c r="C1033" s="13" t="inlineStr">
        <is>
          <t>each</t>
        </is>
      </c>
      <c r="D1033" s="15" t="n">
        <v>102</v>
      </c>
      <c r="E1033" s="16" t="n">
        <v>25</v>
      </c>
      <c r="F1033" s="16">
        <f>D1033*E1033</f>
        <v/>
      </c>
    </row>
    <row r="1034">
      <c r="A1034" s="13" t="inlineStr">
        <is>
          <t>9999</t>
        </is>
      </c>
      <c r="B1034" s="14" t="inlineStr">
        <is>
          <t>Labour for drilling holes</t>
        </is>
      </c>
      <c r="C1034" s="13" t="inlineStr">
        <is>
          <t>L.S.</t>
        </is>
      </c>
      <c r="D1034" s="15" t="n">
        <v>130</v>
      </c>
      <c r="E1034" s="16" t="n">
        <v>2</v>
      </c>
      <c r="F1034" s="16">
        <f>D1034*E1034</f>
        <v/>
      </c>
    </row>
    <row r="1035">
      <c r="A1035" s="13" t="inlineStr">
        <is>
          <t>0112</t>
        </is>
      </c>
      <c r="B1035" s="14" t="inlineStr">
        <is>
          <t>Carpenter 2nd class</t>
        </is>
      </c>
      <c r="C1035" s="13" t="inlineStr">
        <is>
          <t>day</t>
        </is>
      </c>
      <c r="D1035" s="15" t="n">
        <v>0.77</v>
      </c>
      <c r="E1035" s="16" t="n">
        <v>679</v>
      </c>
      <c r="F1035" s="16">
        <f>D1035*E1035</f>
        <v/>
      </c>
    </row>
    <row r="1036">
      <c r="A1036" s="13" t="inlineStr">
        <is>
          <t>0114</t>
        </is>
      </c>
      <c r="B1036" s="14" t="inlineStr">
        <is>
          <t>Beldar</t>
        </is>
      </c>
      <c r="C1036" s="13" t="inlineStr">
        <is>
          <t>day</t>
        </is>
      </c>
      <c r="D1036" s="15" t="n">
        <v>0.86</v>
      </c>
      <c r="E1036" s="16" t="n">
        <v>558</v>
      </c>
      <c r="F1036" s="16">
        <f>D1036*E1036</f>
        <v/>
      </c>
    </row>
    <row r="1037">
      <c r="A1037" s="13" t="inlineStr">
        <is>
          <t>9999</t>
        </is>
      </c>
      <c r="B1037" s="14" t="inlineStr">
        <is>
          <t>Sundries (Screws, sand paper)</t>
        </is>
      </c>
      <c r="C1037" s="13" t="inlineStr">
        <is>
          <t>L.S.</t>
        </is>
      </c>
      <c r="D1037" s="15" t="n">
        <v>53.82</v>
      </c>
      <c r="E1037" s="16" t="n">
        <v>2</v>
      </c>
      <c r="F1037" s="16">
        <f>D1037*E1037</f>
        <v/>
      </c>
    </row>
    <row r="1038">
      <c r="A1038" s="17" t="inlineStr">
        <is>
          <t>Resource Total (Material + Labour + Machinery, as printed)</t>
        </is>
      </c>
      <c r="B1038" s="18" t="n"/>
      <c r="C1038" s="18" t="n"/>
      <c r="D1038" s="18" t="n"/>
      <c r="E1038" s="18" t="n"/>
      <c r="F1038" s="19">
        <f>SUM(F1030:F1037)</f>
        <v/>
      </c>
    </row>
    <row r="1039">
      <c r="A1039" s="20" t="inlineStr">
        <is>
          <t>SAY (Rs.) — final DAR rate</t>
        </is>
      </c>
      <c r="B1039" s="21" t="n"/>
      <c r="C1039" s="21" t="n"/>
      <c r="D1039" s="21" t="n"/>
      <c r="E1039" s="21" t="n"/>
      <c r="F1039" s="22" t="n">
        <v>2259.4</v>
      </c>
    </row>
    <row r="1041" ht="28" customHeight="1">
      <c r="A1041" s="9" t="inlineStr">
        <is>
          <t>8.31</t>
        </is>
      </c>
      <c r="B1041" s="10" t="inlineStr">
        <is>
          <t>Providing and fixing Ist quality ceramic glazed wall tiles conforming to IS: 15622 (thickness to be specified by the manufacturer), of appro</t>
        </is>
      </c>
      <c r="C1041" s="11" t="n"/>
      <c r="D1041" s="11" t="n"/>
      <c r="E1041" s="11" t="n"/>
      <c r="F1041" s="11" t="n"/>
    </row>
    <row r="1042">
      <c r="A1042" s="12" t="inlineStr">
        <is>
          <t>Rate basis: per sqm  (source: cost for 1 sqm)</t>
        </is>
      </c>
    </row>
    <row r="1043">
      <c r="A1043" s="5" t="inlineStr">
        <is>
          <t>Code</t>
        </is>
      </c>
      <c r="B1043" s="5" t="inlineStr">
        <is>
          <t>Description</t>
        </is>
      </c>
      <c r="C1043" s="5" t="inlineStr">
        <is>
          <t>Unit</t>
        </is>
      </c>
      <c r="D1043" s="5" t="inlineStr">
        <is>
          <t>Quantity</t>
        </is>
      </c>
      <c r="E1043" s="5" t="inlineStr">
        <is>
          <t>Rate (Rs.)</t>
        </is>
      </c>
      <c r="F1043" s="5" t="inlineStr">
        <is>
          <t>Amount (Rs.)</t>
        </is>
      </c>
    </row>
    <row r="1044">
      <c r="A1044" s="13" t="inlineStr">
        <is>
          <t>3.8</t>
        </is>
      </c>
      <c r="B1044" s="14" t="inlineStr">
        <is>
          <t>Rate as per SH: 3.8</t>
        </is>
      </c>
      <c r="C1044" s="13" t="inlineStr">
        <is>
          <t>cum</t>
        </is>
      </c>
      <c r="D1044" s="15" t="n">
        <v>0.014</v>
      </c>
      <c r="E1044" s="16" t="n">
        <v>4664.55</v>
      </c>
      <c r="F1044" s="16">
        <f>D1044*E1044</f>
        <v/>
      </c>
    </row>
    <row r="1045">
      <c r="A1045" s="13" t="inlineStr">
        <is>
          <t>9977</t>
        </is>
      </c>
      <c r="B1045" s="14" t="inlineStr">
        <is>
          <t>Carriage of tiles</t>
        </is>
      </c>
      <c r="C1045" s="13" t="inlineStr">
        <is>
          <t>L.S.</t>
        </is>
      </c>
      <c r="D1045" s="15" t="n">
        <v>6.24</v>
      </c>
      <c r="E1045" s="16" t="n">
        <v>2</v>
      </c>
      <c r="F1045" s="16">
        <f>D1045*E1045</f>
        <v/>
      </c>
    </row>
    <row r="1046">
      <c r="A1046" s="13" t="inlineStr">
        <is>
          <t>9999</t>
        </is>
      </c>
      <c r="B1046" s="14" t="inlineStr">
        <is>
          <t>Mortar for pointing in white cement</t>
        </is>
      </c>
      <c r="C1046" s="13" t="inlineStr">
        <is>
          <t>L.S.</t>
        </is>
      </c>
      <c r="D1046" s="15" t="n">
        <v>40.43</v>
      </c>
      <c r="E1046" s="16" t="n">
        <v>2</v>
      </c>
      <c r="F1046" s="16">
        <f>D1046*E1046</f>
        <v/>
      </c>
    </row>
    <row r="1047">
      <c r="A1047" s="13" t="inlineStr">
        <is>
          <t>0367</t>
        </is>
      </c>
      <c r="B1047" s="14" t="inlineStr">
        <is>
          <t>Portland Cement</t>
        </is>
      </c>
      <c r="C1047" s="13" t="inlineStr">
        <is>
          <t>tonne</t>
        </is>
      </c>
      <c r="D1047" s="15" t="n">
        <v>0.0033</v>
      </c>
      <c r="E1047" s="16" t="n">
        <v>4940</v>
      </c>
      <c r="F1047" s="16">
        <f>D1047*E1047</f>
        <v/>
      </c>
    </row>
    <row r="1048">
      <c r="A1048" s="13" t="inlineStr">
        <is>
          <t>0123</t>
        </is>
      </c>
      <c r="B1048" s="14" t="inlineStr">
        <is>
          <t>Mason (brick layer) 1st class</t>
        </is>
      </c>
      <c r="C1048" s="13" t="inlineStr">
        <is>
          <t>day</t>
        </is>
      </c>
      <c r="D1048" s="15" t="n">
        <v>0.25</v>
      </c>
      <c r="E1048" s="16" t="n">
        <v>738</v>
      </c>
      <c r="F1048" s="16">
        <f>D1048*E1048</f>
        <v/>
      </c>
    </row>
    <row r="1049">
      <c r="A1049" s="13" t="inlineStr">
        <is>
          <t>0115</t>
        </is>
      </c>
      <c r="B1049" s="14" t="inlineStr">
        <is>
          <t>Coolie</t>
        </is>
      </c>
      <c r="C1049" s="13" t="inlineStr">
        <is>
          <t>day</t>
        </is>
      </c>
      <c r="D1049" s="15" t="n">
        <v>0.25</v>
      </c>
      <c r="E1049" s="16" t="n">
        <v>558</v>
      </c>
      <c r="F1049" s="16">
        <f>D1049*E1049</f>
        <v/>
      </c>
    </row>
    <row r="1050">
      <c r="A1050" s="13" t="inlineStr">
        <is>
          <t>9988</t>
        </is>
      </c>
      <c r="B1050" s="14" t="inlineStr">
        <is>
          <t>Sundries including carriage of cement etc</t>
        </is>
      </c>
      <c r="C1050" s="13" t="inlineStr">
        <is>
          <t>L.S.</t>
        </is>
      </c>
      <c r="D1050" s="15" t="n">
        <v>26.91</v>
      </c>
      <c r="E1050" s="16" t="n">
        <v>2</v>
      </c>
      <c r="F1050" s="16">
        <f>D1050*E1050</f>
        <v/>
      </c>
    </row>
    <row r="1051">
      <c r="A1051" s="17" t="inlineStr">
        <is>
          <t>Resource Total (Material + Labour + Machinery, as printed)</t>
        </is>
      </c>
      <c r="B1051" s="18" t="n"/>
      <c r="C1051" s="18" t="n"/>
      <c r="D1051" s="18" t="n"/>
      <c r="E1051" s="18" t="n"/>
      <c r="F1051" s="19">
        <f>SUM(F1044:F1050)</f>
        <v/>
      </c>
    </row>
    <row r="1052">
      <c r="A1052" s="20" t="inlineStr">
        <is>
          <t>SAY (Rs.) — final DAR rate</t>
        </is>
      </c>
      <c r="B1052" s="21" t="n"/>
      <c r="C1052" s="21" t="n"/>
      <c r="D1052" s="21" t="n"/>
      <c r="E1052" s="21" t="n"/>
      <c r="F1052" s="22" t="n">
        <v>1030.3</v>
      </c>
    </row>
    <row r="1054" ht="28" customHeight="1">
      <c r="A1054" s="9" t="inlineStr">
        <is>
          <t>8.32</t>
        </is>
      </c>
      <c r="B1054" s="10" t="inlineStr">
        <is>
          <t>Designing, fabricating, testing, installing and fixing in position Curtain Wall with Aluminium Composite Panel Cladding, with open grooves f</t>
        </is>
      </c>
      <c r="C1054" s="11" t="n"/>
      <c r="D1054" s="11" t="n"/>
      <c r="E1054" s="11" t="n"/>
      <c r="F1054" s="11" t="n"/>
    </row>
    <row r="1055">
      <c r="A1055" s="12" t="inlineStr">
        <is>
          <t>Rate basis: per sqm  (source: cost for 6.72 sqm)</t>
        </is>
      </c>
    </row>
    <row r="1056">
      <c r="A1056" s="5" t="inlineStr">
        <is>
          <t>Code</t>
        </is>
      </c>
      <c r="B1056" s="5" t="inlineStr">
        <is>
          <t>Description</t>
        </is>
      </c>
      <c r="C1056" s="5" t="inlineStr">
        <is>
          <t>Unit</t>
        </is>
      </c>
      <c r="D1056" s="5" t="inlineStr">
        <is>
          <t>Quantity</t>
        </is>
      </c>
      <c r="E1056" s="5" t="inlineStr">
        <is>
          <t>Rate (Rs.)</t>
        </is>
      </c>
      <c r="F1056" s="5" t="inlineStr">
        <is>
          <t>Amount (Rs.)</t>
        </is>
      </c>
    </row>
    <row r="1057">
      <c r="A1057" s="13" t="inlineStr">
        <is>
          <t>2607</t>
        </is>
      </c>
      <c r="B1057" s="14" t="inlineStr">
        <is>
          <t>Weather Sealant - Non Staining (600 ml)</t>
        </is>
      </c>
      <c r="C1057" s="13" t="inlineStr">
        <is>
          <t>each</t>
        </is>
      </c>
      <c r="D1057" s="15" t="n">
        <v>2</v>
      </c>
      <c r="E1057" s="16" t="n">
        <v>325</v>
      </c>
      <c r="F1057" s="16">
        <f>D1057*E1057</f>
        <v/>
      </c>
    </row>
    <row r="1058">
      <c r="A1058" s="13" t="inlineStr">
        <is>
          <t>2608</t>
        </is>
      </c>
      <c r="B1058" s="14" t="inlineStr">
        <is>
          <t>Weather Sealant - Normal (300 ml)</t>
        </is>
      </c>
      <c r="C1058" s="13" t="inlineStr">
        <is>
          <t>each</t>
        </is>
      </c>
      <c r="D1058" s="15" t="n">
        <v>2</v>
      </c>
      <c r="E1058" s="16" t="n">
        <v>98</v>
      </c>
      <c r="F1058" s="16">
        <f>D1058*E1058</f>
        <v/>
      </c>
    </row>
    <row r="1059">
      <c r="A1059" s="13" t="inlineStr">
        <is>
          <t>2609</t>
        </is>
      </c>
      <c r="B1059" s="14" t="inlineStr">
        <is>
          <t>MS Brackets/Aluminium Alloy Brackets</t>
        </is>
      </c>
      <c r="C1059" s="13" t="inlineStr">
        <is>
          <t>kg</t>
        </is>
      </c>
      <c r="D1059" s="15" t="n">
        <v>10</v>
      </c>
      <c r="E1059" s="16" t="n">
        <v>100</v>
      </c>
      <c r="F1059" s="16">
        <f>D1059*E1059</f>
        <v/>
      </c>
    </row>
    <row r="1060">
      <c r="A1060" s="13" t="inlineStr">
        <is>
          <t>2611</t>
        </is>
      </c>
      <c r="B1060" s="14" t="inlineStr">
        <is>
          <t>EPDM Gasket in Kg (Above 60 g / m)</t>
        </is>
      </c>
      <c r="C1060" s="13" t="inlineStr">
        <is>
          <t>kg</t>
        </is>
      </c>
      <c r="D1060" s="15" t="n">
        <v>0.7</v>
      </c>
      <c r="E1060" s="16" t="n">
        <v>150</v>
      </c>
      <c r="F1060" s="16">
        <f>D1060*E1060</f>
        <v/>
      </c>
    </row>
    <row r="1061">
      <c r="A1061" s="13" t="inlineStr">
        <is>
          <t>2612</t>
        </is>
      </c>
      <c r="B1061" s="14" t="inlineStr">
        <is>
          <t>Anchor Fastner - M10</t>
        </is>
      </c>
      <c r="C1061" s="13" t="inlineStr">
        <is>
          <t>each</t>
        </is>
      </c>
      <c r="D1061" s="15" t="n">
        <v>2</v>
      </c>
      <c r="E1061" s="16" t="n">
        <v>10</v>
      </c>
      <c r="F1061" s="16">
        <f>D1061*E1061</f>
        <v/>
      </c>
    </row>
    <row r="1062">
      <c r="A1062" s="13" t="inlineStr">
        <is>
          <t>2613</t>
        </is>
      </c>
      <c r="B1062" s="14" t="inlineStr">
        <is>
          <t>SS Bolt with washer of sizes for structural glazing / ACP Cladding</t>
        </is>
      </c>
      <c r="C1062" s="13" t="inlineStr">
        <is>
          <t>each</t>
        </is>
      </c>
      <c r="D1062" s="15" t="n">
        <v>2</v>
      </c>
      <c r="E1062" s="16" t="n">
        <v>35</v>
      </c>
      <c r="F1062" s="16">
        <f>D1062*E1062</f>
        <v/>
      </c>
    </row>
    <row r="1063">
      <c r="A1063" s="13" t="inlineStr">
        <is>
          <t>2614</t>
        </is>
      </c>
      <c r="B1063" s="14" t="inlineStr">
        <is>
          <t>SS Screws of sizes for structural glazing / ACP Cladding</t>
        </is>
      </c>
      <c r="C1063" s="13" t="inlineStr">
        <is>
          <t>each</t>
        </is>
      </c>
      <c r="D1063" s="15" t="n">
        <v>49</v>
      </c>
      <c r="E1063" s="16" t="n">
        <v>3</v>
      </c>
      <c r="F1063" s="16">
        <f>D1063*E1063</f>
        <v/>
      </c>
    </row>
    <row r="1064">
      <c r="A1064" s="13" t="inlineStr">
        <is>
          <t>2615</t>
        </is>
      </c>
      <c r="B1064" s="14" t="inlineStr">
        <is>
          <t>Protective Tape</t>
        </is>
      </c>
      <c r="C1064" s="13" t="inlineStr">
        <is>
          <t>metre</t>
        </is>
      </c>
      <c r="D1064" s="15" t="n">
        <v>7</v>
      </c>
      <c r="E1064" s="16" t="n">
        <v>20</v>
      </c>
      <c r="F1064" s="16">
        <f>D1064*E1064</f>
        <v/>
      </c>
    </row>
    <row r="1065">
      <c r="A1065" s="13" t="inlineStr">
        <is>
          <t>2630</t>
        </is>
      </c>
      <c r="B1065" s="14" t="inlineStr">
        <is>
          <t>Baker rod</t>
        </is>
      </c>
      <c r="C1065" s="13" t="inlineStr">
        <is>
          <t>metre</t>
        </is>
      </c>
      <c r="D1065" s="15" t="n">
        <v>5</v>
      </c>
      <c r="E1065" s="16" t="n">
        <v>5</v>
      </c>
      <c r="F1065" s="16">
        <f>D1065*E1065</f>
        <v/>
      </c>
    </row>
    <row r="1066">
      <c r="A1066" s="13" t="inlineStr">
        <is>
          <t>2616</t>
        </is>
      </c>
      <c r="B1066" s="14" t="inlineStr">
        <is>
          <t>GI flashing - 1.2 mm Thick</t>
        </is>
      </c>
      <c r="C1066" s="13" t="inlineStr">
        <is>
          <t>kg</t>
        </is>
      </c>
      <c r="D1066" s="15" t="n">
        <v>4</v>
      </c>
      <c r="E1066" s="16" t="n">
        <v>59</v>
      </c>
      <c r="F1066" s="16">
        <f>D1066*E1066</f>
        <v/>
      </c>
    </row>
    <row r="1067">
      <c r="A1067" s="13" t="inlineStr">
        <is>
          <t>2631</t>
        </is>
      </c>
      <c r="B1067" s="14" t="inlineStr">
        <is>
          <t>4 mm thick ACP</t>
        </is>
      </c>
      <c r="C1067" s="13" t="inlineStr">
        <is>
          <t>sqm</t>
        </is>
      </c>
      <c r="D1067" s="15" t="n">
        <v>7.06</v>
      </c>
      <c r="E1067" s="16" t="n">
        <v>1100</v>
      </c>
      <c r="F1067" s="16">
        <f>D1067*E1067</f>
        <v/>
      </c>
    </row>
    <row r="1068">
      <c r="A1068" s="13" t="inlineStr">
        <is>
          <t>9999</t>
        </is>
      </c>
      <c r="B1068" s="14" t="inlineStr">
        <is>
          <t>Sundries</t>
        </is>
      </c>
      <c r="C1068" s="13" t="inlineStr">
        <is>
          <t>L.S.</t>
        </is>
      </c>
      <c r="D1068" s="15" t="n">
        <v>451</v>
      </c>
      <c r="E1068" s="16" t="n">
        <v>2</v>
      </c>
      <c r="F1068" s="16">
        <f>D1068*E1068</f>
        <v/>
      </c>
    </row>
    <row r="1069">
      <c r="A1069" s="13" t="inlineStr">
        <is>
          <t>9999</t>
        </is>
      </c>
      <c r="B1069" s="14" t="inlineStr">
        <is>
          <t>Sundries (For Fabrication)</t>
        </is>
      </c>
      <c r="C1069" s="13" t="inlineStr">
        <is>
          <t>L.S.</t>
        </is>
      </c>
      <c r="D1069" s="15" t="n">
        <v>1895.3</v>
      </c>
      <c r="E1069" s="16" t="n">
        <v>2</v>
      </c>
      <c r="F1069" s="16">
        <f>D1069*E1069</f>
        <v/>
      </c>
    </row>
    <row r="1070">
      <c r="A1070" s="13" t="inlineStr">
        <is>
          <t>9999</t>
        </is>
      </c>
      <c r="B1070" s="14" t="inlineStr">
        <is>
          <t>Sundries (For Installation)</t>
        </is>
      </c>
      <c r="C1070" s="13" t="inlineStr">
        <is>
          <t>L.S.</t>
        </is>
      </c>
      <c r="D1070" s="15" t="n">
        <v>1895.3</v>
      </c>
      <c r="E1070" s="16" t="n">
        <v>2</v>
      </c>
      <c r="F1070" s="16">
        <f>D1070*E1070</f>
        <v/>
      </c>
    </row>
    <row r="1071">
      <c r="A1071" s="13" t="inlineStr">
        <is>
          <t>9999</t>
        </is>
      </c>
      <c r="B1071" s="14" t="inlineStr">
        <is>
          <t>Sundries (Scaffolding / Loading / Unloading)</t>
        </is>
      </c>
      <c r="C1071" s="13" t="inlineStr">
        <is>
          <t>L.S.</t>
        </is>
      </c>
      <c r="D1071" s="15" t="n">
        <v>602.25</v>
      </c>
      <c r="E1071" s="16" t="n">
        <v>2</v>
      </c>
      <c r="F1071" s="16">
        <f>D1071*E1071</f>
        <v/>
      </c>
    </row>
    <row r="1072">
      <c r="A1072" s="13" t="inlineStr">
        <is>
          <t>9999</t>
        </is>
      </c>
      <c r="B1072" s="14" t="inlineStr">
        <is>
          <t>Sundries (Transporation)</t>
        </is>
      </c>
      <c r="C1072" s="13" t="inlineStr">
        <is>
          <t>L.S.</t>
        </is>
      </c>
      <c r="D1072" s="15" t="n">
        <v>473.83</v>
      </c>
      <c r="E1072" s="16" t="n">
        <v>2</v>
      </c>
      <c r="F1072" s="16">
        <f>D1072*E1072</f>
        <v/>
      </c>
    </row>
    <row r="1073">
      <c r="A1073" s="13" t="inlineStr">
        <is>
          <t>9999</t>
        </is>
      </c>
      <c r="B1073" s="14" t="inlineStr">
        <is>
          <t>Sundries (Designing charges etc.)</t>
        </is>
      </c>
      <c r="C1073" s="13" t="inlineStr">
        <is>
          <t>L.S.</t>
        </is>
      </c>
      <c r="D1073" s="15" t="n">
        <v>328.15</v>
      </c>
      <c r="E1073" s="16" t="n">
        <v>2</v>
      </c>
      <c r="F1073" s="16">
        <f>D1073*E1073</f>
        <v/>
      </c>
    </row>
    <row r="1074">
      <c r="A1074" s="17" t="inlineStr">
        <is>
          <t>Resource Total (Material + Labour + Machinery, as printed)</t>
        </is>
      </c>
      <c r="B1074" s="18" t="n"/>
      <c r="C1074" s="18" t="n"/>
      <c r="D1074" s="18" t="n"/>
      <c r="E1074" s="18" t="n"/>
      <c r="F1074" s="19">
        <f>SUM(F1057:F1073)</f>
        <v/>
      </c>
    </row>
    <row r="1075">
      <c r="A1075" s="20" t="inlineStr">
        <is>
          <t>SAY (Rs.) — final DAR rate</t>
        </is>
      </c>
      <c r="B1075" s="21" t="n"/>
      <c r="C1075" s="21" t="n"/>
      <c r="D1075" s="21" t="n"/>
      <c r="E1075" s="21" t="n"/>
      <c r="F1075" s="22" t="n">
        <v>4309.8</v>
      </c>
    </row>
  </sheetData>
  <mergeCells count="286">
    <mergeCell ref="B302:F302"/>
    <mergeCell ref="B129:F129"/>
    <mergeCell ref="A279:E279"/>
    <mergeCell ref="B575:F575"/>
    <mergeCell ref="B365:F365"/>
    <mergeCell ref="A530:E530"/>
    <mergeCell ref="B851:F851"/>
    <mergeCell ref="B734:F734"/>
    <mergeCell ref="A300:E300"/>
    <mergeCell ref="A698:F698"/>
    <mergeCell ref="A876:F876"/>
    <mergeCell ref="A934:F934"/>
    <mergeCell ref="A168:E168"/>
    <mergeCell ref="A694:E694"/>
    <mergeCell ref="A750:E750"/>
    <mergeCell ref="A1039:E1039"/>
    <mergeCell ref="B512:F512"/>
    <mergeCell ref="A677:E677"/>
    <mergeCell ref="A160:F160"/>
    <mergeCell ref="B714:F714"/>
    <mergeCell ref="A678:E678"/>
    <mergeCell ref="A218:E218"/>
    <mergeCell ref="A363:E363"/>
    <mergeCell ref="A635:E635"/>
    <mergeCell ref="B828:F828"/>
    <mergeCell ref="A5:F5"/>
    <mergeCell ref="A150:F150"/>
    <mergeCell ref="A303:F303"/>
    <mergeCell ref="A426:E426"/>
    <mergeCell ref="A137:E137"/>
    <mergeCell ref="A868:F868"/>
    <mergeCell ref="A37:E37"/>
    <mergeCell ref="B170:F170"/>
    <mergeCell ref="A89:E89"/>
    <mergeCell ref="A807:E807"/>
    <mergeCell ref="B1041:F1041"/>
    <mergeCell ref="A136:E136"/>
    <mergeCell ref="B53:F53"/>
    <mergeCell ref="B697:F697"/>
    <mergeCell ref="A121:F121"/>
    <mergeCell ref="A450:F450"/>
    <mergeCell ref="B491:F491"/>
    <mergeCell ref="B933:F933"/>
    <mergeCell ref="A468:E468"/>
    <mergeCell ref="A179:E179"/>
    <mergeCell ref="A857:E857"/>
    <mergeCell ref="A657:E657"/>
    <mergeCell ref="A735:F735"/>
    <mergeCell ref="B230:F230"/>
    <mergeCell ref="A618:F618"/>
    <mergeCell ref="A534:F534"/>
    <mergeCell ref="A203:E203"/>
    <mergeCell ref="A405:E405"/>
    <mergeCell ref="A872:E872"/>
    <mergeCell ref="A881:E881"/>
    <mergeCell ref="A841:F841"/>
    <mergeCell ref="B92:F92"/>
    <mergeCell ref="A555:F555"/>
    <mergeCell ref="A156:E156"/>
    <mergeCell ref="B281:F281"/>
    <mergeCell ref="B959:F959"/>
    <mergeCell ref="A778:F778"/>
    <mergeCell ref="A241:F241"/>
    <mergeCell ref="A656:E656"/>
    <mergeCell ref="A63:E63"/>
    <mergeCell ref="A299:E299"/>
    <mergeCell ref="A594:E594"/>
    <mergeCell ref="B449:F449"/>
    <mergeCell ref="A492:F492"/>
    <mergeCell ref="A510:E510"/>
    <mergeCell ref="A892:E892"/>
    <mergeCell ref="A753:F753"/>
    <mergeCell ref="A873:E873"/>
    <mergeCell ref="A947:F947"/>
    <mergeCell ref="A41:F41"/>
    <mergeCell ref="A77:E77"/>
    <mergeCell ref="B386:F386"/>
    <mergeCell ref="A221:F221"/>
    <mergeCell ref="A446:E446"/>
    <mergeCell ref="A157:E157"/>
    <mergeCell ref="A983:E983"/>
    <mergeCell ref="A918:E918"/>
    <mergeCell ref="B907:F907"/>
    <mergeCell ref="A731:E731"/>
    <mergeCell ref="A383:E383"/>
    <mergeCell ref="A982:E982"/>
    <mergeCell ref="A488:E488"/>
    <mergeCell ref="A837:E837"/>
    <mergeCell ref="A2:F2"/>
    <mergeCell ref="A551:E551"/>
    <mergeCell ref="B617:F617"/>
    <mergeCell ref="B1054:F1054"/>
    <mergeCell ref="B120:F120"/>
    <mergeCell ref="A725:F725"/>
    <mergeCell ref="A896:F896"/>
    <mergeCell ref="A1014:F1014"/>
    <mergeCell ref="A852:F852"/>
    <mergeCell ref="A118:E118"/>
    <mergeCell ref="A749:E749"/>
    <mergeCell ref="A513:F513"/>
    <mergeCell ref="A531:E531"/>
    <mergeCell ref="B883:F883"/>
    <mergeCell ref="A943:E943"/>
    <mergeCell ref="A960:F960"/>
    <mergeCell ref="A838:E838"/>
    <mergeCell ref="A1074:E1074"/>
    <mergeCell ref="B809:F809"/>
    <mergeCell ref="B407:F407"/>
    <mergeCell ref="B867:F867"/>
    <mergeCell ref="A695:E695"/>
    <mergeCell ref="A1000:F1000"/>
    <mergeCell ref="B972:F972"/>
    <mergeCell ref="A775:E775"/>
    <mergeCell ref="A321:E321"/>
    <mergeCell ref="A573:E573"/>
    <mergeCell ref="A404:E404"/>
    <mergeCell ref="A182:F182"/>
    <mergeCell ref="A387:F387"/>
    <mergeCell ref="A986:F986"/>
    <mergeCell ref="A38:E38"/>
    <mergeCell ref="A147:E147"/>
    <mergeCell ref="B766:F766"/>
    <mergeCell ref="A921:F921"/>
    <mergeCell ref="A1010:E1010"/>
    <mergeCell ref="A721:E721"/>
    <mergeCell ref="A908:F908"/>
    <mergeCell ref="A848:E848"/>
    <mergeCell ref="A957:E957"/>
    <mergeCell ref="A258:E258"/>
    <mergeCell ref="B554:F554"/>
    <mergeCell ref="A429:F429"/>
    <mergeCell ref="A509:E509"/>
    <mergeCell ref="B659:F659"/>
    <mergeCell ref="B4:F4"/>
    <mergeCell ref="A54:F54"/>
    <mergeCell ref="B895:F895"/>
    <mergeCell ref="B999:F999"/>
    <mergeCell ref="B1027:F1027"/>
    <mergeCell ref="A956:E956"/>
    <mergeCell ref="A732:E732"/>
    <mergeCell ref="A282:F282"/>
    <mergeCell ref="A366:F366"/>
    <mergeCell ref="A615:E615"/>
    <mergeCell ref="A931:E931"/>
    <mergeCell ref="B596:F596"/>
    <mergeCell ref="B159:F159"/>
    <mergeCell ref="B985:F985"/>
    <mergeCell ref="A722:E722"/>
    <mergeCell ref="A1011:E1011"/>
    <mergeCell ref="B920:F920"/>
    <mergeCell ref="B724:F724"/>
    <mergeCell ref="A228:E228"/>
    <mergeCell ref="A614:E614"/>
    <mergeCell ref="A146:E146"/>
    <mergeCell ref="A552:E552"/>
    <mergeCell ref="A237:E237"/>
    <mergeCell ref="B323:F323"/>
    <mergeCell ref="A973:F973"/>
    <mergeCell ref="A865:E865"/>
    <mergeCell ref="A108:E108"/>
    <mergeCell ref="A715:F715"/>
    <mergeCell ref="A826:E826"/>
    <mergeCell ref="A997:E997"/>
    <mergeCell ref="A140:F140"/>
    <mergeCell ref="A171:F171"/>
    <mergeCell ref="B181:F181"/>
    <mergeCell ref="A189:E189"/>
    <mergeCell ref="A231:F231"/>
    <mergeCell ref="A324:F324"/>
    <mergeCell ref="A425:E425"/>
    <mergeCell ref="A238:E238"/>
    <mergeCell ref="A447:E447"/>
    <mergeCell ref="B470:F470"/>
    <mergeCell ref="A50:E50"/>
    <mergeCell ref="A636:E636"/>
    <mergeCell ref="A763:E763"/>
    <mergeCell ref="B946:F946"/>
    <mergeCell ref="A93:F93"/>
    <mergeCell ref="A204:E204"/>
    <mergeCell ref="B638:F638"/>
    <mergeCell ref="A1052:E1052"/>
    <mergeCell ref="A102:F102"/>
    <mergeCell ref="A384:E384"/>
    <mergeCell ref="A278:E278"/>
    <mergeCell ref="A111:F111"/>
    <mergeCell ref="A471:F471"/>
    <mergeCell ref="A489:E489"/>
    <mergeCell ref="A829:F829"/>
    <mergeCell ref="A860:F860"/>
    <mergeCell ref="B260:F260"/>
    <mergeCell ref="A970:E970"/>
    <mergeCell ref="A810:F810"/>
    <mergeCell ref="A880:E880"/>
    <mergeCell ref="B192:F192"/>
    <mergeCell ref="A884:F884"/>
    <mergeCell ref="A1055:F1055"/>
    <mergeCell ref="A20:E20"/>
    <mergeCell ref="A207:F207"/>
    <mergeCell ref="B139:F139"/>
    <mergeCell ref="B428:F428"/>
    <mergeCell ref="B752:F752"/>
    <mergeCell ref="A1:F1"/>
    <mergeCell ref="B344:F344"/>
    <mergeCell ref="A576:F576"/>
    <mergeCell ref="A849:E849"/>
    <mergeCell ref="B875:F875"/>
    <mergeCell ref="A969:E969"/>
    <mergeCell ref="A1025:E1025"/>
    <mergeCell ref="A1042:F1042"/>
    <mergeCell ref="B840:F840"/>
    <mergeCell ref="A711:E711"/>
    <mergeCell ref="B206:F206"/>
    <mergeCell ref="A167:E167"/>
    <mergeCell ref="A127:E127"/>
    <mergeCell ref="B110:F110"/>
    <mergeCell ref="A320:E320"/>
    <mergeCell ref="A791:E791"/>
    <mergeCell ref="B859:F859"/>
    <mergeCell ref="A904:E904"/>
    <mergeCell ref="A1075:E1075"/>
    <mergeCell ref="A345:F345"/>
    <mergeCell ref="B777:F777"/>
    <mergeCell ref="A193:F193"/>
    <mergeCell ref="B1013:F1013"/>
    <mergeCell ref="A64:E64"/>
    <mergeCell ref="A80:F80"/>
    <mergeCell ref="A98:E98"/>
    <mergeCell ref="A257:E257"/>
    <mergeCell ref="A1028:F1028"/>
    <mergeCell ref="A51:E51"/>
    <mergeCell ref="B66:F66"/>
    <mergeCell ref="A107:E107"/>
    <mergeCell ref="A178:E178"/>
    <mergeCell ref="A467:E467"/>
    <mergeCell ref="A767:F767"/>
    <mergeCell ref="B22:F22"/>
    <mergeCell ref="A825:E825"/>
    <mergeCell ref="A856:E856"/>
    <mergeCell ref="B149:F149"/>
    <mergeCell ref="B680:F680"/>
    <mergeCell ref="B220:F220"/>
    <mergeCell ref="A712:E712"/>
    <mergeCell ref="B793:F793"/>
    <mergeCell ref="A905:E905"/>
    <mergeCell ref="A917:E917"/>
    <mergeCell ref="A806:E806"/>
    <mergeCell ref="A227:E227"/>
    <mergeCell ref="A1051:E1051"/>
    <mergeCell ref="A23:F23"/>
    <mergeCell ref="A90:E90"/>
    <mergeCell ref="B240:F240"/>
    <mergeCell ref="A572:E572"/>
    <mergeCell ref="A217:E217"/>
    <mergeCell ref="A99:E99"/>
    <mergeCell ref="B533:F533"/>
    <mergeCell ref="A1038:E1038"/>
    <mergeCell ref="A597:F597"/>
    <mergeCell ref="B101:F101"/>
    <mergeCell ref="A681:F681"/>
    <mergeCell ref="A864:E864"/>
    <mergeCell ref="A930:E930"/>
    <mergeCell ref="A944:E944"/>
    <mergeCell ref="A660:F660"/>
    <mergeCell ref="A341:E341"/>
    <mergeCell ref="A76:E76"/>
    <mergeCell ref="A67:F67"/>
    <mergeCell ref="A1024:E1024"/>
    <mergeCell ref="A130:F130"/>
    <mergeCell ref="A794:F794"/>
    <mergeCell ref="B40:F40"/>
    <mergeCell ref="A261:F261"/>
    <mergeCell ref="A126:E126"/>
    <mergeCell ref="A790:E790"/>
    <mergeCell ref="A342:E342"/>
    <mergeCell ref="A639:F639"/>
    <mergeCell ref="A893:E893"/>
    <mergeCell ref="A774:E774"/>
    <mergeCell ref="A19:E19"/>
    <mergeCell ref="A190:E190"/>
    <mergeCell ref="A408:F408"/>
    <mergeCell ref="A996:E996"/>
    <mergeCell ref="A117:E117"/>
    <mergeCell ref="B79:F79"/>
    <mergeCell ref="A593:E593"/>
    <mergeCell ref="A764:E764"/>
    <mergeCell ref="A362:E36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191"/>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09: WOOD AND PVC WORK</t>
        </is>
      </c>
    </row>
    <row r="2" ht="28" customHeight="1">
      <c r="A2" s="8" t="inlineStr">
        <is>
          <t>355 priced items. Amount and SAY are live Excel formulas computed from the Quantity x Rate figures below - edit any Quantity or Rate and the item's rate recalculates.</t>
        </is>
      </c>
    </row>
    <row r="4" ht="18" customHeight="1">
      <c r="A4" s="9" t="inlineStr">
        <is>
          <t>9.1.1</t>
        </is>
      </c>
      <c r="B4" s="10" t="inlineStr">
        <is>
          <t>Second class teak wood</t>
        </is>
      </c>
      <c r="C4" s="11" t="n"/>
      <c r="D4" s="11" t="n"/>
      <c r="E4" s="11" t="n"/>
      <c r="F4" s="11" t="n"/>
    </row>
    <row r="5">
      <c r="A5" s="12" t="inlineStr">
        <is>
          <t>Rate basis: per cum  (source: cost for 0.028 cum)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2204</t>
        </is>
      </c>
      <c r="B7" s="14" t="inlineStr">
        <is>
          <t>Carriage of Timber</t>
        </is>
      </c>
      <c r="C7" s="13" t="inlineStr">
        <is>
          <t>cum</t>
        </is>
      </c>
      <c r="D7" s="15" t="n">
        <v>0.038</v>
      </c>
      <c r="E7" s="16" t="n">
        <v>118.59</v>
      </c>
      <c r="F7" s="16">
        <f>D7*E7</f>
        <v/>
      </c>
    </row>
    <row r="8">
      <c r="A8" s="13" t="inlineStr">
        <is>
          <t>0156</t>
        </is>
      </c>
      <c r="B8" s="14" t="inlineStr">
        <is>
          <t>Carpenter (average)</t>
        </is>
      </c>
      <c r="C8" s="13" t="inlineStr">
        <is>
          <t>day</t>
        </is>
      </c>
      <c r="D8" s="15" t="n">
        <v>0.72</v>
      </c>
      <c r="E8" s="16" t="n">
        <v>709</v>
      </c>
      <c r="F8" s="16">
        <f>D8*E8</f>
        <v/>
      </c>
    </row>
    <row r="9">
      <c r="A9" s="13" t="inlineStr">
        <is>
          <t>0114</t>
        </is>
      </c>
      <c r="B9" s="14" t="inlineStr">
        <is>
          <t>Beldar</t>
        </is>
      </c>
      <c r="C9" s="13" t="inlineStr">
        <is>
          <t>day</t>
        </is>
      </c>
      <c r="D9" s="15" t="n">
        <v>0.07000000000000001</v>
      </c>
      <c r="E9" s="16" t="n">
        <v>558</v>
      </c>
      <c r="F9" s="16">
        <f>D9*E9</f>
        <v/>
      </c>
    </row>
    <row r="10">
      <c r="A10" s="17" t="inlineStr">
        <is>
          <t>Resource Total (Material + Labour + Machinery, as printed)</t>
        </is>
      </c>
      <c r="B10" s="18" t="n"/>
      <c r="C10" s="18" t="n"/>
      <c r="D10" s="18" t="n"/>
      <c r="E10" s="18" t="n"/>
      <c r="F10" s="19">
        <f>SUM(F7:F9)</f>
        <v/>
      </c>
    </row>
    <row r="11">
      <c r="A11" s="20" t="inlineStr">
        <is>
          <t>SAY (Rs.) — final DAR rate</t>
        </is>
      </c>
      <c r="B11" s="21" t="n"/>
      <c r="C11" s="21" t="n"/>
      <c r="D11" s="21" t="n"/>
      <c r="E11" s="21" t="n"/>
      <c r="F11" s="22" t="n">
        <v>130183.05</v>
      </c>
    </row>
    <row r="13" ht="18" customHeight="1">
      <c r="A13" s="9" t="inlineStr">
        <is>
          <t>9.1.2</t>
        </is>
      </c>
      <c r="B13" s="10" t="inlineStr">
        <is>
          <t>Sal wood</t>
        </is>
      </c>
      <c r="C13" s="11" t="n"/>
      <c r="D13" s="11" t="n"/>
      <c r="E13" s="11" t="n"/>
      <c r="F13" s="11" t="n"/>
    </row>
    <row r="14">
      <c r="A14" s="12" t="inlineStr">
        <is>
          <t>Rate basis: per cum  (source: cost for 0.028 cum)</t>
        </is>
      </c>
    </row>
    <row r="15">
      <c r="A15" s="5" t="inlineStr">
        <is>
          <t>Code</t>
        </is>
      </c>
      <c r="B15" s="5" t="inlineStr">
        <is>
          <t>Description</t>
        </is>
      </c>
      <c r="C15" s="5" t="inlineStr">
        <is>
          <t>Unit</t>
        </is>
      </c>
      <c r="D15" s="5" t="inlineStr">
        <is>
          <t>Quantity</t>
        </is>
      </c>
      <c r="E15" s="5" t="inlineStr">
        <is>
          <t>Rate (Rs.)</t>
        </is>
      </c>
      <c r="F15" s="5" t="inlineStr">
        <is>
          <t>Amount (Rs.)</t>
        </is>
      </c>
    </row>
    <row r="16">
      <c r="A16" s="13" t="inlineStr">
        <is>
          <t>2204</t>
        </is>
      </c>
      <c r="B16" s="14" t="inlineStr">
        <is>
          <t>Carriage of Timber</t>
        </is>
      </c>
      <c r="C16" s="13" t="inlineStr">
        <is>
          <t>cum</t>
        </is>
      </c>
      <c r="D16" s="15" t="n">
        <v>0.038</v>
      </c>
      <c r="E16" s="16" t="n">
        <v>118.59</v>
      </c>
      <c r="F16" s="16">
        <f>D16*E16</f>
        <v/>
      </c>
    </row>
    <row r="17">
      <c r="A17" s="13" t="inlineStr">
        <is>
          <t>0156</t>
        </is>
      </c>
      <c r="B17" s="14" t="inlineStr">
        <is>
          <t>Carpenter (average)</t>
        </is>
      </c>
      <c r="C17" s="13" t="inlineStr">
        <is>
          <t>day</t>
        </is>
      </c>
      <c r="D17" s="15" t="n">
        <v>0.72</v>
      </c>
      <c r="E17" s="16" t="n">
        <v>709</v>
      </c>
      <c r="F17" s="16">
        <f>D17*E17</f>
        <v/>
      </c>
    </row>
    <row r="18">
      <c r="A18" s="13" t="inlineStr">
        <is>
          <t>0114</t>
        </is>
      </c>
      <c r="B18" s="14" t="inlineStr">
        <is>
          <t>Beldar</t>
        </is>
      </c>
      <c r="C18" s="13" t="inlineStr">
        <is>
          <t>day</t>
        </is>
      </c>
      <c r="D18" s="15" t="n">
        <v>0.07000000000000001</v>
      </c>
      <c r="E18" s="16" t="n">
        <v>558</v>
      </c>
      <c r="F18" s="16">
        <f>D18*E18</f>
        <v/>
      </c>
    </row>
    <row r="19">
      <c r="A19" s="17" t="inlineStr">
        <is>
          <t>Resource Total (Material + Labour + Machinery, as printed)</t>
        </is>
      </c>
      <c r="B19" s="18" t="n"/>
      <c r="C19" s="18" t="n"/>
      <c r="D19" s="18" t="n"/>
      <c r="E19" s="18" t="n"/>
      <c r="F19" s="19">
        <f>SUM(F16:F18)</f>
        <v/>
      </c>
    </row>
    <row r="20">
      <c r="A20" s="20" t="inlineStr">
        <is>
          <t>SAY (Rs.) — final DAR rate</t>
        </is>
      </c>
      <c r="B20" s="21" t="n"/>
      <c r="C20" s="21" t="n"/>
      <c r="D20" s="21" t="n"/>
      <c r="E20" s="21" t="n"/>
      <c r="F20" s="22" t="n">
        <v>105327.2</v>
      </c>
    </row>
    <row r="22" ht="18" customHeight="1">
      <c r="A22" s="9" t="inlineStr">
        <is>
          <t>9.1.3</t>
        </is>
      </c>
      <c r="B22" s="10" t="inlineStr">
        <is>
          <t>Kiln seasoned and chemically treated hollock wood</t>
        </is>
      </c>
      <c r="C22" s="11" t="n"/>
      <c r="D22" s="11" t="n"/>
      <c r="E22" s="11" t="n"/>
      <c r="F22" s="11" t="n"/>
    </row>
    <row r="23">
      <c r="A23" s="12" t="inlineStr">
        <is>
          <t>Rate basis: per cum  (source: cost for 0.028 cum)</t>
        </is>
      </c>
    </row>
    <row r="24">
      <c r="A24" s="5" t="inlineStr">
        <is>
          <t>Code</t>
        </is>
      </c>
      <c r="B24" s="5" t="inlineStr">
        <is>
          <t>Description</t>
        </is>
      </c>
      <c r="C24" s="5" t="inlineStr">
        <is>
          <t>Unit</t>
        </is>
      </c>
      <c r="D24" s="5" t="inlineStr">
        <is>
          <t>Quantity</t>
        </is>
      </c>
      <c r="E24" s="5" t="inlineStr">
        <is>
          <t>Rate (Rs.)</t>
        </is>
      </c>
      <c r="F24" s="5" t="inlineStr">
        <is>
          <t>Amount (Rs.)</t>
        </is>
      </c>
    </row>
    <row r="25">
      <c r="A25" s="13" t="inlineStr">
        <is>
          <t>2204</t>
        </is>
      </c>
      <c r="B25" s="14" t="inlineStr">
        <is>
          <t>Carriage of Timber</t>
        </is>
      </c>
      <c r="C25" s="13" t="inlineStr">
        <is>
          <t>cum</t>
        </is>
      </c>
      <c r="D25" s="15" t="n">
        <v>0.038</v>
      </c>
      <c r="E25" s="16" t="n">
        <v>118.59</v>
      </c>
      <c r="F25" s="16">
        <f>D25*E25</f>
        <v/>
      </c>
    </row>
    <row r="26">
      <c r="A26" s="13" t="inlineStr">
        <is>
          <t>2504</t>
        </is>
      </c>
      <c r="B26" s="14" t="inlineStr">
        <is>
          <t>Kiln seasoning of timber</t>
        </is>
      </c>
      <c r="C26" s="13" t="inlineStr">
        <is>
          <t>cum</t>
        </is>
      </c>
      <c r="D26" s="15" t="n">
        <v>0.038</v>
      </c>
      <c r="E26" s="16" t="n">
        <v>750</v>
      </c>
      <c r="F26" s="16">
        <f>D26*E26</f>
        <v/>
      </c>
    </row>
    <row r="27">
      <c r="A27" s="13" t="inlineStr">
        <is>
          <t>9999</t>
        </is>
      </c>
      <c r="B27" s="14" t="inlineStr">
        <is>
          <t>Chemical treatment</t>
        </is>
      </c>
      <c r="C27" s="13" t="inlineStr">
        <is>
          <t>L.S.</t>
        </is>
      </c>
      <c r="D27" s="15" t="n">
        <v>8.970000000000001</v>
      </c>
      <c r="E27" s="16" t="n">
        <v>2</v>
      </c>
      <c r="F27" s="16">
        <f>D27*E27</f>
        <v/>
      </c>
    </row>
    <row r="28">
      <c r="A28" s="13" t="inlineStr">
        <is>
          <t>0156</t>
        </is>
      </c>
      <c r="B28" s="14" t="inlineStr">
        <is>
          <t>Carpenter (average)</t>
        </is>
      </c>
      <c r="C28" s="13" t="inlineStr">
        <is>
          <t>day</t>
        </is>
      </c>
      <c r="D28" s="15" t="n">
        <v>0.72</v>
      </c>
      <c r="E28" s="16" t="n">
        <v>709</v>
      </c>
      <c r="F28" s="16">
        <f>D28*E28</f>
        <v/>
      </c>
    </row>
    <row r="29">
      <c r="A29" s="13" t="inlineStr">
        <is>
          <t>0114</t>
        </is>
      </c>
      <c r="B29" s="14" t="inlineStr">
        <is>
          <t>Beldar</t>
        </is>
      </c>
      <c r="C29" s="13" t="inlineStr">
        <is>
          <t>day</t>
        </is>
      </c>
      <c r="D29" s="15" t="n">
        <v>0.07000000000000001</v>
      </c>
      <c r="E29" s="16" t="n">
        <v>558</v>
      </c>
      <c r="F29" s="16">
        <f>D29*E29</f>
        <v/>
      </c>
    </row>
    <row r="30">
      <c r="A30" s="17" t="inlineStr">
        <is>
          <t>Resource Total (Material + Labour + Machinery, as printed)</t>
        </is>
      </c>
      <c r="B30" s="18" t="n"/>
      <c r="C30" s="18" t="n"/>
      <c r="D30" s="18" t="n"/>
      <c r="E30" s="18" t="n"/>
      <c r="F30" s="19">
        <f>SUM(F25:F29)</f>
        <v/>
      </c>
    </row>
    <row r="31">
      <c r="A31" s="20" t="inlineStr">
        <is>
          <t>SAY (Rs.) — final DAR rate</t>
        </is>
      </c>
      <c r="B31" s="21" t="n"/>
      <c r="C31" s="21" t="n"/>
      <c r="D31" s="21" t="n"/>
      <c r="E31" s="21" t="n"/>
      <c r="F31" s="22" t="n">
        <v>71746.39999999999</v>
      </c>
    </row>
    <row r="33" ht="28" customHeight="1">
      <c r="A33" s="9" t="inlineStr">
        <is>
          <t>9.2</t>
        </is>
      </c>
      <c r="B33" s="10" t="inlineStr">
        <is>
          <t>Providing laminated veneer lumber conforming to IS:14616 and TAD -15: 2001 (Part B) in factory made frames of doors, windows, clerestory win</t>
        </is>
      </c>
      <c r="C33" s="11" t="n"/>
      <c r="D33" s="11" t="n"/>
      <c r="E33" s="11" t="n"/>
      <c r="F33" s="11" t="n"/>
    </row>
    <row r="34">
      <c r="A34" s="12" t="inlineStr">
        <is>
          <t>Rate basis: per cum  (source: cost for 0.028 cum)</t>
        </is>
      </c>
    </row>
    <row r="35">
      <c r="A35" s="5" t="inlineStr">
        <is>
          <t>Code</t>
        </is>
      </c>
      <c r="B35" s="5" t="inlineStr">
        <is>
          <t>Description</t>
        </is>
      </c>
      <c r="C35" s="5" t="inlineStr">
        <is>
          <t>Unit</t>
        </is>
      </c>
      <c r="D35" s="5" t="inlineStr">
        <is>
          <t>Quantity</t>
        </is>
      </c>
      <c r="E35" s="5" t="inlineStr">
        <is>
          <t>Rate (Rs.)</t>
        </is>
      </c>
      <c r="F35" s="5" t="inlineStr">
        <is>
          <t>Amount (Rs.)</t>
        </is>
      </c>
    </row>
    <row r="36">
      <c r="A36" s="13" t="inlineStr">
        <is>
          <t>2204</t>
        </is>
      </c>
      <c r="B36" s="14" t="inlineStr">
        <is>
          <t>Carriage of Timber</t>
        </is>
      </c>
      <c r="C36" s="13" t="inlineStr">
        <is>
          <t>cum</t>
        </is>
      </c>
      <c r="D36" s="15" t="n">
        <v>0.038</v>
      </c>
      <c r="E36" s="16" t="n">
        <v>118.59</v>
      </c>
      <c r="F36" s="16">
        <f>D36*E36</f>
        <v/>
      </c>
    </row>
    <row r="37">
      <c r="A37" s="13" t="inlineStr">
        <is>
          <t>0111</t>
        </is>
      </c>
      <c r="B37" s="14" t="inlineStr">
        <is>
          <t>Carpenter 1st class</t>
        </is>
      </c>
      <c r="C37" s="13" t="inlineStr">
        <is>
          <t>day</t>
        </is>
      </c>
      <c r="D37" s="15" t="n">
        <v>0.2</v>
      </c>
      <c r="E37" s="16" t="n">
        <v>738</v>
      </c>
      <c r="F37" s="16">
        <f>D37*E37</f>
        <v/>
      </c>
    </row>
    <row r="38">
      <c r="A38" s="13" t="inlineStr">
        <is>
          <t>0112</t>
        </is>
      </c>
      <c r="B38" s="14" t="inlineStr">
        <is>
          <t>Carpenter 2nd class</t>
        </is>
      </c>
      <c r="C38" s="13" t="inlineStr">
        <is>
          <t>day</t>
        </is>
      </c>
      <c r="D38" s="15" t="n">
        <v>0.2</v>
      </c>
      <c r="E38" s="16" t="n">
        <v>679</v>
      </c>
      <c r="F38" s="16">
        <f>D38*E38</f>
        <v/>
      </c>
    </row>
    <row r="39">
      <c r="A39" s="13" t="inlineStr">
        <is>
          <t>0114</t>
        </is>
      </c>
      <c r="B39" s="14" t="inlineStr">
        <is>
          <t>Beldar</t>
        </is>
      </c>
      <c r="C39" s="13" t="inlineStr">
        <is>
          <t>day</t>
        </is>
      </c>
      <c r="D39" s="15" t="n">
        <v>0.2</v>
      </c>
      <c r="E39" s="16" t="n">
        <v>558</v>
      </c>
      <c r="F39" s="16">
        <f>D39*E39</f>
        <v/>
      </c>
    </row>
    <row r="40">
      <c r="A40" s="17" t="inlineStr">
        <is>
          <t>Resource Total (Material + Labour + Machinery, as printed)</t>
        </is>
      </c>
      <c r="B40" s="18" t="n"/>
      <c r="C40" s="18" t="n"/>
      <c r="D40" s="18" t="n"/>
      <c r="E40" s="18" t="n"/>
      <c r="F40" s="19">
        <f>SUM(F36:F39)</f>
        <v/>
      </c>
    </row>
    <row r="41">
      <c r="A41" s="20" t="inlineStr">
        <is>
          <t>SAY (Rs.) — final DAR rate</t>
        </is>
      </c>
      <c r="B41" s="21" t="n"/>
      <c r="C41" s="21" t="n"/>
      <c r="D41" s="21" t="n"/>
      <c r="E41" s="21" t="n"/>
      <c r="F41" s="22" t="n">
        <v>113706.4</v>
      </c>
    </row>
    <row r="43" ht="18" customHeight="1">
      <c r="A43" s="9" t="inlineStr">
        <is>
          <t>9.3.1</t>
        </is>
      </c>
      <c r="B43" s="10" t="inlineStr">
        <is>
          <t>Sal wood</t>
        </is>
      </c>
      <c r="C43" s="11" t="n"/>
      <c r="D43" s="11" t="n"/>
      <c r="E43" s="11" t="n"/>
      <c r="F43" s="11" t="n"/>
    </row>
    <row r="44">
      <c r="A44" s="12" t="inlineStr">
        <is>
          <t>Rate basis: per x3  (source: cost for 6 x3)</t>
        </is>
      </c>
    </row>
    <row r="45">
      <c r="A45" s="5" t="inlineStr">
        <is>
          <t>Code</t>
        </is>
      </c>
      <c r="B45" s="5" t="inlineStr">
        <is>
          <t>Description</t>
        </is>
      </c>
      <c r="C45" s="5" t="inlineStr">
        <is>
          <t>Unit</t>
        </is>
      </c>
      <c r="D45" s="5" t="inlineStr">
        <is>
          <t>Quantity</t>
        </is>
      </c>
      <c r="E45" s="5" t="inlineStr">
        <is>
          <t>Rate (Rs.)</t>
        </is>
      </c>
      <c r="F45" s="5" t="inlineStr">
        <is>
          <t>Amount (Rs.)</t>
        </is>
      </c>
    </row>
    <row r="46">
      <c r="A46" s="13" t="inlineStr">
        <is>
          <t>2204</t>
        </is>
      </c>
      <c r="B46" s="14" t="inlineStr">
        <is>
          <t>Carriage of Timber</t>
        </is>
      </c>
      <c r="C46" s="13" t="inlineStr">
        <is>
          <t>cum</t>
        </is>
      </c>
      <c r="D46" s="15" t="n">
        <v>0.166</v>
      </c>
      <c r="E46" s="16" t="n">
        <v>118.59</v>
      </c>
      <c r="F46" s="16">
        <f>D46*E46</f>
        <v/>
      </c>
    </row>
    <row r="47">
      <c r="A47" s="13" t="inlineStr">
        <is>
          <t>0112</t>
        </is>
      </c>
      <c r="B47" s="14" t="inlineStr">
        <is>
          <t>Carpenter 2nd class</t>
        </is>
      </c>
      <c r="C47" s="13" t="inlineStr">
        <is>
          <t>day</t>
        </is>
      </c>
      <c r="D47" s="15" t="n">
        <v>1</v>
      </c>
      <c r="E47" s="16" t="n">
        <v>679</v>
      </c>
      <c r="F47" s="16">
        <f>D47*E47</f>
        <v/>
      </c>
    </row>
    <row r="48">
      <c r="A48" s="13" t="inlineStr">
        <is>
          <t>0114</t>
        </is>
      </c>
      <c r="B48" s="14" t="inlineStr">
        <is>
          <t>Beldar</t>
        </is>
      </c>
      <c r="C48" s="13" t="inlineStr">
        <is>
          <t>day</t>
        </is>
      </c>
      <c r="D48" s="15" t="n">
        <v>1</v>
      </c>
      <c r="E48" s="16" t="n">
        <v>558</v>
      </c>
      <c r="F48" s="16">
        <f>D48*E48</f>
        <v/>
      </c>
    </row>
    <row r="49">
      <c r="A49" s="13" t="inlineStr">
        <is>
          <t>9999</t>
        </is>
      </c>
      <c r="B49" s="14" t="inlineStr">
        <is>
          <t>Sundries screws etc.</t>
        </is>
      </c>
      <c r="C49" s="13" t="inlineStr">
        <is>
          <t>L.S.</t>
        </is>
      </c>
      <c r="D49" s="15" t="n">
        <v>53.82</v>
      </c>
      <c r="E49" s="16" t="n">
        <v>2</v>
      </c>
      <c r="F49" s="16">
        <f>D49*E49</f>
        <v/>
      </c>
    </row>
    <row r="50">
      <c r="A50" s="17" t="inlineStr">
        <is>
          <t>Resource Total (Material + Labour + Machinery, as printed)</t>
        </is>
      </c>
      <c r="B50" s="18" t="n"/>
      <c r="C50" s="18" t="n"/>
      <c r="D50" s="18" t="n"/>
      <c r="E50" s="18" t="n"/>
      <c r="F50" s="19">
        <f>SUM(F46:F49)</f>
        <v/>
      </c>
    </row>
    <row r="51">
      <c r="A51" s="20" t="inlineStr">
        <is>
          <t>SAY (Rs.) — final DAR rate</t>
        </is>
      </c>
      <c r="B51" s="21" t="n"/>
      <c r="C51" s="21" t="n"/>
      <c r="D51" s="21" t="n"/>
      <c r="E51" s="21" t="n"/>
      <c r="F51" s="22" t="n">
        <v>95893.89999999999</v>
      </c>
    </row>
    <row r="53" ht="18" customHeight="1">
      <c r="A53" s="9" t="inlineStr">
        <is>
          <t>9.3.2</t>
        </is>
      </c>
      <c r="B53" s="10" t="inlineStr">
        <is>
          <t>Kiln seasoned and chemically treated hollock wood</t>
        </is>
      </c>
      <c r="C53" s="11" t="n"/>
      <c r="D53" s="11" t="n"/>
      <c r="E53" s="11" t="n"/>
      <c r="F53" s="11" t="n"/>
    </row>
    <row r="54">
      <c r="A54" s="12" t="inlineStr">
        <is>
          <t>Rate basis: per x3  (source: cost for 6 x3)</t>
        </is>
      </c>
    </row>
    <row r="55">
      <c r="A55" s="5" t="inlineStr">
        <is>
          <t>Code</t>
        </is>
      </c>
      <c r="B55" s="5" t="inlineStr">
        <is>
          <t>Description</t>
        </is>
      </c>
      <c r="C55" s="5" t="inlineStr">
        <is>
          <t>Unit</t>
        </is>
      </c>
      <c r="D55" s="5" t="inlineStr">
        <is>
          <t>Quantity</t>
        </is>
      </c>
      <c r="E55" s="5" t="inlineStr">
        <is>
          <t>Rate (Rs.)</t>
        </is>
      </c>
      <c r="F55" s="5" t="inlineStr">
        <is>
          <t>Amount (Rs.)</t>
        </is>
      </c>
    </row>
    <row r="56">
      <c r="A56" s="13" t="inlineStr">
        <is>
          <t>2204</t>
        </is>
      </c>
      <c r="B56" s="14" t="inlineStr">
        <is>
          <t>Carriage of Timber</t>
        </is>
      </c>
      <c r="C56" s="13" t="inlineStr">
        <is>
          <t>cum</t>
        </is>
      </c>
      <c r="D56" s="15" t="n">
        <v>0.166</v>
      </c>
      <c r="E56" s="16" t="n">
        <v>118.59</v>
      </c>
      <c r="F56" s="16">
        <f>D56*E56</f>
        <v/>
      </c>
    </row>
    <row r="57">
      <c r="A57" s="13" t="inlineStr">
        <is>
          <t>2504</t>
        </is>
      </c>
      <c r="B57" s="14" t="inlineStr">
        <is>
          <t>Kiln seasoning of timber</t>
        </is>
      </c>
      <c r="C57" s="13" t="inlineStr">
        <is>
          <t>cum</t>
        </is>
      </c>
      <c r="D57" s="15" t="n">
        <v>0.166</v>
      </c>
      <c r="E57" s="16" t="n">
        <v>750</v>
      </c>
      <c r="F57" s="16">
        <f>D57*E57</f>
        <v/>
      </c>
    </row>
    <row r="58">
      <c r="A58" s="13" t="inlineStr">
        <is>
          <t>9999</t>
        </is>
      </c>
      <c r="B58" s="14" t="inlineStr">
        <is>
          <t>Chemical treatment</t>
        </is>
      </c>
      <c r="C58" s="13" t="inlineStr">
        <is>
          <t>L.S.</t>
        </is>
      </c>
      <c r="D58" s="15" t="n">
        <v>18.2</v>
      </c>
      <c r="E58" s="16" t="n">
        <v>2</v>
      </c>
      <c r="F58" s="16">
        <f>D58*E58</f>
        <v/>
      </c>
    </row>
    <row r="59">
      <c r="A59" s="13" t="inlineStr">
        <is>
          <t>0112</t>
        </is>
      </c>
      <c r="B59" s="14" t="inlineStr">
        <is>
          <t>Carpenter 2nd class</t>
        </is>
      </c>
      <c r="C59" s="13" t="inlineStr">
        <is>
          <t>day</t>
        </is>
      </c>
      <c r="D59" s="15" t="n">
        <v>1</v>
      </c>
      <c r="E59" s="16" t="n">
        <v>679</v>
      </c>
      <c r="F59" s="16">
        <f>D59*E59</f>
        <v/>
      </c>
    </row>
    <row r="60">
      <c r="A60" s="13" t="inlineStr">
        <is>
          <t>0114</t>
        </is>
      </c>
      <c r="B60" s="14" t="inlineStr">
        <is>
          <t>Beldar</t>
        </is>
      </c>
      <c r="C60" s="13" t="inlineStr">
        <is>
          <t>day</t>
        </is>
      </c>
      <c r="D60" s="15" t="n">
        <v>1</v>
      </c>
      <c r="E60" s="16" t="n">
        <v>558</v>
      </c>
      <c r="F60" s="16">
        <f>D60*E60</f>
        <v/>
      </c>
    </row>
    <row r="61">
      <c r="A61" s="13" t="inlineStr">
        <is>
          <t>9999</t>
        </is>
      </c>
      <c r="B61" s="14" t="inlineStr">
        <is>
          <t>Sundries screws etc.</t>
        </is>
      </c>
      <c r="C61" s="13" t="inlineStr">
        <is>
          <t>L.S.</t>
        </is>
      </c>
      <c r="D61" s="15" t="n">
        <v>53.82</v>
      </c>
      <c r="E61" s="16" t="n">
        <v>2</v>
      </c>
      <c r="F61" s="16">
        <f>D61*E61</f>
        <v/>
      </c>
    </row>
    <row r="62">
      <c r="A62" s="17" t="inlineStr">
        <is>
          <t>Resource Total (Material + Labour + Machinery, as printed)</t>
        </is>
      </c>
      <c r="B62" s="18" t="n"/>
      <c r="C62" s="18" t="n"/>
      <c r="D62" s="18" t="n"/>
      <c r="E62" s="18" t="n"/>
      <c r="F62" s="19">
        <f>SUM(F56:F61)</f>
        <v/>
      </c>
    </row>
    <row r="63">
      <c r="A63" s="20" t="inlineStr">
        <is>
          <t>SAY (Rs.) — final DAR rate</t>
        </is>
      </c>
      <c r="B63" s="21" t="n"/>
      <c r="C63" s="21" t="n"/>
      <c r="D63" s="21" t="n"/>
      <c r="E63" s="21" t="n"/>
      <c r="F63" s="22" t="n">
        <v>62114.45</v>
      </c>
    </row>
    <row r="65" ht="18" customHeight="1">
      <c r="A65" s="9" t="inlineStr">
        <is>
          <t>9.4.1</t>
        </is>
      </c>
      <c r="B65" s="10" t="inlineStr">
        <is>
          <t>Second class teak wood</t>
        </is>
      </c>
      <c r="C65" s="11" t="n"/>
      <c r="D65" s="11" t="n"/>
      <c r="E65" s="11" t="n"/>
      <c r="F65" s="11" t="n"/>
    </row>
    <row r="66">
      <c r="A66" s="12" t="inlineStr">
        <is>
          <t>Rate basis: per nos  (source: cost for 1 nos)</t>
        </is>
      </c>
    </row>
    <row r="67">
      <c r="A67" s="5" t="inlineStr">
        <is>
          <t>Code</t>
        </is>
      </c>
      <c r="B67" s="5" t="inlineStr">
        <is>
          <t>Description</t>
        </is>
      </c>
      <c r="C67" s="5" t="inlineStr">
        <is>
          <t>Unit</t>
        </is>
      </c>
      <c r="D67" s="5" t="inlineStr">
        <is>
          <t>Quantity</t>
        </is>
      </c>
      <c r="E67" s="5" t="inlineStr">
        <is>
          <t>Rate (Rs.)</t>
        </is>
      </c>
      <c r="F67" s="5" t="inlineStr">
        <is>
          <t>Amount (Rs.)</t>
        </is>
      </c>
    </row>
    <row r="68">
      <c r="A68" s="13" t="inlineStr">
        <is>
          <t>2204</t>
        </is>
      </c>
      <c r="B68" s="14" t="inlineStr">
        <is>
          <t>Carriage of Timber</t>
        </is>
      </c>
      <c r="C68" s="13" t="inlineStr">
        <is>
          <t>cum</t>
        </is>
      </c>
      <c r="D68" s="15" t="n">
        <v>0.0038</v>
      </c>
      <c r="E68" s="16" t="n">
        <v>118.59</v>
      </c>
      <c r="F68" s="16">
        <f>D68*E68</f>
        <v/>
      </c>
    </row>
    <row r="69">
      <c r="A69" s="13" t="inlineStr">
        <is>
          <t>0156</t>
        </is>
      </c>
      <c r="B69" s="14" t="inlineStr">
        <is>
          <t>Carpenter (average)</t>
        </is>
      </c>
      <c r="C69" s="13" t="inlineStr">
        <is>
          <t>day</t>
        </is>
      </c>
      <c r="D69" s="15" t="n">
        <v>0.07199999999999999</v>
      </c>
      <c r="E69" s="16" t="n">
        <v>709</v>
      </c>
      <c r="F69" s="16">
        <f>D69*E69</f>
        <v/>
      </c>
    </row>
    <row r="70">
      <c r="A70" s="13" t="inlineStr">
        <is>
          <t>0114</t>
        </is>
      </c>
      <c r="B70" s="14" t="inlineStr">
        <is>
          <t>Beldar</t>
        </is>
      </c>
      <c r="C70" s="13" t="inlineStr">
        <is>
          <t>day</t>
        </is>
      </c>
      <c r="D70" s="15" t="n">
        <v>0.007</v>
      </c>
      <c r="E70" s="16" t="n">
        <v>558</v>
      </c>
      <c r="F70" s="16">
        <f>D70*E70</f>
        <v/>
      </c>
    </row>
    <row r="71">
      <c r="A71" s="17" t="inlineStr">
        <is>
          <t>Resource Total (Material + Labour + Machinery, as printed)</t>
        </is>
      </c>
      <c r="B71" s="18" t="n"/>
      <c r="C71" s="18" t="n"/>
      <c r="D71" s="18" t="n"/>
      <c r="E71" s="18" t="n"/>
      <c r="F71" s="19">
        <f>SUM(F68:F70)</f>
        <v/>
      </c>
    </row>
    <row r="72">
      <c r="A72" s="20" t="inlineStr">
        <is>
          <t>SAY (Rs.) — final DAR rate</t>
        </is>
      </c>
      <c r="B72" s="21" t="n"/>
      <c r="C72" s="21" t="n"/>
      <c r="D72" s="21" t="n"/>
      <c r="E72" s="21" t="n"/>
      <c r="F72" s="22" t="n">
        <v>13018.35</v>
      </c>
    </row>
    <row r="74" ht="18" customHeight="1">
      <c r="A74" s="9" t="inlineStr">
        <is>
          <t>9.4.2</t>
        </is>
      </c>
      <c r="B74" s="10" t="inlineStr">
        <is>
          <t>Sal wood</t>
        </is>
      </c>
      <c r="C74" s="11" t="n"/>
      <c r="D74" s="11" t="n"/>
      <c r="E74" s="11" t="n"/>
      <c r="F74" s="11" t="n"/>
    </row>
    <row r="75">
      <c r="A75" s="12" t="inlineStr">
        <is>
          <t>Rate basis: per nos  (source: cost for 1 nos)</t>
        </is>
      </c>
    </row>
    <row r="76">
      <c r="A76" s="5" t="inlineStr">
        <is>
          <t>Code</t>
        </is>
      </c>
      <c r="B76" s="5" t="inlineStr">
        <is>
          <t>Description</t>
        </is>
      </c>
      <c r="C76" s="5" t="inlineStr">
        <is>
          <t>Unit</t>
        </is>
      </c>
      <c r="D76" s="5" t="inlineStr">
        <is>
          <t>Quantity</t>
        </is>
      </c>
      <c r="E76" s="5" t="inlineStr">
        <is>
          <t>Rate (Rs.)</t>
        </is>
      </c>
      <c r="F76" s="5" t="inlineStr">
        <is>
          <t>Amount (Rs.)</t>
        </is>
      </c>
    </row>
    <row r="77">
      <c r="A77" s="13" t="inlineStr">
        <is>
          <t>2204</t>
        </is>
      </c>
      <c r="B77" s="14" t="inlineStr">
        <is>
          <t>Carriage of Timber</t>
        </is>
      </c>
      <c r="C77" s="13" t="inlineStr">
        <is>
          <t>cum</t>
        </is>
      </c>
      <c r="D77" s="15" t="n">
        <v>0.0038</v>
      </c>
      <c r="E77" s="16" t="n">
        <v>118.59</v>
      </c>
      <c r="F77" s="16">
        <f>D77*E77</f>
        <v/>
      </c>
    </row>
    <row r="78">
      <c r="A78" s="13" t="inlineStr">
        <is>
          <t>0156</t>
        </is>
      </c>
      <c r="B78" s="14" t="inlineStr">
        <is>
          <t>Carpenter (average)</t>
        </is>
      </c>
      <c r="C78" s="13" t="inlineStr">
        <is>
          <t>day</t>
        </is>
      </c>
      <c r="D78" s="15" t="n">
        <v>0.07199999999999999</v>
      </c>
      <c r="E78" s="16" t="n">
        <v>709</v>
      </c>
      <c r="F78" s="16">
        <f>D78*E78</f>
        <v/>
      </c>
    </row>
    <row r="79">
      <c r="A79" s="13" t="inlineStr">
        <is>
          <t>0114</t>
        </is>
      </c>
      <c r="B79" s="14" t="inlineStr">
        <is>
          <t>Beldar</t>
        </is>
      </c>
      <c r="C79" s="13" t="inlineStr">
        <is>
          <t>day</t>
        </is>
      </c>
      <c r="D79" s="15" t="n">
        <v>0.007</v>
      </c>
      <c r="E79" s="16" t="n">
        <v>558</v>
      </c>
      <c r="F79" s="16">
        <f>D79*E79</f>
        <v/>
      </c>
    </row>
    <row r="80">
      <c r="A80" s="17" t="inlineStr">
        <is>
          <t>Resource Total (Material + Labour + Machinery, as printed)</t>
        </is>
      </c>
      <c r="B80" s="18" t="n"/>
      <c r="C80" s="18" t="n"/>
      <c r="D80" s="18" t="n"/>
      <c r="E80" s="18" t="n"/>
      <c r="F80" s="19">
        <f>SUM(F77:F79)</f>
        <v/>
      </c>
    </row>
    <row r="81">
      <c r="A81" s="20" t="inlineStr">
        <is>
          <t>SAY (Rs.) — final DAR rate</t>
        </is>
      </c>
      <c r="B81" s="21" t="n"/>
      <c r="C81" s="21" t="n"/>
      <c r="D81" s="21" t="n"/>
      <c r="E81" s="21" t="n"/>
      <c r="F81" s="22" t="n">
        <v>10532.8</v>
      </c>
    </row>
    <row r="83" ht="18" customHeight="1">
      <c r="A83" s="9" t="inlineStr">
        <is>
          <t>9.4.3</t>
        </is>
      </c>
      <c r="B83" s="10" t="inlineStr">
        <is>
          <t>Kiln seasoned and chemically treated hollock wood</t>
        </is>
      </c>
      <c r="C83" s="11" t="n"/>
      <c r="D83" s="11" t="n"/>
      <c r="E83" s="11" t="n"/>
      <c r="F83" s="11" t="n"/>
    </row>
    <row r="84">
      <c r="A84" s="12" t="inlineStr">
        <is>
          <t>Rate basis: per nos  (source: cost for 1 nos)</t>
        </is>
      </c>
    </row>
    <row r="85">
      <c r="A85" s="5" t="inlineStr">
        <is>
          <t>Code</t>
        </is>
      </c>
      <c r="B85" s="5" t="inlineStr">
        <is>
          <t>Description</t>
        </is>
      </c>
      <c r="C85" s="5" t="inlineStr">
        <is>
          <t>Unit</t>
        </is>
      </c>
      <c r="D85" s="5" t="inlineStr">
        <is>
          <t>Quantity</t>
        </is>
      </c>
      <c r="E85" s="5" t="inlineStr">
        <is>
          <t>Rate (Rs.)</t>
        </is>
      </c>
      <c r="F85" s="5" t="inlineStr">
        <is>
          <t>Amount (Rs.)</t>
        </is>
      </c>
    </row>
    <row r="86">
      <c r="A86" s="13" t="inlineStr">
        <is>
          <t>2204</t>
        </is>
      </c>
      <c r="B86" s="14" t="inlineStr">
        <is>
          <t>Carriage of Timber</t>
        </is>
      </c>
      <c r="C86" s="13" t="inlineStr">
        <is>
          <t>cum</t>
        </is>
      </c>
      <c r="D86" s="15" t="n">
        <v>0.0038</v>
      </c>
      <c r="E86" s="16" t="n">
        <v>118.59</v>
      </c>
      <c r="F86" s="16">
        <f>D86*E86</f>
        <v/>
      </c>
    </row>
    <row r="87">
      <c r="A87" s="13" t="inlineStr">
        <is>
          <t>2504</t>
        </is>
      </c>
      <c r="B87" s="14" t="inlineStr">
        <is>
          <t>Kiln seasoning of timber</t>
        </is>
      </c>
      <c r="C87" s="13" t="inlineStr">
        <is>
          <t>cum</t>
        </is>
      </c>
      <c r="D87" s="15" t="n">
        <v>0.0038</v>
      </c>
      <c r="E87" s="16" t="n">
        <v>750</v>
      </c>
      <c r="F87" s="16">
        <f>D87*E87</f>
        <v/>
      </c>
    </row>
    <row r="88">
      <c r="A88" s="13" t="inlineStr">
        <is>
          <t>9999</t>
        </is>
      </c>
      <c r="B88" s="14" t="inlineStr">
        <is>
          <t>Chemical treatment</t>
        </is>
      </c>
      <c r="C88" s="13" t="inlineStr">
        <is>
          <t>L.S.</t>
        </is>
      </c>
      <c r="D88" s="15" t="n">
        <v>0.9</v>
      </c>
      <c r="E88" s="16" t="n">
        <v>2</v>
      </c>
      <c r="F88" s="16">
        <f>D88*E88</f>
        <v/>
      </c>
    </row>
    <row r="89">
      <c r="A89" s="13" t="inlineStr">
        <is>
          <t>0156</t>
        </is>
      </c>
      <c r="B89" s="14" t="inlineStr">
        <is>
          <t>Carpenter (average)</t>
        </is>
      </c>
      <c r="C89" s="13" t="inlineStr">
        <is>
          <t>day</t>
        </is>
      </c>
      <c r="D89" s="15" t="n">
        <v>0.07199999999999999</v>
      </c>
      <c r="E89" s="16" t="n">
        <v>709</v>
      </c>
      <c r="F89" s="16">
        <f>D89*E89</f>
        <v/>
      </c>
    </row>
    <row r="90">
      <c r="A90" s="13" t="inlineStr">
        <is>
          <t>0114</t>
        </is>
      </c>
      <c r="B90" s="14" t="inlineStr">
        <is>
          <t>Beldar</t>
        </is>
      </c>
      <c r="C90" s="13" t="inlineStr">
        <is>
          <t>day</t>
        </is>
      </c>
      <c r="D90" s="15" t="n">
        <v>0.007</v>
      </c>
      <c r="E90" s="16" t="n">
        <v>558</v>
      </c>
      <c r="F90" s="16">
        <f>D90*E90</f>
        <v/>
      </c>
    </row>
    <row r="91">
      <c r="A91" s="17" t="inlineStr">
        <is>
          <t>Resource Total (Material + Labour + Machinery, as printed)</t>
        </is>
      </c>
      <c r="B91" s="18" t="n"/>
      <c r="C91" s="18" t="n"/>
      <c r="D91" s="18" t="n"/>
      <c r="E91" s="18" t="n"/>
      <c r="F91" s="19">
        <f>SUM(F86:F90)</f>
        <v/>
      </c>
    </row>
    <row r="92">
      <c r="A92" s="20" t="inlineStr">
        <is>
          <t>SAY (Rs.) — final DAR rate</t>
        </is>
      </c>
      <c r="B92" s="21" t="n"/>
      <c r="C92" s="21" t="n"/>
      <c r="D92" s="21" t="n"/>
      <c r="E92" s="21" t="n"/>
      <c r="F92" s="22" t="n">
        <v>7175</v>
      </c>
    </row>
    <row r="94" ht="18" customHeight="1">
      <c r="A94" s="9" t="inlineStr">
        <is>
          <t>9.5.1.1</t>
        </is>
      </c>
      <c r="B94" s="10" t="inlineStr">
        <is>
          <t>35 mm thick shutters</t>
        </is>
      </c>
      <c r="C94" s="11" t="n"/>
      <c r="D94" s="11" t="n"/>
      <c r="E94" s="11" t="n"/>
      <c r="F94" s="11" t="n"/>
    </row>
    <row r="95">
      <c r="A95" s="12" t="inlineStr">
        <is>
          <t>Rate basis: per sqm  (source: cost for 2.16 sqm)</t>
        </is>
      </c>
    </row>
    <row r="96">
      <c r="A96" s="5" t="inlineStr">
        <is>
          <t>Code</t>
        </is>
      </c>
      <c r="B96" s="5" t="inlineStr">
        <is>
          <t>Description</t>
        </is>
      </c>
      <c r="C96" s="5" t="inlineStr">
        <is>
          <t>Unit</t>
        </is>
      </c>
      <c r="D96" s="5" t="inlineStr">
        <is>
          <t>Quantity</t>
        </is>
      </c>
      <c r="E96" s="5" t="inlineStr">
        <is>
          <t>Rate (Rs.)</t>
        </is>
      </c>
      <c r="F96" s="5" t="inlineStr">
        <is>
          <t>Amount (Rs.)</t>
        </is>
      </c>
    </row>
    <row r="97">
      <c r="A97" s="13" t="inlineStr">
        <is>
          <t>2204</t>
        </is>
      </c>
      <c r="B97" s="14" t="inlineStr">
        <is>
          <t>Carriage of Timber</t>
        </is>
      </c>
      <c r="C97" s="13" t="inlineStr">
        <is>
          <t>cum</t>
        </is>
      </c>
      <c r="D97" s="15" t="n">
        <v>0.051</v>
      </c>
      <c r="E97" s="16" t="n">
        <v>118.59</v>
      </c>
      <c r="F97" s="16">
        <f>D97*E97</f>
        <v/>
      </c>
    </row>
    <row r="98">
      <c r="A98" s="13" t="inlineStr">
        <is>
          <t>0156</t>
        </is>
      </c>
      <c r="B98" s="14" t="inlineStr">
        <is>
          <t>Carpenter (average)</t>
        </is>
      </c>
      <c r="C98" s="13" t="inlineStr">
        <is>
          <t>day</t>
        </is>
      </c>
      <c r="D98" s="15" t="n">
        <v>1.83</v>
      </c>
      <c r="E98" s="16" t="n">
        <v>709</v>
      </c>
      <c r="F98" s="16">
        <f>D98*E98</f>
        <v/>
      </c>
    </row>
    <row r="99">
      <c r="A99" s="13" t="inlineStr">
        <is>
          <t>0114</t>
        </is>
      </c>
      <c r="B99" s="14" t="inlineStr">
        <is>
          <t>Beldar</t>
        </is>
      </c>
      <c r="C99" s="13" t="inlineStr">
        <is>
          <t>day</t>
        </is>
      </c>
      <c r="D99" s="15" t="n">
        <v>0.76</v>
      </c>
      <c r="E99" s="16" t="n">
        <v>558</v>
      </c>
      <c r="F99" s="16">
        <f>D99*E99</f>
        <v/>
      </c>
    </row>
    <row r="100">
      <c r="A100" s="13" t="inlineStr">
        <is>
          <t>9999</t>
        </is>
      </c>
      <c r="B100" s="14" t="inlineStr">
        <is>
          <t>Sundries</t>
        </is>
      </c>
      <c r="C100" s="13" t="inlineStr">
        <is>
          <t>L.S.</t>
        </is>
      </c>
      <c r="D100" s="15" t="n">
        <v>35.88</v>
      </c>
      <c r="E100" s="16" t="n">
        <v>2</v>
      </c>
      <c r="F100" s="16">
        <f>D100*E100</f>
        <v/>
      </c>
    </row>
    <row r="101">
      <c r="A101" s="17" t="inlineStr">
        <is>
          <t>Resource Total (Material + Labour + Machinery, as printed)</t>
        </is>
      </c>
      <c r="B101" s="18" t="n"/>
      <c r="C101" s="18" t="n"/>
      <c r="D101" s="18" t="n"/>
      <c r="E101" s="18" t="n"/>
      <c r="F101" s="19">
        <f>SUM(F97:F100)</f>
        <v/>
      </c>
    </row>
    <row r="102">
      <c r="A102" s="20" t="inlineStr">
        <is>
          <t>SAY (Rs.) — final DAR rate</t>
        </is>
      </c>
      <c r="B102" s="21" t="n"/>
      <c r="C102" s="21" t="n"/>
      <c r="D102" s="21" t="n"/>
      <c r="E102" s="21" t="n"/>
      <c r="F102" s="22" t="n">
        <v>3613.35</v>
      </c>
    </row>
    <row r="104" ht="18" customHeight="1">
      <c r="A104" s="9" t="inlineStr">
        <is>
          <t>9.5.1.2</t>
        </is>
      </c>
      <c r="B104" s="10" t="inlineStr">
        <is>
          <t>30 mm thick shutters</t>
        </is>
      </c>
      <c r="C104" s="11" t="n"/>
      <c r="D104" s="11" t="n"/>
      <c r="E104" s="11" t="n"/>
      <c r="F104" s="11" t="n"/>
    </row>
    <row r="105">
      <c r="A105" s="12" t="inlineStr">
        <is>
          <t>Rate basis: per sqm  (source: cost for 2.16 sqm)</t>
        </is>
      </c>
    </row>
    <row r="106">
      <c r="A106" s="5" t="inlineStr">
        <is>
          <t>Code</t>
        </is>
      </c>
      <c r="B106" s="5" t="inlineStr">
        <is>
          <t>Description</t>
        </is>
      </c>
      <c r="C106" s="5" t="inlineStr">
        <is>
          <t>Unit</t>
        </is>
      </c>
      <c r="D106" s="5" t="inlineStr">
        <is>
          <t>Quantity</t>
        </is>
      </c>
      <c r="E106" s="5" t="inlineStr">
        <is>
          <t>Rate (Rs.)</t>
        </is>
      </c>
      <c r="F106" s="5" t="inlineStr">
        <is>
          <t>Amount (Rs.)</t>
        </is>
      </c>
    </row>
    <row r="107">
      <c r="A107" s="13" t="inlineStr">
        <is>
          <t>2204</t>
        </is>
      </c>
      <c r="B107" s="14" t="inlineStr">
        <is>
          <t>Carriage of Timber</t>
        </is>
      </c>
      <c r="C107" s="13" t="inlineStr">
        <is>
          <t>cum</t>
        </is>
      </c>
      <c r="D107" s="15" t="n">
        <v>0.044</v>
      </c>
      <c r="E107" s="16" t="n">
        <v>118.59</v>
      </c>
      <c r="F107" s="16">
        <f>D107*E107</f>
        <v/>
      </c>
    </row>
    <row r="108">
      <c r="A108" s="13" t="inlineStr">
        <is>
          <t>0156</t>
        </is>
      </c>
      <c r="B108" s="14" t="inlineStr">
        <is>
          <t>Carpenter (average)</t>
        </is>
      </c>
      <c r="C108" s="13" t="inlineStr">
        <is>
          <t>day</t>
        </is>
      </c>
      <c r="D108" s="15" t="n">
        <v>1.83</v>
      </c>
      <c r="E108" s="16" t="n">
        <v>709</v>
      </c>
      <c r="F108" s="16">
        <f>D108*E108</f>
        <v/>
      </c>
    </row>
    <row r="109">
      <c r="A109" s="13" t="inlineStr">
        <is>
          <t>0114</t>
        </is>
      </c>
      <c r="B109" s="14" t="inlineStr">
        <is>
          <t>Beldar</t>
        </is>
      </c>
      <c r="C109" s="13" t="inlineStr">
        <is>
          <t>day</t>
        </is>
      </c>
      <c r="D109" s="15" t="n">
        <v>0.76</v>
      </c>
      <c r="E109" s="16" t="n">
        <v>558</v>
      </c>
      <c r="F109" s="16">
        <f>D109*E109</f>
        <v/>
      </c>
    </row>
    <row r="110">
      <c r="A110" s="13" t="inlineStr">
        <is>
          <t>9999</t>
        </is>
      </c>
      <c r="B110" s="14" t="inlineStr">
        <is>
          <t>Sundries</t>
        </is>
      </c>
      <c r="C110" s="13" t="inlineStr">
        <is>
          <t>L.S.</t>
        </is>
      </c>
      <c r="D110" s="15" t="n">
        <v>35.88</v>
      </c>
      <c r="E110" s="16" t="n">
        <v>2</v>
      </c>
      <c r="F110" s="16">
        <f>D110*E110</f>
        <v/>
      </c>
    </row>
    <row r="111">
      <c r="A111" s="17" t="inlineStr">
        <is>
          <t>Resource Total (Material + Labour + Machinery, as printed)</t>
        </is>
      </c>
      <c r="B111" s="18" t="n"/>
      <c r="C111" s="18" t="n"/>
      <c r="D111" s="18" t="n"/>
      <c r="E111" s="18" t="n"/>
      <c r="F111" s="19">
        <f>SUM(F107:F110)</f>
        <v/>
      </c>
    </row>
    <row r="112">
      <c r="A112" s="20" t="inlineStr">
        <is>
          <t>SAY (Rs.) — final DAR rate</t>
        </is>
      </c>
      <c r="B112" s="21" t="n"/>
      <c r="C112" s="21" t="n"/>
      <c r="D112" s="21" t="n"/>
      <c r="E112" s="21" t="n"/>
      <c r="F112" s="22" t="n">
        <v>3269.85</v>
      </c>
    </row>
    <row r="114" ht="18" customHeight="1">
      <c r="A114" s="9" t="inlineStr">
        <is>
          <t>9.5.2.1</t>
        </is>
      </c>
      <c r="B114" s="10" t="inlineStr">
        <is>
          <t>35 mm thick shutters</t>
        </is>
      </c>
      <c r="C114" s="11" t="n"/>
      <c r="D114" s="11" t="n"/>
      <c r="E114" s="11" t="n"/>
      <c r="F114" s="11" t="n"/>
    </row>
    <row r="115">
      <c r="A115" s="12" t="inlineStr">
        <is>
          <t>Rate basis: per sqm  (source: cost for 2.16 sqm)</t>
        </is>
      </c>
    </row>
    <row r="116">
      <c r="A116" s="5" t="inlineStr">
        <is>
          <t>Code</t>
        </is>
      </c>
      <c r="B116" s="5" t="inlineStr">
        <is>
          <t>Description</t>
        </is>
      </c>
      <c r="C116" s="5" t="inlineStr">
        <is>
          <t>Unit</t>
        </is>
      </c>
      <c r="D116" s="5" t="inlineStr">
        <is>
          <t>Quantity</t>
        </is>
      </c>
      <c r="E116" s="5" t="inlineStr">
        <is>
          <t>Rate (Rs.)</t>
        </is>
      </c>
      <c r="F116" s="5" t="inlineStr">
        <is>
          <t>Amount (Rs.)</t>
        </is>
      </c>
    </row>
    <row r="117">
      <c r="A117" s="13" t="inlineStr">
        <is>
          <t>2204</t>
        </is>
      </c>
      <c r="B117" s="14" t="inlineStr">
        <is>
          <t>Carriage of Timber</t>
        </is>
      </c>
      <c r="C117" s="13" t="inlineStr">
        <is>
          <t>cum</t>
        </is>
      </c>
      <c r="D117" s="15" t="n">
        <v>0.051</v>
      </c>
      <c r="E117" s="16" t="n">
        <v>118.59</v>
      </c>
      <c r="F117" s="16">
        <f>D117*E117</f>
        <v/>
      </c>
    </row>
    <row r="118">
      <c r="A118" s="13" t="inlineStr">
        <is>
          <t>2504</t>
        </is>
      </c>
      <c r="B118" s="14" t="inlineStr">
        <is>
          <t>Kiln seasoning of timber</t>
        </is>
      </c>
      <c r="C118" s="13" t="inlineStr">
        <is>
          <t>cum</t>
        </is>
      </c>
      <c r="D118" s="15" t="n">
        <v>0.051</v>
      </c>
      <c r="E118" s="16" t="n">
        <v>750</v>
      </c>
      <c r="F118" s="16">
        <f>D118*E118</f>
        <v/>
      </c>
    </row>
    <row r="119">
      <c r="A119" s="13" t="inlineStr">
        <is>
          <t>9999</t>
        </is>
      </c>
      <c r="B119" s="14" t="inlineStr">
        <is>
          <t>Chemical treatment</t>
        </is>
      </c>
      <c r="C119" s="13" t="inlineStr">
        <is>
          <t>L.S.</t>
        </is>
      </c>
      <c r="D119" s="15" t="n">
        <v>9.1</v>
      </c>
      <c r="E119" s="16" t="n">
        <v>2</v>
      </c>
      <c r="F119" s="16">
        <f>D119*E119</f>
        <v/>
      </c>
    </row>
    <row r="120">
      <c r="A120" s="13" t="inlineStr">
        <is>
          <t>0156</t>
        </is>
      </c>
      <c r="B120" s="14" t="inlineStr">
        <is>
          <t>Carpenter (average)</t>
        </is>
      </c>
      <c r="C120" s="13" t="inlineStr">
        <is>
          <t>day</t>
        </is>
      </c>
      <c r="D120" s="15" t="n">
        <v>1.83</v>
      </c>
      <c r="E120" s="16" t="n">
        <v>709</v>
      </c>
      <c r="F120" s="16">
        <f>D120*E120</f>
        <v/>
      </c>
    </row>
    <row r="121">
      <c r="A121" s="13" t="inlineStr">
        <is>
          <t>0114</t>
        </is>
      </c>
      <c r="B121" s="14" t="inlineStr">
        <is>
          <t>Beldar</t>
        </is>
      </c>
      <c r="C121" s="13" t="inlineStr">
        <is>
          <t>day</t>
        </is>
      </c>
      <c r="D121" s="15" t="n">
        <v>0.76</v>
      </c>
      <c r="E121" s="16" t="n">
        <v>558</v>
      </c>
      <c r="F121" s="16">
        <f>D121*E121</f>
        <v/>
      </c>
    </row>
    <row r="122">
      <c r="A122" s="13" t="inlineStr">
        <is>
          <t>9999</t>
        </is>
      </c>
      <c r="B122" s="14" t="inlineStr">
        <is>
          <t>Sundries</t>
        </is>
      </c>
      <c r="C122" s="13" t="inlineStr">
        <is>
          <t>L.S.</t>
        </is>
      </c>
      <c r="D122" s="15" t="n">
        <v>35.88</v>
      </c>
      <c r="E122" s="16" t="n">
        <v>2</v>
      </c>
      <c r="F122" s="16">
        <f>D122*E122</f>
        <v/>
      </c>
    </row>
    <row r="123">
      <c r="A123" s="17" t="inlineStr">
        <is>
          <t>Resource Total (Material + Labour + Machinery, as printed)</t>
        </is>
      </c>
      <c r="B123" s="18" t="n"/>
      <c r="C123" s="18" t="n"/>
      <c r="D123" s="18" t="n"/>
      <c r="E123" s="18" t="n"/>
      <c r="F123" s="19">
        <f>SUM(F117:F122)</f>
        <v/>
      </c>
    </row>
    <row r="124">
      <c r="A124" s="20" t="inlineStr">
        <is>
          <t>SAY (Rs.) — final DAR rate</t>
        </is>
      </c>
      <c r="B124" s="21" t="n"/>
      <c r="C124" s="21" t="n"/>
      <c r="D124" s="21" t="n"/>
      <c r="E124" s="21" t="n"/>
      <c r="F124" s="22" t="n">
        <v>2381.55</v>
      </c>
    </row>
    <row r="126" ht="18" customHeight="1">
      <c r="A126" s="9" t="inlineStr">
        <is>
          <t>9.5.2.2</t>
        </is>
      </c>
      <c r="B126" s="10" t="inlineStr">
        <is>
          <t>30 mm thick shutters</t>
        </is>
      </c>
      <c r="C126" s="11" t="n"/>
      <c r="D126" s="11" t="n"/>
      <c r="E126" s="11" t="n"/>
      <c r="F126" s="11" t="n"/>
    </row>
    <row r="127">
      <c r="A127" s="12" t="inlineStr">
        <is>
          <t>Rate basis: per sqm  (source: cost for 2.16 sqm)</t>
        </is>
      </c>
    </row>
    <row r="128">
      <c r="A128" s="5" t="inlineStr">
        <is>
          <t>Code</t>
        </is>
      </c>
      <c r="B128" s="5" t="inlineStr">
        <is>
          <t>Description</t>
        </is>
      </c>
      <c r="C128" s="5" t="inlineStr">
        <is>
          <t>Unit</t>
        </is>
      </c>
      <c r="D128" s="5" t="inlineStr">
        <is>
          <t>Quantity</t>
        </is>
      </c>
      <c r="E128" s="5" t="inlineStr">
        <is>
          <t>Rate (Rs.)</t>
        </is>
      </c>
      <c r="F128" s="5" t="inlineStr">
        <is>
          <t>Amount (Rs.)</t>
        </is>
      </c>
    </row>
    <row r="129">
      <c r="A129" s="13" t="inlineStr">
        <is>
          <t>2204</t>
        </is>
      </c>
      <c r="B129" s="14" t="inlineStr">
        <is>
          <t>Carriage of Timber</t>
        </is>
      </c>
      <c r="C129" s="13" t="inlineStr">
        <is>
          <t>cum</t>
        </is>
      </c>
      <c r="D129" s="15" t="n">
        <v>0.044</v>
      </c>
      <c r="E129" s="16" t="n">
        <v>118.59</v>
      </c>
      <c r="F129" s="16">
        <f>D129*E129</f>
        <v/>
      </c>
    </row>
    <row r="130">
      <c r="A130" s="13" t="inlineStr">
        <is>
          <t>2504</t>
        </is>
      </c>
      <c r="B130" s="14" t="inlineStr">
        <is>
          <t>Kiln seasoning of timber</t>
        </is>
      </c>
      <c r="C130" s="13" t="inlineStr">
        <is>
          <t>cum</t>
        </is>
      </c>
      <c r="D130" s="15" t="n">
        <v>0.044</v>
      </c>
      <c r="E130" s="16" t="n">
        <v>750</v>
      </c>
      <c r="F130" s="16">
        <f>D130*E130</f>
        <v/>
      </c>
    </row>
    <row r="131">
      <c r="A131" s="13" t="inlineStr">
        <is>
          <t>9999</t>
        </is>
      </c>
      <c r="B131" s="14" t="inlineStr">
        <is>
          <t>Chemical treatment</t>
        </is>
      </c>
      <c r="C131" s="13" t="inlineStr">
        <is>
          <t>L.S.</t>
        </is>
      </c>
      <c r="D131" s="15" t="n">
        <v>9.1</v>
      </c>
      <c r="E131" s="16" t="n">
        <v>2</v>
      </c>
      <c r="F131" s="16">
        <f>D131*E131</f>
        <v/>
      </c>
    </row>
    <row r="132">
      <c r="A132" s="13" t="inlineStr">
        <is>
          <t>0156</t>
        </is>
      </c>
      <c r="B132" s="14" t="inlineStr">
        <is>
          <t>Carpenter (average)</t>
        </is>
      </c>
      <c r="C132" s="13" t="inlineStr">
        <is>
          <t>day</t>
        </is>
      </c>
      <c r="D132" s="15" t="n">
        <v>1.83</v>
      </c>
      <c r="E132" s="16" t="n">
        <v>709</v>
      </c>
      <c r="F132" s="16">
        <f>D132*E132</f>
        <v/>
      </c>
    </row>
    <row r="133">
      <c r="A133" s="13" t="inlineStr">
        <is>
          <t>0114</t>
        </is>
      </c>
      <c r="B133" s="14" t="inlineStr">
        <is>
          <t>Beldar</t>
        </is>
      </c>
      <c r="C133" s="13" t="inlineStr">
        <is>
          <t>day</t>
        </is>
      </c>
      <c r="D133" s="15" t="n">
        <v>0.76</v>
      </c>
      <c r="E133" s="16" t="n">
        <v>558</v>
      </c>
      <c r="F133" s="16">
        <f>D133*E133</f>
        <v/>
      </c>
    </row>
    <row r="134">
      <c r="A134" s="13" t="inlineStr">
        <is>
          <t>9999</t>
        </is>
      </c>
      <c r="B134" s="14" t="inlineStr">
        <is>
          <t>Sundries</t>
        </is>
      </c>
      <c r="C134" s="13" t="inlineStr">
        <is>
          <t>L.S.</t>
        </is>
      </c>
      <c r="D134" s="15" t="n">
        <v>35.88</v>
      </c>
      <c r="E134" s="16" t="n">
        <v>2</v>
      </c>
      <c r="F134" s="16">
        <f>D134*E134</f>
        <v/>
      </c>
    </row>
    <row r="135">
      <c r="A135" s="17" t="inlineStr">
        <is>
          <t>Resource Total (Material + Labour + Machinery, as printed)</t>
        </is>
      </c>
      <c r="B135" s="18" t="n"/>
      <c r="C135" s="18" t="n"/>
      <c r="D135" s="18" t="n"/>
      <c r="E135" s="18" t="n"/>
      <c r="F135" s="19">
        <f>SUM(F129:F134)</f>
        <v/>
      </c>
    </row>
    <row r="136">
      <c r="A136" s="20" t="inlineStr">
        <is>
          <t>SAY (Rs.) — final DAR rate</t>
        </is>
      </c>
      <c r="B136" s="21" t="n"/>
      <c r="C136" s="21" t="n"/>
      <c r="D136" s="21" t="n"/>
      <c r="E136" s="21" t="n"/>
      <c r="F136" s="22" t="n">
        <v>2208.65</v>
      </c>
    </row>
    <row r="138" ht="18" customHeight="1">
      <c r="A138" s="9" t="inlineStr">
        <is>
          <t>9.5.3.1</t>
        </is>
      </c>
      <c r="B138" s="10" t="inlineStr">
        <is>
          <t>35 mm thick shutters</t>
        </is>
      </c>
      <c r="C138" s="11" t="n"/>
      <c r="D138" s="11" t="n"/>
      <c r="E138" s="11" t="n"/>
      <c r="F138" s="11" t="n"/>
    </row>
    <row r="139">
      <c r="A139" s="12" t="inlineStr">
        <is>
          <t>Rate basis: per sqm  (source: cost for 2.16 sqm)</t>
        </is>
      </c>
    </row>
    <row r="140">
      <c r="A140" s="5" t="inlineStr">
        <is>
          <t>Code</t>
        </is>
      </c>
      <c r="B140" s="5" t="inlineStr">
        <is>
          <t>Description</t>
        </is>
      </c>
      <c r="C140" s="5" t="inlineStr">
        <is>
          <t>Unit</t>
        </is>
      </c>
      <c r="D140" s="5" t="inlineStr">
        <is>
          <t>Quantity</t>
        </is>
      </c>
      <c r="E140" s="5" t="inlineStr">
        <is>
          <t>Rate (Rs.)</t>
        </is>
      </c>
      <c r="F140" s="5" t="inlineStr">
        <is>
          <t>Amount (Rs.)</t>
        </is>
      </c>
    </row>
    <row r="141">
      <c r="A141" s="13" t="inlineStr">
        <is>
          <t>2204</t>
        </is>
      </c>
      <c r="B141" s="14" t="inlineStr">
        <is>
          <t>Carriage of Timber</t>
        </is>
      </c>
      <c r="C141" s="13" t="inlineStr">
        <is>
          <t>cum</t>
        </is>
      </c>
      <c r="D141" s="15" t="n">
        <v>0.051</v>
      </c>
      <c r="E141" s="16" t="n">
        <v>118.59</v>
      </c>
      <c r="F141" s="16">
        <f>D141*E141</f>
        <v/>
      </c>
    </row>
    <row r="142">
      <c r="A142" s="13" t="inlineStr">
        <is>
          <t>2504</t>
        </is>
      </c>
      <c r="B142" s="14" t="inlineStr">
        <is>
          <t>Kiln seasoning of timber</t>
        </is>
      </c>
      <c r="C142" s="13" t="inlineStr">
        <is>
          <t>cum</t>
        </is>
      </c>
      <c r="D142" s="15" t="n">
        <v>0.051</v>
      </c>
      <c r="E142" s="16" t="n">
        <v>750</v>
      </c>
      <c r="F142" s="16">
        <f>D142*E142</f>
        <v/>
      </c>
    </row>
    <row r="143">
      <c r="A143" s="13" t="inlineStr">
        <is>
          <t>0156</t>
        </is>
      </c>
      <c r="B143" s="14" t="inlineStr">
        <is>
          <t>Carpenter (average)</t>
        </is>
      </c>
      <c r="C143" s="13" t="inlineStr">
        <is>
          <t>day</t>
        </is>
      </c>
      <c r="D143" s="15" t="n">
        <v>1.83</v>
      </c>
      <c r="E143" s="16" t="n">
        <v>709</v>
      </c>
      <c r="F143" s="16">
        <f>D143*E143</f>
        <v/>
      </c>
    </row>
    <row r="144">
      <c r="A144" s="13" t="inlineStr">
        <is>
          <t>0114</t>
        </is>
      </c>
      <c r="B144" s="14" t="inlineStr">
        <is>
          <t>Beldar</t>
        </is>
      </c>
      <c r="C144" s="13" t="inlineStr">
        <is>
          <t>day</t>
        </is>
      </c>
      <c r="D144" s="15" t="n">
        <v>0.76</v>
      </c>
      <c r="E144" s="16" t="n">
        <v>558</v>
      </c>
      <c r="F144" s="16">
        <f>D144*E144</f>
        <v/>
      </c>
    </row>
    <row r="145">
      <c r="A145" s="13" t="inlineStr">
        <is>
          <t>9999</t>
        </is>
      </c>
      <c r="B145" s="14" t="inlineStr">
        <is>
          <t>Sundries</t>
        </is>
      </c>
      <c r="C145" s="13" t="inlineStr">
        <is>
          <t>L.S.</t>
        </is>
      </c>
      <c r="D145" s="15" t="n">
        <v>35.88</v>
      </c>
      <c r="E145" s="16" t="n">
        <v>2</v>
      </c>
      <c r="F145" s="16">
        <f>D145*E145</f>
        <v/>
      </c>
    </row>
    <row r="146">
      <c r="A146" s="17" t="inlineStr">
        <is>
          <t>Resource Total (Material + Labour + Machinery, as printed)</t>
        </is>
      </c>
      <c r="B146" s="18" t="n"/>
      <c r="C146" s="18" t="n"/>
      <c r="D146" s="18" t="n"/>
      <c r="E146" s="18" t="n"/>
      <c r="F146" s="19">
        <f>SUM(F141:F145)</f>
        <v/>
      </c>
    </row>
    <row r="147">
      <c r="A147" s="20" t="inlineStr">
        <is>
          <t>SAY (Rs.) — final DAR rate</t>
        </is>
      </c>
      <c r="B147" s="21" t="n"/>
      <c r="C147" s="21" t="n"/>
      <c r="D147" s="21" t="n"/>
      <c r="E147" s="21" t="n"/>
      <c r="F147" s="22" t="n">
        <v>3191.6</v>
      </c>
    </row>
    <row r="149" ht="18" customHeight="1">
      <c r="A149" s="9" t="inlineStr">
        <is>
          <t>9.5.3.2</t>
        </is>
      </c>
      <c r="B149" s="10" t="inlineStr">
        <is>
          <t>30 mm thick shutters</t>
        </is>
      </c>
      <c r="C149" s="11" t="n"/>
      <c r="D149" s="11" t="n"/>
      <c r="E149" s="11" t="n"/>
      <c r="F149" s="11" t="n"/>
    </row>
    <row r="150">
      <c r="A150" s="12" t="inlineStr">
        <is>
          <t>Rate basis: per sqm  (source: cost for 2.16 sqm)</t>
        </is>
      </c>
    </row>
    <row r="151">
      <c r="A151" s="5" t="inlineStr">
        <is>
          <t>Code</t>
        </is>
      </c>
      <c r="B151" s="5" t="inlineStr">
        <is>
          <t>Description</t>
        </is>
      </c>
      <c r="C151" s="5" t="inlineStr">
        <is>
          <t>Unit</t>
        </is>
      </c>
      <c r="D151" s="5" t="inlineStr">
        <is>
          <t>Quantity</t>
        </is>
      </c>
      <c r="E151" s="5" t="inlineStr">
        <is>
          <t>Rate (Rs.)</t>
        </is>
      </c>
      <c r="F151" s="5" t="inlineStr">
        <is>
          <t>Amount (Rs.)</t>
        </is>
      </c>
    </row>
    <row r="152">
      <c r="A152" s="13" t="inlineStr">
        <is>
          <t>2204</t>
        </is>
      </c>
      <c r="B152" s="14" t="inlineStr">
        <is>
          <t>Carriage of Timber</t>
        </is>
      </c>
      <c r="C152" s="13" t="inlineStr">
        <is>
          <t>cum</t>
        </is>
      </c>
      <c r="D152" s="15" t="n">
        <v>0.044</v>
      </c>
      <c r="E152" s="16" t="n">
        <v>118.59</v>
      </c>
      <c r="F152" s="16">
        <f>D152*E152</f>
        <v/>
      </c>
    </row>
    <row r="153">
      <c r="A153" s="13" t="inlineStr">
        <is>
          <t>2504</t>
        </is>
      </c>
      <c r="B153" s="14" t="inlineStr">
        <is>
          <t>Kiln seasoning of timber</t>
        </is>
      </c>
      <c r="C153" s="13" t="inlineStr">
        <is>
          <t>cum</t>
        </is>
      </c>
      <c r="D153" s="15" t="n">
        <v>0.044</v>
      </c>
      <c r="E153" s="16" t="n">
        <v>750</v>
      </c>
      <c r="F153" s="16">
        <f>D153*E153</f>
        <v/>
      </c>
    </row>
    <row r="154">
      <c r="A154" s="13" t="inlineStr">
        <is>
          <t>0156</t>
        </is>
      </c>
      <c r="B154" s="14" t="inlineStr">
        <is>
          <t>Carpenter (average)</t>
        </is>
      </c>
      <c r="C154" s="13" t="inlineStr">
        <is>
          <t>day</t>
        </is>
      </c>
      <c r="D154" s="15" t="n">
        <v>1.83</v>
      </c>
      <c r="E154" s="16" t="n">
        <v>709</v>
      </c>
      <c r="F154" s="16">
        <f>D154*E154</f>
        <v/>
      </c>
    </row>
    <row r="155">
      <c r="A155" s="13" t="inlineStr">
        <is>
          <t>0114</t>
        </is>
      </c>
      <c r="B155" s="14" t="inlineStr">
        <is>
          <t>Beldar</t>
        </is>
      </c>
      <c r="C155" s="13" t="inlineStr">
        <is>
          <t>day</t>
        </is>
      </c>
      <c r="D155" s="15" t="n">
        <v>0.76</v>
      </c>
      <c r="E155" s="16" t="n">
        <v>558</v>
      </c>
      <c r="F155" s="16">
        <f>D155*E155</f>
        <v/>
      </c>
    </row>
    <row r="156">
      <c r="A156" s="13" t="inlineStr">
        <is>
          <t>9999</t>
        </is>
      </c>
      <c r="B156" s="14" t="inlineStr">
        <is>
          <t>Sundries</t>
        </is>
      </c>
      <c r="C156" s="13" t="inlineStr">
        <is>
          <t>L.S.</t>
        </is>
      </c>
      <c r="D156" s="15" t="n">
        <v>35.88</v>
      </c>
      <c r="E156" s="16" t="n">
        <v>2</v>
      </c>
      <c r="F156" s="16">
        <f>D156*E156</f>
        <v/>
      </c>
    </row>
    <row r="157">
      <c r="A157" s="17" t="inlineStr">
        <is>
          <t>Resource Total (Material + Labour + Machinery, as printed)</t>
        </is>
      </c>
      <c r="B157" s="18" t="n"/>
      <c r="C157" s="18" t="n"/>
      <c r="D157" s="18" t="n"/>
      <c r="E157" s="18" t="n"/>
      <c r="F157" s="19">
        <f>SUM(F152:F156)</f>
        <v/>
      </c>
    </row>
    <row r="158">
      <c r="A158" s="20" t="inlineStr">
        <is>
          <t>SAY (Rs.) — final DAR rate</t>
        </is>
      </c>
      <c r="B158" s="21" t="n"/>
      <c r="C158" s="21" t="n"/>
      <c r="D158" s="21" t="n"/>
      <c r="E158" s="21" t="n"/>
      <c r="F158" s="22" t="n">
        <v>2906</v>
      </c>
    </row>
    <row r="160" ht="28" customHeight="1">
      <c r="A160" s="9" t="inlineStr">
        <is>
          <t>9.6.1</t>
        </is>
      </c>
      <c r="B160" s="10" t="inlineStr">
        <is>
          <t>12 mm thick plain grade -1, medium density flat pressed three layer particle board FPT - I or graded wood particle board FPT- I, IS : 3087 m</t>
        </is>
      </c>
      <c r="C160" s="11" t="n"/>
      <c r="D160" s="11" t="n"/>
      <c r="E160" s="11" t="n"/>
      <c r="F160" s="11" t="n"/>
    </row>
    <row r="161">
      <c r="A161" s="12" t="inlineStr">
        <is>
          <t>Rate basis: per sqm  (source: cost for 2.38 sqm)</t>
        </is>
      </c>
    </row>
    <row r="162">
      <c r="A162" s="5" t="inlineStr">
        <is>
          <t>Code</t>
        </is>
      </c>
      <c r="B162" s="5" t="inlineStr">
        <is>
          <t>Description</t>
        </is>
      </c>
      <c r="C162" s="5" t="inlineStr">
        <is>
          <t>Unit</t>
        </is>
      </c>
      <c r="D162" s="5" t="inlineStr">
        <is>
          <t>Quantity</t>
        </is>
      </c>
      <c r="E162" s="5" t="inlineStr">
        <is>
          <t>Rate (Rs.)</t>
        </is>
      </c>
      <c r="F162" s="5" t="inlineStr">
        <is>
          <t>Amount (Rs.)</t>
        </is>
      </c>
    </row>
    <row r="163">
      <c r="A163" s="13" t="inlineStr">
        <is>
          <t>1985</t>
        </is>
      </c>
      <c r="B163" s="14" t="inlineStr">
        <is>
          <t>bonded with BWP type synthetic resin adhesive, as per IS:848</t>
        </is>
      </c>
      <c r="C163" s="13" t="inlineStr">
        <is>
          <t>sqm</t>
        </is>
      </c>
      <c r="D163" s="15" t="n">
        <v>2.38</v>
      </c>
      <c r="E163" s="16" t="n">
        <v>1620</v>
      </c>
      <c r="F163" s="16">
        <f>D163*E163</f>
        <v/>
      </c>
    </row>
    <row r="164">
      <c r="A164" s="13" t="inlineStr">
        <is>
          <t>9977</t>
        </is>
      </c>
      <c r="B164" s="14" t="inlineStr">
        <is>
          <t>Carriage of shutters</t>
        </is>
      </c>
      <c r="C164" s="13" t="inlineStr">
        <is>
          <t>L.S.</t>
        </is>
      </c>
      <c r="D164" s="15" t="n">
        <v>29.64</v>
      </c>
      <c r="E164" s="16" t="n">
        <v>2</v>
      </c>
      <c r="F164" s="16">
        <f>D164*E164</f>
        <v/>
      </c>
    </row>
    <row r="165">
      <c r="A165" s="13" t="inlineStr">
        <is>
          <t>0156</t>
        </is>
      </c>
      <c r="B165" s="14" t="inlineStr">
        <is>
          <t>Carpenter (average)</t>
        </is>
      </c>
      <c r="C165" s="13" t="inlineStr">
        <is>
          <t>day</t>
        </is>
      </c>
      <c r="D165" s="15" t="n">
        <v>0.52</v>
      </c>
      <c r="E165" s="16" t="n">
        <v>709</v>
      </c>
      <c r="F165" s="16">
        <f>D165*E165</f>
        <v/>
      </c>
    </row>
    <row r="166">
      <c r="A166" s="13" t="inlineStr">
        <is>
          <t>0114</t>
        </is>
      </c>
      <c r="B166" s="14" t="inlineStr">
        <is>
          <t>Beldar</t>
        </is>
      </c>
      <c r="C166" s="13" t="inlineStr">
        <is>
          <t>day</t>
        </is>
      </c>
      <c r="D166" s="15" t="n">
        <v>0.6</v>
      </c>
      <c r="E166" s="16" t="n">
        <v>558</v>
      </c>
      <c r="F166" s="16">
        <f>D166*E166</f>
        <v/>
      </c>
    </row>
    <row r="167">
      <c r="A167" s="13" t="inlineStr">
        <is>
          <t>9999</t>
        </is>
      </c>
      <c r="B167" s="14" t="inlineStr">
        <is>
          <t>Sundries</t>
        </is>
      </c>
      <c r="C167" s="13" t="inlineStr">
        <is>
          <t>L.S.</t>
        </is>
      </c>
      <c r="D167" s="15" t="n">
        <v>35.88</v>
      </c>
      <c r="E167" s="16" t="n">
        <v>2</v>
      </c>
      <c r="F167" s="16">
        <f>D167*E167</f>
        <v/>
      </c>
    </row>
    <row r="168">
      <c r="A168" s="17" t="inlineStr">
        <is>
          <t>Resource Total (Material + Labour + Machinery, as printed)</t>
        </is>
      </c>
      <c r="B168" s="18" t="n"/>
      <c r="C168" s="18" t="n"/>
      <c r="D168" s="18" t="n"/>
      <c r="E168" s="18" t="n"/>
      <c r="F168" s="19">
        <f>SUM(F163:F167)</f>
        <v/>
      </c>
    </row>
    <row r="169">
      <c r="A169" s="20" t="inlineStr">
        <is>
          <t>SAY (Rs.) — final DAR rate</t>
        </is>
      </c>
      <c r="B169" s="21" t="n"/>
      <c r="C169" s="21" t="n"/>
      <c r="D169" s="21" t="n"/>
      <c r="E169" s="21" t="n"/>
      <c r="F169" s="22" t="n">
        <v>2636.6</v>
      </c>
    </row>
    <row r="171" ht="28" customHeight="1">
      <c r="A171" s="9" t="inlineStr">
        <is>
          <t>9.6.2</t>
        </is>
      </c>
      <c r="B171" s="10" t="inlineStr">
        <is>
          <t>12 mm thick pre-laminated particle board (decorative lamination on both sides) grade -1, medium density flat pressed, three layer particle b</t>
        </is>
      </c>
      <c r="C171" s="11" t="n"/>
      <c r="D171" s="11" t="n"/>
      <c r="E171" s="11" t="n"/>
      <c r="F171" s="11" t="n"/>
    </row>
    <row r="172">
      <c r="A172" s="12" t="inlineStr">
        <is>
          <t>Rate basis: per sqm  (source: cost for 2.38 sqm)</t>
        </is>
      </c>
    </row>
    <row r="173">
      <c r="A173" s="5" t="inlineStr">
        <is>
          <t>Code</t>
        </is>
      </c>
      <c r="B173" s="5" t="inlineStr">
        <is>
          <t>Description</t>
        </is>
      </c>
      <c r="C173" s="5" t="inlineStr">
        <is>
          <t>Unit</t>
        </is>
      </c>
      <c r="D173" s="5" t="inlineStr">
        <is>
          <t>Quantity</t>
        </is>
      </c>
      <c r="E173" s="5" t="inlineStr">
        <is>
          <t>Rate (Rs.)</t>
        </is>
      </c>
      <c r="F173" s="5" t="inlineStr">
        <is>
          <t>Amount (Rs.)</t>
        </is>
      </c>
    </row>
    <row r="174">
      <c r="A174" s="13" t="inlineStr">
        <is>
          <t>7139</t>
        </is>
      </c>
      <c r="B174" s="14" t="inlineStr">
        <is>
          <t>Factory made 35 mm thick shutters with laminated veneer lumber styles rails as per TADS IS:1995 and panels of 12 mm thick both sides prelaminated type-I, medium density flat pressed three layer, graded particle board (FPT-I) as per IS:3087-1985 bonded with BWP type synthetic resin adhesive, as per IS:848-1974</t>
        </is>
      </c>
      <c r="C174" s="13" t="inlineStr">
        <is>
          <t>sqm</t>
        </is>
      </c>
      <c r="D174" s="15" t="n">
        <v>2.38</v>
      </c>
      <c r="E174" s="16" t="n">
        <v>1720</v>
      </c>
      <c r="F174" s="16">
        <f>D174*E174</f>
        <v/>
      </c>
    </row>
    <row r="175">
      <c r="A175" s="13" t="inlineStr">
        <is>
          <t>9977</t>
        </is>
      </c>
      <c r="B175" s="14" t="inlineStr">
        <is>
          <t>Carriage of shutters</t>
        </is>
      </c>
      <c r="C175" s="13" t="inlineStr">
        <is>
          <t>L.S.</t>
        </is>
      </c>
      <c r="D175" s="15" t="n">
        <v>29.64</v>
      </c>
      <c r="E175" s="16" t="n">
        <v>2</v>
      </c>
      <c r="F175" s="16">
        <f>D175*E175</f>
        <v/>
      </c>
    </row>
    <row r="176">
      <c r="A176" s="13" t="inlineStr">
        <is>
          <t>0156</t>
        </is>
      </c>
      <c r="B176" s="14" t="inlineStr">
        <is>
          <t>Carpenter (average)</t>
        </is>
      </c>
      <c r="C176" s="13" t="inlineStr">
        <is>
          <t>day</t>
        </is>
      </c>
      <c r="D176" s="15" t="n">
        <v>0.52</v>
      </c>
      <c r="E176" s="16" t="n">
        <v>709</v>
      </c>
      <c r="F176" s="16">
        <f>D176*E176</f>
        <v/>
      </c>
    </row>
    <row r="177">
      <c r="A177" s="13" t="inlineStr">
        <is>
          <t>0114</t>
        </is>
      </c>
      <c r="B177" s="14" t="inlineStr">
        <is>
          <t>Beldar</t>
        </is>
      </c>
      <c r="C177" s="13" t="inlineStr">
        <is>
          <t>day</t>
        </is>
      </c>
      <c r="D177" s="15" t="n">
        <v>0.6</v>
      </c>
      <c r="E177" s="16" t="n">
        <v>558</v>
      </c>
      <c r="F177" s="16">
        <f>D177*E177</f>
        <v/>
      </c>
    </row>
    <row r="178">
      <c r="A178" s="13" t="inlineStr">
        <is>
          <t>9999</t>
        </is>
      </c>
      <c r="B178" s="14" t="inlineStr">
        <is>
          <t>Sundries</t>
        </is>
      </c>
      <c r="C178" s="13" t="inlineStr">
        <is>
          <t>L.S.</t>
        </is>
      </c>
      <c r="D178" s="15" t="n">
        <v>35.88</v>
      </c>
      <c r="E178" s="16" t="n">
        <v>2</v>
      </c>
      <c r="F178" s="16">
        <f>D178*E178</f>
        <v/>
      </c>
    </row>
    <row r="179">
      <c r="A179" s="17" t="inlineStr">
        <is>
          <t>Resource Total (Material + Labour + Machinery, as printed)</t>
        </is>
      </c>
      <c r="B179" s="18" t="n"/>
      <c r="C179" s="18" t="n"/>
      <c r="D179" s="18" t="n"/>
      <c r="E179" s="18" t="n"/>
      <c r="F179" s="19">
        <f>SUM(F174:F178)</f>
        <v/>
      </c>
    </row>
    <row r="180">
      <c r="A180" s="20" t="inlineStr">
        <is>
          <t>SAY (Rs.) — final DAR rate</t>
        </is>
      </c>
      <c r="B180" s="21" t="n"/>
      <c r="C180" s="21" t="n"/>
      <c r="D180" s="21" t="n"/>
      <c r="E180" s="21" t="n"/>
      <c r="F180" s="22" t="n">
        <v>2770.4</v>
      </c>
    </row>
    <row r="182" ht="28" customHeight="1">
      <c r="A182" s="9" t="inlineStr">
        <is>
          <t>9.6.3</t>
        </is>
      </c>
      <c r="B182" s="10" t="inlineStr">
        <is>
          <t xml:space="preserve">12 mm thick one side Pre-laminated particle board (decorative lamination on one side and other sides balancing lamination) grade -1, medium </t>
        </is>
      </c>
      <c r="C182" s="11" t="n"/>
      <c r="D182" s="11" t="n"/>
      <c r="E182" s="11" t="n"/>
      <c r="F182" s="11" t="n"/>
    </row>
    <row r="183">
      <c r="A183" s="12" t="inlineStr">
        <is>
          <t>Rate basis: per sqm  (source: cost for 2.38 sqm)</t>
        </is>
      </c>
    </row>
    <row r="184">
      <c r="A184" s="5" t="inlineStr">
        <is>
          <t>Code</t>
        </is>
      </c>
      <c r="B184" s="5" t="inlineStr">
        <is>
          <t>Description</t>
        </is>
      </c>
      <c r="C184" s="5" t="inlineStr">
        <is>
          <t>Unit</t>
        </is>
      </c>
      <c r="D184" s="5" t="inlineStr">
        <is>
          <t>Quantity</t>
        </is>
      </c>
      <c r="E184" s="5" t="inlineStr">
        <is>
          <t>Rate (Rs.)</t>
        </is>
      </c>
      <c r="F184" s="5" t="inlineStr">
        <is>
          <t>Amount (Rs.)</t>
        </is>
      </c>
    </row>
    <row r="185">
      <c r="A185" s="13" t="inlineStr">
        <is>
          <t>7143</t>
        </is>
      </c>
      <c r="B185" s="14" t="inlineStr">
        <is>
          <t>Factory made 35 mm thick shutters with laminated veneer lumber styles rails as per TADS IS:1995 and panels of 12 mm thick one side prelaminated type-I, and other side balancing lamination, medium density flat pressed three layer, graded particle board (FPT-I) as per IS:3087-1985 bonded with BWP type synthetic resin adhesive, as per IS:848-1974</t>
        </is>
      </c>
      <c r="C185" s="13" t="inlineStr">
        <is>
          <t>sqm</t>
        </is>
      </c>
      <c r="D185" s="15" t="n">
        <v>2.38</v>
      </c>
      <c r="E185" s="16" t="n">
        <v>1910</v>
      </c>
      <c r="F185" s="16">
        <f>D185*E185</f>
        <v/>
      </c>
    </row>
    <row r="186">
      <c r="A186" s="13" t="inlineStr">
        <is>
          <t>9977</t>
        </is>
      </c>
      <c r="B186" s="14" t="inlineStr">
        <is>
          <t>Carriage of shutters</t>
        </is>
      </c>
      <c r="C186" s="13" t="inlineStr">
        <is>
          <t>L.S.</t>
        </is>
      </c>
      <c r="D186" s="15" t="n">
        <v>29.64</v>
      </c>
      <c r="E186" s="16" t="n">
        <v>2</v>
      </c>
      <c r="F186" s="16">
        <f>D186*E186</f>
        <v/>
      </c>
    </row>
    <row r="187">
      <c r="A187" s="13" t="inlineStr">
        <is>
          <t>0156</t>
        </is>
      </c>
      <c r="B187" s="14" t="inlineStr">
        <is>
          <t>Carpenter (average)</t>
        </is>
      </c>
      <c r="C187" s="13" t="inlineStr">
        <is>
          <t>day</t>
        </is>
      </c>
      <c r="D187" s="15" t="n">
        <v>0.52</v>
      </c>
      <c r="E187" s="16" t="n">
        <v>709</v>
      </c>
      <c r="F187" s="16">
        <f>D187*E187</f>
        <v/>
      </c>
    </row>
    <row r="188">
      <c r="A188" s="13" t="inlineStr">
        <is>
          <t>0114</t>
        </is>
      </c>
      <c r="B188" s="14" t="inlineStr">
        <is>
          <t>Beldar</t>
        </is>
      </c>
      <c r="C188" s="13" t="inlineStr">
        <is>
          <t>day</t>
        </is>
      </c>
      <c r="D188" s="15" t="n">
        <v>0.6</v>
      </c>
      <c r="E188" s="16" t="n">
        <v>558</v>
      </c>
      <c r="F188" s="16">
        <f>D188*E188</f>
        <v/>
      </c>
    </row>
    <row r="189">
      <c r="A189" s="13" t="inlineStr">
        <is>
          <t>9999</t>
        </is>
      </c>
      <c r="B189" s="14" t="inlineStr">
        <is>
          <t>Sundries</t>
        </is>
      </c>
      <c r="C189" s="13" t="inlineStr">
        <is>
          <t>L.S.</t>
        </is>
      </c>
      <c r="D189" s="15" t="n">
        <v>35.88</v>
      </c>
      <c r="E189" s="16" t="n">
        <v>2</v>
      </c>
      <c r="F189" s="16">
        <f>D189*E189</f>
        <v/>
      </c>
    </row>
    <row r="190">
      <c r="A190" s="17" t="inlineStr">
        <is>
          <t>Resource Total (Material + Labour + Machinery, as printed)</t>
        </is>
      </c>
      <c r="B190" s="18" t="n"/>
      <c r="C190" s="18" t="n"/>
      <c r="D190" s="18" t="n"/>
      <c r="E190" s="18" t="n"/>
      <c r="F190" s="19">
        <f>SUM(F185:F189)</f>
        <v/>
      </c>
    </row>
    <row r="191">
      <c r="A191" s="20" t="inlineStr">
        <is>
          <t>SAY (Rs.) — final DAR rate</t>
        </is>
      </c>
      <c r="B191" s="21" t="n"/>
      <c r="C191" s="21" t="n"/>
      <c r="D191" s="21" t="n"/>
      <c r="E191" s="21" t="n"/>
      <c r="F191" s="22" t="n">
        <v>3024.6</v>
      </c>
    </row>
    <row r="193" ht="18" customHeight="1">
      <c r="A193" s="9" t="inlineStr">
        <is>
          <t>9.7.1</t>
        </is>
      </c>
      <c r="B193" s="10" t="inlineStr">
        <is>
          <t>Second class teak wood</t>
        </is>
      </c>
      <c r="C193" s="11" t="n"/>
      <c r="D193" s="11" t="n"/>
      <c r="E193" s="11" t="n"/>
      <c r="F193" s="11" t="n"/>
    </row>
    <row r="194">
      <c r="A194" s="12" t="inlineStr">
        <is>
          <t>Rate basis: per sqm  (source: cost for 2.16 sqm)</t>
        </is>
      </c>
    </row>
    <row r="195">
      <c r="A195" s="5" t="inlineStr">
        <is>
          <t>Code</t>
        </is>
      </c>
      <c r="B195" s="5" t="inlineStr">
        <is>
          <t>Description</t>
        </is>
      </c>
      <c r="C195" s="5" t="inlineStr">
        <is>
          <t>Unit</t>
        </is>
      </c>
      <c r="D195" s="5" t="inlineStr">
        <is>
          <t>Quantity</t>
        </is>
      </c>
      <c r="E195" s="5" t="inlineStr">
        <is>
          <t>Rate (Rs.)</t>
        </is>
      </c>
      <c r="F195" s="5" t="inlineStr">
        <is>
          <t>Amount (Rs.)</t>
        </is>
      </c>
    </row>
    <row r="196">
      <c r="A196" s="13" t="inlineStr">
        <is>
          <t>2204</t>
        </is>
      </c>
      <c r="B196" s="14" t="inlineStr">
        <is>
          <t>Carriage of Timber</t>
        </is>
      </c>
      <c r="C196" s="13" t="inlineStr">
        <is>
          <t>cum</t>
        </is>
      </c>
      <c r="D196" s="15" t="n">
        <v>0.0129</v>
      </c>
      <c r="E196" s="16" t="n">
        <v>118.59</v>
      </c>
      <c r="F196" s="16">
        <f>D196*E196</f>
        <v/>
      </c>
    </row>
    <row r="197">
      <c r="A197" s="13" t="inlineStr">
        <is>
          <t>0111</t>
        </is>
      </c>
      <c r="B197" s="14" t="inlineStr">
        <is>
          <t>Carpenter 1st class</t>
        </is>
      </c>
      <c r="C197" s="13" t="inlineStr">
        <is>
          <t>day</t>
        </is>
      </c>
      <c r="D197" s="15" t="n">
        <v>0.57</v>
      </c>
      <c r="E197" s="16" t="n">
        <v>738</v>
      </c>
      <c r="F197" s="16">
        <f>D197*E197</f>
        <v/>
      </c>
    </row>
    <row r="198">
      <c r="A198" s="13" t="inlineStr">
        <is>
          <t>9999</t>
        </is>
      </c>
      <c r="B198" s="14" t="inlineStr">
        <is>
          <t>Sundries</t>
        </is>
      </c>
      <c r="C198" s="13" t="inlineStr">
        <is>
          <t>L.S.</t>
        </is>
      </c>
      <c r="D198" s="15" t="n">
        <v>4.42</v>
      </c>
      <c r="E198" s="16" t="n">
        <v>2</v>
      </c>
      <c r="F198" s="16">
        <f>D198*E198</f>
        <v/>
      </c>
    </row>
    <row r="199">
      <c r="A199" s="17" t="inlineStr">
        <is>
          <t>Resource Total (Material + Labour + Machinery, as printed)</t>
        </is>
      </c>
      <c r="B199" s="18" t="n"/>
      <c r="C199" s="18" t="n"/>
      <c r="D199" s="18" t="n"/>
      <c r="E199" s="18" t="n"/>
      <c r="F199" s="19">
        <f>SUM(F196:F198)</f>
        <v/>
      </c>
    </row>
    <row r="200">
      <c r="A200" s="20" t="inlineStr">
        <is>
          <t>SAY (Rs.) — final DAR rate</t>
        </is>
      </c>
      <c r="B200" s="21" t="n"/>
      <c r="C200" s="21" t="n"/>
      <c r="D200" s="21" t="n"/>
      <c r="E200" s="21" t="n"/>
      <c r="F200" s="22" t="n">
        <v>2942.3</v>
      </c>
    </row>
    <row r="202" ht="18" customHeight="1">
      <c r="A202" s="9" t="inlineStr">
        <is>
          <t>9.7.2</t>
        </is>
      </c>
      <c r="B202" s="10" t="inlineStr">
        <is>
          <t>Kiln seasoned and chemically treated hollock wood</t>
        </is>
      </c>
      <c r="C202" s="11" t="n"/>
      <c r="D202" s="11" t="n"/>
      <c r="E202" s="11" t="n"/>
      <c r="F202" s="11" t="n"/>
    </row>
    <row r="203">
      <c r="A203" s="12" t="inlineStr">
        <is>
          <t>Rate basis: per sqm  (source: cost for 2.16 sqm)</t>
        </is>
      </c>
    </row>
    <row r="204">
      <c r="A204" s="5" t="inlineStr">
        <is>
          <t>Code</t>
        </is>
      </c>
      <c r="B204" s="5" t="inlineStr">
        <is>
          <t>Description</t>
        </is>
      </c>
      <c r="C204" s="5" t="inlineStr">
        <is>
          <t>Unit</t>
        </is>
      </c>
      <c r="D204" s="5" t="inlineStr">
        <is>
          <t>Quantity</t>
        </is>
      </c>
      <c r="E204" s="5" t="inlineStr">
        <is>
          <t>Rate (Rs.)</t>
        </is>
      </c>
      <c r="F204" s="5" t="inlineStr">
        <is>
          <t>Amount (Rs.)</t>
        </is>
      </c>
    </row>
    <row r="205">
      <c r="A205" s="13" t="inlineStr">
        <is>
          <t>2204</t>
        </is>
      </c>
      <c r="B205" s="14" t="inlineStr">
        <is>
          <t>Carriage of Timber</t>
        </is>
      </c>
      <c r="C205" s="13" t="inlineStr">
        <is>
          <t>cum</t>
        </is>
      </c>
      <c r="D205" s="15" t="n">
        <v>0.0129</v>
      </c>
      <c r="E205" s="16" t="n">
        <v>118.59</v>
      </c>
      <c r="F205" s="16">
        <f>D205*E205</f>
        <v/>
      </c>
    </row>
    <row r="206">
      <c r="A206" s="13" t="inlineStr">
        <is>
          <t>2504</t>
        </is>
      </c>
      <c r="B206" s="14" t="inlineStr">
        <is>
          <t>Kiln seasoning of timber</t>
        </is>
      </c>
      <c r="C206" s="13" t="inlineStr">
        <is>
          <t>cum</t>
        </is>
      </c>
      <c r="D206" s="15" t="n">
        <v>0.0129</v>
      </c>
      <c r="E206" s="16" t="n">
        <v>750</v>
      </c>
      <c r="F206" s="16">
        <f>D206*E206</f>
        <v/>
      </c>
    </row>
    <row r="207">
      <c r="A207" s="13" t="inlineStr">
        <is>
          <t>9999</t>
        </is>
      </c>
      <c r="B207" s="14" t="inlineStr">
        <is>
          <t>Chemical treatment</t>
        </is>
      </c>
      <c r="C207" s="13" t="inlineStr">
        <is>
          <t>L.S.</t>
        </is>
      </c>
      <c r="D207" s="15" t="n">
        <v>8.970000000000001</v>
      </c>
      <c r="E207" s="16" t="n">
        <v>2</v>
      </c>
      <c r="F207" s="16">
        <f>D207*E207</f>
        <v/>
      </c>
    </row>
    <row r="208">
      <c r="A208" s="13" t="inlineStr">
        <is>
          <t>0111</t>
        </is>
      </c>
      <c r="B208" s="14" t="inlineStr">
        <is>
          <t>Carpenter 1st class</t>
        </is>
      </c>
      <c r="C208" s="13" t="inlineStr">
        <is>
          <t>day</t>
        </is>
      </c>
      <c r="D208" s="15" t="n">
        <v>0.57</v>
      </c>
      <c r="E208" s="16" t="n">
        <v>738</v>
      </c>
      <c r="F208" s="16">
        <f>D208*E208</f>
        <v/>
      </c>
    </row>
    <row r="209">
      <c r="A209" s="13" t="inlineStr">
        <is>
          <t>9999</t>
        </is>
      </c>
      <c r="B209" s="14" t="inlineStr">
        <is>
          <t>Sundries</t>
        </is>
      </c>
      <c r="C209" s="13" t="inlineStr">
        <is>
          <t>L.S.</t>
        </is>
      </c>
      <c r="D209" s="15" t="n">
        <v>4.42</v>
      </c>
      <c r="E209" s="16" t="n">
        <v>2</v>
      </c>
      <c r="F209" s="16">
        <f>D209*E209</f>
        <v/>
      </c>
    </row>
    <row r="210">
      <c r="A210" s="17" t="inlineStr">
        <is>
          <t>Resource Total (Material + Labour + Machinery, as printed)</t>
        </is>
      </c>
      <c r="B210" s="18" t="n"/>
      <c r="C210" s="18" t="n"/>
      <c r="D210" s="18" t="n"/>
      <c r="E210" s="18" t="n"/>
      <c r="F210" s="19">
        <f>SUM(F205:F209)</f>
        <v/>
      </c>
    </row>
    <row r="211">
      <c r="A211" s="20" t="inlineStr">
        <is>
          <t>SAY (Rs.) — final DAR rate</t>
        </is>
      </c>
      <c r="B211" s="21" t="n"/>
      <c r="C211" s="21" t="n"/>
      <c r="D211" s="21" t="n"/>
      <c r="E211" s="21" t="n"/>
      <c r="F211" s="22" t="n">
        <v>1949.65</v>
      </c>
    </row>
    <row r="213" ht="18" customHeight="1">
      <c r="A213" s="9" t="inlineStr">
        <is>
          <t>9.7.3.1</t>
        </is>
      </c>
      <c r="B213" s="10" t="inlineStr">
        <is>
          <t>Decorative plywood both side decorative veneer (Type - I) conforming to IS 1328 BWR type</t>
        </is>
      </c>
      <c r="C213" s="11" t="n"/>
      <c r="D213" s="11" t="n"/>
      <c r="E213" s="11" t="n"/>
      <c r="F213" s="11" t="n"/>
    </row>
    <row r="214">
      <c r="A214" s="12" t="inlineStr">
        <is>
          <t>Rate basis: per sqm  (source: cost for 2.16 sqm)</t>
        </is>
      </c>
    </row>
    <row r="215">
      <c r="A215" s="5" t="inlineStr">
        <is>
          <t>Code</t>
        </is>
      </c>
      <c r="B215" s="5" t="inlineStr">
        <is>
          <t>Description</t>
        </is>
      </c>
      <c r="C215" s="5" t="inlineStr">
        <is>
          <t>Unit</t>
        </is>
      </c>
      <c r="D215" s="5" t="inlineStr">
        <is>
          <t>Quantity</t>
        </is>
      </c>
      <c r="E215" s="5" t="inlineStr">
        <is>
          <t>Rate (Rs.)</t>
        </is>
      </c>
      <c r="F215" s="5" t="inlineStr">
        <is>
          <t>Amount (Rs.)</t>
        </is>
      </c>
    </row>
    <row r="216">
      <c r="A216" s="13" t="inlineStr">
        <is>
          <t>2480</t>
        </is>
      </c>
      <c r="B216" s="14" t="inlineStr">
        <is>
          <t>Ply wood 5 ply with teak ply on both faces 9 mm thick</t>
        </is>
      </c>
      <c r="C216" s="13" t="inlineStr">
        <is>
          <t>sqm</t>
        </is>
      </c>
      <c r="D216" s="15" t="n">
        <v>0.8</v>
      </c>
      <c r="E216" s="16" t="n">
        <v>850</v>
      </c>
      <c r="F216" s="16">
        <f>D216*E216</f>
        <v/>
      </c>
    </row>
    <row r="217">
      <c r="A217" s="13" t="inlineStr">
        <is>
          <t>9977</t>
        </is>
      </c>
      <c r="B217" s="14" t="inlineStr">
        <is>
          <t>Carriage of Plywood</t>
        </is>
      </c>
      <c r="C217" s="13" t="inlineStr">
        <is>
          <t>L.S.</t>
        </is>
      </c>
      <c r="D217" s="15" t="n">
        <v>1.82</v>
      </c>
      <c r="E217" s="16" t="n">
        <v>2</v>
      </c>
      <c r="F217" s="16">
        <f>D217*E217</f>
        <v/>
      </c>
    </row>
    <row r="218">
      <c r="A218" s="13" t="inlineStr">
        <is>
          <t>0111</t>
        </is>
      </c>
      <c r="B218" s="14" t="inlineStr">
        <is>
          <t>Carpenter 1st class</t>
        </is>
      </c>
      <c r="C218" s="13" t="inlineStr">
        <is>
          <t>day</t>
        </is>
      </c>
      <c r="D218" s="15" t="n">
        <v>0.57</v>
      </c>
      <c r="E218" s="16" t="n">
        <v>738</v>
      </c>
      <c r="F218" s="16">
        <f>D218*E218</f>
        <v/>
      </c>
    </row>
    <row r="219">
      <c r="A219" s="13" t="inlineStr">
        <is>
          <t>9999</t>
        </is>
      </c>
      <c r="B219" s="14" t="inlineStr">
        <is>
          <t>Sundries</t>
        </is>
      </c>
      <c r="C219" s="13" t="inlineStr">
        <is>
          <t>L.S.</t>
        </is>
      </c>
      <c r="D219" s="15" t="n">
        <v>4.42</v>
      </c>
      <c r="E219" s="16" t="n">
        <v>2</v>
      </c>
      <c r="F219" s="16">
        <f>D219*E219</f>
        <v/>
      </c>
    </row>
    <row r="220">
      <c r="A220" s="17" t="inlineStr">
        <is>
          <t>Resource Total (Material + Labour + Machinery, as printed)</t>
        </is>
      </c>
      <c r="B220" s="18" t="n"/>
      <c r="C220" s="18" t="n"/>
      <c r="D220" s="18" t="n"/>
      <c r="E220" s="18" t="n"/>
      <c r="F220" s="19">
        <f>SUM(F216:F219)</f>
        <v/>
      </c>
    </row>
    <row r="221">
      <c r="A221" s="20" t="inlineStr">
        <is>
          <t>SAY (Rs.) — final DAR rate</t>
        </is>
      </c>
      <c r="B221" s="21" t="n"/>
      <c r="C221" s="21" t="n"/>
      <c r="D221" s="21" t="n"/>
      <c r="E221" s="21" t="n"/>
      <c r="F221" s="22" t="n">
        <v>2256.55</v>
      </c>
    </row>
    <row r="223" ht="28" customHeight="1">
      <c r="A223" s="9" t="inlineStr">
        <is>
          <t>9.7.3.2</t>
        </is>
      </c>
      <c r="B223" s="10" t="inlineStr">
        <is>
          <t>Decorative plywood one side decorative veneer and commercial veneer on other face (Type 1) conforming to IS 1328 BWR Type</t>
        </is>
      </c>
      <c r="C223" s="11" t="n"/>
      <c r="D223" s="11" t="n"/>
      <c r="E223" s="11" t="n"/>
      <c r="F223" s="11" t="n"/>
    </row>
    <row r="224">
      <c r="A224" s="12" t="inlineStr">
        <is>
          <t>Rate basis: per sqm  (source: cost for 2.16 sqm)</t>
        </is>
      </c>
    </row>
    <row r="225">
      <c r="A225" s="5" t="inlineStr">
        <is>
          <t>Code</t>
        </is>
      </c>
      <c r="B225" s="5" t="inlineStr">
        <is>
          <t>Description</t>
        </is>
      </c>
      <c r="C225" s="5" t="inlineStr">
        <is>
          <t>Unit</t>
        </is>
      </c>
      <c r="D225" s="5" t="inlineStr">
        <is>
          <t>Quantity</t>
        </is>
      </c>
      <c r="E225" s="5" t="inlineStr">
        <is>
          <t>Rate (Rs.)</t>
        </is>
      </c>
      <c r="F225" s="5" t="inlineStr">
        <is>
          <t>Amount (Rs.)</t>
        </is>
      </c>
    </row>
    <row r="226">
      <c r="A226" s="13" t="inlineStr">
        <is>
          <t>2481</t>
        </is>
      </c>
      <c r="B226" s="14" t="inlineStr">
        <is>
          <t>Ply wood 5 ply with teak ply on one face and commercial ply on another face 9 mm thick</t>
        </is>
      </c>
      <c r="C226" s="13" t="inlineStr">
        <is>
          <t>sqm</t>
        </is>
      </c>
      <c r="D226" s="15" t="n">
        <v>0.8</v>
      </c>
      <c r="E226" s="16" t="n">
        <v>870</v>
      </c>
      <c r="F226" s="16">
        <f>D226*E226</f>
        <v/>
      </c>
    </row>
    <row r="227">
      <c r="A227" s="13" t="inlineStr">
        <is>
          <t>9977</t>
        </is>
      </c>
      <c r="B227" s="14" t="inlineStr">
        <is>
          <t>Carriage of Plywood</t>
        </is>
      </c>
      <c r="C227" s="13" t="inlineStr">
        <is>
          <t>L.S.</t>
        </is>
      </c>
      <c r="D227" s="15" t="n">
        <v>1.82</v>
      </c>
      <c r="E227" s="16" t="n">
        <v>2</v>
      </c>
      <c r="F227" s="16">
        <f>D227*E227</f>
        <v/>
      </c>
    </row>
    <row r="228">
      <c r="A228" s="13" t="inlineStr">
        <is>
          <t>0111</t>
        </is>
      </c>
      <c r="B228" s="14" t="inlineStr">
        <is>
          <t>Carpenter 1st class</t>
        </is>
      </c>
      <c r="C228" s="13" t="inlineStr">
        <is>
          <t>day</t>
        </is>
      </c>
      <c r="D228" s="15" t="n">
        <v>0.57</v>
      </c>
      <c r="E228" s="16" t="n">
        <v>738</v>
      </c>
      <c r="F228" s="16">
        <f>D228*E228</f>
        <v/>
      </c>
    </row>
    <row r="229">
      <c r="A229" s="13" t="inlineStr">
        <is>
          <t>9999</t>
        </is>
      </c>
      <c r="B229" s="14" t="inlineStr">
        <is>
          <t>Sundries</t>
        </is>
      </c>
      <c r="C229" s="13" t="inlineStr">
        <is>
          <t>L.S.</t>
        </is>
      </c>
      <c r="D229" s="15" t="n">
        <v>4.42</v>
      </c>
      <c r="E229" s="16" t="n">
        <v>2</v>
      </c>
      <c r="F229" s="16">
        <f>D229*E229</f>
        <v/>
      </c>
    </row>
    <row r="230">
      <c r="A230" s="17" t="inlineStr">
        <is>
          <t>Resource Total (Material + Labour + Machinery, as printed)</t>
        </is>
      </c>
      <c r="B230" s="18" t="n"/>
      <c r="C230" s="18" t="n"/>
      <c r="D230" s="18" t="n"/>
      <c r="E230" s="18" t="n"/>
      <c r="F230" s="19">
        <f>SUM(F226:F229)</f>
        <v/>
      </c>
    </row>
    <row r="231">
      <c r="A231" s="20" t="inlineStr">
        <is>
          <t>SAY (Rs.) — final DAR rate</t>
        </is>
      </c>
      <c r="B231" s="21" t="n"/>
      <c r="C231" s="21" t="n"/>
      <c r="D231" s="21" t="n"/>
      <c r="E231" s="21" t="n"/>
      <c r="F231" s="22" t="n">
        <v>2288.95</v>
      </c>
    </row>
    <row r="233" ht="28" customHeight="1">
      <c r="A233" s="9" t="inlineStr">
        <is>
          <t>9.7.4.1</t>
        </is>
      </c>
      <c r="B233" s="10" t="inlineStr">
        <is>
          <t>Decorative plywood one side decorative veneer and commercial veneer on other face (Type 1) conforming to IS 1328 BWR Type</t>
        </is>
      </c>
      <c r="C233" s="11" t="n"/>
      <c r="D233" s="11" t="n"/>
      <c r="E233" s="11" t="n"/>
      <c r="F233" s="11" t="n"/>
    </row>
    <row r="234">
      <c r="A234" s="12" t="inlineStr">
        <is>
          <t>Rate basis: per sqm  (source: cost for 2.16 sqm)</t>
        </is>
      </c>
    </row>
    <row r="235">
      <c r="A235" s="5" t="inlineStr">
        <is>
          <t>Code</t>
        </is>
      </c>
      <c r="B235" s="5" t="inlineStr">
        <is>
          <t>Description</t>
        </is>
      </c>
      <c r="C235" s="5" t="inlineStr">
        <is>
          <t>Unit</t>
        </is>
      </c>
      <c r="D235" s="5" t="inlineStr">
        <is>
          <t>Quantity</t>
        </is>
      </c>
      <c r="E235" s="5" t="inlineStr">
        <is>
          <t>Rate (Rs.)</t>
        </is>
      </c>
      <c r="F235" s="5" t="inlineStr">
        <is>
          <t>Amount (Rs.)</t>
        </is>
      </c>
    </row>
    <row r="236">
      <c r="A236" s="13" t="inlineStr">
        <is>
          <t>2483</t>
        </is>
      </c>
      <c r="B236" s="14" t="inlineStr">
        <is>
          <t>Ply wood 7 ply with teak ply on one face and commercial ply on another face 9 mm thick</t>
        </is>
      </c>
      <c r="C236" s="13" t="inlineStr">
        <is>
          <t>sqm</t>
        </is>
      </c>
      <c r="D236" s="15" t="n">
        <v>0.8</v>
      </c>
      <c r="E236" s="16" t="n">
        <v>950</v>
      </c>
      <c r="F236" s="16">
        <f>D236*E236</f>
        <v/>
      </c>
    </row>
    <row r="237">
      <c r="A237" s="13" t="inlineStr">
        <is>
          <t>9977</t>
        </is>
      </c>
      <c r="B237" s="14" t="inlineStr">
        <is>
          <t>Carriage of Plywood</t>
        </is>
      </c>
      <c r="C237" s="13" t="inlineStr">
        <is>
          <t>L.S.</t>
        </is>
      </c>
      <c r="D237" s="15" t="n">
        <v>1.82</v>
      </c>
      <c r="E237" s="16" t="n">
        <v>2</v>
      </c>
      <c r="F237" s="16">
        <f>D237*E237</f>
        <v/>
      </c>
    </row>
    <row r="238">
      <c r="A238" s="13" t="inlineStr">
        <is>
          <t>0111</t>
        </is>
      </c>
      <c r="B238" s="14" t="inlineStr">
        <is>
          <t>Carpenter 1st class</t>
        </is>
      </c>
      <c r="C238" s="13" t="inlineStr">
        <is>
          <t>day</t>
        </is>
      </c>
      <c r="D238" s="15" t="n">
        <v>0.57</v>
      </c>
      <c r="E238" s="16" t="n">
        <v>738</v>
      </c>
      <c r="F238" s="16">
        <f>D238*E238</f>
        <v/>
      </c>
    </row>
    <row r="239">
      <c r="A239" s="13" t="inlineStr">
        <is>
          <t>9999</t>
        </is>
      </c>
      <c r="B239" s="14" t="inlineStr">
        <is>
          <t>Sundries</t>
        </is>
      </c>
      <c r="C239" s="13" t="inlineStr">
        <is>
          <t>L.S.</t>
        </is>
      </c>
      <c r="D239" s="15" t="n">
        <v>4.42</v>
      </c>
      <c r="E239" s="16" t="n">
        <v>2</v>
      </c>
      <c r="F239" s="16">
        <f>D239*E239</f>
        <v/>
      </c>
    </row>
    <row r="240">
      <c r="A240" s="17" t="inlineStr">
        <is>
          <t>Resource Total (Material + Labour + Machinery, as printed)</t>
        </is>
      </c>
      <c r="B240" s="18" t="n"/>
      <c r="C240" s="18" t="n"/>
      <c r="D240" s="18" t="n"/>
      <c r="E240" s="18" t="n"/>
      <c r="F240" s="19">
        <f>SUM(F236:F239)</f>
        <v/>
      </c>
    </row>
    <row r="241">
      <c r="A241" s="20" t="inlineStr">
        <is>
          <t>SAY (Rs.) — final DAR rate</t>
        </is>
      </c>
      <c r="B241" s="21" t="n"/>
      <c r="C241" s="21" t="n"/>
      <c r="D241" s="21" t="n"/>
      <c r="E241" s="21" t="n"/>
      <c r="F241" s="22" t="n">
        <v>2418.7</v>
      </c>
    </row>
    <row r="243" ht="28" customHeight="1">
      <c r="A243" s="9" t="inlineStr">
        <is>
          <t>9.7.5.1</t>
        </is>
      </c>
      <c r="B243" s="10" t="inlineStr">
        <is>
          <t>Plain particle board flat pressed, 3 layer or graded wood particle board medium density Grade I, IS : 3087 marked</t>
        </is>
      </c>
      <c r="C243" s="11" t="n"/>
      <c r="D243" s="11" t="n"/>
      <c r="E243" s="11" t="n"/>
      <c r="F243" s="11" t="n"/>
    </row>
    <row r="244">
      <c r="A244" s="12" t="inlineStr">
        <is>
          <t>Rate basis: per sqm  (source: cost for 2.16 sqm)</t>
        </is>
      </c>
    </row>
    <row r="245">
      <c r="A245" s="5" t="inlineStr">
        <is>
          <t>Code</t>
        </is>
      </c>
      <c r="B245" s="5" t="inlineStr">
        <is>
          <t>Description</t>
        </is>
      </c>
      <c r="C245" s="5" t="inlineStr">
        <is>
          <t>Unit</t>
        </is>
      </c>
      <c r="D245" s="5" t="inlineStr">
        <is>
          <t>Quantity</t>
        </is>
      </c>
      <c r="E245" s="5" t="inlineStr">
        <is>
          <t>Rate (Rs.)</t>
        </is>
      </c>
      <c r="F245" s="5" t="inlineStr">
        <is>
          <t>Amount (Rs.)</t>
        </is>
      </c>
    </row>
    <row r="246">
      <c r="A246" s="13" t="inlineStr">
        <is>
          <t>0341</t>
        </is>
      </c>
      <c r="B246" s="14" t="inlineStr">
        <is>
          <t>Flat pressed 3 layer particle board (medium density) Grade I :12 mm thick</t>
        </is>
      </c>
      <c r="C246" s="13" t="inlineStr">
        <is>
          <t>sqm</t>
        </is>
      </c>
      <c r="D246" s="15" t="n">
        <v>0.8</v>
      </c>
      <c r="E246" s="16" t="n">
        <v>288</v>
      </c>
      <c r="F246" s="16">
        <f>D246*E246</f>
        <v/>
      </c>
    </row>
    <row r="247">
      <c r="A247" s="13" t="inlineStr">
        <is>
          <t>9977</t>
        </is>
      </c>
      <c r="B247" s="14" t="inlineStr">
        <is>
          <t>Carriage of Plywood</t>
        </is>
      </c>
      <c r="C247" s="13" t="inlineStr">
        <is>
          <t>L.S.</t>
        </is>
      </c>
      <c r="D247" s="15" t="n">
        <v>1.82</v>
      </c>
      <c r="E247" s="16" t="n">
        <v>2</v>
      </c>
      <c r="F247" s="16">
        <f>D247*E247</f>
        <v/>
      </c>
    </row>
    <row r="248">
      <c r="A248" s="13" t="inlineStr">
        <is>
          <t>0111</t>
        </is>
      </c>
      <c r="B248" s="14" t="inlineStr">
        <is>
          <t>Carpenter 1st class</t>
        </is>
      </c>
      <c r="C248" s="13" t="inlineStr">
        <is>
          <t>day</t>
        </is>
      </c>
      <c r="D248" s="15" t="n">
        <v>0.57</v>
      </c>
      <c r="E248" s="16" t="n">
        <v>738</v>
      </c>
      <c r="F248" s="16">
        <f>D248*E248</f>
        <v/>
      </c>
    </row>
    <row r="249">
      <c r="A249" s="13" t="inlineStr">
        <is>
          <t>9999</t>
        </is>
      </c>
      <c r="B249" s="14" t="inlineStr">
        <is>
          <t>Sundries</t>
        </is>
      </c>
      <c r="C249" s="13" t="inlineStr">
        <is>
          <t>L.S.</t>
        </is>
      </c>
      <c r="D249" s="15" t="n">
        <v>4.42</v>
      </c>
      <c r="E249" s="16" t="n">
        <v>2</v>
      </c>
      <c r="F249" s="16">
        <f>D249*E249</f>
        <v/>
      </c>
    </row>
    <row r="250">
      <c r="A250" s="17" t="inlineStr">
        <is>
          <t>Resource Total (Material + Labour + Machinery, as printed)</t>
        </is>
      </c>
      <c r="B250" s="18" t="n"/>
      <c r="C250" s="18" t="n"/>
      <c r="D250" s="18" t="n"/>
      <c r="E250" s="18" t="n"/>
      <c r="F250" s="19">
        <f>SUM(F246:F249)</f>
        <v/>
      </c>
    </row>
    <row r="251">
      <c r="A251" s="20" t="inlineStr">
        <is>
          <t>SAY (Rs.) — final DAR rate</t>
        </is>
      </c>
      <c r="B251" s="21" t="n"/>
      <c r="C251" s="21" t="n"/>
      <c r="D251" s="21" t="n"/>
      <c r="E251" s="21" t="n"/>
      <c r="F251" s="22" t="n">
        <v>1345.1</v>
      </c>
    </row>
    <row r="253" ht="28" customHeight="1">
      <c r="A253" s="9" t="inlineStr">
        <is>
          <t>9.7.5.2</t>
        </is>
      </c>
      <c r="B253" s="10" t="inlineStr">
        <is>
          <t>Veneered flat pressed three layer or graded wood particle board with commercial veneering on both sides conforming to IS:3097, grade I</t>
        </is>
      </c>
      <c r="C253" s="11" t="n"/>
      <c r="D253" s="11" t="n"/>
      <c r="E253" s="11" t="n"/>
      <c r="F253" s="11" t="n"/>
    </row>
    <row r="254">
      <c r="A254" s="12" t="inlineStr">
        <is>
          <t>Rate basis: per sqm  (source: cost for 2.16 sqm)</t>
        </is>
      </c>
    </row>
    <row r="255">
      <c r="A255" s="5" t="inlineStr">
        <is>
          <t>Code</t>
        </is>
      </c>
      <c r="B255" s="5" t="inlineStr">
        <is>
          <t>Description</t>
        </is>
      </c>
      <c r="C255" s="5" t="inlineStr">
        <is>
          <t>Unit</t>
        </is>
      </c>
      <c r="D255" s="5" t="inlineStr">
        <is>
          <t>Quantity</t>
        </is>
      </c>
      <c r="E255" s="5" t="inlineStr">
        <is>
          <t>Rate (Rs.)</t>
        </is>
      </c>
      <c r="F255" s="5" t="inlineStr">
        <is>
          <t>Amount (Rs.)</t>
        </is>
      </c>
    </row>
    <row r="256">
      <c r="A256" s="13" t="inlineStr">
        <is>
          <t>7468</t>
        </is>
      </c>
      <c r="B256" s="14" t="inlineStr">
        <is>
          <t>Veneered particle board with commercial veneering on both sides 12 mm thick</t>
        </is>
      </c>
      <c r="C256" s="13" t="inlineStr">
        <is>
          <t>sqm</t>
        </is>
      </c>
      <c r="D256" s="15" t="n">
        <v>0.8</v>
      </c>
      <c r="E256" s="16" t="n">
        <v>500</v>
      </c>
      <c r="F256" s="16">
        <f>D256*E256</f>
        <v/>
      </c>
    </row>
    <row r="257">
      <c r="A257" s="13" t="inlineStr">
        <is>
          <t>9977</t>
        </is>
      </c>
      <c r="B257" s="14" t="inlineStr">
        <is>
          <t>Carriage of Plywood</t>
        </is>
      </c>
      <c r="C257" s="13" t="inlineStr">
        <is>
          <t>L.S.</t>
        </is>
      </c>
      <c r="D257" s="15" t="n">
        <v>1.82</v>
      </c>
      <c r="E257" s="16" t="n">
        <v>2</v>
      </c>
      <c r="F257" s="16">
        <f>D257*E257</f>
        <v/>
      </c>
    </row>
    <row r="258">
      <c r="A258" s="13" t="inlineStr">
        <is>
          <t>0111</t>
        </is>
      </c>
      <c r="B258" s="14" t="inlineStr">
        <is>
          <t>Carpenter 1st class</t>
        </is>
      </c>
      <c r="C258" s="13" t="inlineStr">
        <is>
          <t>day</t>
        </is>
      </c>
      <c r="D258" s="15" t="n">
        <v>0.57</v>
      </c>
      <c r="E258" s="16" t="n">
        <v>738</v>
      </c>
      <c r="F258" s="16">
        <f>D258*E258</f>
        <v/>
      </c>
    </row>
    <row r="259">
      <c r="A259" s="13" t="inlineStr">
        <is>
          <t>9999</t>
        </is>
      </c>
      <c r="B259" s="14" t="inlineStr">
        <is>
          <t>Sundries</t>
        </is>
      </c>
      <c r="C259" s="13" t="inlineStr">
        <is>
          <t>L.S.</t>
        </is>
      </c>
      <c r="D259" s="15" t="n">
        <v>4.42</v>
      </c>
      <c r="E259" s="16" t="n">
        <v>2</v>
      </c>
      <c r="F259" s="16">
        <f>D259*E259</f>
        <v/>
      </c>
    </row>
    <row r="260">
      <c r="A260" s="17" t="inlineStr">
        <is>
          <t>Resource Total (Material + Labour + Machinery, as printed)</t>
        </is>
      </c>
      <c r="B260" s="18" t="n"/>
      <c r="C260" s="18" t="n"/>
      <c r="D260" s="18" t="n"/>
      <c r="E260" s="18" t="n"/>
      <c r="F260" s="19">
        <f>SUM(F256:F259)</f>
        <v/>
      </c>
    </row>
    <row r="261">
      <c r="A261" s="20" t="inlineStr">
        <is>
          <t>SAY (Rs.) — final DAR rate</t>
        </is>
      </c>
      <c r="B261" s="21" t="n"/>
      <c r="C261" s="21" t="n"/>
      <c r="D261" s="21" t="n"/>
      <c r="E261" s="21" t="n"/>
      <c r="F261" s="22" t="n">
        <v>1688.9</v>
      </c>
    </row>
    <row r="263" ht="28" customHeight="1">
      <c r="A263" s="9" t="inlineStr">
        <is>
          <t>9.7.5.3</t>
        </is>
      </c>
      <c r="B263" s="10" t="inlineStr">
        <is>
          <t>Pre-laminated particle board with decorative lamination on one side and balancing lamination on other side, Grade I, Type II IS: 12823 marke</t>
        </is>
      </c>
      <c r="C263" s="11" t="n"/>
      <c r="D263" s="11" t="n"/>
      <c r="E263" s="11" t="n"/>
      <c r="F263" s="11" t="n"/>
    </row>
    <row r="264">
      <c r="A264" s="12" t="inlineStr">
        <is>
          <t>Rate basis: per sqm  (source: cost for 2.16 sqm)</t>
        </is>
      </c>
    </row>
    <row r="265">
      <c r="A265" s="5" t="inlineStr">
        <is>
          <t>Code</t>
        </is>
      </c>
      <c r="B265" s="5" t="inlineStr">
        <is>
          <t>Description</t>
        </is>
      </c>
      <c r="C265" s="5" t="inlineStr">
        <is>
          <t>Unit</t>
        </is>
      </c>
      <c r="D265" s="5" t="inlineStr">
        <is>
          <t>Quantity</t>
        </is>
      </c>
      <c r="E265" s="5" t="inlineStr">
        <is>
          <t>Rate (Rs.)</t>
        </is>
      </c>
      <c r="F265" s="5" t="inlineStr">
        <is>
          <t>Amount (Rs.)</t>
        </is>
      </c>
    </row>
    <row r="266">
      <c r="A266" s="13" t="inlineStr">
        <is>
          <t>7477</t>
        </is>
      </c>
      <c r="B266" s="14" t="inlineStr">
        <is>
          <t>Prelaminated particle board with one side decorative and other side balancing lamination, flat pressed 3 layer &amp; graded (medium density) Grade I, Type II conforming to IS : 12823 (exterior grade) 12 mm thick</t>
        </is>
      </c>
      <c r="C266" s="13" t="inlineStr">
        <is>
          <t>sqm</t>
        </is>
      </c>
      <c r="D266" s="15" t="n">
        <v>0.8</v>
      </c>
      <c r="E266" s="16" t="n">
        <v>540</v>
      </c>
      <c r="F266" s="16">
        <f>D266*E266</f>
        <v/>
      </c>
    </row>
    <row r="267">
      <c r="A267" s="13" t="inlineStr">
        <is>
          <t>9977</t>
        </is>
      </c>
      <c r="B267" s="14" t="inlineStr">
        <is>
          <t>Carriage of Plywood</t>
        </is>
      </c>
      <c r="C267" s="13" t="inlineStr">
        <is>
          <t>L.S.</t>
        </is>
      </c>
      <c r="D267" s="15" t="n">
        <v>1.82</v>
      </c>
      <c r="E267" s="16" t="n">
        <v>2</v>
      </c>
      <c r="F267" s="16">
        <f>D267*E267</f>
        <v/>
      </c>
    </row>
    <row r="268">
      <c r="A268" s="13" t="inlineStr">
        <is>
          <t>0111</t>
        </is>
      </c>
      <c r="B268" s="14" t="inlineStr">
        <is>
          <t>Carpenter 1st class</t>
        </is>
      </c>
      <c r="C268" s="13" t="inlineStr">
        <is>
          <t>day</t>
        </is>
      </c>
      <c r="D268" s="15" t="n">
        <v>0.57</v>
      </c>
      <c r="E268" s="16" t="n">
        <v>738</v>
      </c>
      <c r="F268" s="16">
        <f>D268*E268</f>
        <v/>
      </c>
    </row>
    <row r="269">
      <c r="A269" s="13" t="inlineStr">
        <is>
          <t>9999</t>
        </is>
      </c>
      <c r="B269" s="14" t="inlineStr">
        <is>
          <t>Sundries</t>
        </is>
      </c>
      <c r="C269" s="13" t="inlineStr">
        <is>
          <t>L.S.</t>
        </is>
      </c>
      <c r="D269" s="15" t="n">
        <v>4.42</v>
      </c>
      <c r="E269" s="16" t="n">
        <v>2</v>
      </c>
      <c r="F269" s="16">
        <f>D269*E269</f>
        <v/>
      </c>
    </row>
    <row r="270">
      <c r="A270" s="17" t="inlineStr">
        <is>
          <t>Resource Total (Material + Labour + Machinery, as printed)</t>
        </is>
      </c>
      <c r="B270" s="18" t="n"/>
      <c r="C270" s="18" t="n"/>
      <c r="D270" s="18" t="n"/>
      <c r="E270" s="18" t="n"/>
      <c r="F270" s="19">
        <f>SUM(F266:F269)</f>
        <v/>
      </c>
    </row>
    <row r="271">
      <c r="A271" s="20" t="inlineStr">
        <is>
          <t>SAY (Rs.) — final DAR rate</t>
        </is>
      </c>
      <c r="B271" s="21" t="n"/>
      <c r="C271" s="21" t="n"/>
      <c r="D271" s="21" t="n"/>
      <c r="E271" s="21" t="n"/>
      <c r="F271" s="22" t="n">
        <v>1753.8</v>
      </c>
    </row>
    <row r="273" ht="28" customHeight="1">
      <c r="A273" s="9" t="inlineStr">
        <is>
          <t>9.7.5.4</t>
        </is>
      </c>
      <c r="B273" s="10" t="inlineStr">
        <is>
          <t>Pre-laminated particle board with decorative lamination on both sides, Grade I, Type II, IS:12823 marked</t>
        </is>
      </c>
      <c r="C273" s="11" t="n"/>
      <c r="D273" s="11" t="n"/>
      <c r="E273" s="11" t="n"/>
      <c r="F273" s="11" t="n"/>
    </row>
    <row r="274">
      <c r="A274" s="12" t="inlineStr">
        <is>
          <t>Rate basis: per sqm  (source: cost for 2.16 sqm)</t>
        </is>
      </c>
    </row>
    <row r="275">
      <c r="A275" s="5" t="inlineStr">
        <is>
          <t>Code</t>
        </is>
      </c>
      <c r="B275" s="5" t="inlineStr">
        <is>
          <t>Description</t>
        </is>
      </c>
      <c r="C275" s="5" t="inlineStr">
        <is>
          <t>Unit</t>
        </is>
      </c>
      <c r="D275" s="5" t="inlineStr">
        <is>
          <t>Quantity</t>
        </is>
      </c>
      <c r="E275" s="5" t="inlineStr">
        <is>
          <t>Rate (Rs.)</t>
        </is>
      </c>
      <c r="F275" s="5" t="inlineStr">
        <is>
          <t>Amount (Rs.)</t>
        </is>
      </c>
    </row>
    <row r="276">
      <c r="A276" s="13" t="inlineStr">
        <is>
          <t>7480</t>
        </is>
      </c>
      <c r="B276" s="14" t="inlineStr">
        <is>
          <t>Prelaminated particle board with both sides decorative lamination, flat pressed 3 layer &amp; graded (medium density) Grade I, Type II conforming to IS : 12823 (exterior grade) 12 mm thick</t>
        </is>
      </c>
      <c r="C276" s="13" t="inlineStr">
        <is>
          <t>sqm</t>
        </is>
      </c>
      <c r="D276" s="15" t="n">
        <v>0.8</v>
      </c>
      <c r="E276" s="16" t="n">
        <v>575</v>
      </c>
      <c r="F276" s="16">
        <f>D276*E276</f>
        <v/>
      </c>
    </row>
    <row r="277">
      <c r="A277" s="13" t="inlineStr">
        <is>
          <t>9977</t>
        </is>
      </c>
      <c r="B277" s="14" t="inlineStr">
        <is>
          <t>Carriage of Plywood</t>
        </is>
      </c>
      <c r="C277" s="13" t="inlineStr">
        <is>
          <t>L.S.</t>
        </is>
      </c>
      <c r="D277" s="15" t="n">
        <v>1.82</v>
      </c>
      <c r="E277" s="16" t="n">
        <v>2</v>
      </c>
      <c r="F277" s="16">
        <f>D277*E277</f>
        <v/>
      </c>
    </row>
    <row r="278">
      <c r="A278" s="13" t="inlineStr">
        <is>
          <t>0111</t>
        </is>
      </c>
      <c r="B278" s="14" t="inlineStr">
        <is>
          <t>Carpenter 1st class</t>
        </is>
      </c>
      <c r="C278" s="13" t="inlineStr">
        <is>
          <t>day</t>
        </is>
      </c>
      <c r="D278" s="15" t="n">
        <v>0.57</v>
      </c>
      <c r="E278" s="16" t="n">
        <v>738</v>
      </c>
      <c r="F278" s="16">
        <f>D278*E278</f>
        <v/>
      </c>
    </row>
    <row r="279">
      <c r="A279" s="13" t="inlineStr">
        <is>
          <t>9999</t>
        </is>
      </c>
      <c r="B279" s="14" t="inlineStr">
        <is>
          <t>Sundries</t>
        </is>
      </c>
      <c r="C279" s="13" t="inlineStr">
        <is>
          <t>L.S.</t>
        </is>
      </c>
      <c r="D279" s="15" t="n">
        <v>4.42</v>
      </c>
      <c r="E279" s="16" t="n">
        <v>2</v>
      </c>
      <c r="F279" s="16">
        <f>D279*E279</f>
        <v/>
      </c>
    </row>
    <row r="280">
      <c r="A280" s="17" t="inlineStr">
        <is>
          <t>Resource Total (Material + Labour + Machinery, as printed)</t>
        </is>
      </c>
      <c r="B280" s="18" t="n"/>
      <c r="C280" s="18" t="n"/>
      <c r="D280" s="18" t="n"/>
      <c r="E280" s="18" t="n"/>
      <c r="F280" s="19">
        <f>SUM(F276:F279)</f>
        <v/>
      </c>
    </row>
    <row r="281">
      <c r="A281" s="20" t="inlineStr">
        <is>
          <t>SAY (Rs.) — final DAR rate</t>
        </is>
      </c>
      <c r="B281" s="21" t="n"/>
      <c r="C281" s="21" t="n"/>
      <c r="D281" s="21" t="n"/>
      <c r="E281" s="21" t="n"/>
      <c r="F281" s="22" t="n">
        <v>1810.55</v>
      </c>
    </row>
    <row r="283" ht="18" customHeight="1">
      <c r="A283" s="9" t="inlineStr">
        <is>
          <t>9.7.6.1</t>
        </is>
      </c>
      <c r="B283" s="10" t="inlineStr">
        <is>
          <t>12 mm thick</t>
        </is>
      </c>
      <c r="C283" s="11" t="n"/>
      <c r="D283" s="11" t="n"/>
      <c r="E283" s="11" t="n"/>
      <c r="F283" s="11" t="n"/>
    </row>
    <row r="284">
      <c r="A284" s="12" t="inlineStr">
        <is>
          <t>Rate basis: per sqm  (source: cost for 2.16 sqm)</t>
        </is>
      </c>
    </row>
    <row r="285">
      <c r="A285" s="5" t="inlineStr">
        <is>
          <t>Code</t>
        </is>
      </c>
      <c r="B285" s="5" t="inlineStr">
        <is>
          <t>Description</t>
        </is>
      </c>
      <c r="C285" s="5" t="inlineStr">
        <is>
          <t>Unit</t>
        </is>
      </c>
      <c r="D285" s="5" t="inlineStr">
        <is>
          <t>Quantity</t>
        </is>
      </c>
      <c r="E285" s="5" t="inlineStr">
        <is>
          <t>Rate (Rs.)</t>
        </is>
      </c>
      <c r="F285" s="5" t="inlineStr">
        <is>
          <t>Amount (Rs.)</t>
        </is>
      </c>
    </row>
    <row r="286">
      <c r="A286" s="13" t="inlineStr">
        <is>
          <t>7555</t>
        </is>
      </c>
      <c r="B286" s="14" t="inlineStr">
        <is>
          <t>Coir veneered board 12mm thick</t>
        </is>
      </c>
      <c r="C286" s="13" t="inlineStr">
        <is>
          <t>sqm</t>
        </is>
      </c>
      <c r="D286" s="15" t="n">
        <v>0.8</v>
      </c>
      <c r="E286" s="16" t="n">
        <v>670</v>
      </c>
      <c r="F286" s="16">
        <f>D286*E286</f>
        <v/>
      </c>
    </row>
    <row r="287">
      <c r="A287" s="13" t="inlineStr">
        <is>
          <t>9977</t>
        </is>
      </c>
      <c r="B287" s="14" t="inlineStr">
        <is>
          <t>CARRIAGE</t>
        </is>
      </c>
      <c r="C287" s="13" t="inlineStr">
        <is>
          <t>L.S.</t>
        </is>
      </c>
      <c r="D287" s="15" t="n">
        <v>1.82</v>
      </c>
      <c r="E287" s="16" t="n">
        <v>2</v>
      </c>
      <c r="F287" s="16">
        <f>D287*E287</f>
        <v/>
      </c>
    </row>
    <row r="288">
      <c r="A288" s="13" t="inlineStr">
        <is>
          <t>0111</t>
        </is>
      </c>
      <c r="B288" s="14" t="inlineStr">
        <is>
          <t>Carpenter 1st class</t>
        </is>
      </c>
      <c r="C288" s="13" t="inlineStr">
        <is>
          <t>day</t>
        </is>
      </c>
      <c r="D288" s="15" t="n">
        <v>0.57</v>
      </c>
      <c r="E288" s="16" t="n">
        <v>738</v>
      </c>
      <c r="F288" s="16">
        <f>D288*E288</f>
        <v/>
      </c>
    </row>
    <row r="289">
      <c r="A289" s="13" t="inlineStr">
        <is>
          <t>9999</t>
        </is>
      </c>
      <c r="B289" s="14" t="inlineStr">
        <is>
          <t>Sundries</t>
        </is>
      </c>
      <c r="C289" s="13" t="inlineStr">
        <is>
          <t>L.S.</t>
        </is>
      </c>
      <c r="D289" s="15" t="n">
        <v>4.42</v>
      </c>
      <c r="E289" s="16" t="n">
        <v>2</v>
      </c>
      <c r="F289" s="16">
        <f>D289*E289</f>
        <v/>
      </c>
    </row>
    <row r="290">
      <c r="A290" s="17" t="inlineStr">
        <is>
          <t>Resource Total (Material + Labour + Machinery, as printed)</t>
        </is>
      </c>
      <c r="B290" s="18" t="n"/>
      <c r="C290" s="18" t="n"/>
      <c r="D290" s="18" t="n"/>
      <c r="E290" s="18" t="n"/>
      <c r="F290" s="19">
        <f>SUM(F286:F289)</f>
        <v/>
      </c>
    </row>
    <row r="291">
      <c r="A291" s="20" t="inlineStr">
        <is>
          <t>SAY (Rs.) — final DAR rate</t>
        </is>
      </c>
      <c r="B291" s="21" t="n"/>
      <c r="C291" s="21" t="n"/>
      <c r="D291" s="21" t="n"/>
      <c r="E291" s="21" t="n"/>
      <c r="F291" s="22" t="n">
        <v>1964.6</v>
      </c>
    </row>
    <row r="293" ht="18" customHeight="1">
      <c r="A293" s="9" t="inlineStr">
        <is>
          <t>9.7.7.1</t>
        </is>
      </c>
      <c r="B293" s="10" t="inlineStr">
        <is>
          <t>4 mm thick glass pane (weight not less than 10kg/sqm).</t>
        </is>
      </c>
      <c r="C293" s="11" t="n"/>
      <c r="D293" s="11" t="n"/>
      <c r="E293" s="11" t="n"/>
      <c r="F293" s="11" t="n"/>
    </row>
    <row r="294">
      <c r="A294" s="12" t="inlineStr">
        <is>
          <t>Rate basis: per sqm  (source: cost for 2.16 sqm)</t>
        </is>
      </c>
    </row>
    <row r="295">
      <c r="A295" s="5" t="inlineStr">
        <is>
          <t>Code</t>
        </is>
      </c>
      <c r="B295" s="5" t="inlineStr">
        <is>
          <t>Description</t>
        </is>
      </c>
      <c r="C295" s="5" t="inlineStr">
        <is>
          <t>Unit</t>
        </is>
      </c>
      <c r="D295" s="5" t="inlineStr">
        <is>
          <t>Quantity</t>
        </is>
      </c>
      <c r="E295" s="5" t="inlineStr">
        <is>
          <t>Rate (Rs.)</t>
        </is>
      </c>
      <c r="F295" s="5" t="inlineStr">
        <is>
          <t>Amount (Rs.)</t>
        </is>
      </c>
    </row>
    <row r="296">
      <c r="A296" s="13" t="inlineStr">
        <is>
          <t>2406</t>
        </is>
      </c>
      <c r="B296" s="14" t="inlineStr">
        <is>
          <t>Float glass sheet of nominal thickness 4 mm (weight not less than 10kg/sqm).</t>
        </is>
      </c>
      <c r="C296" s="13" t="inlineStr">
        <is>
          <t>sqm</t>
        </is>
      </c>
      <c r="D296" s="15" t="n">
        <v>0.8</v>
      </c>
      <c r="E296" s="16" t="n">
        <v>300</v>
      </c>
      <c r="F296" s="16">
        <f>D296*E296</f>
        <v/>
      </c>
    </row>
    <row r="297">
      <c r="A297" s="13" t="inlineStr">
        <is>
          <t>9977</t>
        </is>
      </c>
      <c r="B297" s="14" t="inlineStr">
        <is>
          <t>CARRIAGE</t>
        </is>
      </c>
      <c r="C297" s="13" t="inlineStr">
        <is>
          <t>L.S.</t>
        </is>
      </c>
      <c r="D297" s="15" t="n">
        <v>1.82</v>
      </c>
      <c r="E297" s="16" t="n">
        <v>2</v>
      </c>
      <c r="F297" s="16">
        <f>D297*E297</f>
        <v/>
      </c>
    </row>
    <row r="298">
      <c r="A298" s="13" t="inlineStr">
        <is>
          <t>0156</t>
        </is>
      </c>
      <c r="B298" s="14" t="inlineStr">
        <is>
          <t>Carpenter (average)</t>
        </is>
      </c>
      <c r="C298" s="13" t="inlineStr">
        <is>
          <t>day</t>
        </is>
      </c>
      <c r="D298" s="15" t="n">
        <v>0.57</v>
      </c>
      <c r="E298" s="16" t="n">
        <v>709</v>
      </c>
      <c r="F298" s="16">
        <f>D298*E298</f>
        <v/>
      </c>
    </row>
    <row r="299">
      <c r="A299" s="13" t="inlineStr">
        <is>
          <t>0119</t>
        </is>
      </c>
      <c r="B299" s="14" t="inlineStr">
        <is>
          <t>Glazier</t>
        </is>
      </c>
      <c r="C299" s="13" t="inlineStr">
        <is>
          <t>day</t>
        </is>
      </c>
      <c r="D299" s="15" t="n">
        <v>0.15</v>
      </c>
      <c r="E299" s="16" t="n">
        <v>679</v>
      </c>
      <c r="F299" s="16">
        <f>D299*E299</f>
        <v/>
      </c>
    </row>
    <row r="300">
      <c r="A300" s="13" t="inlineStr">
        <is>
          <t>0114</t>
        </is>
      </c>
      <c r="B300" s="14" t="inlineStr">
        <is>
          <t>Beldar</t>
        </is>
      </c>
      <c r="C300" s="13" t="inlineStr">
        <is>
          <t>day</t>
        </is>
      </c>
      <c r="D300" s="15" t="n">
        <v>0.15</v>
      </c>
      <c r="E300" s="16" t="n">
        <v>558</v>
      </c>
      <c r="F300" s="16">
        <f>D300*E300</f>
        <v/>
      </c>
    </row>
    <row r="301">
      <c r="A301" s="13" t="inlineStr">
        <is>
          <t>9999</t>
        </is>
      </c>
      <c r="B301" s="14" t="inlineStr">
        <is>
          <t>Sundries</t>
        </is>
      </c>
      <c r="C301" s="13" t="inlineStr">
        <is>
          <t>L.S.</t>
        </is>
      </c>
      <c r="D301" s="15" t="n">
        <v>25.47</v>
      </c>
      <c r="E301" s="16" t="n">
        <v>2</v>
      </c>
      <c r="F301" s="16">
        <f>D301*E301</f>
        <v/>
      </c>
    </row>
    <row r="302">
      <c r="A302" s="17" t="inlineStr">
        <is>
          <t>Resource Total (Material + Labour + Machinery, as printed)</t>
        </is>
      </c>
      <c r="B302" s="18" t="n"/>
      <c r="C302" s="18" t="n"/>
      <c r="D302" s="18" t="n"/>
      <c r="E302" s="18" t="n"/>
      <c r="F302" s="19">
        <f>SUM(F296:F301)</f>
        <v/>
      </c>
    </row>
    <row r="303">
      <c r="A303" s="20" t="inlineStr">
        <is>
          <t>SAY (Rs.) — final DAR rate</t>
        </is>
      </c>
      <c r="B303" s="21" t="n"/>
      <c r="C303" s="21" t="n"/>
      <c r="D303" s="21" t="n"/>
      <c r="E303" s="21" t="n"/>
      <c r="F303" s="22" t="n">
        <v>1792.55</v>
      </c>
    </row>
    <row r="305" ht="18" customHeight="1">
      <c r="A305" s="9" t="inlineStr">
        <is>
          <t>9.7.7.2</t>
        </is>
      </c>
      <c r="B305" s="10" t="inlineStr">
        <is>
          <t>5.0 mm thick glass panes (weight not less than 12.50 kg/sqm).</t>
        </is>
      </c>
      <c r="C305" s="11" t="n"/>
      <c r="D305" s="11" t="n"/>
      <c r="E305" s="11" t="n"/>
      <c r="F305" s="11" t="n"/>
    </row>
    <row r="306">
      <c r="A306" s="12" t="inlineStr">
        <is>
          <t>Rate basis: per sqm  (source: cost for 2.16 sqm)</t>
        </is>
      </c>
    </row>
    <row r="307">
      <c r="A307" s="5" t="inlineStr">
        <is>
          <t>Code</t>
        </is>
      </c>
      <c r="B307" s="5" t="inlineStr">
        <is>
          <t>Description</t>
        </is>
      </c>
      <c r="C307" s="5" t="inlineStr">
        <is>
          <t>Unit</t>
        </is>
      </c>
      <c r="D307" s="5" t="inlineStr">
        <is>
          <t>Quantity</t>
        </is>
      </c>
      <c r="E307" s="5" t="inlineStr">
        <is>
          <t>Rate (Rs.)</t>
        </is>
      </c>
      <c r="F307" s="5" t="inlineStr">
        <is>
          <t>Amount (Rs.)</t>
        </is>
      </c>
    </row>
    <row r="308">
      <c r="A308" s="13" t="inlineStr">
        <is>
          <t>2407</t>
        </is>
      </c>
      <c r="B308" s="14" t="inlineStr">
        <is>
          <t>Float glass sheet of nominal thickness 5.0 mm.(weight not less than 12.50 kg/ sqm).</t>
        </is>
      </c>
      <c r="C308" s="13" t="inlineStr">
        <is>
          <t>sqm</t>
        </is>
      </c>
      <c r="D308" s="15" t="n">
        <v>0.8</v>
      </c>
      <c r="E308" s="16" t="n">
        <v>500</v>
      </c>
      <c r="F308" s="16">
        <f>D308*E308</f>
        <v/>
      </c>
    </row>
    <row r="309">
      <c r="A309" s="13" t="inlineStr">
        <is>
          <t>9977</t>
        </is>
      </c>
      <c r="B309" s="14" t="inlineStr">
        <is>
          <t>CARRIAGE</t>
        </is>
      </c>
      <c r="C309" s="13" t="inlineStr">
        <is>
          <t>L.S.</t>
        </is>
      </c>
      <c r="D309" s="15" t="n">
        <v>1.82</v>
      </c>
      <c r="E309" s="16" t="n">
        <v>2</v>
      </c>
      <c r="F309" s="16">
        <f>D309*E309</f>
        <v/>
      </c>
    </row>
    <row r="310">
      <c r="A310" s="13" t="inlineStr">
        <is>
          <t>0156</t>
        </is>
      </c>
      <c r="B310" s="14" t="inlineStr">
        <is>
          <t>Carpenter (average)</t>
        </is>
      </c>
      <c r="C310" s="13" t="inlineStr">
        <is>
          <t>day</t>
        </is>
      </c>
      <c r="D310" s="15" t="n">
        <v>0.57</v>
      </c>
      <c r="E310" s="16" t="n">
        <v>709</v>
      </c>
      <c r="F310" s="16">
        <f>D310*E310</f>
        <v/>
      </c>
    </row>
    <row r="311">
      <c r="A311" s="13" t="inlineStr">
        <is>
          <t>0119</t>
        </is>
      </c>
      <c r="B311" s="14" t="inlineStr">
        <is>
          <t>Glazier</t>
        </is>
      </c>
      <c r="C311" s="13" t="inlineStr">
        <is>
          <t>day</t>
        </is>
      </c>
      <c r="D311" s="15" t="n">
        <v>0.15</v>
      </c>
      <c r="E311" s="16" t="n">
        <v>679</v>
      </c>
      <c r="F311" s="16">
        <f>D311*E311</f>
        <v/>
      </c>
    </row>
    <row r="312">
      <c r="A312" s="13" t="inlineStr">
        <is>
          <t>0114</t>
        </is>
      </c>
      <c r="B312" s="14" t="inlineStr">
        <is>
          <t>Beldar</t>
        </is>
      </c>
      <c r="C312" s="13" t="inlineStr">
        <is>
          <t>day</t>
        </is>
      </c>
      <c r="D312" s="15" t="n">
        <v>0.15</v>
      </c>
      <c r="E312" s="16" t="n">
        <v>558</v>
      </c>
      <c r="F312" s="16">
        <f>D312*E312</f>
        <v/>
      </c>
    </row>
    <row r="313">
      <c r="A313" s="13" t="inlineStr">
        <is>
          <t>9999</t>
        </is>
      </c>
      <c r="B313" s="14" t="inlineStr">
        <is>
          <t>Sundries</t>
        </is>
      </c>
      <c r="C313" s="13" t="inlineStr">
        <is>
          <t>L.S.</t>
        </is>
      </c>
      <c r="D313" s="15" t="n">
        <v>25.47</v>
      </c>
      <c r="E313" s="16" t="n">
        <v>2</v>
      </c>
      <c r="F313" s="16">
        <f>D313*E313</f>
        <v/>
      </c>
    </row>
    <row r="314">
      <c r="A314" s="17" t="inlineStr">
        <is>
          <t>Resource Total (Material + Labour + Machinery, as printed)</t>
        </is>
      </c>
      <c r="B314" s="18" t="n"/>
      <c r="C314" s="18" t="n"/>
      <c r="D314" s="18" t="n"/>
      <c r="E314" s="18" t="n"/>
      <c r="F314" s="19">
        <f>SUM(F308:F313)</f>
        <v/>
      </c>
    </row>
    <row r="315">
      <c r="A315" s="20" t="inlineStr">
        <is>
          <t>SAY (Rs.) — final DAR rate</t>
        </is>
      </c>
      <c r="B315" s="21" t="n"/>
      <c r="C315" s="21" t="n"/>
      <c r="D315" s="21" t="n"/>
      <c r="E315" s="21" t="n"/>
      <c r="F315" s="22" t="n">
        <v>2116.9</v>
      </c>
    </row>
    <row r="317" ht="28" customHeight="1">
      <c r="A317" s="9" t="inlineStr">
        <is>
          <t>9.7.8</t>
        </is>
      </c>
      <c r="B317" s="10" t="inlineStr">
        <is>
          <t>Fly proof stainless steel grade 304 wire gauge with 0.5 mm dia. wire and 1.4mm wide aperture with matching wood beading</t>
        </is>
      </c>
      <c r="C317" s="11" t="n"/>
      <c r="D317" s="11" t="n"/>
      <c r="E317" s="11" t="n"/>
      <c r="F317" s="11" t="n"/>
    </row>
    <row r="318">
      <c r="A318" s="12" t="inlineStr">
        <is>
          <t>Rate basis: per sqm  (source: cost for 2.16 sqm)</t>
        </is>
      </c>
    </row>
    <row r="319">
      <c r="A319" s="5" t="inlineStr">
        <is>
          <t>Code</t>
        </is>
      </c>
      <c r="B319" s="5" t="inlineStr">
        <is>
          <t>Description</t>
        </is>
      </c>
      <c r="C319" s="5" t="inlineStr">
        <is>
          <t>Unit</t>
        </is>
      </c>
      <c r="D319" s="5" t="inlineStr">
        <is>
          <t>Quantity</t>
        </is>
      </c>
      <c r="E319" s="5" t="inlineStr">
        <is>
          <t>Rate (Rs.)</t>
        </is>
      </c>
      <c r="F319" s="5" t="inlineStr">
        <is>
          <t>Amount (Rs.)</t>
        </is>
      </c>
    </row>
    <row r="320">
      <c r="A320" s="13" t="inlineStr">
        <is>
          <t>8737</t>
        </is>
      </c>
      <c r="B320" s="14" t="inlineStr">
        <is>
          <t>Stainless steel wire guage (Grade-304) aperture 1.4mm and 0.50 mm dia wire</t>
        </is>
      </c>
      <c r="C320" s="13" t="inlineStr">
        <is>
          <t>sqm</t>
        </is>
      </c>
      <c r="D320" s="15" t="n">
        <v>0.8</v>
      </c>
      <c r="E320" s="16" t="n">
        <v>400</v>
      </c>
      <c r="F320" s="16">
        <f>D320*E320</f>
        <v/>
      </c>
    </row>
    <row r="321">
      <c r="A321" s="13" t="inlineStr">
        <is>
          <t>9977</t>
        </is>
      </c>
      <c r="B321" s="14" t="inlineStr">
        <is>
          <t>CARRIAGE</t>
        </is>
      </c>
      <c r="C321" s="13" t="inlineStr">
        <is>
          <t>L.S.</t>
        </is>
      </c>
      <c r="D321" s="15" t="n">
        <v>1.82</v>
      </c>
      <c r="E321" s="16" t="n">
        <v>2</v>
      </c>
      <c r="F321" s="16">
        <f>D321*E321</f>
        <v/>
      </c>
    </row>
    <row r="322">
      <c r="A322" s="13" t="inlineStr">
        <is>
          <t>0112</t>
        </is>
      </c>
      <c r="B322" s="14" t="inlineStr">
        <is>
          <t>Carpenter 2nd class</t>
        </is>
      </c>
      <c r="C322" s="13" t="inlineStr">
        <is>
          <t>day</t>
        </is>
      </c>
      <c r="D322" s="15" t="n">
        <v>0.57</v>
      </c>
      <c r="E322" s="16" t="n">
        <v>679</v>
      </c>
      <c r="F322" s="16">
        <f>D322*E322</f>
        <v/>
      </c>
    </row>
    <row r="323">
      <c r="A323" s="13" t="inlineStr">
        <is>
          <t>9999</t>
        </is>
      </c>
      <c r="B323" s="14" t="inlineStr">
        <is>
          <t>Sundries</t>
        </is>
      </c>
      <c r="C323" s="13" t="inlineStr">
        <is>
          <t>L.S.</t>
        </is>
      </c>
      <c r="D323" s="15" t="n">
        <v>4.42</v>
      </c>
      <c r="E323" s="16" t="n">
        <v>2</v>
      </c>
      <c r="F323" s="16">
        <f>D323*E323</f>
        <v/>
      </c>
    </row>
    <row r="324">
      <c r="A324" s="17" t="inlineStr">
        <is>
          <t>Resource Total (Material + Labour + Machinery, as printed)</t>
        </is>
      </c>
      <c r="B324" s="18" t="n"/>
      <c r="C324" s="18" t="n"/>
      <c r="D324" s="18" t="n"/>
      <c r="E324" s="18" t="n"/>
      <c r="F324" s="19">
        <f>SUM(F320:F323)</f>
        <v/>
      </c>
    </row>
    <row r="325">
      <c r="A325" s="20" t="inlineStr">
        <is>
          <t>SAY (Rs.) — final DAR rate</t>
        </is>
      </c>
      <c r="B325" s="21" t="n"/>
      <c r="C325" s="21" t="n"/>
      <c r="D325" s="21" t="n"/>
      <c r="E325" s="21" t="n"/>
      <c r="F325" s="22" t="n">
        <v>1458.6</v>
      </c>
    </row>
    <row r="327" ht="18" customHeight="1">
      <c r="A327" s="9" t="inlineStr">
        <is>
          <t>9.9.1.1</t>
        </is>
      </c>
      <c r="B327" s="10" t="inlineStr">
        <is>
          <t>35 mm thick</t>
        </is>
      </c>
      <c r="C327" s="11" t="n"/>
      <c r="D327" s="11" t="n"/>
      <c r="E327" s="11" t="n"/>
      <c r="F327" s="11" t="n"/>
    </row>
    <row r="328">
      <c r="A328" s="12" t="inlineStr">
        <is>
          <t>Rate basis: per sqm  (source: cost for 2.16 sqm)</t>
        </is>
      </c>
    </row>
    <row r="329">
      <c r="A329" s="5" t="inlineStr">
        <is>
          <t>Code</t>
        </is>
      </c>
      <c r="B329" s="5" t="inlineStr">
        <is>
          <t>Description</t>
        </is>
      </c>
      <c r="C329" s="5" t="inlineStr">
        <is>
          <t>Unit</t>
        </is>
      </c>
      <c r="D329" s="5" t="inlineStr">
        <is>
          <t>Quantity</t>
        </is>
      </c>
      <c r="E329" s="5" t="inlineStr">
        <is>
          <t>Rate (Rs.)</t>
        </is>
      </c>
      <c r="F329" s="5" t="inlineStr">
        <is>
          <t>Amount (Rs.)</t>
        </is>
      </c>
    </row>
    <row r="330">
      <c r="A330" s="13" t="inlineStr">
        <is>
          <t>2406</t>
        </is>
      </c>
      <c r="B330" s="14" t="inlineStr">
        <is>
          <t>Float glass sheet of nominal thickness 4 mm (weight not less than 10kg/sqm).</t>
        </is>
      </c>
      <c r="C330" s="13" t="inlineStr">
        <is>
          <t>sqm</t>
        </is>
      </c>
      <c r="D330" s="15" t="n">
        <v>1.27</v>
      </c>
      <c r="E330" s="16" t="n">
        <v>300</v>
      </c>
      <c r="F330" s="16">
        <f>D330*E330</f>
        <v/>
      </c>
    </row>
    <row r="331">
      <c r="A331" s="13" t="inlineStr">
        <is>
          <t>0595</t>
        </is>
      </c>
      <c r="B331" s="14" t="inlineStr">
        <is>
          <t>Bright finished or black enamelled mild steel butt hinges 100x58x1.90 mm</t>
        </is>
      </c>
      <c r="C331" s="13" t="inlineStr">
        <is>
          <t>10 Nos</t>
        </is>
      </c>
      <c r="D331" s="15" t="n">
        <v>0.6</v>
      </c>
      <c r="E331" s="16" t="n">
        <v>80</v>
      </c>
      <c r="F331" s="16">
        <f>D331*E331</f>
        <v/>
      </c>
    </row>
    <row r="332">
      <c r="A332" s="13" t="inlineStr">
        <is>
          <t>0597</t>
        </is>
      </c>
      <c r="B332" s="14" t="inlineStr">
        <is>
          <t>Bright finished or black enamelled mild steel butt hinges50x37x1.50 mm</t>
        </is>
      </c>
      <c r="C332" s="13" t="inlineStr">
        <is>
          <t>10 Nos</t>
        </is>
      </c>
      <c r="D332" s="15" t="n">
        <v>0.2</v>
      </c>
      <c r="E332" s="16" t="n">
        <v>49</v>
      </c>
      <c r="F332" s="16">
        <f>D332*E332</f>
        <v/>
      </c>
    </row>
    <row r="333">
      <c r="A333" s="13" t="inlineStr">
        <is>
          <t>0637</t>
        </is>
      </c>
      <c r="B333" s="14" t="inlineStr">
        <is>
          <t>Bright finished or black enamelled mild steel screws 40 mm</t>
        </is>
      </c>
      <c r="C333" s="13" t="inlineStr">
        <is>
          <t>100 Nos</t>
        </is>
      </c>
      <c r="D333" s="15" t="n">
        <v>0.48</v>
      </c>
      <c r="E333" s="16" t="n">
        <v>60</v>
      </c>
      <c r="F333" s="16">
        <f>D333*E333</f>
        <v/>
      </c>
    </row>
    <row r="334">
      <c r="A334" s="13" t="inlineStr">
        <is>
          <t>0640</t>
        </is>
      </c>
      <c r="B334" s="14" t="inlineStr">
        <is>
          <t>Bright finished or black enamelled mild steel screws 20 mm</t>
        </is>
      </c>
      <c r="C334" s="13" t="inlineStr">
        <is>
          <t>100 Nos</t>
        </is>
      </c>
      <c r="D334" s="15" t="n">
        <v>0.08</v>
      </c>
      <c r="E334" s="16" t="n">
        <v>30</v>
      </c>
      <c r="F334" s="16">
        <f>D334*E334</f>
        <v/>
      </c>
    </row>
    <row r="335">
      <c r="A335" s="13" t="inlineStr">
        <is>
          <t>2204</t>
        </is>
      </c>
      <c r="B335" s="14" t="inlineStr">
        <is>
          <t>Carriage of Timber</t>
        </is>
      </c>
      <c r="C335" s="13" t="inlineStr">
        <is>
          <t>cum</t>
        </is>
      </c>
      <c r="D335" s="15" t="n">
        <v>0.058</v>
      </c>
      <c r="E335" s="16" t="n">
        <v>118.59</v>
      </c>
      <c r="F335" s="16">
        <f>D335*E335</f>
        <v/>
      </c>
    </row>
    <row r="336">
      <c r="A336" s="13" t="inlineStr">
        <is>
          <t>0156</t>
        </is>
      </c>
      <c r="B336" s="14" t="inlineStr">
        <is>
          <t>Carpenter (average)</t>
        </is>
      </c>
      <c r="C336" s="13" t="inlineStr">
        <is>
          <t>day</t>
        </is>
      </c>
      <c r="D336" s="15" t="n">
        <v>1.83</v>
      </c>
      <c r="E336" s="16" t="n">
        <v>709</v>
      </c>
      <c r="F336" s="16">
        <f>D336*E336</f>
        <v/>
      </c>
    </row>
    <row r="337">
      <c r="A337" s="13" t="inlineStr">
        <is>
          <t>0119</t>
        </is>
      </c>
      <c r="B337" s="14" t="inlineStr">
        <is>
          <t>Glazier</t>
        </is>
      </c>
      <c r="C337" s="13" t="inlineStr">
        <is>
          <t>day</t>
        </is>
      </c>
      <c r="D337" s="15" t="n">
        <v>0.23</v>
      </c>
      <c r="E337" s="16" t="n">
        <v>679</v>
      </c>
      <c r="F337" s="16">
        <f>D337*E337</f>
        <v/>
      </c>
    </row>
    <row r="338">
      <c r="A338" s="13" t="inlineStr">
        <is>
          <t>0114</t>
        </is>
      </c>
      <c r="B338" s="14" t="inlineStr">
        <is>
          <t>Beldar</t>
        </is>
      </c>
      <c r="C338" s="13" t="inlineStr">
        <is>
          <t>day</t>
        </is>
      </c>
      <c r="D338" s="15" t="n">
        <v>0.77</v>
      </c>
      <c r="E338" s="16" t="n">
        <v>558</v>
      </c>
      <c r="F338" s="16">
        <f>D338*E338</f>
        <v/>
      </c>
    </row>
    <row r="339">
      <c r="A339" s="13" t="inlineStr">
        <is>
          <t>9999</t>
        </is>
      </c>
      <c r="B339" s="14" t="inlineStr">
        <is>
          <t>Sundries</t>
        </is>
      </c>
      <c r="C339" s="13" t="inlineStr">
        <is>
          <t>L.S.</t>
        </is>
      </c>
      <c r="D339" s="15" t="n">
        <v>40.43</v>
      </c>
      <c r="E339" s="16" t="n">
        <v>2</v>
      </c>
      <c r="F339" s="16">
        <f>D339*E339</f>
        <v/>
      </c>
    </row>
    <row r="340">
      <c r="A340" s="17" t="inlineStr">
        <is>
          <t>Resource Total (Material + Labour + Machinery, as printed)</t>
        </is>
      </c>
      <c r="B340" s="18" t="n"/>
      <c r="C340" s="18" t="n"/>
      <c r="D340" s="18" t="n"/>
      <c r="E340" s="18" t="n"/>
      <c r="F340" s="19">
        <f>SUM(F330:F339)</f>
        <v/>
      </c>
    </row>
    <row r="341">
      <c r="A341" s="20" t="inlineStr">
        <is>
          <t>SAY (Rs.) — final DAR rate</t>
        </is>
      </c>
      <c r="B341" s="21" t="n"/>
      <c r="C341" s="21" t="n"/>
      <c r="D341" s="21" t="n"/>
      <c r="E341" s="21" t="n"/>
      <c r="F341" s="22" t="n">
        <v>4353.75</v>
      </c>
    </row>
    <row r="343" ht="18" customHeight="1">
      <c r="A343" s="9" t="inlineStr">
        <is>
          <t>9.9.1.2</t>
        </is>
      </c>
      <c r="B343" s="10" t="inlineStr">
        <is>
          <t>30 mm thick</t>
        </is>
      </c>
      <c r="C343" s="11" t="n"/>
      <c r="D343" s="11" t="n"/>
      <c r="E343" s="11" t="n"/>
      <c r="F343" s="11" t="n"/>
    </row>
    <row r="344">
      <c r="A344" s="12" t="inlineStr">
        <is>
          <t>Rate basis: per sqm  (source: cost for 2.16 sqm)</t>
        </is>
      </c>
    </row>
    <row r="345">
      <c r="A345" s="5" t="inlineStr">
        <is>
          <t>Code</t>
        </is>
      </c>
      <c r="B345" s="5" t="inlineStr">
        <is>
          <t>Description</t>
        </is>
      </c>
      <c r="C345" s="5" t="inlineStr">
        <is>
          <t>Unit</t>
        </is>
      </c>
      <c r="D345" s="5" t="inlineStr">
        <is>
          <t>Quantity</t>
        </is>
      </c>
      <c r="E345" s="5" t="inlineStr">
        <is>
          <t>Rate (Rs.)</t>
        </is>
      </c>
      <c r="F345" s="5" t="inlineStr">
        <is>
          <t>Amount (Rs.)</t>
        </is>
      </c>
    </row>
    <row r="346">
      <c r="A346" s="13" t="inlineStr">
        <is>
          <t>2406</t>
        </is>
      </c>
      <c r="B346" s="14" t="inlineStr">
        <is>
          <t>Float glass sheet of nominal thickness 4 mm (weight not less than 10kg/sqm).</t>
        </is>
      </c>
      <c r="C346" s="13" t="inlineStr">
        <is>
          <t>sqm</t>
        </is>
      </c>
      <c r="D346" s="15" t="n">
        <v>1.27</v>
      </c>
      <c r="E346" s="16" t="n">
        <v>300</v>
      </c>
      <c r="F346" s="16">
        <f>D346*E346</f>
        <v/>
      </c>
    </row>
    <row r="347">
      <c r="A347" s="13" t="inlineStr">
        <is>
          <t>0595</t>
        </is>
      </c>
      <c r="B347" s="14" t="inlineStr">
        <is>
          <t>Bright finished or black enamelled mild steel butt hinges 100x58x1.90 mm</t>
        </is>
      </c>
      <c r="C347" s="13" t="inlineStr">
        <is>
          <t>10 Nos</t>
        </is>
      </c>
      <c r="D347" s="15" t="n">
        <v>0.6</v>
      </c>
      <c r="E347" s="16" t="n">
        <v>80</v>
      </c>
      <c r="F347" s="16">
        <f>D347*E347</f>
        <v/>
      </c>
    </row>
    <row r="348">
      <c r="A348" s="13" t="inlineStr">
        <is>
          <t>0597</t>
        </is>
      </c>
      <c r="B348" s="14" t="inlineStr">
        <is>
          <t>Bright finished or black enamelled mild steel butt hinges50x37x1.50 mm</t>
        </is>
      </c>
      <c r="C348" s="13" t="inlineStr">
        <is>
          <t>10 Nos</t>
        </is>
      </c>
      <c r="D348" s="15" t="n">
        <v>0.2</v>
      </c>
      <c r="E348" s="16" t="n">
        <v>49</v>
      </c>
      <c r="F348" s="16">
        <f>D348*E348</f>
        <v/>
      </c>
    </row>
    <row r="349">
      <c r="A349" s="13" t="inlineStr">
        <is>
          <t>0637</t>
        </is>
      </c>
      <c r="B349" s="14" t="inlineStr">
        <is>
          <t>Bright finished or black enamelled mild steel screws 40 mm</t>
        </is>
      </c>
      <c r="C349" s="13" t="inlineStr">
        <is>
          <t>100 Nos</t>
        </is>
      </c>
      <c r="D349" s="15" t="n">
        <v>0.48</v>
      </c>
      <c r="E349" s="16" t="n">
        <v>60</v>
      </c>
      <c r="F349" s="16">
        <f>D349*E349</f>
        <v/>
      </c>
    </row>
    <row r="350">
      <c r="A350" s="13" t="inlineStr">
        <is>
          <t>0640</t>
        </is>
      </c>
      <c r="B350" s="14" t="inlineStr">
        <is>
          <t>Bright finished or black enamelled mild steel screws 20 mm</t>
        </is>
      </c>
      <c r="C350" s="13" t="inlineStr">
        <is>
          <t>100 Nos</t>
        </is>
      </c>
      <c r="D350" s="15" t="n">
        <v>0.08</v>
      </c>
      <c r="E350" s="16" t="n">
        <v>30</v>
      </c>
      <c r="F350" s="16">
        <f>D350*E350</f>
        <v/>
      </c>
    </row>
    <row r="351">
      <c r="A351" s="13" t="inlineStr">
        <is>
          <t>2204</t>
        </is>
      </c>
      <c r="B351" s="14" t="inlineStr">
        <is>
          <t>Carriage of Timber</t>
        </is>
      </c>
      <c r="C351" s="13" t="inlineStr">
        <is>
          <t>cum</t>
        </is>
      </c>
      <c r="D351" s="15" t="n">
        <v>0.05</v>
      </c>
      <c r="E351" s="16" t="n">
        <v>118.59</v>
      </c>
      <c r="F351" s="16">
        <f>D351*E351</f>
        <v/>
      </c>
    </row>
    <row r="352">
      <c r="A352" s="13" t="inlineStr">
        <is>
          <t>0156</t>
        </is>
      </c>
      <c r="B352" s="14" t="inlineStr">
        <is>
          <t>Carpenter (average)</t>
        </is>
      </c>
      <c r="C352" s="13" t="inlineStr">
        <is>
          <t>day</t>
        </is>
      </c>
      <c r="D352" s="15" t="n">
        <v>1.83</v>
      </c>
      <c r="E352" s="16" t="n">
        <v>709</v>
      </c>
      <c r="F352" s="16">
        <f>D352*E352</f>
        <v/>
      </c>
    </row>
    <row r="353">
      <c r="A353" s="13" t="inlineStr">
        <is>
          <t>0119</t>
        </is>
      </c>
      <c r="B353" s="14" t="inlineStr">
        <is>
          <t>Glazier</t>
        </is>
      </c>
      <c r="C353" s="13" t="inlineStr">
        <is>
          <t>day</t>
        </is>
      </c>
      <c r="D353" s="15" t="n">
        <v>0.23</v>
      </c>
      <c r="E353" s="16" t="n">
        <v>679</v>
      </c>
      <c r="F353" s="16">
        <f>D353*E353</f>
        <v/>
      </c>
    </row>
    <row r="354">
      <c r="A354" s="13" t="inlineStr">
        <is>
          <t>0114</t>
        </is>
      </c>
      <c r="B354" s="14" t="inlineStr">
        <is>
          <t>Beldar</t>
        </is>
      </c>
      <c r="C354" s="13" t="inlineStr">
        <is>
          <t>day</t>
        </is>
      </c>
      <c r="D354" s="15" t="n">
        <v>0.77</v>
      </c>
      <c r="E354" s="16" t="n">
        <v>558</v>
      </c>
      <c r="F354" s="16">
        <f>D354*E354</f>
        <v/>
      </c>
    </row>
    <row r="355">
      <c r="A355" s="13" t="inlineStr">
        <is>
          <t>9999</t>
        </is>
      </c>
      <c r="B355" s="14" t="inlineStr">
        <is>
          <t>Sundries</t>
        </is>
      </c>
      <c r="C355" s="13" t="inlineStr">
        <is>
          <t>L.S.</t>
        </is>
      </c>
      <c r="D355" s="15" t="n">
        <v>40.43</v>
      </c>
      <c r="E355" s="16" t="n">
        <v>2</v>
      </c>
      <c r="F355" s="16">
        <f>D355*E355</f>
        <v/>
      </c>
    </row>
    <row r="356">
      <c r="A356" s="17" t="inlineStr">
        <is>
          <t>Resource Total (Material + Labour + Machinery, as printed)</t>
        </is>
      </c>
      <c r="B356" s="18" t="n"/>
      <c r="C356" s="18" t="n"/>
      <c r="D356" s="18" t="n"/>
      <c r="E356" s="18" t="n"/>
      <c r="F356" s="19">
        <f>SUM(F346:F355)</f>
        <v/>
      </c>
    </row>
    <row r="357">
      <c r="A357" s="20" t="inlineStr">
        <is>
          <t>SAY (Rs.) — final DAR rate</t>
        </is>
      </c>
      <c r="B357" s="21" t="n"/>
      <c r="C357" s="21" t="n"/>
      <c r="D357" s="21" t="n"/>
      <c r="E357" s="21" t="n"/>
      <c r="F357" s="22" t="n">
        <v>3961.2</v>
      </c>
    </row>
    <row r="359" ht="18" customHeight="1">
      <c r="A359" s="9" t="inlineStr">
        <is>
          <t>9.9.2.1</t>
        </is>
      </c>
      <c r="B359" s="10" t="inlineStr">
        <is>
          <t>35 mm thick</t>
        </is>
      </c>
      <c r="C359" s="11" t="n"/>
      <c r="D359" s="11" t="n"/>
      <c r="E359" s="11" t="n"/>
      <c r="F359" s="11" t="n"/>
    </row>
    <row r="360">
      <c r="A360" s="12" t="inlineStr">
        <is>
          <t>Rate basis: per sqm  (source: cost for 2.16 sqm)</t>
        </is>
      </c>
    </row>
    <row r="361">
      <c r="A361" s="5" t="inlineStr">
        <is>
          <t>Code</t>
        </is>
      </c>
      <c r="B361" s="5" t="inlineStr">
        <is>
          <t>Description</t>
        </is>
      </c>
      <c r="C361" s="5" t="inlineStr">
        <is>
          <t>Unit</t>
        </is>
      </c>
      <c r="D361" s="5" t="inlineStr">
        <is>
          <t>Quantity</t>
        </is>
      </c>
      <c r="E361" s="5" t="inlineStr">
        <is>
          <t>Rate (Rs.)</t>
        </is>
      </c>
      <c r="F361" s="5" t="inlineStr">
        <is>
          <t>Amount (Rs.)</t>
        </is>
      </c>
    </row>
    <row r="362">
      <c r="A362" s="13" t="inlineStr">
        <is>
          <t>2504</t>
        </is>
      </c>
      <c r="B362" s="14" t="inlineStr">
        <is>
          <t>Kiln seasoning of timber</t>
        </is>
      </c>
      <c r="C362" s="13" t="inlineStr">
        <is>
          <t>cum</t>
        </is>
      </c>
      <c r="D362" s="15" t="n">
        <v>0.058</v>
      </c>
      <c r="E362" s="16" t="n">
        <v>750</v>
      </c>
      <c r="F362" s="16">
        <f>D362*E362</f>
        <v/>
      </c>
    </row>
    <row r="363">
      <c r="A363" s="13" t="inlineStr">
        <is>
          <t>9999</t>
        </is>
      </c>
      <c r="B363" s="14" t="inlineStr">
        <is>
          <t>(iii) Chemical treatment</t>
        </is>
      </c>
      <c r="C363" s="13" t="inlineStr">
        <is>
          <t>L.S.</t>
        </is>
      </c>
      <c r="D363" s="15" t="n">
        <v>9.1</v>
      </c>
      <c r="E363" s="16" t="n">
        <v>2</v>
      </c>
      <c r="F363" s="16">
        <f>D363*E363</f>
        <v/>
      </c>
    </row>
    <row r="364">
      <c r="A364" s="13" t="inlineStr">
        <is>
          <t>2406</t>
        </is>
      </c>
      <c r="B364" s="14" t="inlineStr">
        <is>
          <t>Float glass sheet of nominal thickness 4 mm (weight not less than 10kg/sqm).</t>
        </is>
      </c>
      <c r="C364" s="13" t="inlineStr">
        <is>
          <t>sqm</t>
        </is>
      </c>
      <c r="D364" s="15" t="n">
        <v>1.27</v>
      </c>
      <c r="E364" s="16" t="n">
        <v>300</v>
      </c>
      <c r="F364" s="16">
        <f>D364*E364</f>
        <v/>
      </c>
    </row>
    <row r="365">
      <c r="A365" s="13" t="inlineStr">
        <is>
          <t>0595</t>
        </is>
      </c>
      <c r="B365" s="14" t="inlineStr">
        <is>
          <t>Bright finished or black enamelled mild steel butt hinges 100x58x1.90 mm</t>
        </is>
      </c>
      <c r="C365" s="13" t="inlineStr">
        <is>
          <t>10 Nos</t>
        </is>
      </c>
      <c r="D365" s="15" t="n">
        <v>0.6</v>
      </c>
      <c r="E365" s="16" t="n">
        <v>80</v>
      </c>
      <c r="F365" s="16">
        <f>D365*E365</f>
        <v/>
      </c>
    </row>
    <row r="366">
      <c r="A366" s="13" t="inlineStr">
        <is>
          <t>0597</t>
        </is>
      </c>
      <c r="B366" s="14" t="inlineStr">
        <is>
          <t>Bright finished or black enamelled mild steel butt hinges50x37x1.50 mm</t>
        </is>
      </c>
      <c r="C366" s="13" t="inlineStr">
        <is>
          <t>10 Nos</t>
        </is>
      </c>
      <c r="D366" s="15" t="n">
        <v>0.2</v>
      </c>
      <c r="E366" s="16" t="n">
        <v>49</v>
      </c>
      <c r="F366" s="16">
        <f>D366*E366</f>
        <v/>
      </c>
    </row>
    <row r="367">
      <c r="A367" s="13" t="inlineStr">
        <is>
          <t>0637</t>
        </is>
      </c>
      <c r="B367" s="14" t="inlineStr">
        <is>
          <t>Bright finished or black enamelled mild steel screws 40 mm</t>
        </is>
      </c>
      <c r="C367" s="13" t="inlineStr">
        <is>
          <t>100 Nos</t>
        </is>
      </c>
      <c r="D367" s="15" t="n">
        <v>0.48</v>
      </c>
      <c r="E367" s="16" t="n">
        <v>60</v>
      </c>
      <c r="F367" s="16">
        <f>D367*E367</f>
        <v/>
      </c>
    </row>
    <row r="368">
      <c r="A368" s="13" t="inlineStr">
        <is>
          <t>0640</t>
        </is>
      </c>
      <c r="B368" s="14" t="inlineStr">
        <is>
          <t>Bright finished or black enamelled mild steel screws 20 mm</t>
        </is>
      </c>
      <c r="C368" s="13" t="inlineStr">
        <is>
          <t>100 Nos</t>
        </is>
      </c>
      <c r="D368" s="15" t="n">
        <v>0.08</v>
      </c>
      <c r="E368" s="16" t="n">
        <v>30</v>
      </c>
      <c r="F368" s="16">
        <f>D368*E368</f>
        <v/>
      </c>
    </row>
    <row r="369">
      <c r="A369" s="13" t="inlineStr">
        <is>
          <t>2204</t>
        </is>
      </c>
      <c r="B369" s="14" t="inlineStr">
        <is>
          <t>Carriage of Timber</t>
        </is>
      </c>
      <c r="C369" s="13" t="inlineStr">
        <is>
          <t>cum</t>
        </is>
      </c>
      <c r="D369" s="15" t="n">
        <v>0.058</v>
      </c>
      <c r="E369" s="16" t="n">
        <v>118.59</v>
      </c>
      <c r="F369" s="16">
        <f>D369*E369</f>
        <v/>
      </c>
    </row>
    <row r="370">
      <c r="A370" s="13" t="inlineStr">
        <is>
          <t>0156</t>
        </is>
      </c>
      <c r="B370" s="14" t="inlineStr">
        <is>
          <t>Carpenter (average)</t>
        </is>
      </c>
      <c r="C370" s="13" t="inlineStr">
        <is>
          <t>day</t>
        </is>
      </c>
      <c r="D370" s="15" t="n">
        <v>1.83</v>
      </c>
      <c r="E370" s="16" t="n">
        <v>709</v>
      </c>
      <c r="F370" s="16">
        <f>D370*E370</f>
        <v/>
      </c>
    </row>
    <row r="371">
      <c r="A371" s="13" t="inlineStr">
        <is>
          <t>0119</t>
        </is>
      </c>
      <c r="B371" s="14" t="inlineStr">
        <is>
          <t>Glazier</t>
        </is>
      </c>
      <c r="C371" s="13" t="inlineStr">
        <is>
          <t>day</t>
        </is>
      </c>
      <c r="D371" s="15" t="n">
        <v>0.23</v>
      </c>
      <c r="E371" s="16" t="n">
        <v>679</v>
      </c>
      <c r="F371" s="16">
        <f>D371*E371</f>
        <v/>
      </c>
    </row>
    <row r="372">
      <c r="A372" s="13" t="inlineStr">
        <is>
          <t>0114</t>
        </is>
      </c>
      <c r="B372" s="14" t="inlineStr">
        <is>
          <t>Beldar</t>
        </is>
      </c>
      <c r="C372" s="13" t="inlineStr">
        <is>
          <t>day</t>
        </is>
      </c>
      <c r="D372" s="15" t="n">
        <v>0.77</v>
      </c>
      <c r="E372" s="16" t="n">
        <v>558</v>
      </c>
      <c r="F372" s="16">
        <f>D372*E372</f>
        <v/>
      </c>
    </row>
    <row r="373">
      <c r="A373" s="13" t="inlineStr">
        <is>
          <t>9999</t>
        </is>
      </c>
      <c r="B373" s="14" t="inlineStr">
        <is>
          <t>Sundries</t>
        </is>
      </c>
      <c r="C373" s="13" t="inlineStr">
        <is>
          <t>L.S.</t>
        </is>
      </c>
      <c r="D373" s="15" t="n">
        <v>40.43</v>
      </c>
      <c r="E373" s="16" t="n">
        <v>2</v>
      </c>
      <c r="F373" s="16">
        <f>D373*E373</f>
        <v/>
      </c>
    </row>
    <row r="374">
      <c r="A374" s="17" t="inlineStr">
        <is>
          <t>Resource Total (Material + Labour + Machinery, as printed)</t>
        </is>
      </c>
      <c r="B374" s="18" t="n"/>
      <c r="C374" s="18" t="n"/>
      <c r="D374" s="18" t="n"/>
      <c r="E374" s="18" t="n"/>
      <c r="F374" s="19">
        <f>SUM(F362:F373)</f>
        <v/>
      </c>
    </row>
    <row r="375">
      <c r="A375" s="20" t="inlineStr">
        <is>
          <t>SAY (Rs.) — final DAR rate</t>
        </is>
      </c>
      <c r="B375" s="21" t="n"/>
      <c r="C375" s="21" t="n"/>
      <c r="D375" s="21" t="n"/>
      <c r="E375" s="21" t="n"/>
      <c r="F375" s="22" t="n">
        <v>2951.35</v>
      </c>
    </row>
    <row r="377" ht="18" customHeight="1">
      <c r="A377" s="9" t="inlineStr">
        <is>
          <t>9.9.2.2</t>
        </is>
      </c>
      <c r="B377" s="10" t="inlineStr">
        <is>
          <t>30 mm thick</t>
        </is>
      </c>
      <c r="C377" s="11" t="n"/>
      <c r="D377" s="11" t="n"/>
      <c r="E377" s="11" t="n"/>
      <c r="F377" s="11" t="n"/>
    </row>
    <row r="378">
      <c r="A378" s="12" t="inlineStr">
        <is>
          <t>Rate basis: per sqm  (source: cost for 2.16 sqm)</t>
        </is>
      </c>
    </row>
    <row r="379">
      <c r="A379" s="5" t="inlineStr">
        <is>
          <t>Code</t>
        </is>
      </c>
      <c r="B379" s="5" t="inlineStr">
        <is>
          <t>Description</t>
        </is>
      </c>
      <c r="C379" s="5" t="inlineStr">
        <is>
          <t>Unit</t>
        </is>
      </c>
      <c r="D379" s="5" t="inlineStr">
        <is>
          <t>Quantity</t>
        </is>
      </c>
      <c r="E379" s="5" t="inlineStr">
        <is>
          <t>Rate (Rs.)</t>
        </is>
      </c>
      <c r="F379" s="5" t="inlineStr">
        <is>
          <t>Amount (Rs.)</t>
        </is>
      </c>
    </row>
    <row r="380">
      <c r="A380" s="13" t="inlineStr">
        <is>
          <t>2504</t>
        </is>
      </c>
      <c r="B380" s="14" t="inlineStr">
        <is>
          <t>Kiln seasoning of timber</t>
        </is>
      </c>
      <c r="C380" s="13" t="inlineStr">
        <is>
          <t>cum</t>
        </is>
      </c>
      <c r="D380" s="15" t="n">
        <v>0.05</v>
      </c>
      <c r="E380" s="16" t="n">
        <v>750</v>
      </c>
      <c r="F380" s="16">
        <f>D380*E380</f>
        <v/>
      </c>
    </row>
    <row r="381">
      <c r="A381" s="13" t="inlineStr">
        <is>
          <t>9999</t>
        </is>
      </c>
      <c r="B381" s="14" t="inlineStr">
        <is>
          <t>Chemical treatment</t>
        </is>
      </c>
      <c r="C381" s="13" t="inlineStr">
        <is>
          <t>L.S.</t>
        </is>
      </c>
      <c r="D381" s="15" t="n">
        <v>9.1</v>
      </c>
      <c r="E381" s="16" t="n">
        <v>2</v>
      </c>
      <c r="F381" s="16">
        <f>D381*E381</f>
        <v/>
      </c>
    </row>
    <row r="382">
      <c r="A382" s="13" t="inlineStr">
        <is>
          <t>2406</t>
        </is>
      </c>
      <c r="B382" s="14" t="inlineStr">
        <is>
          <t>Float glass sheet of nominal thickness 4 mm (weight not less than 10kg/sqm).</t>
        </is>
      </c>
      <c r="C382" s="13" t="inlineStr">
        <is>
          <t>sqm</t>
        </is>
      </c>
      <c r="D382" s="15" t="n">
        <v>1.27</v>
      </c>
      <c r="E382" s="16" t="n">
        <v>300</v>
      </c>
      <c r="F382" s="16">
        <f>D382*E382</f>
        <v/>
      </c>
    </row>
    <row r="383">
      <c r="A383" s="13" t="inlineStr">
        <is>
          <t>0595</t>
        </is>
      </c>
      <c r="B383" s="14" t="inlineStr">
        <is>
          <t>Bright finished or black enamelled mild steel butt hinges 100x58x1.90 mm</t>
        </is>
      </c>
      <c r="C383" s="13" t="inlineStr">
        <is>
          <t>10 Nos</t>
        </is>
      </c>
      <c r="D383" s="15" t="n">
        <v>0.6</v>
      </c>
      <c r="E383" s="16" t="n">
        <v>80</v>
      </c>
      <c r="F383" s="16">
        <f>D383*E383</f>
        <v/>
      </c>
    </row>
    <row r="384">
      <c r="A384" s="13" t="inlineStr">
        <is>
          <t>0597</t>
        </is>
      </c>
      <c r="B384" s="14" t="inlineStr">
        <is>
          <t>Bright finished or black enamelled mild steel butt hinges50x37x1.50 mm</t>
        </is>
      </c>
      <c r="C384" s="13" t="inlineStr">
        <is>
          <t>10 Nos</t>
        </is>
      </c>
      <c r="D384" s="15" t="n">
        <v>0.2</v>
      </c>
      <c r="E384" s="16" t="n">
        <v>49</v>
      </c>
      <c r="F384" s="16">
        <f>D384*E384</f>
        <v/>
      </c>
    </row>
    <row r="385">
      <c r="A385" s="13" t="inlineStr">
        <is>
          <t>0637</t>
        </is>
      </c>
      <c r="B385" s="14" t="inlineStr">
        <is>
          <t>Bright finished or black enamelled mild steel screws 40 mm</t>
        </is>
      </c>
      <c r="C385" s="13" t="inlineStr">
        <is>
          <t>100 Nos</t>
        </is>
      </c>
      <c r="D385" s="15" t="n">
        <v>0.48</v>
      </c>
      <c r="E385" s="16" t="n">
        <v>60</v>
      </c>
      <c r="F385" s="16">
        <f>D385*E385</f>
        <v/>
      </c>
    </row>
    <row r="386">
      <c r="A386" s="13" t="inlineStr">
        <is>
          <t>0640</t>
        </is>
      </c>
      <c r="B386" s="14" t="inlineStr">
        <is>
          <t>Bright finished or black enamelled mild steel screws 20 mm</t>
        </is>
      </c>
      <c r="C386" s="13" t="inlineStr">
        <is>
          <t>100 Nos</t>
        </is>
      </c>
      <c r="D386" s="15" t="n">
        <v>0.08</v>
      </c>
      <c r="E386" s="16" t="n">
        <v>30</v>
      </c>
      <c r="F386" s="16">
        <f>D386*E386</f>
        <v/>
      </c>
    </row>
    <row r="387">
      <c r="A387" s="13" t="inlineStr">
        <is>
          <t>2204</t>
        </is>
      </c>
      <c r="B387" s="14" t="inlineStr">
        <is>
          <t>Carriage of Timber</t>
        </is>
      </c>
      <c r="C387" s="13" t="inlineStr">
        <is>
          <t>cum</t>
        </is>
      </c>
      <c r="D387" s="15" t="n">
        <v>0.05</v>
      </c>
      <c r="E387" s="16" t="n">
        <v>118.59</v>
      </c>
      <c r="F387" s="16">
        <f>D387*E387</f>
        <v/>
      </c>
    </row>
    <row r="388">
      <c r="A388" s="13" t="inlineStr">
        <is>
          <t>0156</t>
        </is>
      </c>
      <c r="B388" s="14" t="inlineStr">
        <is>
          <t>Carpenter (average)</t>
        </is>
      </c>
      <c r="C388" s="13" t="inlineStr">
        <is>
          <t>day</t>
        </is>
      </c>
      <c r="D388" s="15" t="n">
        <v>1.83</v>
      </c>
      <c r="E388" s="16" t="n">
        <v>709</v>
      </c>
      <c r="F388" s="16">
        <f>D388*E388</f>
        <v/>
      </c>
    </row>
    <row r="389">
      <c r="A389" s="13" t="inlineStr">
        <is>
          <t>0119</t>
        </is>
      </c>
      <c r="B389" s="14" t="inlineStr">
        <is>
          <t>Glazier</t>
        </is>
      </c>
      <c r="C389" s="13" t="inlineStr">
        <is>
          <t>day</t>
        </is>
      </c>
      <c r="D389" s="15" t="n">
        <v>0.23</v>
      </c>
      <c r="E389" s="16" t="n">
        <v>679</v>
      </c>
      <c r="F389" s="16">
        <f>D389*E389</f>
        <v/>
      </c>
    </row>
    <row r="390">
      <c r="A390" s="13" t="inlineStr">
        <is>
          <t>0114</t>
        </is>
      </c>
      <c r="B390" s="14" t="inlineStr">
        <is>
          <t>Beldar</t>
        </is>
      </c>
      <c r="C390" s="13" t="inlineStr">
        <is>
          <t>day</t>
        </is>
      </c>
      <c r="D390" s="15" t="n">
        <v>0.77</v>
      </c>
      <c r="E390" s="16" t="n">
        <v>558</v>
      </c>
      <c r="F390" s="16">
        <f>D390*E390</f>
        <v/>
      </c>
    </row>
    <row r="391">
      <c r="A391" s="13" t="inlineStr">
        <is>
          <t>9999</t>
        </is>
      </c>
      <c r="B391" s="14" t="inlineStr">
        <is>
          <t>Sundries</t>
        </is>
      </c>
      <c r="C391" s="13" t="inlineStr">
        <is>
          <t>L.S.</t>
        </is>
      </c>
      <c r="D391" s="15" t="n">
        <v>40.43</v>
      </c>
      <c r="E391" s="16" t="n">
        <v>2</v>
      </c>
      <c r="F391" s="16">
        <f>D391*E391</f>
        <v/>
      </c>
    </row>
    <row r="392">
      <c r="A392" s="17" t="inlineStr">
        <is>
          <t>Resource Total (Material + Labour + Machinery, as printed)</t>
        </is>
      </c>
      <c r="B392" s="18" t="n"/>
      <c r="C392" s="18" t="n"/>
      <c r="D392" s="18" t="n"/>
      <c r="E392" s="18" t="n"/>
      <c r="F392" s="19">
        <f>SUM(F380:F391)</f>
        <v/>
      </c>
    </row>
    <row r="393">
      <c r="A393" s="20" t="inlineStr">
        <is>
          <t>SAY (Rs.) — final DAR rate</t>
        </is>
      </c>
      <c r="B393" s="21" t="n"/>
      <c r="C393" s="21" t="n"/>
      <c r="D393" s="21" t="n"/>
      <c r="E393" s="21" t="n"/>
      <c r="F393" s="22" t="n">
        <v>2753.8</v>
      </c>
    </row>
    <row r="395" ht="18" customHeight="1">
      <c r="A395" s="9" t="inlineStr">
        <is>
          <t>9.9.3.1</t>
        </is>
      </c>
      <c r="B395" s="10" t="inlineStr">
        <is>
          <t>35 mm thick</t>
        </is>
      </c>
      <c r="C395" s="11" t="n"/>
      <c r="D395" s="11" t="n"/>
      <c r="E395" s="11" t="n"/>
      <c r="F395" s="11" t="n"/>
    </row>
    <row r="396">
      <c r="A396" s="12" t="inlineStr">
        <is>
          <t>Rate basis: per sqm  (source: cost for 2.16 sqm)</t>
        </is>
      </c>
    </row>
    <row r="397">
      <c r="A397" s="5" t="inlineStr">
        <is>
          <t>Code</t>
        </is>
      </c>
      <c r="B397" s="5" t="inlineStr">
        <is>
          <t>Description</t>
        </is>
      </c>
      <c r="C397" s="5" t="inlineStr">
        <is>
          <t>Unit</t>
        </is>
      </c>
      <c r="D397" s="5" t="inlineStr">
        <is>
          <t>Quantity</t>
        </is>
      </c>
      <c r="E397" s="5" t="inlineStr">
        <is>
          <t>Rate (Rs.)</t>
        </is>
      </c>
      <c r="F397" s="5" t="inlineStr">
        <is>
          <t>Amount (Rs.)</t>
        </is>
      </c>
    </row>
    <row r="398">
      <c r="A398" s="13" t="inlineStr">
        <is>
          <t>2504</t>
        </is>
      </c>
      <c r="B398" s="14" t="inlineStr">
        <is>
          <t>Kiln seasoning of timber</t>
        </is>
      </c>
      <c r="C398" s="13" t="inlineStr">
        <is>
          <t>cum</t>
        </is>
      </c>
      <c r="D398" s="15" t="n">
        <v>0.058</v>
      </c>
      <c r="E398" s="16" t="n">
        <v>750</v>
      </c>
      <c r="F398" s="16">
        <f>D398*E398</f>
        <v/>
      </c>
    </row>
    <row r="399">
      <c r="A399" s="13" t="inlineStr">
        <is>
          <t>2406</t>
        </is>
      </c>
      <c r="B399" s="14" t="inlineStr">
        <is>
          <t>Float glass sheet of nominal thickness 4 mm (weight not less than 10kg/sqm).</t>
        </is>
      </c>
      <c r="C399" s="13" t="inlineStr">
        <is>
          <t>sqm</t>
        </is>
      </c>
      <c r="D399" s="15" t="n">
        <v>1.27</v>
      </c>
      <c r="E399" s="16" t="n">
        <v>300</v>
      </c>
      <c r="F399" s="16">
        <f>D399*E399</f>
        <v/>
      </c>
    </row>
    <row r="400">
      <c r="A400" s="13" t="inlineStr">
        <is>
          <t>0595</t>
        </is>
      </c>
      <c r="B400" s="14" t="inlineStr">
        <is>
          <t>Bright finished or black enamelled mild steel butt hinges 100x58x1.90 mm</t>
        </is>
      </c>
      <c r="C400" s="13" t="inlineStr">
        <is>
          <t>10 Nos</t>
        </is>
      </c>
      <c r="D400" s="15" t="n">
        <v>0.6</v>
      </c>
      <c r="E400" s="16" t="n">
        <v>80</v>
      </c>
      <c r="F400" s="16">
        <f>D400*E400</f>
        <v/>
      </c>
    </row>
    <row r="401">
      <c r="A401" s="13" t="inlineStr">
        <is>
          <t>0597</t>
        </is>
      </c>
      <c r="B401" s="14" t="inlineStr">
        <is>
          <t>Bright finished or black enamelled mild steel butt hinges50x37x1.50 mm</t>
        </is>
      </c>
      <c r="C401" s="13" t="inlineStr">
        <is>
          <t>10 Nos</t>
        </is>
      </c>
      <c r="D401" s="15" t="n">
        <v>0.2</v>
      </c>
      <c r="E401" s="16" t="n">
        <v>49</v>
      </c>
      <c r="F401" s="16">
        <f>D401*E401</f>
        <v/>
      </c>
    </row>
    <row r="402">
      <c r="A402" s="13" t="inlineStr">
        <is>
          <t>0637</t>
        </is>
      </c>
      <c r="B402" s="14" t="inlineStr">
        <is>
          <t>Bright finished or black enamelled mild steel screws 40 mm</t>
        </is>
      </c>
      <c r="C402" s="13" t="inlineStr">
        <is>
          <t>100 Nos</t>
        </is>
      </c>
      <c r="D402" s="15" t="n">
        <v>0.48</v>
      </c>
      <c r="E402" s="16" t="n">
        <v>60</v>
      </c>
      <c r="F402" s="16">
        <f>D402*E402</f>
        <v/>
      </c>
    </row>
    <row r="403">
      <c r="A403" s="13" t="inlineStr">
        <is>
          <t>0640</t>
        </is>
      </c>
      <c r="B403" s="14" t="inlineStr">
        <is>
          <t>Bright finished or black enamelled mild steel screws 20 mm</t>
        </is>
      </c>
      <c r="C403" s="13" t="inlineStr">
        <is>
          <t>100 Nos</t>
        </is>
      </c>
      <c r="D403" s="15" t="n">
        <v>0.08</v>
      </c>
      <c r="E403" s="16" t="n">
        <v>30</v>
      </c>
      <c r="F403" s="16">
        <f>D403*E403</f>
        <v/>
      </c>
    </row>
    <row r="404">
      <c r="A404" s="13" t="inlineStr">
        <is>
          <t>2204</t>
        </is>
      </c>
      <c r="B404" s="14" t="inlineStr">
        <is>
          <t>Carriage of Timber</t>
        </is>
      </c>
      <c r="C404" s="13" t="inlineStr">
        <is>
          <t>cum</t>
        </is>
      </c>
      <c r="D404" s="15" t="n">
        <v>0.058</v>
      </c>
      <c r="E404" s="16" t="n">
        <v>118.59</v>
      </c>
      <c r="F404" s="16">
        <f>D404*E404</f>
        <v/>
      </c>
    </row>
    <row r="405">
      <c r="A405" s="13" t="inlineStr">
        <is>
          <t>0156</t>
        </is>
      </c>
      <c r="B405" s="14" t="inlineStr">
        <is>
          <t>Carpenter (average)</t>
        </is>
      </c>
      <c r="C405" s="13" t="inlineStr">
        <is>
          <t>day</t>
        </is>
      </c>
      <c r="D405" s="15" t="n">
        <v>1.83</v>
      </c>
      <c r="E405" s="16" t="n">
        <v>709</v>
      </c>
      <c r="F405" s="16">
        <f>D405*E405</f>
        <v/>
      </c>
    </row>
    <row r="406">
      <c r="A406" s="13" t="inlineStr">
        <is>
          <t>0119</t>
        </is>
      </c>
      <c r="B406" s="14" t="inlineStr">
        <is>
          <t>Glazier</t>
        </is>
      </c>
      <c r="C406" s="13" t="inlineStr">
        <is>
          <t>day</t>
        </is>
      </c>
      <c r="D406" s="15" t="n">
        <v>0.23</v>
      </c>
      <c r="E406" s="16" t="n">
        <v>679</v>
      </c>
      <c r="F406" s="16">
        <f>D406*E406</f>
        <v/>
      </c>
    </row>
    <row r="407">
      <c r="A407" s="13" t="inlineStr">
        <is>
          <t>0114</t>
        </is>
      </c>
      <c r="B407" s="14" t="inlineStr">
        <is>
          <t>Beldar</t>
        </is>
      </c>
      <c r="C407" s="13" t="inlineStr">
        <is>
          <t>day</t>
        </is>
      </c>
      <c r="D407" s="15" t="n">
        <v>0.77</v>
      </c>
      <c r="E407" s="16" t="n">
        <v>558</v>
      </c>
      <c r="F407" s="16">
        <f>D407*E407</f>
        <v/>
      </c>
    </row>
    <row r="408">
      <c r="A408" s="13" t="inlineStr">
        <is>
          <t>9999</t>
        </is>
      </c>
      <c r="B408" s="14" t="inlineStr">
        <is>
          <t>Sundries</t>
        </is>
      </c>
      <c r="C408" s="13" t="inlineStr">
        <is>
          <t>L.S.</t>
        </is>
      </c>
      <c r="D408" s="15" t="n">
        <v>40.43</v>
      </c>
      <c r="E408" s="16" t="n">
        <v>2</v>
      </c>
      <c r="F408" s="16">
        <f>D408*E408</f>
        <v/>
      </c>
    </row>
    <row r="409">
      <c r="A409" s="17" t="inlineStr">
        <is>
          <t>Resource Total (Material + Labour + Machinery, as printed)</t>
        </is>
      </c>
      <c r="B409" s="18" t="n"/>
      <c r="C409" s="18" t="n"/>
      <c r="D409" s="18" t="n"/>
      <c r="E409" s="18" t="n"/>
      <c r="F409" s="19">
        <f>SUM(F398:F408)</f>
        <v/>
      </c>
    </row>
    <row r="410">
      <c r="A410" s="20" t="inlineStr">
        <is>
          <t>SAY (Rs.) — final DAR rate</t>
        </is>
      </c>
      <c r="B410" s="21" t="n"/>
      <c r="C410" s="21" t="n"/>
      <c r="D410" s="21" t="n"/>
      <c r="E410" s="21" t="n"/>
      <c r="F410" s="22" t="n">
        <v>3874.15</v>
      </c>
    </row>
    <row r="412" ht="18" customHeight="1">
      <c r="A412" s="9" t="inlineStr">
        <is>
          <t>9.9.3.2</t>
        </is>
      </c>
      <c r="B412" s="10" t="inlineStr">
        <is>
          <t>30 mm thick</t>
        </is>
      </c>
      <c r="C412" s="11" t="n"/>
      <c r="D412" s="11" t="n"/>
      <c r="E412" s="11" t="n"/>
      <c r="F412" s="11" t="n"/>
    </row>
    <row r="413">
      <c r="A413" s="12" t="inlineStr">
        <is>
          <t>Rate basis: per sqm  (source: cost for 2.16 sqm)</t>
        </is>
      </c>
    </row>
    <row r="414">
      <c r="A414" s="5" t="inlineStr">
        <is>
          <t>Code</t>
        </is>
      </c>
      <c r="B414" s="5" t="inlineStr">
        <is>
          <t>Description</t>
        </is>
      </c>
      <c r="C414" s="5" t="inlineStr">
        <is>
          <t>Unit</t>
        </is>
      </c>
      <c r="D414" s="5" t="inlineStr">
        <is>
          <t>Quantity</t>
        </is>
      </c>
      <c r="E414" s="5" t="inlineStr">
        <is>
          <t>Rate (Rs.)</t>
        </is>
      </c>
      <c r="F414" s="5" t="inlineStr">
        <is>
          <t>Amount (Rs.)</t>
        </is>
      </c>
    </row>
    <row r="415">
      <c r="A415" s="13" t="inlineStr">
        <is>
          <t>2504</t>
        </is>
      </c>
      <c r="B415" s="14" t="inlineStr">
        <is>
          <t>Kiln seasoning of timber</t>
        </is>
      </c>
      <c r="C415" s="13" t="inlineStr">
        <is>
          <t>cum</t>
        </is>
      </c>
      <c r="D415" s="15" t="n">
        <v>0.05</v>
      </c>
      <c r="E415" s="16" t="n">
        <v>750</v>
      </c>
      <c r="F415" s="16">
        <f>D415*E415</f>
        <v/>
      </c>
    </row>
    <row r="416">
      <c r="A416" s="13" t="inlineStr">
        <is>
          <t>2406</t>
        </is>
      </c>
      <c r="B416" s="14" t="inlineStr">
        <is>
          <t>Float glass sheet of nominal thickness 4 mm (weight not less than 10kg/sqm).</t>
        </is>
      </c>
      <c r="C416" s="13" t="inlineStr">
        <is>
          <t>sqm</t>
        </is>
      </c>
      <c r="D416" s="15" t="n">
        <v>1.27</v>
      </c>
      <c r="E416" s="16" t="n">
        <v>300</v>
      </c>
      <c r="F416" s="16">
        <f>D416*E416</f>
        <v/>
      </c>
    </row>
    <row r="417">
      <c r="A417" s="13" t="inlineStr">
        <is>
          <t>0595</t>
        </is>
      </c>
      <c r="B417" s="14" t="inlineStr">
        <is>
          <t>Bright finished or black enamelled mild steel butt hinges 100x58x1.90 mm</t>
        </is>
      </c>
      <c r="C417" s="13" t="inlineStr">
        <is>
          <t>10 Nos</t>
        </is>
      </c>
      <c r="D417" s="15" t="n">
        <v>0.6</v>
      </c>
      <c r="E417" s="16" t="n">
        <v>80</v>
      </c>
      <c r="F417" s="16">
        <f>D417*E417</f>
        <v/>
      </c>
    </row>
    <row r="418">
      <c r="A418" s="13" t="inlineStr">
        <is>
          <t>0597</t>
        </is>
      </c>
      <c r="B418" s="14" t="inlineStr">
        <is>
          <t>Bright finished or black enamelled mild steel butt hinges50x37x1.50 mm</t>
        </is>
      </c>
      <c r="C418" s="13" t="inlineStr">
        <is>
          <t>10 Nos</t>
        </is>
      </c>
      <c r="D418" s="15" t="n">
        <v>0.2</v>
      </c>
      <c r="E418" s="16" t="n">
        <v>49</v>
      </c>
      <c r="F418" s="16">
        <f>D418*E418</f>
        <v/>
      </c>
    </row>
    <row r="419">
      <c r="A419" s="13" t="inlineStr">
        <is>
          <t>0637</t>
        </is>
      </c>
      <c r="B419" s="14" t="inlineStr">
        <is>
          <t>Bright finished or black enamelled mild steel screws 40 mm</t>
        </is>
      </c>
      <c r="C419" s="13" t="inlineStr">
        <is>
          <t>100 Nos</t>
        </is>
      </c>
      <c r="D419" s="15" t="n">
        <v>0.48</v>
      </c>
      <c r="E419" s="16" t="n">
        <v>60</v>
      </c>
      <c r="F419" s="16">
        <f>D419*E419</f>
        <v/>
      </c>
    </row>
    <row r="420">
      <c r="A420" s="13" t="inlineStr">
        <is>
          <t>0640</t>
        </is>
      </c>
      <c r="B420" s="14" t="inlineStr">
        <is>
          <t>Bright finished or black enamelled mild steel screws 20 mm</t>
        </is>
      </c>
      <c r="C420" s="13" t="inlineStr">
        <is>
          <t>100 Nos</t>
        </is>
      </c>
      <c r="D420" s="15" t="n">
        <v>0.08</v>
      </c>
      <c r="E420" s="16" t="n">
        <v>30</v>
      </c>
      <c r="F420" s="16">
        <f>D420*E420</f>
        <v/>
      </c>
    </row>
    <row r="421">
      <c r="A421" s="13" t="inlineStr">
        <is>
          <t>2204</t>
        </is>
      </c>
      <c r="B421" s="14" t="inlineStr">
        <is>
          <t>Carriage of Timber</t>
        </is>
      </c>
      <c r="C421" s="13" t="inlineStr">
        <is>
          <t>cum</t>
        </is>
      </c>
      <c r="D421" s="15" t="n">
        <v>0.05</v>
      </c>
      <c r="E421" s="16" t="n">
        <v>118.59</v>
      </c>
      <c r="F421" s="16">
        <f>D421*E421</f>
        <v/>
      </c>
    </row>
    <row r="422">
      <c r="A422" s="13" t="inlineStr">
        <is>
          <t>0156</t>
        </is>
      </c>
      <c r="B422" s="14" t="inlineStr">
        <is>
          <t>Carpenter (average)</t>
        </is>
      </c>
      <c r="C422" s="13" t="inlineStr">
        <is>
          <t>day</t>
        </is>
      </c>
      <c r="D422" s="15" t="n">
        <v>1.83</v>
      </c>
      <c r="E422" s="16" t="n">
        <v>709</v>
      </c>
      <c r="F422" s="16">
        <f>D422*E422</f>
        <v/>
      </c>
    </row>
    <row r="423">
      <c r="A423" s="13" t="inlineStr">
        <is>
          <t>0119</t>
        </is>
      </c>
      <c r="B423" s="14" t="inlineStr">
        <is>
          <t>Glazier</t>
        </is>
      </c>
      <c r="C423" s="13" t="inlineStr">
        <is>
          <t>day</t>
        </is>
      </c>
      <c r="D423" s="15" t="n">
        <v>0.23</v>
      </c>
      <c r="E423" s="16" t="n">
        <v>679</v>
      </c>
      <c r="F423" s="16">
        <f>D423*E423</f>
        <v/>
      </c>
    </row>
    <row r="424">
      <c r="A424" s="13" t="inlineStr">
        <is>
          <t>0114</t>
        </is>
      </c>
      <c r="B424" s="14" t="inlineStr">
        <is>
          <t>Beldar</t>
        </is>
      </c>
      <c r="C424" s="13" t="inlineStr">
        <is>
          <t>day</t>
        </is>
      </c>
      <c r="D424" s="15" t="n">
        <v>0.77</v>
      </c>
      <c r="E424" s="16" t="n">
        <v>558</v>
      </c>
      <c r="F424" s="16">
        <f>D424*E424</f>
        <v/>
      </c>
    </row>
    <row r="425">
      <c r="A425" s="13" t="inlineStr">
        <is>
          <t>9999</t>
        </is>
      </c>
      <c r="B425" s="14" t="inlineStr">
        <is>
          <t>Sundries</t>
        </is>
      </c>
      <c r="C425" s="13" t="inlineStr">
        <is>
          <t>L.S.</t>
        </is>
      </c>
      <c r="D425" s="15" t="n">
        <v>40.43</v>
      </c>
      <c r="E425" s="16" t="n">
        <v>2</v>
      </c>
      <c r="F425" s="16">
        <f>D425*E425</f>
        <v/>
      </c>
    </row>
    <row r="426">
      <c r="A426" s="17" t="inlineStr">
        <is>
          <t>Resource Total (Material + Labour + Machinery, as printed)</t>
        </is>
      </c>
      <c r="B426" s="18" t="n"/>
      <c r="C426" s="18" t="n"/>
      <c r="D426" s="18" t="n"/>
      <c r="E426" s="18" t="n"/>
      <c r="F426" s="19">
        <f>SUM(F415:F425)</f>
        <v/>
      </c>
    </row>
    <row r="427">
      <c r="A427" s="20" t="inlineStr">
        <is>
          <t>SAY (Rs.) — final DAR rate</t>
        </is>
      </c>
      <c r="B427" s="21" t="n"/>
      <c r="C427" s="21" t="n"/>
      <c r="D427" s="21" t="n"/>
      <c r="E427" s="21" t="n"/>
      <c r="F427" s="22" t="n">
        <v>3547.75</v>
      </c>
    </row>
    <row r="429" ht="18" customHeight="1">
      <c r="A429" s="9" t="inlineStr">
        <is>
          <t>9.10.1</t>
        </is>
      </c>
      <c r="B429" s="10" t="inlineStr">
        <is>
          <t>30 mm thick shutters</t>
        </is>
      </c>
      <c r="C429" s="11" t="n"/>
      <c r="D429" s="11" t="n"/>
      <c r="E429" s="11" t="n"/>
      <c r="F429" s="11" t="n"/>
    </row>
    <row r="430">
      <c r="A430" s="12" t="inlineStr">
        <is>
          <t>Rate basis: per sqm  (source: cost for 2.38 sqm)</t>
        </is>
      </c>
    </row>
    <row r="431">
      <c r="A431" s="5" t="inlineStr">
        <is>
          <t>Code</t>
        </is>
      </c>
      <c r="B431" s="5" t="inlineStr">
        <is>
          <t>Description</t>
        </is>
      </c>
      <c r="C431" s="5" t="inlineStr">
        <is>
          <t>Unit</t>
        </is>
      </c>
      <c r="D431" s="5" t="inlineStr">
        <is>
          <t>Quantity</t>
        </is>
      </c>
      <c r="E431" s="5" t="inlineStr">
        <is>
          <t>Rate (Rs.)</t>
        </is>
      </c>
      <c r="F431" s="5" t="inlineStr">
        <is>
          <t>Amount (Rs.)</t>
        </is>
      </c>
    </row>
    <row r="432">
      <c r="A432" s="13" t="inlineStr">
        <is>
          <t>7151</t>
        </is>
      </c>
      <c r="B432" s="14" t="inlineStr">
        <is>
          <t>Factory made 30 mm thick shutters with laminated veneer lumber styles rails as per TADS IS:1995 and panels of sheet glass using 10 kg/ sqm glass panes</t>
        </is>
      </c>
      <c r="C432" s="13" t="inlineStr">
        <is>
          <t>sqm</t>
        </is>
      </c>
      <c r="D432" s="15" t="n">
        <v>2.38</v>
      </c>
      <c r="E432" s="16" t="n">
        <v>1620</v>
      </c>
      <c r="F432" s="16">
        <f>D432*E432</f>
        <v/>
      </c>
    </row>
    <row r="433">
      <c r="A433" s="13" t="inlineStr">
        <is>
          <t>9977</t>
        </is>
      </c>
      <c r="B433" s="14" t="inlineStr">
        <is>
          <t>Carriage of shutters</t>
        </is>
      </c>
      <c r="C433" s="13" t="inlineStr">
        <is>
          <t>L.S.</t>
        </is>
      </c>
      <c r="D433" s="15" t="n">
        <v>29.64</v>
      </c>
      <c r="E433" s="16" t="n">
        <v>2</v>
      </c>
      <c r="F433" s="16">
        <f>D433*E433</f>
        <v/>
      </c>
    </row>
    <row r="434">
      <c r="A434" s="13" t="inlineStr">
        <is>
          <t>0156</t>
        </is>
      </c>
      <c r="B434" s="14" t="inlineStr">
        <is>
          <t>Carpenter (average)</t>
        </is>
      </c>
      <c r="C434" s="13" t="inlineStr">
        <is>
          <t>day</t>
        </is>
      </c>
      <c r="D434" s="15" t="n">
        <v>0.52</v>
      </c>
      <c r="E434" s="16" t="n">
        <v>709</v>
      </c>
      <c r="F434" s="16">
        <f>D434*E434</f>
        <v/>
      </c>
    </row>
    <row r="435">
      <c r="A435" s="13" t="inlineStr">
        <is>
          <t>0114</t>
        </is>
      </c>
      <c r="B435" s="14" t="inlineStr">
        <is>
          <t>Beldar</t>
        </is>
      </c>
      <c r="C435" s="13" t="inlineStr">
        <is>
          <t>day</t>
        </is>
      </c>
      <c r="D435" s="15" t="n">
        <v>0.6</v>
      </c>
      <c r="E435" s="16" t="n">
        <v>368</v>
      </c>
      <c r="F435" s="16">
        <f>D435*E435</f>
        <v/>
      </c>
    </row>
    <row r="436">
      <c r="A436" s="13" t="inlineStr">
        <is>
          <t>9999</t>
        </is>
      </c>
      <c r="B436" s="14" t="inlineStr">
        <is>
          <t>Sundries</t>
        </is>
      </c>
      <c r="C436" s="13" t="inlineStr">
        <is>
          <t>L.S.</t>
        </is>
      </c>
      <c r="D436" s="15" t="n">
        <v>35.88</v>
      </c>
      <c r="E436" s="16" t="n">
        <v>2</v>
      </c>
      <c r="F436" s="16">
        <f>D436*E436</f>
        <v/>
      </c>
    </row>
    <row r="437">
      <c r="A437" s="17" t="inlineStr">
        <is>
          <t>Resource Total (Material + Labour + Machinery, as printed)</t>
        </is>
      </c>
      <c r="B437" s="18" t="n"/>
      <c r="C437" s="18" t="n"/>
      <c r="D437" s="18" t="n"/>
      <c r="E437" s="18" t="n"/>
      <c r="F437" s="19">
        <f>SUM(F432:F436)</f>
        <v/>
      </c>
    </row>
    <row r="438">
      <c r="A438" s="20" t="inlineStr">
        <is>
          <t>SAY (Rs.) — final DAR rate</t>
        </is>
      </c>
      <c r="B438" s="21" t="n"/>
      <c r="C438" s="21" t="n"/>
      <c r="D438" s="21" t="n"/>
      <c r="E438" s="21" t="n"/>
      <c r="F438" s="22" t="n">
        <v>2572.5</v>
      </c>
    </row>
    <row r="440" ht="18" customHeight="1">
      <c r="A440" s="9" t="inlineStr">
        <is>
          <t>9.11.1</t>
        </is>
      </c>
      <c r="B440" s="10" t="inlineStr">
        <is>
          <t>5.0 mm thick instead of 4 mm thick.</t>
        </is>
      </c>
      <c r="C440" s="11" t="n"/>
      <c r="D440" s="11" t="n"/>
      <c r="E440" s="11" t="n"/>
      <c r="F440" s="11" t="n"/>
    </row>
    <row r="441">
      <c r="A441" s="12" t="inlineStr">
        <is>
          <t>Rate basis: per nos  (source: cost for 1 nos)</t>
        </is>
      </c>
    </row>
    <row r="442">
      <c r="A442" s="5" t="inlineStr">
        <is>
          <t>Code</t>
        </is>
      </c>
      <c r="B442" s="5" t="inlineStr">
        <is>
          <t>Description</t>
        </is>
      </c>
      <c r="C442" s="5" t="inlineStr">
        <is>
          <t>Unit</t>
        </is>
      </c>
      <c r="D442" s="5" t="inlineStr">
        <is>
          <t>Quantity</t>
        </is>
      </c>
      <c r="E442" s="5" t="inlineStr">
        <is>
          <t>Rate (Rs.)</t>
        </is>
      </c>
      <c r="F442" s="5" t="inlineStr">
        <is>
          <t>Amount (Rs.)</t>
        </is>
      </c>
    </row>
    <row r="443">
      <c r="A443" s="13" t="inlineStr">
        <is>
          <t>2407</t>
        </is>
      </c>
      <c r="B443" s="14" t="inlineStr">
        <is>
          <t>Float glass sheet of nominal thickness 5.0 mm.(weight not less than 12.50 kg/ sqm).</t>
        </is>
      </c>
      <c r="C443" s="13" t="inlineStr">
        <is>
          <t>sqm</t>
        </is>
      </c>
      <c r="D443" s="15" t="n">
        <v>1</v>
      </c>
      <c r="E443" s="16" t="n">
        <v>500</v>
      </c>
      <c r="F443" s="16">
        <f>D443*E443</f>
        <v/>
      </c>
    </row>
    <row r="444">
      <c r="A444" s="17" t="inlineStr">
        <is>
          <t>Resource Total (Material + Labour + Machinery, as printed)</t>
        </is>
      </c>
      <c r="B444" s="18" t="n"/>
      <c r="C444" s="18" t="n"/>
      <c r="D444" s="18" t="n"/>
      <c r="E444" s="18" t="n"/>
      <c r="F444" s="19">
        <f>SUM(F443:F443)</f>
        <v/>
      </c>
    </row>
    <row r="445">
      <c r="A445" s="20" t="inlineStr">
        <is>
          <t>SAY (Rs.) — final DAR rate</t>
        </is>
      </c>
      <c r="B445" s="21" t="n"/>
      <c r="C445" s="21" t="n"/>
      <c r="D445" s="21" t="n"/>
      <c r="E445" s="21" t="n"/>
      <c r="F445" s="22" t="n">
        <v>267.6</v>
      </c>
    </row>
    <row r="447" ht="28" customHeight="1">
      <c r="A447" s="9" t="inlineStr">
        <is>
          <t>9.12</t>
        </is>
      </c>
      <c r="B447" s="10" t="inlineStr">
        <is>
          <t xml:space="preserve">Extra for providing frosted glass panes 4 mm thick instead of ordinary float glass panes 4 mm thick in doors, windows and clerestory window </t>
        </is>
      </c>
      <c r="C447" s="11" t="n"/>
      <c r="D447" s="11" t="n"/>
      <c r="E447" s="11" t="n"/>
      <c r="F447" s="11" t="n"/>
    </row>
    <row r="448">
      <c r="A448" s="12" t="inlineStr">
        <is>
          <t>Rate basis: per nos  (source: cost for 1 nos)</t>
        </is>
      </c>
    </row>
    <row r="449">
      <c r="A449" s="5" t="inlineStr">
        <is>
          <t>Code</t>
        </is>
      </c>
      <c r="B449" s="5" t="inlineStr">
        <is>
          <t>Description</t>
        </is>
      </c>
      <c r="C449" s="5" t="inlineStr">
        <is>
          <t>Unit</t>
        </is>
      </c>
      <c r="D449" s="5" t="inlineStr">
        <is>
          <t>Quantity</t>
        </is>
      </c>
      <c r="E449" s="5" t="inlineStr">
        <is>
          <t>Rate (Rs.)</t>
        </is>
      </c>
      <c r="F449" s="5" t="inlineStr">
        <is>
          <t>Amount (Rs.)</t>
        </is>
      </c>
    </row>
    <row r="450">
      <c r="A450" s="13" t="inlineStr">
        <is>
          <t>7032</t>
        </is>
      </c>
      <c r="B450" s="14" t="inlineStr">
        <is>
          <t>Frosted glass sheet of nominal thickness 4 mm (weighing not less than 10 kg/sqm)</t>
        </is>
      </c>
      <c r="C450" s="13" t="inlineStr">
        <is>
          <t>sqm</t>
        </is>
      </c>
      <c r="D450" s="15" t="n">
        <v>1</v>
      </c>
      <c r="E450" s="16" t="n">
        <v>460</v>
      </c>
      <c r="F450" s="16">
        <f>D450*E450</f>
        <v/>
      </c>
    </row>
    <row r="451">
      <c r="A451" s="17" t="inlineStr">
        <is>
          <t>Resource Total (Material + Labour + Machinery, as printed)</t>
        </is>
      </c>
      <c r="B451" s="18" t="n"/>
      <c r="C451" s="18" t="n"/>
      <c r="D451" s="18" t="n"/>
      <c r="E451" s="18" t="n"/>
      <c r="F451" s="19">
        <f>SUM(F450:F450)</f>
        <v/>
      </c>
    </row>
    <row r="452">
      <c r="A452" s="20" t="inlineStr">
        <is>
          <t>SAY (Rs.) — final DAR rate</t>
        </is>
      </c>
      <c r="B452" s="21" t="n"/>
      <c r="C452" s="21" t="n"/>
      <c r="D452" s="21" t="n"/>
      <c r="E452" s="21" t="n"/>
      <c r="F452" s="22" t="n">
        <v>214.05</v>
      </c>
    </row>
    <row r="454" ht="28" customHeight="1">
      <c r="A454" s="9" t="inlineStr">
        <is>
          <t>9.13</t>
        </is>
      </c>
      <c r="B454" s="10" t="inlineStr">
        <is>
          <t>Deduct for providing pin headed glass panes instead of ordinary float glass panes weighing 4 mm thick in doors, windows and clerestory windo</t>
        </is>
      </c>
      <c r="C454" s="11" t="n"/>
      <c r="D454" s="11" t="n"/>
      <c r="E454" s="11" t="n"/>
      <c r="F454" s="11" t="n"/>
    </row>
    <row r="455">
      <c r="A455" s="12" t="inlineStr">
        <is>
          <t>Rate basis: per nos  (source: cost for 1 nos)</t>
        </is>
      </c>
    </row>
    <row r="456">
      <c r="A456" s="5" t="inlineStr">
        <is>
          <t>Code</t>
        </is>
      </c>
      <c r="B456" s="5" t="inlineStr">
        <is>
          <t>Description</t>
        </is>
      </c>
      <c r="C456" s="5" t="inlineStr">
        <is>
          <t>Unit</t>
        </is>
      </c>
      <c r="D456" s="5" t="inlineStr">
        <is>
          <t>Quantity</t>
        </is>
      </c>
      <c r="E456" s="5" t="inlineStr">
        <is>
          <t>Rate (Rs.)</t>
        </is>
      </c>
      <c r="F456" s="5" t="inlineStr">
        <is>
          <t>Amount (Rs.)</t>
        </is>
      </c>
    </row>
    <row r="457">
      <c r="A457" s="13" t="inlineStr">
        <is>
          <t>7451</t>
        </is>
      </c>
      <c r="B457" s="14" t="inlineStr">
        <is>
          <t>Glass sheet (Pin headed) 4 mm thick</t>
        </is>
      </c>
      <c r="C457" s="13" t="inlineStr">
        <is>
          <t>sqm</t>
        </is>
      </c>
      <c r="D457" s="15" t="n">
        <v>1</v>
      </c>
      <c r="E457" s="16" t="n">
        <v>305</v>
      </c>
      <c r="F457" s="16">
        <f>D457*E457</f>
        <v/>
      </c>
    </row>
    <row r="458">
      <c r="A458" s="17" t="inlineStr">
        <is>
          <t>Resource Total (Material + Labour + Machinery, as printed)</t>
        </is>
      </c>
      <c r="B458" s="18" t="n"/>
      <c r="C458" s="18" t="n"/>
      <c r="D458" s="18" t="n"/>
      <c r="E458" s="18" t="n"/>
      <c r="F458" s="19">
        <f>SUM(F457:F457)</f>
        <v/>
      </c>
    </row>
    <row r="459">
      <c r="A459" s="20" t="inlineStr">
        <is>
          <t>SAY (Rs.) — final DAR rate</t>
        </is>
      </c>
      <c r="B459" s="21" t="n"/>
      <c r="C459" s="21" t="n"/>
      <c r="D459" s="21" t="n"/>
      <c r="E459" s="21" t="n"/>
      <c r="F459" s="22" t="n">
        <v>6.7</v>
      </c>
    </row>
    <row r="461" ht="28" customHeight="1">
      <c r="A461" s="9" t="inlineStr">
        <is>
          <t>9.14</t>
        </is>
      </c>
      <c r="B461" s="10" t="inlineStr">
        <is>
          <t>Extra for providing ISI marked Stainless Steel butt hinges instead of M.S. pressed butt hinges bright finished of required size with necessa</t>
        </is>
      </c>
      <c r="C461" s="11" t="n"/>
      <c r="D461" s="11" t="n"/>
      <c r="E461" s="11" t="n"/>
      <c r="F461" s="11" t="n"/>
    </row>
    <row r="462">
      <c r="A462" s="12" t="inlineStr">
        <is>
          <t>Rate basis: per sqm  (source: cost for 2.16 sqm)</t>
        </is>
      </c>
    </row>
    <row r="463">
      <c r="A463" s="5" t="inlineStr">
        <is>
          <t>Code</t>
        </is>
      </c>
      <c r="B463" s="5" t="inlineStr">
        <is>
          <t>Description</t>
        </is>
      </c>
      <c r="C463" s="5" t="inlineStr">
        <is>
          <t>Unit</t>
        </is>
      </c>
      <c r="D463" s="5" t="inlineStr">
        <is>
          <t>Quantity</t>
        </is>
      </c>
      <c r="E463" s="5" t="inlineStr">
        <is>
          <t>Rate (Rs.)</t>
        </is>
      </c>
      <c r="F463" s="5" t="inlineStr">
        <is>
          <t>Amount (Rs.)</t>
        </is>
      </c>
    </row>
    <row r="464">
      <c r="A464" s="13" t="inlineStr">
        <is>
          <t>8220</t>
        </is>
      </c>
      <c r="B464" s="14" t="inlineStr">
        <is>
          <t>Stainless steel butt hinges (heavy weight) 100x60x2.5 mm IS : 12817 marked</t>
        </is>
      </c>
      <c r="C464" s="13" t="inlineStr">
        <is>
          <t>10 Nos</t>
        </is>
      </c>
      <c r="D464" s="15" t="n">
        <v>0.6</v>
      </c>
      <c r="E464" s="16" t="n">
        <v>255</v>
      </c>
      <c r="F464" s="16">
        <f>D464*E464</f>
        <v/>
      </c>
    </row>
    <row r="465">
      <c r="A465" s="13" t="inlineStr">
        <is>
          <t>8218</t>
        </is>
      </c>
      <c r="B465" s="14" t="inlineStr">
        <is>
          <t>Stainless steel butt hinges 50x37x 1.5 mm IS : 12817 marked</t>
        </is>
      </c>
      <c r="C465" s="13" t="inlineStr">
        <is>
          <t>10 Nos</t>
        </is>
      </c>
      <c r="D465" s="15" t="n">
        <v>0.2</v>
      </c>
      <c r="E465" s="16" t="n">
        <v>135</v>
      </c>
      <c r="F465" s="16">
        <f>D465*E465</f>
        <v/>
      </c>
    </row>
    <row r="466">
      <c r="A466" s="13" t="inlineStr">
        <is>
          <t>8211</t>
        </is>
      </c>
      <c r="B466" s="14" t="inlineStr">
        <is>
          <t>Stainless steel screws 40 mm</t>
        </is>
      </c>
      <c r="C466" s="13" t="inlineStr">
        <is>
          <t>100 Nos</t>
        </is>
      </c>
      <c r="D466" s="15" t="n">
        <v>0.48</v>
      </c>
      <c r="E466" s="16" t="n">
        <v>215</v>
      </c>
      <c r="F466" s="16">
        <f>D466*E466</f>
        <v/>
      </c>
    </row>
    <row r="467">
      <c r="A467" s="13" t="inlineStr">
        <is>
          <t>8214</t>
        </is>
      </c>
      <c r="B467" s="14" t="inlineStr">
        <is>
          <t>Stainless steel screws 20 mm</t>
        </is>
      </c>
      <c r="C467" s="13" t="inlineStr">
        <is>
          <t>100 Nos</t>
        </is>
      </c>
      <c r="D467" s="15" t="n">
        <v>0.08</v>
      </c>
      <c r="E467" s="16" t="n">
        <v>125</v>
      </c>
      <c r="F467" s="16">
        <f>D467*E467</f>
        <v/>
      </c>
    </row>
    <row r="468">
      <c r="A468" s="17" t="inlineStr">
        <is>
          <t>Resource Total (Material + Labour + Machinery, as printed)</t>
        </is>
      </c>
      <c r="B468" s="18" t="n"/>
      <c r="C468" s="18" t="n"/>
      <c r="D468" s="18" t="n"/>
      <c r="E468" s="18" t="n"/>
      <c r="F468" s="19">
        <f>SUM(F464:F467)</f>
        <v/>
      </c>
    </row>
    <row r="469">
      <c r="A469" s="20" t="inlineStr">
        <is>
          <t>SAY (Rs.) — final DAR rate</t>
        </is>
      </c>
      <c r="B469" s="21" t="n"/>
      <c r="C469" s="21" t="n"/>
      <c r="D469" s="21" t="n"/>
      <c r="E469" s="21" t="n"/>
      <c r="F469" s="22" t="n">
        <v>126.5</v>
      </c>
    </row>
    <row r="471" ht="18" customHeight="1">
      <c r="A471" s="9" t="inlineStr">
        <is>
          <t>9.15.1.1</t>
        </is>
      </c>
      <c r="B471" s="10" t="inlineStr">
        <is>
          <t>For 2nd class teak wood and other class of wood shutters</t>
        </is>
      </c>
      <c r="C471" s="11" t="n"/>
      <c r="D471" s="11" t="n"/>
      <c r="E471" s="11" t="n"/>
      <c r="F471" s="11" t="n"/>
    </row>
    <row r="472">
      <c r="A472" s="12" t="inlineStr">
        <is>
          <t>Rate basis: per sqm  (source: cost for 2.16 sqm)</t>
        </is>
      </c>
    </row>
    <row r="473">
      <c r="A473" s="5" t="inlineStr">
        <is>
          <t>Code</t>
        </is>
      </c>
      <c r="B473" s="5" t="inlineStr">
        <is>
          <t>Description</t>
        </is>
      </c>
      <c r="C473" s="5" t="inlineStr">
        <is>
          <t>Unit</t>
        </is>
      </c>
      <c r="D473" s="5" t="inlineStr">
        <is>
          <t>Quantity</t>
        </is>
      </c>
      <c r="E473" s="5" t="inlineStr">
        <is>
          <t>Rate (Rs.)</t>
        </is>
      </c>
      <c r="F473" s="5" t="inlineStr">
        <is>
          <t>Amount (Rs.)</t>
        </is>
      </c>
    </row>
    <row r="474">
      <c r="A474" s="13" t="inlineStr">
        <is>
          <t>8220</t>
        </is>
      </c>
      <c r="B474" s="14" t="inlineStr">
        <is>
          <t>Stainless steel butt hinges (heavy weight) 100x60x2.5 mm IS : 12817 marked</t>
        </is>
      </c>
      <c r="C474" s="13" t="inlineStr">
        <is>
          <t>10 Nos</t>
        </is>
      </c>
      <c r="D474" s="15" t="n">
        <v>0.6</v>
      </c>
      <c r="E474" s="16" t="n">
        <v>255</v>
      </c>
      <c r="F474" s="16">
        <f>D474*E474</f>
        <v/>
      </c>
    </row>
    <row r="475">
      <c r="A475" s="13" t="inlineStr">
        <is>
          <t>8218</t>
        </is>
      </c>
      <c r="B475" s="14" t="inlineStr">
        <is>
          <t>Stainless steel butt hinges 50x37x 1.5 mm IS : 12817 marked</t>
        </is>
      </c>
      <c r="C475" s="13" t="inlineStr">
        <is>
          <t>10 Nos</t>
        </is>
      </c>
      <c r="D475" s="15" t="n">
        <v>0.2</v>
      </c>
      <c r="E475" s="16" t="n">
        <v>135</v>
      </c>
      <c r="F475" s="16">
        <f>D475*E475</f>
        <v/>
      </c>
    </row>
    <row r="476">
      <c r="A476" s="13" t="inlineStr">
        <is>
          <t>8211</t>
        </is>
      </c>
      <c r="B476" s="14" t="inlineStr">
        <is>
          <t>Stainless steel screws 40 mm</t>
        </is>
      </c>
      <c r="C476" s="13" t="inlineStr">
        <is>
          <t>100 Nos</t>
        </is>
      </c>
      <c r="D476" s="15" t="n">
        <v>0.48</v>
      </c>
      <c r="E476" s="16" t="n">
        <v>215</v>
      </c>
      <c r="F476" s="16">
        <f>D476*E476</f>
        <v/>
      </c>
    </row>
    <row r="477">
      <c r="A477" s="13" t="inlineStr">
        <is>
          <t>8214</t>
        </is>
      </c>
      <c r="B477" s="14" t="inlineStr">
        <is>
          <t>Stainless steel screws 20 mm</t>
        </is>
      </c>
      <c r="C477" s="13" t="inlineStr">
        <is>
          <t>100 Nos</t>
        </is>
      </c>
      <c r="D477" s="15" t="n">
        <v>0.08</v>
      </c>
      <c r="E477" s="16" t="n">
        <v>125</v>
      </c>
      <c r="F477" s="16">
        <f>D477*E477</f>
        <v/>
      </c>
    </row>
    <row r="478">
      <c r="A478" s="17" t="inlineStr">
        <is>
          <t>Resource Total (Material + Labour + Machinery, as printed)</t>
        </is>
      </c>
      <c r="B478" s="18" t="n"/>
      <c r="C478" s="18" t="n"/>
      <c r="D478" s="18" t="n"/>
      <c r="E478" s="18" t="n"/>
      <c r="F478" s="19">
        <f>SUM(F474:F477)</f>
        <v/>
      </c>
    </row>
    <row r="479">
      <c r="A479" s="20" t="inlineStr">
        <is>
          <t>SAY (Rs.) — final DAR rate</t>
        </is>
      </c>
      <c r="B479" s="21" t="n"/>
      <c r="C479" s="21" t="n"/>
      <c r="D479" s="21" t="n"/>
      <c r="E479" s="21" t="n"/>
      <c r="F479" s="22" t="n">
        <v>181.6</v>
      </c>
    </row>
    <row r="481" ht="18" customHeight="1">
      <c r="A481" s="9" t="inlineStr">
        <is>
          <t>9.15.2.1</t>
        </is>
      </c>
      <c r="B481" s="10" t="inlineStr">
        <is>
          <t>For 2nd class teak wood and other class of wood shutters</t>
        </is>
      </c>
      <c r="C481" s="11" t="n"/>
      <c r="D481" s="11" t="n"/>
      <c r="E481" s="11" t="n"/>
      <c r="F481" s="11" t="n"/>
    </row>
    <row r="482">
      <c r="A482" s="12" t="inlineStr">
        <is>
          <t>Rate basis: per sqm  (source: cost for 2.16 sqm)</t>
        </is>
      </c>
    </row>
    <row r="483">
      <c r="A483" s="5" t="inlineStr">
        <is>
          <t>Code</t>
        </is>
      </c>
      <c r="B483" s="5" t="inlineStr">
        <is>
          <t>Description</t>
        </is>
      </c>
      <c r="C483" s="5" t="inlineStr">
        <is>
          <t>Unit</t>
        </is>
      </c>
      <c r="D483" s="5" t="inlineStr">
        <is>
          <t>Quantity</t>
        </is>
      </c>
      <c r="E483" s="5" t="inlineStr">
        <is>
          <t>Rate (Rs.)</t>
        </is>
      </c>
      <c r="F483" s="5" t="inlineStr">
        <is>
          <t>Amount (Rs.)</t>
        </is>
      </c>
    </row>
    <row r="484">
      <c r="A484" s="13" t="inlineStr">
        <is>
          <t>0595</t>
        </is>
      </c>
      <c r="B484" s="14" t="inlineStr">
        <is>
          <t>Bright finished or black enamelled mild steel butt hinges 100x58x1.90 mm</t>
        </is>
      </c>
      <c r="C484" s="13" t="inlineStr">
        <is>
          <t>10 Nos</t>
        </is>
      </c>
      <c r="D484" s="15" t="n">
        <v>0.6</v>
      </c>
      <c r="E484" s="16" t="n">
        <v>80</v>
      </c>
      <c r="F484" s="16">
        <f>D484*E484</f>
        <v/>
      </c>
    </row>
    <row r="485">
      <c r="A485" s="13" t="inlineStr">
        <is>
          <t>0597</t>
        </is>
      </c>
      <c r="B485" s="14" t="inlineStr">
        <is>
          <t>Bright finished or black enamelled mild steel butt hinges50x37x1.50 mm</t>
        </is>
      </c>
      <c r="C485" s="13" t="inlineStr">
        <is>
          <t>10 Nos</t>
        </is>
      </c>
      <c r="D485" s="15" t="n">
        <v>0.2</v>
      </c>
      <c r="E485" s="16" t="n">
        <v>49</v>
      </c>
      <c r="F485" s="16">
        <f>D485*E485</f>
        <v/>
      </c>
    </row>
    <row r="486">
      <c r="A486" s="13" t="inlineStr">
        <is>
          <t>0637</t>
        </is>
      </c>
      <c r="B486" s="14" t="inlineStr">
        <is>
          <t>Bright finished or black enamelled mild steel screws 40 mm</t>
        </is>
      </c>
      <c r="C486" s="13" t="inlineStr">
        <is>
          <t>100 Nos</t>
        </is>
      </c>
      <c r="D486" s="15" t="n">
        <v>0.48</v>
      </c>
      <c r="E486" s="16" t="n">
        <v>60</v>
      </c>
      <c r="F486" s="16">
        <f>D486*E486</f>
        <v/>
      </c>
    </row>
    <row r="487">
      <c r="A487" s="13" t="inlineStr">
        <is>
          <t>0640</t>
        </is>
      </c>
      <c r="B487" s="14" t="inlineStr">
        <is>
          <t>Bright finished or black enamelled mild steel screws 20 mm</t>
        </is>
      </c>
      <c r="C487" s="13" t="inlineStr">
        <is>
          <t>100 Nos</t>
        </is>
      </c>
      <c r="D487" s="15" t="n">
        <v>0.08</v>
      </c>
      <c r="E487" s="16" t="n">
        <v>30</v>
      </c>
      <c r="F487" s="16">
        <f>D487*E487</f>
        <v/>
      </c>
    </row>
    <row r="488">
      <c r="A488" s="17" t="inlineStr">
        <is>
          <t>Resource Total (Material + Labour + Machinery, as printed)</t>
        </is>
      </c>
      <c r="B488" s="18" t="n"/>
      <c r="C488" s="18" t="n"/>
      <c r="D488" s="18" t="n"/>
      <c r="E488" s="18" t="n"/>
      <c r="F488" s="19">
        <f>SUM(F484:F487)</f>
        <v/>
      </c>
    </row>
    <row r="489">
      <c r="A489" s="20" t="inlineStr">
        <is>
          <t>SAY (Rs.) — final DAR rate</t>
        </is>
      </c>
      <c r="B489" s="21" t="n"/>
      <c r="C489" s="21" t="n"/>
      <c r="D489" s="21" t="n"/>
      <c r="E489" s="21" t="n"/>
      <c r="F489" s="22" t="n">
        <v>55.15</v>
      </c>
    </row>
    <row r="491" ht="28" customHeight="1">
      <c r="A491" s="9" t="inlineStr">
        <is>
          <t>9.16.1.1</t>
        </is>
      </c>
      <c r="B491" s="10" t="inlineStr">
        <is>
          <t>Second class teak wood including ISI marked anodised aluminium butt hinges with necessary screws</t>
        </is>
      </c>
      <c r="C491" s="11" t="n"/>
      <c r="D491" s="11" t="n"/>
      <c r="E491" s="11" t="n"/>
      <c r="F491" s="11" t="n"/>
    </row>
    <row r="492">
      <c r="A492" s="12" t="inlineStr">
        <is>
          <t>Rate basis: per sqm  (source: cost for 2.16 sqm)</t>
        </is>
      </c>
    </row>
    <row r="493">
      <c r="A493" s="5" t="inlineStr">
        <is>
          <t>Code</t>
        </is>
      </c>
      <c r="B493" s="5" t="inlineStr">
        <is>
          <t>Description</t>
        </is>
      </c>
      <c r="C493" s="5" t="inlineStr">
        <is>
          <t>Unit</t>
        </is>
      </c>
      <c r="D493" s="5" t="inlineStr">
        <is>
          <t>Quantity</t>
        </is>
      </c>
      <c r="E493" s="5" t="inlineStr">
        <is>
          <t>Rate (Rs.)</t>
        </is>
      </c>
      <c r="F493" s="5" t="inlineStr">
        <is>
          <t>Amount (Rs.)</t>
        </is>
      </c>
    </row>
    <row r="494">
      <c r="A494" s="13" t="inlineStr">
        <is>
          <t>2204</t>
        </is>
      </c>
      <c r="B494" s="14" t="inlineStr">
        <is>
          <t>Carriage of Timber</t>
        </is>
      </c>
      <c r="C494" s="13" t="inlineStr">
        <is>
          <t>cum</t>
        </is>
      </c>
      <c r="D494" s="15" t="n">
        <v>0.04</v>
      </c>
      <c r="E494" s="16" t="n">
        <v>118.59</v>
      </c>
      <c r="F494" s="16">
        <f>D494*E494</f>
        <v/>
      </c>
    </row>
    <row r="495">
      <c r="A495" s="13" t="inlineStr">
        <is>
          <t>2406</t>
        </is>
      </c>
      <c r="B495" s="14" t="inlineStr">
        <is>
          <t>Float glass sheet of nominal thickness 4 mm (weight not less than 10kg/sqm).</t>
        </is>
      </c>
      <c r="C495" s="13" t="inlineStr">
        <is>
          <t>sqm</t>
        </is>
      </c>
      <c r="D495" s="15" t="n">
        <v>0.99</v>
      </c>
      <c r="E495" s="16" t="n">
        <v>300</v>
      </c>
      <c r="F495" s="16">
        <f>D495*E495</f>
        <v/>
      </c>
    </row>
    <row r="496">
      <c r="A496" s="13" t="inlineStr">
        <is>
          <t>0694</t>
        </is>
      </c>
      <c r="B496" s="14" t="inlineStr">
        <is>
          <t>Anodised Aluminium butt hinges 75x45x3.2 mm</t>
        </is>
      </c>
      <c r="C496" s="13" t="inlineStr">
        <is>
          <t>10 Nos</t>
        </is>
      </c>
      <c r="D496" s="15" t="n">
        <v>0.6</v>
      </c>
      <c r="E496" s="16" t="n">
        <v>196</v>
      </c>
      <c r="F496" s="16">
        <f>D496*E496</f>
        <v/>
      </c>
    </row>
    <row r="497">
      <c r="A497" s="13" t="inlineStr">
        <is>
          <t>0586</t>
        </is>
      </c>
      <c r="B497" s="14" t="inlineStr">
        <is>
          <t>Chromium plated Brass screws 40 mm</t>
        </is>
      </c>
      <c r="C497" s="13" t="inlineStr">
        <is>
          <t>100 Nos</t>
        </is>
      </c>
      <c r="D497" s="15" t="n">
        <v>0.48</v>
      </c>
      <c r="E497" s="16" t="n">
        <v>290</v>
      </c>
      <c r="F497" s="16">
        <f>D497*E497</f>
        <v/>
      </c>
    </row>
    <row r="498">
      <c r="A498" s="13" t="inlineStr">
        <is>
          <t>0111</t>
        </is>
      </c>
      <c r="B498" s="14" t="inlineStr">
        <is>
          <t>Carpenter 1st class</t>
        </is>
      </c>
      <c r="C498" s="13" t="inlineStr">
        <is>
          <t>day</t>
        </is>
      </c>
      <c r="D498" s="15" t="n">
        <v>2.4</v>
      </c>
      <c r="E498" s="16" t="n">
        <v>738</v>
      </c>
      <c r="F498" s="16">
        <f>D498*E498</f>
        <v/>
      </c>
    </row>
    <row r="499">
      <c r="A499" s="13" t="inlineStr">
        <is>
          <t>0119</t>
        </is>
      </c>
      <c r="B499" s="14" t="inlineStr">
        <is>
          <t>Glazier</t>
        </is>
      </c>
      <c r="C499" s="13" t="inlineStr">
        <is>
          <t>day</t>
        </is>
      </c>
      <c r="D499" s="15" t="n">
        <v>0.18</v>
      </c>
      <c r="E499" s="16" t="n">
        <v>679</v>
      </c>
      <c r="F499" s="16">
        <f>D499*E499</f>
        <v/>
      </c>
    </row>
    <row r="500">
      <c r="A500" s="13" t="inlineStr">
        <is>
          <t>0114</t>
        </is>
      </c>
      <c r="B500" s="14" t="inlineStr">
        <is>
          <t>Beldar</t>
        </is>
      </c>
      <c r="C500" s="13" t="inlineStr">
        <is>
          <t>day</t>
        </is>
      </c>
      <c r="D500" s="15" t="n">
        <v>0.77</v>
      </c>
      <c r="E500" s="16" t="n">
        <v>558</v>
      </c>
      <c r="F500" s="16">
        <f>D500*E500</f>
        <v/>
      </c>
    </row>
    <row r="501">
      <c r="A501" s="13" t="inlineStr">
        <is>
          <t>9999</t>
        </is>
      </c>
      <c r="B501" s="14" t="inlineStr">
        <is>
          <t>Sundries</t>
        </is>
      </c>
      <c r="C501" s="13" t="inlineStr">
        <is>
          <t>L.S.</t>
        </is>
      </c>
      <c r="D501" s="15" t="n">
        <v>40.43</v>
      </c>
      <c r="E501" s="16" t="n">
        <v>2</v>
      </c>
      <c r="F501" s="16">
        <f>D501*E501</f>
        <v/>
      </c>
    </row>
    <row r="502">
      <c r="A502" s="17" t="inlineStr">
        <is>
          <t>Resource Total (Material + Labour + Machinery, as printed)</t>
        </is>
      </c>
      <c r="B502" s="18" t="n"/>
      <c r="C502" s="18" t="n"/>
      <c r="D502" s="18" t="n"/>
      <c r="E502" s="18" t="n"/>
      <c r="F502" s="19">
        <f>SUM(F494:F501)</f>
        <v/>
      </c>
    </row>
    <row r="503">
      <c r="A503" s="20" t="inlineStr">
        <is>
          <t>SAY (Rs.) — final DAR rate</t>
        </is>
      </c>
      <c r="B503" s="21" t="n"/>
      <c r="C503" s="21" t="n"/>
      <c r="D503" s="21" t="n"/>
      <c r="E503" s="21" t="n"/>
      <c r="F503" s="22" t="n">
        <v>3794.85</v>
      </c>
    </row>
    <row r="505" ht="28" customHeight="1">
      <c r="A505" s="9" t="inlineStr">
        <is>
          <t>9.16.1.2</t>
        </is>
      </c>
      <c r="B505" s="10" t="inlineStr">
        <is>
          <t>Second class teak wood including iSi marked nickel plated bright finished M.S. piano hinges with necessary screws</t>
        </is>
      </c>
      <c r="C505" s="11" t="n"/>
      <c r="D505" s="11" t="n"/>
      <c r="E505" s="11" t="n"/>
      <c r="F505" s="11" t="n"/>
    </row>
    <row r="506">
      <c r="A506" s="12" t="inlineStr">
        <is>
          <t>Rate basis: per sqm  (source: cost for 2.16 sqm)</t>
        </is>
      </c>
    </row>
    <row r="507">
      <c r="A507" s="5" t="inlineStr">
        <is>
          <t>Code</t>
        </is>
      </c>
      <c r="B507" s="5" t="inlineStr">
        <is>
          <t>Description</t>
        </is>
      </c>
      <c r="C507" s="5" t="inlineStr">
        <is>
          <t>Unit</t>
        </is>
      </c>
      <c r="D507" s="5" t="inlineStr">
        <is>
          <t>Quantity</t>
        </is>
      </c>
      <c r="E507" s="5" t="inlineStr">
        <is>
          <t>Rate (Rs.)</t>
        </is>
      </c>
      <c r="F507" s="5" t="inlineStr">
        <is>
          <t>Amount (Rs.)</t>
        </is>
      </c>
    </row>
    <row r="508">
      <c r="A508" s="13" t="inlineStr">
        <is>
          <t>2204</t>
        </is>
      </c>
      <c r="B508" s="14" t="inlineStr">
        <is>
          <t>Carriage of Timber</t>
        </is>
      </c>
      <c r="C508" s="13" t="inlineStr">
        <is>
          <t>cum</t>
        </is>
      </c>
      <c r="D508" s="15" t="n">
        <v>0.04</v>
      </c>
      <c r="E508" s="16" t="n">
        <v>118.59</v>
      </c>
      <c r="F508" s="16">
        <f>D508*E508</f>
        <v/>
      </c>
    </row>
    <row r="509">
      <c r="A509" s="13" t="inlineStr">
        <is>
          <t>2406</t>
        </is>
      </c>
      <c r="B509" s="14" t="inlineStr">
        <is>
          <t>Float glass sheet of nominal thickness 4 mm (weight not less than 10kg/sqm).</t>
        </is>
      </c>
      <c r="C509" s="13" t="inlineStr">
        <is>
          <t>sqm</t>
        </is>
      </c>
      <c r="D509" s="15" t="n">
        <v>0.99</v>
      </c>
      <c r="E509" s="16" t="n">
        <v>300</v>
      </c>
      <c r="F509" s="16">
        <f>D509*E509</f>
        <v/>
      </c>
    </row>
    <row r="510">
      <c r="A510" s="13" t="inlineStr">
        <is>
          <t>0608</t>
        </is>
      </c>
      <c r="B510" s="14" t="inlineStr">
        <is>
          <t>Nickel plated mild steel piono hinges 1 mm thick 25 mm wide</t>
        </is>
      </c>
      <c r="C510" s="13" t="inlineStr">
        <is>
          <t>metre</t>
        </is>
      </c>
      <c r="D510" s="15" t="n">
        <v>4</v>
      </c>
      <c r="E510" s="16" t="n">
        <v>39</v>
      </c>
      <c r="F510" s="16">
        <f>D510*E510</f>
        <v/>
      </c>
    </row>
    <row r="511">
      <c r="A511" s="13" t="inlineStr">
        <is>
          <t>0586</t>
        </is>
      </c>
      <c r="B511" s="14" t="inlineStr">
        <is>
          <t>Chromium plated Brass screws 40 mm</t>
        </is>
      </c>
      <c r="C511" s="13" t="inlineStr">
        <is>
          <t>100 Nos</t>
        </is>
      </c>
      <c r="D511" s="15" t="n">
        <v>1.14</v>
      </c>
      <c r="E511" s="16" t="n">
        <v>290</v>
      </c>
      <c r="F511" s="16">
        <f>D511*E511</f>
        <v/>
      </c>
    </row>
    <row r="512">
      <c r="A512" s="13" t="inlineStr">
        <is>
          <t>0111</t>
        </is>
      </c>
      <c r="B512" s="14" t="inlineStr">
        <is>
          <t>Carpenter 1st class</t>
        </is>
      </c>
      <c r="C512" s="13" t="inlineStr">
        <is>
          <t>day</t>
        </is>
      </c>
      <c r="D512" s="15" t="n">
        <v>2.4</v>
      </c>
      <c r="E512" s="16" t="n">
        <v>738</v>
      </c>
      <c r="F512" s="16">
        <f>D512*E512</f>
        <v/>
      </c>
    </row>
    <row r="513">
      <c r="A513" s="13" t="inlineStr">
        <is>
          <t>0119</t>
        </is>
      </c>
      <c r="B513" s="14" t="inlineStr">
        <is>
          <t>Glazier</t>
        </is>
      </c>
      <c r="C513" s="13" t="inlineStr">
        <is>
          <t>day</t>
        </is>
      </c>
      <c r="D513" s="15" t="n">
        <v>0.18</v>
      </c>
      <c r="E513" s="16" t="n">
        <v>679</v>
      </c>
      <c r="F513" s="16">
        <f>D513*E513</f>
        <v/>
      </c>
    </row>
    <row r="514">
      <c r="A514" s="13" t="inlineStr">
        <is>
          <t>0114</t>
        </is>
      </c>
      <c r="B514" s="14" t="inlineStr">
        <is>
          <t>Beldar</t>
        </is>
      </c>
      <c r="C514" s="13" t="inlineStr">
        <is>
          <t>day</t>
        </is>
      </c>
      <c r="D514" s="15" t="n">
        <v>0.77</v>
      </c>
      <c r="E514" s="16" t="n">
        <v>558</v>
      </c>
      <c r="F514" s="16">
        <f>D514*E514</f>
        <v/>
      </c>
    </row>
    <row r="515">
      <c r="A515" s="13" t="inlineStr">
        <is>
          <t>9999</t>
        </is>
      </c>
      <c r="B515" s="14" t="inlineStr">
        <is>
          <t>Sundries</t>
        </is>
      </c>
      <c r="C515" s="13" t="inlineStr">
        <is>
          <t>L.S.</t>
        </is>
      </c>
      <c r="D515" s="15" t="n">
        <v>40.43</v>
      </c>
      <c r="E515" s="16" t="n">
        <v>2</v>
      </c>
      <c r="F515" s="16">
        <f>D515*E515</f>
        <v/>
      </c>
    </row>
    <row r="516">
      <c r="A516" s="17" t="inlineStr">
        <is>
          <t>Resource Total (Material + Labour + Machinery, as printed)</t>
        </is>
      </c>
      <c r="B516" s="18" t="n"/>
      <c r="C516" s="18" t="n"/>
      <c r="D516" s="18" t="n"/>
      <c r="E516" s="18" t="n"/>
      <c r="F516" s="19">
        <f>SUM(F508:F515)</f>
        <v/>
      </c>
    </row>
    <row r="517">
      <c r="A517" s="20" t="inlineStr">
        <is>
          <t>SAY (Rs.) — final DAR rate</t>
        </is>
      </c>
      <c r="B517" s="21" t="n"/>
      <c r="C517" s="21" t="n"/>
      <c r="D517" s="21" t="n"/>
      <c r="E517" s="21" t="n"/>
      <c r="F517" s="22" t="n">
        <v>3937.2</v>
      </c>
    </row>
    <row r="519" ht="28" customHeight="1">
      <c r="A519" s="9" t="inlineStr">
        <is>
          <t>9.16.2.1</t>
        </is>
      </c>
      <c r="B519" s="10" t="inlineStr">
        <is>
          <t>Second class teak wood including ISI marked anodized aluminium butt hinges with necessary screws</t>
        </is>
      </c>
      <c r="C519" s="11" t="n"/>
      <c r="D519" s="11" t="n"/>
      <c r="E519" s="11" t="n"/>
      <c r="F519" s="11" t="n"/>
    </row>
    <row r="520">
      <c r="A520" s="12" t="inlineStr">
        <is>
          <t>Rate basis: per sqm  (source: cost for 2.16 sqm)</t>
        </is>
      </c>
    </row>
    <row r="521">
      <c r="A521" s="5" t="inlineStr">
        <is>
          <t>Code</t>
        </is>
      </c>
      <c r="B521" s="5" t="inlineStr">
        <is>
          <t>Description</t>
        </is>
      </c>
      <c r="C521" s="5" t="inlineStr">
        <is>
          <t>Unit</t>
        </is>
      </c>
      <c r="D521" s="5" t="inlineStr">
        <is>
          <t>Quantity</t>
        </is>
      </c>
      <c r="E521" s="5" t="inlineStr">
        <is>
          <t>Rate (Rs.)</t>
        </is>
      </c>
      <c r="F521" s="5" t="inlineStr">
        <is>
          <t>Amount (Rs.)</t>
        </is>
      </c>
    </row>
    <row r="522">
      <c r="A522" s="13" t="inlineStr">
        <is>
          <t>2406</t>
        </is>
      </c>
      <c r="B522" s="14" t="inlineStr">
        <is>
          <t>Float glass sheet of nominal thickness 4 mm (weight not less than 10kg/sqm).</t>
        </is>
      </c>
      <c r="C522" s="13" t="inlineStr">
        <is>
          <t>sqm</t>
        </is>
      </c>
      <c r="D522" s="15" t="n">
        <v>1.27</v>
      </c>
      <c r="E522" s="16" t="n">
        <v>300</v>
      </c>
      <c r="F522" s="16">
        <f>D522*E522</f>
        <v/>
      </c>
    </row>
    <row r="523">
      <c r="A523" s="13" t="inlineStr">
        <is>
          <t>0694</t>
        </is>
      </c>
      <c r="B523" s="14" t="inlineStr">
        <is>
          <t>Anodised Aluminium butt hinges 75x45x3.2 mm</t>
        </is>
      </c>
      <c r="C523" s="13" t="inlineStr">
        <is>
          <t>10 Nos</t>
        </is>
      </c>
      <c r="D523" s="15" t="n">
        <v>0.6</v>
      </c>
      <c r="E523" s="16" t="n">
        <v>196</v>
      </c>
      <c r="F523" s="16">
        <f>D523*E523</f>
        <v/>
      </c>
    </row>
    <row r="524">
      <c r="A524" s="13" t="inlineStr">
        <is>
          <t>0639</t>
        </is>
      </c>
      <c r="B524" s="14" t="inlineStr">
        <is>
          <t>Bright finished or black enamelled mild steel screws 25 mm</t>
        </is>
      </c>
      <c r="C524" s="13" t="inlineStr">
        <is>
          <t>100 Nos</t>
        </is>
      </c>
      <c r="D524" s="15" t="n">
        <v>0.48</v>
      </c>
      <c r="E524" s="16" t="n">
        <v>36</v>
      </c>
      <c r="F524" s="16">
        <f>D524*E524</f>
        <v/>
      </c>
    </row>
    <row r="525">
      <c r="A525" s="13" t="inlineStr">
        <is>
          <t>2204</t>
        </is>
      </c>
      <c r="B525" s="14" t="inlineStr">
        <is>
          <t>Carriage of Timber</t>
        </is>
      </c>
      <c r="C525" s="13" t="inlineStr">
        <is>
          <t>cum</t>
        </is>
      </c>
      <c r="D525" s="15" t="n">
        <v>0.043</v>
      </c>
      <c r="E525" s="16" t="n">
        <v>118.59</v>
      </c>
      <c r="F525" s="16">
        <f>D525*E525</f>
        <v/>
      </c>
    </row>
    <row r="526">
      <c r="A526" s="13" t="inlineStr">
        <is>
          <t>0156</t>
        </is>
      </c>
      <c r="B526" s="14" t="inlineStr">
        <is>
          <t>Carpenter (average)</t>
        </is>
      </c>
      <c r="C526" s="13" t="inlineStr">
        <is>
          <t>day</t>
        </is>
      </c>
      <c r="D526" s="15" t="n">
        <v>1.83</v>
      </c>
      <c r="E526" s="16" t="n">
        <v>709</v>
      </c>
      <c r="F526" s="16">
        <f>D526*E526</f>
        <v/>
      </c>
    </row>
    <row r="527">
      <c r="A527" s="13" t="inlineStr">
        <is>
          <t>0119</t>
        </is>
      </c>
      <c r="B527" s="14" t="inlineStr">
        <is>
          <t>Glazier</t>
        </is>
      </c>
      <c r="C527" s="13" t="inlineStr">
        <is>
          <t>day</t>
        </is>
      </c>
      <c r="D527" s="15" t="n">
        <v>0.23</v>
      </c>
      <c r="E527" s="16" t="n">
        <v>679</v>
      </c>
      <c r="F527" s="16">
        <f>D527*E527</f>
        <v/>
      </c>
    </row>
    <row r="528">
      <c r="A528" s="13" t="inlineStr">
        <is>
          <t>0114</t>
        </is>
      </c>
      <c r="B528" s="14" t="inlineStr">
        <is>
          <t>Beldar</t>
        </is>
      </c>
      <c r="C528" s="13" t="inlineStr">
        <is>
          <t>day</t>
        </is>
      </c>
      <c r="D528" s="15" t="n">
        <v>0.77</v>
      </c>
      <c r="E528" s="16" t="n">
        <v>558</v>
      </c>
      <c r="F528" s="16">
        <f>D528*E528</f>
        <v/>
      </c>
    </row>
    <row r="529">
      <c r="A529" s="13" t="inlineStr">
        <is>
          <t>9999</t>
        </is>
      </c>
      <c r="B529" s="14" t="inlineStr">
        <is>
          <t>Sundries</t>
        </is>
      </c>
      <c r="C529" s="13" t="inlineStr">
        <is>
          <t>L.S.</t>
        </is>
      </c>
      <c r="D529" s="15" t="n">
        <v>40.43</v>
      </c>
      <c r="E529" s="16" t="n">
        <v>2</v>
      </c>
      <c r="F529" s="16">
        <f>D529*E529</f>
        <v/>
      </c>
    </row>
    <row r="530">
      <c r="A530" s="17" t="inlineStr">
        <is>
          <t>Resource Total (Material + Labour + Machinery, as printed)</t>
        </is>
      </c>
      <c r="B530" s="18" t="n"/>
      <c r="C530" s="18" t="n"/>
      <c r="D530" s="18" t="n"/>
      <c r="E530" s="18" t="n"/>
      <c r="F530" s="19">
        <f>SUM(F522:F529)</f>
        <v/>
      </c>
    </row>
    <row r="531">
      <c r="A531" s="20" t="inlineStr">
        <is>
          <t>SAY (Rs.) — final DAR rate</t>
        </is>
      </c>
      <c r="B531" s="21" t="n"/>
      <c r="C531" s="21" t="n"/>
      <c r="D531" s="21" t="n"/>
      <c r="E531" s="21" t="n"/>
      <c r="F531" s="22" t="n">
        <v>3646.15</v>
      </c>
    </row>
    <row r="533" ht="28" customHeight="1">
      <c r="A533" s="9" t="inlineStr">
        <is>
          <t>9.16.2.2</t>
        </is>
      </c>
      <c r="B533" s="10" t="inlineStr">
        <is>
          <t>Second class teak wood including ISI marked nickel plated bright finished M.S. piano hinges with necessary screws</t>
        </is>
      </c>
      <c r="C533" s="11" t="n"/>
      <c r="D533" s="11" t="n"/>
      <c r="E533" s="11" t="n"/>
      <c r="F533" s="11" t="n"/>
    </row>
    <row r="534">
      <c r="A534" s="12" t="inlineStr">
        <is>
          <t>Rate basis: per sqm  (source: cost for 2.16 sqm)</t>
        </is>
      </c>
    </row>
    <row r="535">
      <c r="A535" s="5" t="inlineStr">
        <is>
          <t>Code</t>
        </is>
      </c>
      <c r="B535" s="5" t="inlineStr">
        <is>
          <t>Description</t>
        </is>
      </c>
      <c r="C535" s="5" t="inlineStr">
        <is>
          <t>Unit</t>
        </is>
      </c>
      <c r="D535" s="5" t="inlineStr">
        <is>
          <t>Quantity</t>
        </is>
      </c>
      <c r="E535" s="5" t="inlineStr">
        <is>
          <t>Rate (Rs.)</t>
        </is>
      </c>
      <c r="F535" s="5" t="inlineStr">
        <is>
          <t>Amount (Rs.)</t>
        </is>
      </c>
    </row>
    <row r="536">
      <c r="A536" s="13" t="inlineStr">
        <is>
          <t>2406</t>
        </is>
      </c>
      <c r="B536" s="14" t="inlineStr">
        <is>
          <t>Float glass sheet of nominal thickness 4 mm (weight not less than 10kg/sqm).</t>
        </is>
      </c>
      <c r="C536" s="13" t="inlineStr">
        <is>
          <t>sqm</t>
        </is>
      </c>
      <c r="D536" s="15" t="n">
        <v>1.27</v>
      </c>
      <c r="E536" s="16" t="n">
        <v>300</v>
      </c>
      <c r="F536" s="16">
        <f>D536*E536</f>
        <v/>
      </c>
    </row>
    <row r="537">
      <c r="A537" s="13" t="inlineStr">
        <is>
          <t>0608</t>
        </is>
      </c>
      <c r="B537" s="14" t="inlineStr">
        <is>
          <t>Nickel plated mild steel piono hinges 1 mm thick 25 mm wide</t>
        </is>
      </c>
      <c r="C537" s="13" t="inlineStr">
        <is>
          <t>metre</t>
        </is>
      </c>
      <c r="D537" s="15" t="n">
        <v>4</v>
      </c>
      <c r="E537" s="16" t="n">
        <v>39</v>
      </c>
      <c r="F537" s="16">
        <f>D537*E537</f>
        <v/>
      </c>
    </row>
    <row r="538">
      <c r="A538" s="13" t="inlineStr">
        <is>
          <t>0639</t>
        </is>
      </c>
      <c r="B538" s="14" t="inlineStr">
        <is>
          <t>Bright finished or black enamelled mild steel screws 25 mm</t>
        </is>
      </c>
      <c r="C538" s="13" t="inlineStr">
        <is>
          <t>100 Nos</t>
        </is>
      </c>
      <c r="D538" s="15" t="n">
        <v>1.14</v>
      </c>
      <c r="E538" s="16" t="n">
        <v>36</v>
      </c>
      <c r="F538" s="16">
        <f>D538*E538</f>
        <v/>
      </c>
    </row>
    <row r="539">
      <c r="A539" s="13" t="inlineStr">
        <is>
          <t>2204</t>
        </is>
      </c>
      <c r="B539" s="14" t="inlineStr">
        <is>
          <t>Carriage of Timber</t>
        </is>
      </c>
      <c r="C539" s="13" t="inlineStr">
        <is>
          <t>cum</t>
        </is>
      </c>
      <c r="D539" s="15" t="n">
        <v>0.043</v>
      </c>
      <c r="E539" s="16" t="n">
        <v>118.59</v>
      </c>
      <c r="F539" s="16">
        <f>D539*E539</f>
        <v/>
      </c>
    </row>
    <row r="540">
      <c r="A540" s="13" t="inlineStr">
        <is>
          <t>0156</t>
        </is>
      </c>
      <c r="B540" s="14" t="inlineStr">
        <is>
          <t>Carpenter (average)</t>
        </is>
      </c>
      <c r="C540" s="13" t="inlineStr">
        <is>
          <t>day</t>
        </is>
      </c>
      <c r="D540" s="15" t="n">
        <v>1.83</v>
      </c>
      <c r="E540" s="16" t="n">
        <v>709</v>
      </c>
      <c r="F540" s="16">
        <f>D540*E540</f>
        <v/>
      </c>
    </row>
    <row r="541">
      <c r="A541" s="13" t="inlineStr">
        <is>
          <t>0119</t>
        </is>
      </c>
      <c r="B541" s="14" t="inlineStr">
        <is>
          <t>Glazier</t>
        </is>
      </c>
      <c r="C541" s="13" t="inlineStr">
        <is>
          <t>day</t>
        </is>
      </c>
      <c r="D541" s="15" t="n">
        <v>0.23</v>
      </c>
      <c r="E541" s="16" t="n">
        <v>679</v>
      </c>
      <c r="F541" s="16">
        <f>D541*E541</f>
        <v/>
      </c>
    </row>
    <row r="542">
      <c r="A542" s="13" t="inlineStr">
        <is>
          <t>0114</t>
        </is>
      </c>
      <c r="B542" s="14" t="inlineStr">
        <is>
          <t>Beldar</t>
        </is>
      </c>
      <c r="C542" s="13" t="inlineStr">
        <is>
          <t>day</t>
        </is>
      </c>
      <c r="D542" s="15" t="n">
        <v>0.77</v>
      </c>
      <c r="E542" s="16" t="n">
        <v>558</v>
      </c>
      <c r="F542" s="16">
        <f>D542*E542</f>
        <v/>
      </c>
    </row>
    <row r="543">
      <c r="A543" s="13" t="inlineStr">
        <is>
          <t>9999</t>
        </is>
      </c>
      <c r="B543" s="14" t="inlineStr">
        <is>
          <t>Sundries</t>
        </is>
      </c>
      <c r="C543" s="13" t="inlineStr">
        <is>
          <t>L.S.</t>
        </is>
      </c>
      <c r="D543" s="15" t="n">
        <v>40.43</v>
      </c>
      <c r="E543" s="16" t="n">
        <v>2</v>
      </c>
      <c r="F543" s="16">
        <f>D543*E543</f>
        <v/>
      </c>
    </row>
    <row r="544">
      <c r="A544" s="17" t="inlineStr">
        <is>
          <t>Resource Total (Material + Labour + Machinery, as printed)</t>
        </is>
      </c>
      <c r="B544" s="18" t="n"/>
      <c r="C544" s="18" t="n"/>
      <c r="D544" s="18" t="n"/>
      <c r="E544" s="18" t="n"/>
      <c r="F544" s="19">
        <f>SUM(F536:F543)</f>
        <v/>
      </c>
    </row>
    <row r="545">
      <c r="A545" s="20" t="inlineStr">
        <is>
          <t>SAY (Rs.) — final DAR rate</t>
        </is>
      </c>
      <c r="B545" s="21" t="n"/>
      <c r="C545" s="21" t="n"/>
      <c r="D545" s="21" t="n"/>
      <c r="E545" s="21" t="n"/>
      <c r="F545" s="22" t="n">
        <v>3684.65</v>
      </c>
    </row>
    <row r="547" ht="18" customHeight="1">
      <c r="A547" s="9" t="inlineStr">
        <is>
          <t>9.17.1</t>
        </is>
      </c>
      <c r="B547" s="10" t="inlineStr">
        <is>
          <t>12 mm thick</t>
        </is>
      </c>
      <c r="C547" s="11" t="n"/>
      <c r="D547" s="11" t="n"/>
      <c r="E547" s="11" t="n"/>
      <c r="F547" s="11" t="n"/>
    </row>
    <row r="548">
      <c r="A548" s="12" t="inlineStr">
        <is>
          <t>Rate basis: per x200cm  (source: cost for 350 x200cm)</t>
        </is>
      </c>
    </row>
    <row r="549">
      <c r="A549" s="5" t="inlineStr">
        <is>
          <t>Code</t>
        </is>
      </c>
      <c r="B549" s="5" t="inlineStr">
        <is>
          <t>Description</t>
        </is>
      </c>
      <c r="C549" s="5" t="inlineStr">
        <is>
          <t>Unit</t>
        </is>
      </c>
      <c r="D549" s="5" t="inlineStr">
        <is>
          <t>Quantity</t>
        </is>
      </c>
      <c r="E549" s="5" t="inlineStr">
        <is>
          <t>Rate (Rs.)</t>
        </is>
      </c>
      <c r="F549" s="5" t="inlineStr">
        <is>
          <t>Amount (Rs.)</t>
        </is>
      </c>
    </row>
    <row r="550">
      <c r="A550" s="13" t="inlineStr">
        <is>
          <t>0341</t>
        </is>
      </c>
      <c r="B550" s="14" t="inlineStr">
        <is>
          <t>Flat pressed 3 layer particle board (medium density) Grade I :12 mm thick</t>
        </is>
      </c>
      <c r="C550" s="13" t="inlineStr">
        <is>
          <t>sqm</t>
        </is>
      </c>
      <c r="D550" s="15" t="n">
        <v>7.35</v>
      </c>
      <c r="E550" s="16" t="n">
        <v>288</v>
      </c>
      <c r="F550" s="16">
        <f>D550*E550</f>
        <v/>
      </c>
    </row>
    <row r="551">
      <c r="A551" s="13" t="inlineStr">
        <is>
          <t>9977</t>
        </is>
      </c>
      <c r="B551" s="14" t="inlineStr">
        <is>
          <t>Carriage of particle board</t>
        </is>
      </c>
      <c r="C551" s="13" t="inlineStr">
        <is>
          <t>L.S.</t>
        </is>
      </c>
      <c r="D551" s="15" t="n">
        <v>13.52</v>
      </c>
      <c r="E551" s="16" t="n">
        <v>2</v>
      </c>
      <c r="F551" s="16">
        <f>D551*E551</f>
        <v/>
      </c>
    </row>
    <row r="552">
      <c r="A552" s="13" t="inlineStr">
        <is>
          <t>9999</t>
        </is>
      </c>
      <c r="B552" s="14" t="inlineStr">
        <is>
          <t>Sundries and screws</t>
        </is>
      </c>
      <c r="C552" s="13" t="inlineStr">
        <is>
          <t>L.S.</t>
        </is>
      </c>
      <c r="D552" s="15" t="n">
        <v>26.91</v>
      </c>
      <c r="E552" s="16" t="n">
        <v>2</v>
      </c>
      <c r="F552" s="16">
        <f>D552*E552</f>
        <v/>
      </c>
    </row>
    <row r="553">
      <c r="A553" s="13" t="inlineStr">
        <is>
          <t>0112</t>
        </is>
      </c>
      <c r="B553" s="14" t="inlineStr">
        <is>
          <t>Carpenter 2nd class</t>
        </is>
      </c>
      <c r="C553" s="13" t="inlineStr">
        <is>
          <t>day</t>
        </is>
      </c>
      <c r="D553" s="15" t="n">
        <v>0.9</v>
      </c>
      <c r="E553" s="16" t="n">
        <v>679</v>
      </c>
      <c r="F553" s="16">
        <f>D553*E553</f>
        <v/>
      </c>
    </row>
    <row r="554">
      <c r="A554" s="13" t="inlineStr">
        <is>
          <t>0114</t>
        </is>
      </c>
      <c r="B554" s="14" t="inlineStr">
        <is>
          <t>Beldar</t>
        </is>
      </c>
      <c r="C554" s="13" t="inlineStr">
        <is>
          <t>day</t>
        </is>
      </c>
      <c r="D554" s="15" t="n">
        <v>1</v>
      </c>
      <c r="E554" s="16" t="n">
        <v>558</v>
      </c>
      <c r="F554" s="16">
        <f>D554*E554</f>
        <v/>
      </c>
    </row>
    <row r="555">
      <c r="A555" s="17" t="inlineStr">
        <is>
          <t>Resource Total (Material + Labour + Machinery, as printed)</t>
        </is>
      </c>
      <c r="B555" s="18" t="n"/>
      <c r="C555" s="18" t="n"/>
      <c r="D555" s="18" t="n"/>
      <c r="E555" s="18" t="n"/>
      <c r="F555" s="19">
        <f>SUM(F550:F554)</f>
        <v/>
      </c>
    </row>
    <row r="556">
      <c r="A556" s="20" t="inlineStr">
        <is>
          <t>SAY (Rs.) — final DAR rate</t>
        </is>
      </c>
      <c r="B556" s="21" t="n"/>
      <c r="C556" s="21" t="n"/>
      <c r="D556" s="21" t="n"/>
      <c r="E556" s="21" t="n"/>
      <c r="F556" s="22" t="n">
        <v>643.5</v>
      </c>
    </row>
    <row r="558" ht="18" customHeight="1">
      <c r="A558" s="9" t="inlineStr">
        <is>
          <t>9.17.2</t>
        </is>
      </c>
      <c r="B558" s="10" t="inlineStr">
        <is>
          <t>18 mm thick</t>
        </is>
      </c>
      <c r="C558" s="11" t="n"/>
      <c r="D558" s="11" t="n"/>
      <c r="E558" s="11" t="n"/>
      <c r="F558" s="11" t="n"/>
    </row>
    <row r="559">
      <c r="A559" s="12" t="inlineStr">
        <is>
          <t>Rate basis: per x200cm  (source: cost for 350 x200cm)</t>
        </is>
      </c>
    </row>
    <row r="560">
      <c r="A560" s="5" t="inlineStr">
        <is>
          <t>Code</t>
        </is>
      </c>
      <c r="B560" s="5" t="inlineStr">
        <is>
          <t>Description</t>
        </is>
      </c>
      <c r="C560" s="5" t="inlineStr">
        <is>
          <t>Unit</t>
        </is>
      </c>
      <c r="D560" s="5" t="inlineStr">
        <is>
          <t>Quantity</t>
        </is>
      </c>
      <c r="E560" s="5" t="inlineStr">
        <is>
          <t>Rate (Rs.)</t>
        </is>
      </c>
      <c r="F560" s="5" t="inlineStr">
        <is>
          <t>Amount (Rs.)</t>
        </is>
      </c>
    </row>
    <row r="561">
      <c r="A561" s="13" t="inlineStr">
        <is>
          <t>7055</t>
        </is>
      </c>
      <c r="B561" s="14" t="inlineStr">
        <is>
          <t>Flat pressed 3 layer and graded particle board (medium density) Grade 1 conforming to IS : 3087 - 18 mm thick</t>
        </is>
      </c>
      <c r="C561" s="13" t="inlineStr">
        <is>
          <t>sqm</t>
        </is>
      </c>
      <c r="D561" s="15" t="n">
        <v>7.35</v>
      </c>
      <c r="E561" s="16" t="n">
        <v>480</v>
      </c>
      <c r="F561" s="16">
        <f>D561*E561</f>
        <v/>
      </c>
    </row>
    <row r="562">
      <c r="A562" s="13" t="inlineStr">
        <is>
          <t>9977</t>
        </is>
      </c>
      <c r="B562" s="14" t="inlineStr">
        <is>
          <t>Carriage of particle board</t>
        </is>
      </c>
      <c r="C562" s="13" t="inlineStr">
        <is>
          <t>L.S.</t>
        </is>
      </c>
      <c r="D562" s="15" t="n">
        <v>19.76</v>
      </c>
      <c r="E562" s="16" t="n">
        <v>2</v>
      </c>
      <c r="F562" s="16">
        <f>D562*E562</f>
        <v/>
      </c>
    </row>
    <row r="563">
      <c r="A563" s="13" t="inlineStr">
        <is>
          <t>9999</t>
        </is>
      </c>
      <c r="B563" s="14" t="inlineStr">
        <is>
          <t>Sundries and screws</t>
        </is>
      </c>
      <c r="C563" s="13" t="inlineStr">
        <is>
          <t>L.S.</t>
        </is>
      </c>
      <c r="D563" s="15" t="n">
        <v>26.91</v>
      </c>
      <c r="E563" s="16" t="n">
        <v>2</v>
      </c>
      <c r="F563" s="16">
        <f>D563*E563</f>
        <v/>
      </c>
    </row>
    <row r="564">
      <c r="A564" s="13" t="inlineStr">
        <is>
          <t>0112</t>
        </is>
      </c>
      <c r="B564" s="14" t="inlineStr">
        <is>
          <t>Carpenter 2nd class</t>
        </is>
      </c>
      <c r="C564" s="13" t="inlineStr">
        <is>
          <t>day</t>
        </is>
      </c>
      <c r="D564" s="15" t="n">
        <v>0.9</v>
      </c>
      <c r="E564" s="16" t="n">
        <v>679</v>
      </c>
      <c r="F564" s="16">
        <f>D564*E564</f>
        <v/>
      </c>
    </row>
    <row r="565">
      <c r="A565" s="13" t="inlineStr">
        <is>
          <t>0114</t>
        </is>
      </c>
      <c r="B565" s="14" t="inlineStr">
        <is>
          <t>Beldar</t>
        </is>
      </c>
      <c r="C565" s="13" t="inlineStr">
        <is>
          <t>day</t>
        </is>
      </c>
      <c r="D565" s="15" t="n">
        <v>1</v>
      </c>
      <c r="E565" s="16" t="n">
        <v>558</v>
      </c>
      <c r="F565" s="16">
        <f>D565*E565</f>
        <v/>
      </c>
    </row>
    <row r="566">
      <c r="A566" s="17" t="inlineStr">
        <is>
          <t>Resource Total (Material + Labour + Machinery, as printed)</t>
        </is>
      </c>
      <c r="B566" s="18" t="n"/>
      <c r="C566" s="18" t="n"/>
      <c r="D566" s="18" t="n"/>
      <c r="E566" s="18" t="n"/>
      <c r="F566" s="19">
        <f>SUM(F561:F565)</f>
        <v/>
      </c>
    </row>
    <row r="567">
      <c r="A567" s="20" t="inlineStr">
        <is>
          <t>SAY (Rs.) — final DAR rate</t>
        </is>
      </c>
      <c r="B567" s="21" t="n"/>
      <c r="C567" s="21" t="n"/>
      <c r="D567" s="21" t="n"/>
      <c r="E567" s="21" t="n"/>
      <c r="F567" s="22" t="n">
        <v>915.6</v>
      </c>
    </row>
    <row r="569" ht="18" customHeight="1">
      <c r="A569" s="9" t="inlineStr">
        <is>
          <t>9.18.1</t>
        </is>
      </c>
      <c r="B569" s="10" t="inlineStr">
        <is>
          <t>18 mm thick</t>
        </is>
      </c>
      <c r="C569" s="11" t="n"/>
      <c r="D569" s="11" t="n"/>
      <c r="E569" s="11" t="n"/>
      <c r="F569" s="11" t="n"/>
    </row>
    <row r="570">
      <c r="A570" s="12" t="inlineStr">
        <is>
          <t>Rate basis: per nos  (source: cost for 4 nos)</t>
        </is>
      </c>
    </row>
    <row r="571">
      <c r="A571" s="5" t="inlineStr">
        <is>
          <t>Code</t>
        </is>
      </c>
      <c r="B571" s="5" t="inlineStr">
        <is>
          <t>Description</t>
        </is>
      </c>
      <c r="C571" s="5" t="inlineStr">
        <is>
          <t>Unit</t>
        </is>
      </c>
      <c r="D571" s="5" t="inlineStr">
        <is>
          <t>Quantity</t>
        </is>
      </c>
      <c r="E571" s="5" t="inlineStr">
        <is>
          <t>Rate (Rs.)</t>
        </is>
      </c>
      <c r="F571" s="5" t="inlineStr">
        <is>
          <t>Amount (Rs.)</t>
        </is>
      </c>
    </row>
    <row r="572">
      <c r="A572" s="13" t="inlineStr">
        <is>
          <t>7478</t>
        </is>
      </c>
      <c r="B572" s="14" t="inlineStr">
        <is>
          <t>Prelaminated particle board with one side decorative and other side balancing lamination, flat pressed 3 layer &amp; graded (medium density) Grade I, Type II conforming to IS : 12823 (exterior grade) 18 mm thick</t>
        </is>
      </c>
      <c r="C572" s="13" t="inlineStr">
        <is>
          <t>sqm</t>
        </is>
      </c>
      <c r="D572" s="15" t="n">
        <v>0.63</v>
      </c>
      <c r="E572" s="16" t="n">
        <v>650</v>
      </c>
      <c r="F572" s="16">
        <f>D572*E572</f>
        <v/>
      </c>
    </row>
    <row r="573">
      <c r="A573" s="13" t="inlineStr">
        <is>
          <t>9977</t>
        </is>
      </c>
      <c r="B573" s="14" t="inlineStr">
        <is>
          <t>Carriage of board</t>
        </is>
      </c>
      <c r="C573" s="13" t="inlineStr">
        <is>
          <t>L.S.</t>
        </is>
      </c>
      <c r="D573" s="15" t="n">
        <v>0.91</v>
      </c>
      <c r="E573" s="16" t="n">
        <v>2</v>
      </c>
      <c r="F573" s="16">
        <f>D573*E573</f>
        <v/>
      </c>
    </row>
    <row r="574">
      <c r="A574" s="13" t="inlineStr">
        <is>
          <t>0112</t>
        </is>
      </c>
      <c r="B574" s="14" t="inlineStr">
        <is>
          <t>Carpenter 2nd class</t>
        </is>
      </c>
      <c r="C574" s="13" t="inlineStr">
        <is>
          <t>day</t>
        </is>
      </c>
      <c r="D574" s="15" t="n">
        <v>0.11</v>
      </c>
      <c r="E574" s="16" t="n">
        <v>679</v>
      </c>
      <c r="F574" s="16">
        <f>D574*E574</f>
        <v/>
      </c>
    </row>
    <row r="575">
      <c r="A575" s="13" t="inlineStr">
        <is>
          <t>0114</t>
        </is>
      </c>
      <c r="B575" s="14" t="inlineStr">
        <is>
          <t>Beldar</t>
        </is>
      </c>
      <c r="C575" s="13" t="inlineStr">
        <is>
          <t>day</t>
        </is>
      </c>
      <c r="D575" s="15" t="n">
        <v>0.06</v>
      </c>
      <c r="E575" s="16" t="n">
        <v>558</v>
      </c>
      <c r="F575" s="16">
        <f>D575*E575</f>
        <v/>
      </c>
    </row>
    <row r="576">
      <c r="A576" s="13" t="inlineStr">
        <is>
          <t>9999</t>
        </is>
      </c>
      <c r="B576" s="14" t="inlineStr">
        <is>
          <t>Sundries, Painting edges &amp; Screws</t>
        </is>
      </c>
      <c r="C576" s="13" t="inlineStr">
        <is>
          <t>L.S.</t>
        </is>
      </c>
      <c r="D576" s="15" t="n">
        <v>7.8</v>
      </c>
      <c r="E576" s="16" t="n">
        <v>2</v>
      </c>
      <c r="F576" s="16">
        <f>D576*E576</f>
        <v/>
      </c>
    </row>
    <row r="577">
      <c r="A577" s="17" t="inlineStr">
        <is>
          <t>Resource Total (Material + Labour + Machinery, as printed)</t>
        </is>
      </c>
      <c r="B577" s="18" t="n"/>
      <c r="C577" s="18" t="n"/>
      <c r="D577" s="18" t="n"/>
      <c r="E577" s="18" t="n"/>
      <c r="F577" s="19">
        <f>SUM(F572:F576)</f>
        <v/>
      </c>
    </row>
    <row r="578">
      <c r="A578" s="20" t="inlineStr">
        <is>
          <t>SAY (Rs.) — final DAR rate</t>
        </is>
      </c>
      <c r="B578" s="21" t="n"/>
      <c r="C578" s="21" t="n"/>
      <c r="D578" s="21" t="n"/>
      <c r="E578" s="21" t="n"/>
      <c r="F578" s="22" t="n">
        <v>1193.2</v>
      </c>
    </row>
    <row r="580" ht="18" customHeight="1">
      <c r="A580" s="9" t="inlineStr">
        <is>
          <t>9.18.2</t>
        </is>
      </c>
      <c r="B580" s="10" t="inlineStr">
        <is>
          <t>25 mm thick</t>
        </is>
      </c>
      <c r="C580" s="11" t="n"/>
      <c r="D580" s="11" t="n"/>
      <c r="E580" s="11" t="n"/>
      <c r="F580" s="11" t="n"/>
    </row>
    <row r="581">
      <c r="A581" s="12" t="inlineStr">
        <is>
          <t>Rate basis: per nos  (source: cost for 4 nos)</t>
        </is>
      </c>
    </row>
    <row r="582">
      <c r="A582" s="5" t="inlineStr">
        <is>
          <t>Code</t>
        </is>
      </c>
      <c r="B582" s="5" t="inlineStr">
        <is>
          <t>Description</t>
        </is>
      </c>
      <c r="C582" s="5" t="inlineStr">
        <is>
          <t>Unit</t>
        </is>
      </c>
      <c r="D582" s="5" t="inlineStr">
        <is>
          <t>Quantity</t>
        </is>
      </c>
      <c r="E582" s="5" t="inlineStr">
        <is>
          <t>Rate (Rs.)</t>
        </is>
      </c>
      <c r="F582" s="5" t="inlineStr">
        <is>
          <t>Amount (Rs.)</t>
        </is>
      </c>
    </row>
    <row r="583">
      <c r="A583" s="13" t="inlineStr">
        <is>
          <t>7479</t>
        </is>
      </c>
      <c r="B583" s="14" t="inlineStr">
        <is>
          <t>Prelaminated particle board with one side decorative and other side balancing lamination, flat pressed 3 layer &amp; graded (medium density) Grade I, Type II conforming to IS : 12823 (exterior grade) 25 mm thick</t>
        </is>
      </c>
      <c r="C583" s="13" t="inlineStr">
        <is>
          <t>sqm</t>
        </is>
      </c>
      <c r="D583" s="15" t="n">
        <v>0.63</v>
      </c>
      <c r="E583" s="16" t="n">
        <v>900</v>
      </c>
      <c r="F583" s="16">
        <f>D583*E583</f>
        <v/>
      </c>
    </row>
    <row r="584">
      <c r="A584" s="13" t="inlineStr">
        <is>
          <t>9977</t>
        </is>
      </c>
      <c r="B584" s="14" t="inlineStr">
        <is>
          <t>Carriage of board</t>
        </is>
      </c>
      <c r="C584" s="13" t="inlineStr">
        <is>
          <t>L.S.</t>
        </is>
      </c>
      <c r="D584" s="15" t="n">
        <v>1.82</v>
      </c>
      <c r="E584" s="16" t="n">
        <v>2</v>
      </c>
      <c r="F584" s="16">
        <f>D584*E584</f>
        <v/>
      </c>
    </row>
    <row r="585">
      <c r="A585" s="13" t="inlineStr">
        <is>
          <t>0112</t>
        </is>
      </c>
      <c r="B585" s="14" t="inlineStr">
        <is>
          <t>Carpenter 2nd class</t>
        </is>
      </c>
      <c r="C585" s="13" t="inlineStr">
        <is>
          <t>day</t>
        </is>
      </c>
      <c r="D585" s="15" t="n">
        <v>0.11</v>
      </c>
      <c r="E585" s="16" t="n">
        <v>679</v>
      </c>
      <c r="F585" s="16">
        <f>D585*E585</f>
        <v/>
      </c>
    </row>
    <row r="586">
      <c r="A586" s="13" t="inlineStr">
        <is>
          <t>0114</t>
        </is>
      </c>
      <c r="B586" s="14" t="inlineStr">
        <is>
          <t>Beldar</t>
        </is>
      </c>
      <c r="C586" s="13" t="inlineStr">
        <is>
          <t>day</t>
        </is>
      </c>
      <c r="D586" s="15" t="n">
        <v>0.06</v>
      </c>
      <c r="E586" s="16" t="n">
        <v>558</v>
      </c>
      <c r="F586" s="16">
        <f>D586*E586</f>
        <v/>
      </c>
    </row>
    <row r="587">
      <c r="A587" s="13" t="inlineStr">
        <is>
          <t>9999</t>
        </is>
      </c>
      <c r="B587" s="14" t="inlineStr">
        <is>
          <t>Sundries, Painting edges &amp; Screws</t>
        </is>
      </c>
      <c r="C587" s="13" t="inlineStr">
        <is>
          <t>L.S.</t>
        </is>
      </c>
      <c r="D587" s="15" t="n">
        <v>7.8</v>
      </c>
      <c r="E587" s="16" t="n">
        <v>2</v>
      </c>
      <c r="F587" s="16">
        <f>D587*E587</f>
        <v/>
      </c>
    </row>
    <row r="588">
      <c r="A588" s="17" t="inlineStr">
        <is>
          <t>Resource Total (Material + Labour + Machinery, as printed)</t>
        </is>
      </c>
      <c r="B588" s="18" t="n"/>
      <c r="C588" s="18" t="n"/>
      <c r="D588" s="18" t="n"/>
      <c r="E588" s="18" t="n"/>
      <c r="F588" s="19">
        <f>SUM(F583:F587)</f>
        <v/>
      </c>
    </row>
    <row r="589">
      <c r="A589" s="20" t="inlineStr">
        <is>
          <t>SAY (Rs.) — final DAR rate</t>
        </is>
      </c>
      <c r="B589" s="21" t="n"/>
      <c r="C589" s="21" t="n"/>
      <c r="D589" s="21" t="n"/>
      <c r="E589" s="21" t="n"/>
      <c r="F589" s="22" t="n">
        <v>1548.45</v>
      </c>
    </row>
    <row r="591" ht="18" customHeight="1">
      <c r="A591" s="9" t="inlineStr">
        <is>
          <t>9.20.1</t>
        </is>
      </c>
      <c r="B591" s="10" t="inlineStr">
        <is>
          <t>35 mm thick including ISI marked Stainless Steel butt hinges with necessary screws</t>
        </is>
      </c>
      <c r="C591" s="11" t="n"/>
      <c r="D591" s="11" t="n"/>
      <c r="E591" s="11" t="n"/>
      <c r="F591" s="11" t="n"/>
    </row>
    <row r="592">
      <c r="A592" s="12" t="inlineStr">
        <is>
          <t>Rate basis: per sqm  (source: cost for 2.2 sqm)</t>
        </is>
      </c>
    </row>
    <row r="593">
      <c r="A593" s="5" t="inlineStr">
        <is>
          <t>Code</t>
        </is>
      </c>
      <c r="B593" s="5" t="inlineStr">
        <is>
          <t>Description</t>
        </is>
      </c>
      <c r="C593" s="5" t="inlineStr">
        <is>
          <t>Unit</t>
        </is>
      </c>
      <c r="D593" s="5" t="inlineStr">
        <is>
          <t>Quantity</t>
        </is>
      </c>
      <c r="E593" s="5" t="inlineStr">
        <is>
          <t>Rate (Rs.)</t>
        </is>
      </c>
      <c r="F593" s="5" t="inlineStr">
        <is>
          <t>Amount (Rs.)</t>
        </is>
      </c>
    </row>
    <row r="594">
      <c r="A594" s="13" t="inlineStr">
        <is>
          <t>0713</t>
        </is>
      </c>
      <c r="B594" s="14" t="inlineStr">
        <is>
          <t>Block board construction flush door with teak wood ply on both faces 35 mm thick</t>
        </is>
      </c>
      <c r="C594" s="13" t="inlineStr">
        <is>
          <t>sqm</t>
        </is>
      </c>
      <c r="D594" s="15" t="n">
        <v>2.2</v>
      </c>
      <c r="E594" s="16" t="n">
        <v>1800</v>
      </c>
      <c r="F594" s="16">
        <f>D594*E594</f>
        <v/>
      </c>
    </row>
    <row r="595">
      <c r="A595" s="13" t="inlineStr">
        <is>
          <t>9977</t>
        </is>
      </c>
      <c r="B595" s="14" t="inlineStr">
        <is>
          <t>Carriage of door</t>
        </is>
      </c>
      <c r="C595" s="13" t="inlineStr">
        <is>
          <t>L.S.</t>
        </is>
      </c>
      <c r="D595" s="15" t="n">
        <v>29.64</v>
      </c>
      <c r="E595" s="16" t="n">
        <v>2</v>
      </c>
      <c r="F595" s="16">
        <f>D595*E595</f>
        <v/>
      </c>
    </row>
    <row r="596">
      <c r="A596" s="13" t="inlineStr">
        <is>
          <t>8220</t>
        </is>
      </c>
      <c r="B596" s="14" t="inlineStr">
        <is>
          <t>Stainless steel butt hinges (heavy weight) 100x60x2.5 mm IS : 12817 marked</t>
        </is>
      </c>
      <c r="C596" s="13" t="inlineStr">
        <is>
          <t>10 Nos</t>
        </is>
      </c>
      <c r="D596" s="15" t="n">
        <v>0.6</v>
      </c>
      <c r="E596" s="16" t="n">
        <v>255</v>
      </c>
      <c r="F596" s="16">
        <f>D596*E596</f>
        <v/>
      </c>
    </row>
    <row r="597">
      <c r="A597" s="13" t="inlineStr">
        <is>
          <t>8211</t>
        </is>
      </c>
      <c r="B597" s="14" t="inlineStr">
        <is>
          <t>Stainless steel screws 40 mm</t>
        </is>
      </c>
      <c r="C597" s="13" t="inlineStr">
        <is>
          <t>100 Nos</t>
        </is>
      </c>
      <c r="D597" s="15" t="n">
        <v>0.48</v>
      </c>
      <c r="E597" s="16" t="n">
        <v>215</v>
      </c>
      <c r="F597" s="16">
        <f>D597*E597</f>
        <v/>
      </c>
    </row>
    <row r="598">
      <c r="A598" s="13" t="inlineStr">
        <is>
          <t>0156</t>
        </is>
      </c>
      <c r="B598" s="14" t="inlineStr">
        <is>
          <t>Carpenter (average)</t>
        </is>
      </c>
      <c r="C598" s="13" t="inlineStr">
        <is>
          <t>day</t>
        </is>
      </c>
      <c r="D598" s="15" t="n">
        <v>0.55</v>
      </c>
      <c r="E598" s="16" t="n">
        <v>709</v>
      </c>
      <c r="F598" s="16">
        <f>D598*E598</f>
        <v/>
      </c>
    </row>
    <row r="599">
      <c r="A599" s="13" t="inlineStr">
        <is>
          <t>0114</t>
        </is>
      </c>
      <c r="B599" s="14" t="inlineStr">
        <is>
          <t>Beldar</t>
        </is>
      </c>
      <c r="C599" s="13" t="inlineStr">
        <is>
          <t>day</t>
        </is>
      </c>
      <c r="D599" s="15" t="n">
        <v>0.55</v>
      </c>
      <c r="E599" s="16" t="n">
        <v>558</v>
      </c>
      <c r="F599" s="16">
        <f>D599*E599</f>
        <v/>
      </c>
    </row>
    <row r="600">
      <c r="A600" s="17" t="inlineStr">
        <is>
          <t>Resource Total (Material + Labour + Machinery, as printed)</t>
        </is>
      </c>
      <c r="B600" s="18" t="n"/>
      <c r="C600" s="18" t="n"/>
      <c r="D600" s="18" t="n"/>
      <c r="E600" s="18" t="n"/>
      <c r="F600" s="19">
        <f>SUM(F594:F599)</f>
        <v/>
      </c>
    </row>
    <row r="601">
      <c r="A601" s="20" t="inlineStr">
        <is>
          <t>SAY (Rs.) — final DAR rate</t>
        </is>
      </c>
      <c r="B601" s="21" t="n"/>
      <c r="C601" s="21" t="n"/>
      <c r="D601" s="21" t="n"/>
      <c r="E601" s="21" t="n"/>
      <c r="F601" s="22" t="n">
        <v>3023.95</v>
      </c>
    </row>
    <row r="603" ht="18" customHeight="1">
      <c r="A603" s="9" t="inlineStr">
        <is>
          <t>9.20.2</t>
        </is>
      </c>
      <c r="B603" s="10" t="inlineStr">
        <is>
          <t>30 mm thick including ISI marked Stainless Steel butt hinges with necessary screws</t>
        </is>
      </c>
      <c r="C603" s="11" t="n"/>
      <c r="D603" s="11" t="n"/>
      <c r="E603" s="11" t="n"/>
      <c r="F603" s="11" t="n"/>
    </row>
    <row r="604">
      <c r="A604" s="12" t="inlineStr">
        <is>
          <t>Rate basis: per sqm  (source: cost for 2.2 sqm)</t>
        </is>
      </c>
    </row>
    <row r="605">
      <c r="A605" s="5" t="inlineStr">
        <is>
          <t>Code</t>
        </is>
      </c>
      <c r="B605" s="5" t="inlineStr">
        <is>
          <t>Description</t>
        </is>
      </c>
      <c r="C605" s="5" t="inlineStr">
        <is>
          <t>Unit</t>
        </is>
      </c>
      <c r="D605" s="5" t="inlineStr">
        <is>
          <t>Quantity</t>
        </is>
      </c>
      <c r="E605" s="5" t="inlineStr">
        <is>
          <t>Rate (Rs.)</t>
        </is>
      </c>
      <c r="F605" s="5" t="inlineStr">
        <is>
          <t>Amount (Rs.)</t>
        </is>
      </c>
    </row>
    <row r="606">
      <c r="A606" s="13" t="inlineStr">
        <is>
          <t>0714</t>
        </is>
      </c>
      <c r="B606" s="14" t="inlineStr">
        <is>
          <t>Block board construction flush door with teak wood ply on both faces 30 mm thick</t>
        </is>
      </c>
      <c r="C606" s="13" t="inlineStr">
        <is>
          <t>sqm</t>
        </is>
      </c>
      <c r="D606" s="15" t="n">
        <v>2.2</v>
      </c>
      <c r="E606" s="16" t="n">
        <v>1600</v>
      </c>
      <c r="F606" s="16">
        <f>D606*E606</f>
        <v/>
      </c>
    </row>
    <row r="607">
      <c r="A607" s="13" t="inlineStr">
        <is>
          <t>9977</t>
        </is>
      </c>
      <c r="B607" s="14" t="inlineStr">
        <is>
          <t>Carriage of door</t>
        </is>
      </c>
      <c r="C607" s="13" t="inlineStr">
        <is>
          <t>L.S.</t>
        </is>
      </c>
      <c r="D607" s="15" t="n">
        <v>29.64</v>
      </c>
      <c r="E607" s="16" t="n">
        <v>2</v>
      </c>
      <c r="F607" s="16">
        <f>D607*E607</f>
        <v/>
      </c>
    </row>
    <row r="608">
      <c r="A608" s="13" t="inlineStr">
        <is>
          <t>8220</t>
        </is>
      </c>
      <c r="B608" s="14" t="inlineStr">
        <is>
          <t>Stainless steel butt hinges (heavy weight) 100x60x2.5 mm IS : 12817 marked</t>
        </is>
      </c>
      <c r="C608" s="13" t="inlineStr">
        <is>
          <t>10 Nos</t>
        </is>
      </c>
      <c r="D608" s="15" t="n">
        <v>0.6</v>
      </c>
      <c r="E608" s="16" t="n">
        <v>255</v>
      </c>
      <c r="F608" s="16">
        <f>D608*E608</f>
        <v/>
      </c>
    </row>
    <row r="609">
      <c r="A609" s="13" t="inlineStr">
        <is>
          <t>8211</t>
        </is>
      </c>
      <c r="B609" s="14" t="inlineStr">
        <is>
          <t>Stainless steel screws 40 mm</t>
        </is>
      </c>
      <c r="C609" s="13" t="inlineStr">
        <is>
          <t>100 Nos</t>
        </is>
      </c>
      <c r="D609" s="15" t="n">
        <v>0.48</v>
      </c>
      <c r="E609" s="16" t="n">
        <v>215</v>
      </c>
      <c r="F609" s="16">
        <f>D609*E609</f>
        <v/>
      </c>
    </row>
    <row r="610">
      <c r="A610" s="13" t="inlineStr">
        <is>
          <t>0156</t>
        </is>
      </c>
      <c r="B610" s="14" t="inlineStr">
        <is>
          <t>Carpenter (average)</t>
        </is>
      </c>
      <c r="C610" s="13" t="inlineStr">
        <is>
          <t>day</t>
        </is>
      </c>
      <c r="D610" s="15" t="n">
        <v>0.55</v>
      </c>
      <c r="E610" s="16" t="n">
        <v>709</v>
      </c>
      <c r="F610" s="16">
        <f>D610*E610</f>
        <v/>
      </c>
    </row>
    <row r="611">
      <c r="A611" s="13" t="inlineStr">
        <is>
          <t>0114</t>
        </is>
      </c>
      <c r="B611" s="14" t="inlineStr">
        <is>
          <t>Beldar</t>
        </is>
      </c>
      <c r="C611" s="13" t="inlineStr">
        <is>
          <t>day</t>
        </is>
      </c>
      <c r="D611" s="15" t="n">
        <v>0.55</v>
      </c>
      <c r="E611" s="16" t="n">
        <v>558</v>
      </c>
      <c r="F611" s="16">
        <f>D611*E611</f>
        <v/>
      </c>
    </row>
    <row r="612">
      <c r="A612" s="17" t="inlineStr">
        <is>
          <t>Resource Total (Material + Labour + Machinery, as printed)</t>
        </is>
      </c>
      <c r="B612" s="18" t="n"/>
      <c r="C612" s="18" t="n"/>
      <c r="D612" s="18" t="n"/>
      <c r="E612" s="18" t="n"/>
      <c r="F612" s="19">
        <f>SUM(F606:F611)</f>
        <v/>
      </c>
    </row>
    <row r="613">
      <c r="A613" s="20" t="inlineStr">
        <is>
          <t>SAY (Rs.) — final DAR rate</t>
        </is>
      </c>
      <c r="B613" s="21" t="n"/>
      <c r="C613" s="21" t="n"/>
      <c r="D613" s="21" t="n"/>
      <c r="E613" s="21" t="n"/>
      <c r="F613" s="22" t="n">
        <v>2756.35</v>
      </c>
    </row>
    <row r="615" ht="28" customHeight="1">
      <c r="A615" s="9" t="inlineStr">
        <is>
          <t>9.20.3</t>
        </is>
      </c>
      <c r="B615" s="10" t="inlineStr">
        <is>
          <t>25 mm thick (for cupboard) including ISI marked nickel plated bright finished M.S. Piano hinges IS : 3818 marked with necessary screws</t>
        </is>
      </c>
      <c r="C615" s="11" t="n"/>
      <c r="D615" s="11" t="n"/>
      <c r="E615" s="11" t="n"/>
      <c r="F615" s="11" t="n"/>
    </row>
    <row r="616">
      <c r="A616" s="12" t="inlineStr">
        <is>
          <t>Rate basis: per sqm  (source: cost for 2.2 sqm)</t>
        </is>
      </c>
    </row>
    <row r="617">
      <c r="A617" s="5" t="inlineStr">
        <is>
          <t>Code</t>
        </is>
      </c>
      <c r="B617" s="5" t="inlineStr">
        <is>
          <t>Description</t>
        </is>
      </c>
      <c r="C617" s="5" t="inlineStr">
        <is>
          <t>Unit</t>
        </is>
      </c>
      <c r="D617" s="5" t="inlineStr">
        <is>
          <t>Quantity</t>
        </is>
      </c>
      <c r="E617" s="5" t="inlineStr">
        <is>
          <t>Rate (Rs.)</t>
        </is>
      </c>
      <c r="F617" s="5" t="inlineStr">
        <is>
          <t>Amount (Rs.)</t>
        </is>
      </c>
    </row>
    <row r="618">
      <c r="A618" s="13" t="inlineStr">
        <is>
          <t>0715</t>
        </is>
      </c>
      <c r="B618" s="14" t="inlineStr">
        <is>
          <t>Block board construction flush door with teak wood ply on both faces 25 mm thick</t>
        </is>
      </c>
      <c r="C618" s="13" t="inlineStr">
        <is>
          <t>sqm</t>
        </is>
      </c>
      <c r="D618" s="15" t="n">
        <v>2.2</v>
      </c>
      <c r="E618" s="16" t="n">
        <v>1400</v>
      </c>
      <c r="F618" s="16">
        <f>D618*E618</f>
        <v/>
      </c>
    </row>
    <row r="619">
      <c r="A619" s="13" t="inlineStr">
        <is>
          <t>9977</t>
        </is>
      </c>
      <c r="B619" s="14" t="inlineStr">
        <is>
          <t>Carriage of door</t>
        </is>
      </c>
      <c r="C619" s="13" t="inlineStr">
        <is>
          <t>L.S.</t>
        </is>
      </c>
      <c r="D619" s="15" t="n">
        <v>29.64</v>
      </c>
      <c r="E619" s="16" t="n">
        <v>2</v>
      </c>
      <c r="F619" s="16">
        <f>D619*E619</f>
        <v/>
      </c>
    </row>
    <row r="620">
      <c r="A620" s="13" t="inlineStr">
        <is>
          <t>0608</t>
        </is>
      </c>
      <c r="B620" s="14" t="inlineStr">
        <is>
          <t>Nickel plated mild steel piono hinges 1 mm thick 25 mm wide</t>
        </is>
      </c>
      <c r="C620" s="13" t="inlineStr">
        <is>
          <t>metre</t>
        </is>
      </c>
      <c r="D620" s="15" t="n">
        <v>4.4</v>
      </c>
      <c r="E620" s="16" t="n">
        <v>39</v>
      </c>
      <c r="F620" s="16">
        <f>D620*E620</f>
        <v/>
      </c>
    </row>
    <row r="621">
      <c r="A621" s="13" t="inlineStr">
        <is>
          <t>0639</t>
        </is>
      </c>
      <c r="B621" s="14" t="inlineStr">
        <is>
          <t>Bright finished or black enamelled mild steel screws 25 mm</t>
        </is>
      </c>
      <c r="C621" s="13" t="inlineStr">
        <is>
          <t>100 Nos</t>
        </is>
      </c>
      <c r="D621" s="15" t="n">
        <v>1.25</v>
      </c>
      <c r="E621" s="16" t="n">
        <v>36</v>
      </c>
      <c r="F621" s="16">
        <f>D621*E621</f>
        <v/>
      </c>
    </row>
    <row r="622">
      <c r="A622" s="13" t="inlineStr">
        <is>
          <t>0156</t>
        </is>
      </c>
      <c r="B622" s="14" t="inlineStr">
        <is>
          <t>Carpenter (average)</t>
        </is>
      </c>
      <c r="C622" s="13" t="inlineStr">
        <is>
          <t>day</t>
        </is>
      </c>
      <c r="D622" s="15" t="n">
        <v>0.55</v>
      </c>
      <c r="E622" s="16" t="n">
        <v>709</v>
      </c>
      <c r="F622" s="16">
        <f>D622*E622</f>
        <v/>
      </c>
    </row>
    <row r="623">
      <c r="A623" s="13" t="inlineStr">
        <is>
          <t>0114</t>
        </is>
      </c>
      <c r="B623" s="14" t="inlineStr">
        <is>
          <t>Beldar</t>
        </is>
      </c>
      <c r="C623" s="13" t="inlineStr">
        <is>
          <t>day</t>
        </is>
      </c>
      <c r="D623" s="15" t="n">
        <v>0.55</v>
      </c>
      <c r="E623" s="16" t="n">
        <v>558</v>
      </c>
      <c r="F623" s="16">
        <f>D623*E623</f>
        <v/>
      </c>
    </row>
    <row r="624">
      <c r="A624" s="17" t="inlineStr">
        <is>
          <t>Resource Total (Material + Labour + Machinery, as printed)</t>
        </is>
      </c>
      <c r="B624" s="18" t="n"/>
      <c r="C624" s="18" t="n"/>
      <c r="D624" s="18" t="n"/>
      <c r="E624" s="18" t="n"/>
      <c r="F624" s="19">
        <f>SUM(F618:F623)</f>
        <v/>
      </c>
    </row>
    <row r="625">
      <c r="A625" s="20" t="inlineStr">
        <is>
          <t>SAY (Rs.) — final DAR rate</t>
        </is>
      </c>
      <c r="B625" s="21" t="n"/>
      <c r="C625" s="21" t="n"/>
      <c r="D625" s="21" t="n"/>
      <c r="E625" s="21" t="n"/>
      <c r="F625" s="22" t="n">
        <v>2464.7</v>
      </c>
    </row>
    <row r="627" ht="18" customHeight="1">
      <c r="A627" s="9" t="inlineStr">
        <is>
          <t>9.21.1</t>
        </is>
      </c>
      <c r="B627" s="10" t="inlineStr">
        <is>
          <t>35 mm thick including ISI marked Stainless Steel butt hinges with necessary screws</t>
        </is>
      </c>
      <c r="C627" s="11" t="n"/>
      <c r="D627" s="11" t="n"/>
      <c r="E627" s="11" t="n"/>
      <c r="F627" s="11" t="n"/>
    </row>
    <row r="628">
      <c r="A628" s="12" t="inlineStr">
        <is>
          <t>Rate basis: per sqm  (source: cost for 2.2 sqm)</t>
        </is>
      </c>
    </row>
    <row r="629">
      <c r="A629" s="5" t="inlineStr">
        <is>
          <t>Code</t>
        </is>
      </c>
      <c r="B629" s="5" t="inlineStr">
        <is>
          <t>Description</t>
        </is>
      </c>
      <c r="C629" s="5" t="inlineStr">
        <is>
          <t>Unit</t>
        </is>
      </c>
      <c r="D629" s="5" t="inlineStr">
        <is>
          <t>Quantity</t>
        </is>
      </c>
      <c r="E629" s="5" t="inlineStr">
        <is>
          <t>Rate (Rs.)</t>
        </is>
      </c>
      <c r="F629" s="5" t="inlineStr">
        <is>
          <t>Amount (Rs.)</t>
        </is>
      </c>
    </row>
    <row r="630">
      <c r="A630" s="13" t="inlineStr">
        <is>
          <t>0717</t>
        </is>
      </c>
      <c r="B630" s="14" t="inlineStr">
        <is>
          <t>Block board construction flush door with commercial ply on both faces 35 mm thick</t>
        </is>
      </c>
      <c r="C630" s="13" t="inlineStr">
        <is>
          <t>sqm</t>
        </is>
      </c>
      <c r="D630" s="15" t="n">
        <v>2.2</v>
      </c>
      <c r="E630" s="16" t="n">
        <v>950</v>
      </c>
      <c r="F630" s="16">
        <f>D630*E630</f>
        <v/>
      </c>
    </row>
    <row r="631">
      <c r="A631" s="13" t="inlineStr">
        <is>
          <t>9977</t>
        </is>
      </c>
      <c r="B631" s="14" t="inlineStr">
        <is>
          <t>Carriage of door</t>
        </is>
      </c>
      <c r="C631" s="13" t="inlineStr">
        <is>
          <t>L.S.</t>
        </is>
      </c>
      <c r="D631" s="15" t="n">
        <v>29.64</v>
      </c>
      <c r="E631" s="16" t="n">
        <v>2</v>
      </c>
      <c r="F631" s="16">
        <f>D631*E631</f>
        <v/>
      </c>
    </row>
    <row r="632">
      <c r="A632" s="13" t="inlineStr">
        <is>
          <t>8220</t>
        </is>
      </c>
      <c r="B632" s="14" t="inlineStr">
        <is>
          <t>Stainless steel butt hinges (heavy weight) 100x60x2.5 mm IS : 12817 marked</t>
        </is>
      </c>
      <c r="C632" s="13" t="inlineStr">
        <is>
          <t>10 Nos</t>
        </is>
      </c>
      <c r="D632" s="15" t="n">
        <v>0.6</v>
      </c>
      <c r="E632" s="16" t="n">
        <v>255</v>
      </c>
      <c r="F632" s="16">
        <f>D632*E632</f>
        <v/>
      </c>
    </row>
    <row r="633">
      <c r="A633" s="13" t="inlineStr">
        <is>
          <t>8211</t>
        </is>
      </c>
      <c r="B633" s="14" t="inlineStr">
        <is>
          <t>Stainless steel screws 40 mm</t>
        </is>
      </c>
      <c r="C633" s="13" t="inlineStr">
        <is>
          <t>100 Nos</t>
        </is>
      </c>
      <c r="D633" s="15" t="n">
        <v>0.48</v>
      </c>
      <c r="E633" s="16" t="n">
        <v>215</v>
      </c>
      <c r="F633" s="16">
        <f>D633*E633</f>
        <v/>
      </c>
    </row>
    <row r="634">
      <c r="A634" s="13" t="inlineStr">
        <is>
          <t>0156</t>
        </is>
      </c>
      <c r="B634" s="14" t="inlineStr">
        <is>
          <t>Carpenter (average)</t>
        </is>
      </c>
      <c r="C634" s="13" t="inlineStr">
        <is>
          <t>day</t>
        </is>
      </c>
      <c r="D634" s="15" t="n">
        <v>0.55</v>
      </c>
      <c r="E634" s="16" t="n">
        <v>709</v>
      </c>
      <c r="F634" s="16">
        <f>D634*E634</f>
        <v/>
      </c>
    </row>
    <row r="635">
      <c r="A635" s="13" t="inlineStr">
        <is>
          <t>0114</t>
        </is>
      </c>
      <c r="B635" s="14" t="inlineStr">
        <is>
          <t>Beldar</t>
        </is>
      </c>
      <c r="C635" s="13" t="inlineStr">
        <is>
          <t>day</t>
        </is>
      </c>
      <c r="D635" s="15" t="n">
        <v>0.55</v>
      </c>
      <c r="E635" s="16" t="n">
        <v>558</v>
      </c>
      <c r="F635" s="16">
        <f>D635*E635</f>
        <v/>
      </c>
    </row>
    <row r="636">
      <c r="A636" s="17" t="inlineStr">
        <is>
          <t>Resource Total (Material + Labour + Machinery, as printed)</t>
        </is>
      </c>
      <c r="B636" s="18" t="n"/>
      <c r="C636" s="18" t="n"/>
      <c r="D636" s="18" t="n"/>
      <c r="E636" s="18" t="n"/>
      <c r="F636" s="19">
        <f>SUM(F630:F635)</f>
        <v/>
      </c>
    </row>
    <row r="637">
      <c r="A637" s="20" t="inlineStr">
        <is>
          <t>SAY (Rs.) — final DAR rate</t>
        </is>
      </c>
      <c r="B637" s="21" t="n"/>
      <c r="C637" s="21" t="n"/>
      <c r="D637" s="21" t="n"/>
      <c r="E637" s="21" t="n"/>
      <c r="F637" s="22" t="n">
        <v>1886.7</v>
      </c>
    </row>
    <row r="639" ht="18" customHeight="1">
      <c r="A639" s="9" t="inlineStr">
        <is>
          <t>9.21.2</t>
        </is>
      </c>
      <c r="B639" s="10" t="inlineStr">
        <is>
          <t>30 mm thick including ISI marked Stainless Steel butt hinges with necessary screws</t>
        </is>
      </c>
      <c r="C639" s="11" t="n"/>
      <c r="D639" s="11" t="n"/>
      <c r="E639" s="11" t="n"/>
      <c r="F639" s="11" t="n"/>
    </row>
    <row r="640">
      <c r="A640" s="12" t="inlineStr">
        <is>
          <t>Rate basis: per sqm  (source: cost for 2.2 sqm)</t>
        </is>
      </c>
    </row>
    <row r="641">
      <c r="A641" s="5" t="inlineStr">
        <is>
          <t>Code</t>
        </is>
      </c>
      <c r="B641" s="5" t="inlineStr">
        <is>
          <t>Description</t>
        </is>
      </c>
      <c r="C641" s="5" t="inlineStr">
        <is>
          <t>Unit</t>
        </is>
      </c>
      <c r="D641" s="5" t="inlineStr">
        <is>
          <t>Quantity</t>
        </is>
      </c>
      <c r="E641" s="5" t="inlineStr">
        <is>
          <t>Rate (Rs.)</t>
        </is>
      </c>
      <c r="F641" s="5" t="inlineStr">
        <is>
          <t>Amount (Rs.)</t>
        </is>
      </c>
    </row>
    <row r="642">
      <c r="A642" s="13" t="inlineStr">
        <is>
          <t>0718</t>
        </is>
      </c>
      <c r="B642" s="14" t="inlineStr">
        <is>
          <t>Block board construction flush door with commercial ply on both faces 30 mm thick</t>
        </is>
      </c>
      <c r="C642" s="13" t="inlineStr">
        <is>
          <t>sqm</t>
        </is>
      </c>
      <c r="D642" s="15" t="n">
        <v>2.2</v>
      </c>
      <c r="E642" s="16" t="n">
        <v>900</v>
      </c>
      <c r="F642" s="16">
        <f>D642*E642</f>
        <v/>
      </c>
    </row>
    <row r="643">
      <c r="A643" s="13" t="inlineStr">
        <is>
          <t>9977</t>
        </is>
      </c>
      <c r="B643" s="14" t="inlineStr">
        <is>
          <t>Carriage of door</t>
        </is>
      </c>
      <c r="C643" s="13" t="inlineStr">
        <is>
          <t>L.S.</t>
        </is>
      </c>
      <c r="D643" s="15" t="n">
        <v>29.64</v>
      </c>
      <c r="E643" s="16" t="n">
        <v>2</v>
      </c>
      <c r="F643" s="16">
        <f>D643*E643</f>
        <v/>
      </c>
    </row>
    <row r="644">
      <c r="A644" s="13" t="inlineStr">
        <is>
          <t>8220</t>
        </is>
      </c>
      <c r="B644" s="14" t="inlineStr">
        <is>
          <t>Stainless steel butt hinges (heavy weight) 100x60x2.5 mm IS : 12817 marked</t>
        </is>
      </c>
      <c r="C644" s="13" t="inlineStr">
        <is>
          <t>10 Nos</t>
        </is>
      </c>
      <c r="D644" s="15" t="n">
        <v>0.6</v>
      </c>
      <c r="E644" s="16" t="n">
        <v>255</v>
      </c>
      <c r="F644" s="16">
        <f>D644*E644</f>
        <v/>
      </c>
    </row>
    <row r="645">
      <c r="A645" s="13" t="inlineStr">
        <is>
          <t>8211</t>
        </is>
      </c>
      <c r="B645" s="14" t="inlineStr">
        <is>
          <t>Stainless steel screws 40 mm</t>
        </is>
      </c>
      <c r="C645" s="13" t="inlineStr">
        <is>
          <t>100 Nos</t>
        </is>
      </c>
      <c r="D645" s="15" t="n">
        <v>0.48</v>
      </c>
      <c r="E645" s="16" t="n">
        <v>215</v>
      </c>
      <c r="F645" s="16">
        <f>D645*E645</f>
        <v/>
      </c>
    </row>
    <row r="646">
      <c r="A646" s="13" t="inlineStr">
        <is>
          <t>0156</t>
        </is>
      </c>
      <c r="B646" s="14" t="inlineStr">
        <is>
          <t>Carpenter (average)</t>
        </is>
      </c>
      <c r="C646" s="13" t="inlineStr">
        <is>
          <t>day</t>
        </is>
      </c>
      <c r="D646" s="15" t="n">
        <v>0.55</v>
      </c>
      <c r="E646" s="16" t="n">
        <v>709</v>
      </c>
      <c r="F646" s="16">
        <f>D646*E646</f>
        <v/>
      </c>
    </row>
    <row r="647">
      <c r="A647" s="13" t="inlineStr">
        <is>
          <t>0114</t>
        </is>
      </c>
      <c r="B647" s="14" t="inlineStr">
        <is>
          <t>Beldar</t>
        </is>
      </c>
      <c r="C647" s="13" t="inlineStr">
        <is>
          <t>day</t>
        </is>
      </c>
      <c r="D647" s="15" t="n">
        <v>0.55</v>
      </c>
      <c r="E647" s="16" t="n">
        <v>558</v>
      </c>
      <c r="F647" s="16">
        <f>D647*E647</f>
        <v/>
      </c>
    </row>
    <row r="648">
      <c r="A648" s="17" t="inlineStr">
        <is>
          <t>Resource Total (Material + Labour + Machinery, as printed)</t>
        </is>
      </c>
      <c r="B648" s="18" t="n"/>
      <c r="C648" s="18" t="n"/>
      <c r="D648" s="18" t="n"/>
      <c r="E648" s="18" t="n"/>
      <c r="F648" s="19">
        <f>SUM(F642:F647)</f>
        <v/>
      </c>
    </row>
    <row r="649">
      <c r="A649" s="20" t="inlineStr">
        <is>
          <t>SAY (Rs.) — final DAR rate</t>
        </is>
      </c>
      <c r="B649" s="21" t="n"/>
      <c r="C649" s="21" t="n"/>
      <c r="D649" s="21" t="n"/>
      <c r="E649" s="21" t="n"/>
      <c r="F649" s="22" t="n">
        <v>1819.8</v>
      </c>
    </row>
    <row r="651" ht="28" customHeight="1">
      <c r="A651" s="9" t="inlineStr">
        <is>
          <t>9.21.3</t>
        </is>
      </c>
      <c r="B651" s="10" t="inlineStr">
        <is>
          <t>25 mm thick (for cupboard) including ISI marked nickel plated bright finished M.S. piano hinges with necessary screws</t>
        </is>
      </c>
      <c r="C651" s="11" t="n"/>
      <c r="D651" s="11" t="n"/>
      <c r="E651" s="11" t="n"/>
      <c r="F651" s="11" t="n"/>
    </row>
    <row r="652">
      <c r="A652" s="12" t="inlineStr">
        <is>
          <t>Rate basis: per sqm  (source: cost for 2.2 sqm)</t>
        </is>
      </c>
    </row>
    <row r="653">
      <c r="A653" s="5" t="inlineStr">
        <is>
          <t>Code</t>
        </is>
      </c>
      <c r="B653" s="5" t="inlineStr">
        <is>
          <t>Description</t>
        </is>
      </c>
      <c r="C653" s="5" t="inlineStr">
        <is>
          <t>Unit</t>
        </is>
      </c>
      <c r="D653" s="5" t="inlineStr">
        <is>
          <t>Quantity</t>
        </is>
      </c>
      <c r="E653" s="5" t="inlineStr">
        <is>
          <t>Rate (Rs.)</t>
        </is>
      </c>
      <c r="F653" s="5" t="inlineStr">
        <is>
          <t>Amount (Rs.)</t>
        </is>
      </c>
    </row>
    <row r="654">
      <c r="A654" s="13" t="inlineStr">
        <is>
          <t>0719</t>
        </is>
      </c>
      <c r="B654" s="14" t="inlineStr">
        <is>
          <t>Block board construction flush door with commercial ply on both faces 25 mm thick</t>
        </is>
      </c>
      <c r="C654" s="13" t="inlineStr">
        <is>
          <t>sqm</t>
        </is>
      </c>
      <c r="D654" s="15" t="n">
        <v>2.2</v>
      </c>
      <c r="E654" s="16" t="n">
        <v>890</v>
      </c>
      <c r="F654" s="16">
        <f>D654*E654</f>
        <v/>
      </c>
    </row>
    <row r="655">
      <c r="A655" s="13" t="inlineStr">
        <is>
          <t>9977</t>
        </is>
      </c>
      <c r="B655" s="14" t="inlineStr">
        <is>
          <t>Carriage of door</t>
        </is>
      </c>
      <c r="C655" s="13" t="inlineStr">
        <is>
          <t>L.S.</t>
        </is>
      </c>
      <c r="D655" s="15" t="n">
        <v>29.64</v>
      </c>
      <c r="E655" s="16" t="n">
        <v>2</v>
      </c>
      <c r="F655" s="16">
        <f>D655*E655</f>
        <v/>
      </c>
    </row>
    <row r="656">
      <c r="A656" s="13" t="inlineStr">
        <is>
          <t>0608</t>
        </is>
      </c>
      <c r="B656" s="14" t="inlineStr">
        <is>
          <t>Nickel plated mild steel piono hinges 1 mm thick 25 mm wide</t>
        </is>
      </c>
      <c r="C656" s="13" t="inlineStr">
        <is>
          <t>metre</t>
        </is>
      </c>
      <c r="D656" s="15" t="n">
        <v>4.4</v>
      </c>
      <c r="E656" s="16" t="n">
        <v>39</v>
      </c>
      <c r="F656" s="16">
        <f>D656*E656</f>
        <v/>
      </c>
    </row>
    <row r="657">
      <c r="A657" s="13" t="inlineStr">
        <is>
          <t>0639</t>
        </is>
      </c>
      <c r="B657" s="14" t="inlineStr">
        <is>
          <t>Bright finished or black enamelled mild steel screws 25 mm</t>
        </is>
      </c>
      <c r="C657" s="13" t="inlineStr">
        <is>
          <t>100 Nos</t>
        </is>
      </c>
      <c r="D657" s="15" t="n">
        <v>1.25</v>
      </c>
      <c r="E657" s="16" t="n">
        <v>36</v>
      </c>
      <c r="F657" s="16">
        <f>D657*E657</f>
        <v/>
      </c>
    </row>
    <row r="658">
      <c r="A658" s="13" t="inlineStr">
        <is>
          <t>0156</t>
        </is>
      </c>
      <c r="B658" s="14" t="inlineStr">
        <is>
          <t>Carpenter (average)</t>
        </is>
      </c>
      <c r="C658" s="13" t="inlineStr">
        <is>
          <t>day</t>
        </is>
      </c>
      <c r="D658" s="15" t="n">
        <v>0.55</v>
      </c>
      <c r="E658" s="16" t="n">
        <v>709</v>
      </c>
      <c r="F658" s="16">
        <f>D658*E658</f>
        <v/>
      </c>
    </row>
    <row r="659">
      <c r="A659" s="13" t="inlineStr">
        <is>
          <t>0114</t>
        </is>
      </c>
      <c r="B659" s="14" t="inlineStr">
        <is>
          <t>Beldar</t>
        </is>
      </c>
      <c r="C659" s="13" t="inlineStr">
        <is>
          <t>day</t>
        </is>
      </c>
      <c r="D659" s="15" t="n">
        <v>0.55</v>
      </c>
      <c r="E659" s="16" t="n">
        <v>558</v>
      </c>
      <c r="F659" s="16">
        <f>D659*E659</f>
        <v/>
      </c>
    </row>
    <row r="660">
      <c r="A660" s="17" t="inlineStr">
        <is>
          <t>Resource Total (Material + Labour + Machinery, as printed)</t>
        </is>
      </c>
      <c r="B660" s="18" t="n"/>
      <c r="C660" s="18" t="n"/>
      <c r="D660" s="18" t="n"/>
      <c r="E660" s="18" t="n"/>
      <c r="F660" s="19">
        <f>SUM(F654:F659)</f>
        <v/>
      </c>
    </row>
    <row r="661">
      <c r="A661" s="20" t="inlineStr">
        <is>
          <t>SAY (Rs.) — final DAR rate</t>
        </is>
      </c>
      <c r="B661" s="21" t="n"/>
      <c r="C661" s="21" t="n"/>
      <c r="D661" s="21" t="n"/>
      <c r="E661" s="21" t="n"/>
      <c r="F661" s="22" t="n">
        <v>1782.35</v>
      </c>
    </row>
    <row r="663" ht="18" customHeight="1">
      <c r="A663" s="9" t="inlineStr">
        <is>
          <t>9.22.1</t>
        </is>
      </c>
      <c r="B663" s="10" t="inlineStr">
        <is>
          <t>On one side only</t>
        </is>
      </c>
      <c r="C663" s="11" t="n"/>
      <c r="D663" s="11" t="n"/>
      <c r="E663" s="11" t="n"/>
      <c r="F663" s="11" t="n"/>
    </row>
    <row r="664">
      <c r="A664" s="12" t="inlineStr">
        <is>
          <t>Rate basis: per sqm  (source: cost for 1 sqm)</t>
        </is>
      </c>
    </row>
    <row r="665">
      <c r="A665" s="5" t="inlineStr">
        <is>
          <t>Code</t>
        </is>
      </c>
      <c r="B665" s="5" t="inlineStr">
        <is>
          <t>Description</t>
        </is>
      </c>
      <c r="C665" s="5" t="inlineStr">
        <is>
          <t>Unit</t>
        </is>
      </c>
      <c r="D665" s="5" t="inlineStr">
        <is>
          <t>Quantity</t>
        </is>
      </c>
      <c r="E665" s="5" t="inlineStr">
        <is>
          <t>Rate (Rs.)</t>
        </is>
      </c>
      <c r="F665" s="5" t="inlineStr">
        <is>
          <t>Amount (Rs.)</t>
        </is>
      </c>
    </row>
    <row r="666">
      <c r="A666" s="13" t="inlineStr">
        <is>
          <t>7307</t>
        </is>
      </c>
      <c r="B666" s="14" t="inlineStr">
        <is>
          <t>For flush door shutters Extra for providing teak veneering on one side instead of commercial veneering</t>
        </is>
      </c>
      <c r="C666" s="13" t="inlineStr">
        <is>
          <t>sqm</t>
        </is>
      </c>
      <c r="D666" s="15" t="n">
        <v>1</v>
      </c>
      <c r="E666" s="16" t="n">
        <v>330</v>
      </c>
      <c r="F666" s="16">
        <f>D666*E666</f>
        <v/>
      </c>
    </row>
    <row r="667">
      <c r="A667" s="17" t="inlineStr">
        <is>
          <t>Resource Total (Material + Labour + Machinery, as printed)</t>
        </is>
      </c>
      <c r="B667" s="18" t="n"/>
      <c r="C667" s="18" t="n"/>
      <c r="D667" s="18" t="n"/>
      <c r="E667" s="18" t="n"/>
      <c r="F667" s="19">
        <f>SUM(F666:F666)</f>
        <v/>
      </c>
    </row>
    <row r="668">
      <c r="A668" s="20" t="inlineStr">
        <is>
          <t>SAY (Rs.) — final DAR rate</t>
        </is>
      </c>
      <c r="B668" s="21" t="n"/>
      <c r="C668" s="21" t="n"/>
      <c r="D668" s="21" t="n"/>
      <c r="E668" s="21" t="n"/>
      <c r="F668" s="22" t="n">
        <v>441.5</v>
      </c>
    </row>
    <row r="670" ht="28" customHeight="1">
      <c r="A670" s="9" t="inlineStr">
        <is>
          <t>9.23</t>
        </is>
      </c>
      <c r="B670" s="10" t="inlineStr">
        <is>
          <t xml:space="preserve">Extra for providing lipping with 2nd class teak wood battens 25 mm minimum depth on all edges of flush door shutters (over all area of door </t>
        </is>
      </c>
      <c r="C670" s="11" t="n"/>
      <c r="D670" s="11" t="n"/>
      <c r="E670" s="11" t="n"/>
      <c r="F670" s="11" t="n"/>
    </row>
    <row r="671">
      <c r="A671" s="12" t="inlineStr">
        <is>
          <t>Rate basis: per sqm  (source: cost for 1 sqm)</t>
        </is>
      </c>
    </row>
    <row r="672">
      <c r="A672" s="5" t="inlineStr">
        <is>
          <t>Code</t>
        </is>
      </c>
      <c r="B672" s="5" t="inlineStr">
        <is>
          <t>Description</t>
        </is>
      </c>
      <c r="C672" s="5" t="inlineStr">
        <is>
          <t>Unit</t>
        </is>
      </c>
      <c r="D672" s="5" t="inlineStr">
        <is>
          <t>Quantity</t>
        </is>
      </c>
      <c r="E672" s="5" t="inlineStr">
        <is>
          <t>Rate (Rs.)</t>
        </is>
      </c>
      <c r="F672" s="5" t="inlineStr">
        <is>
          <t>Amount (Rs.)</t>
        </is>
      </c>
    </row>
    <row r="673">
      <c r="A673" s="13" t="inlineStr">
        <is>
          <t>0752</t>
        </is>
      </c>
      <c r="B673" s="14" t="inlineStr">
        <is>
          <t>Block board construction flush door sqm of lipping</t>
        </is>
      </c>
      <c r="C673" s="13" t="inlineStr">
        <is>
          <t>door area</t>
        </is>
      </c>
      <c r="D673" s="15" t="n">
        <v>1</v>
      </c>
      <c r="E673" s="16" t="n">
        <v>300</v>
      </c>
      <c r="F673" s="16">
        <f>D673*E673</f>
        <v/>
      </c>
    </row>
    <row r="674">
      <c r="A674" s="17" t="inlineStr">
        <is>
          <t>Resource Total (Material + Labour + Machinery, as printed)</t>
        </is>
      </c>
      <c r="B674" s="18" t="n"/>
      <c r="C674" s="18" t="n"/>
      <c r="D674" s="18" t="n"/>
      <c r="E674" s="18" t="n"/>
      <c r="F674" s="19">
        <f>SUM(F673:F673)</f>
        <v/>
      </c>
    </row>
    <row r="675">
      <c r="A675" s="20" t="inlineStr">
        <is>
          <t>SAY (Rs.) — final DAR rate</t>
        </is>
      </c>
      <c r="B675" s="21" t="n"/>
      <c r="C675" s="21" t="n"/>
      <c r="D675" s="21" t="n"/>
      <c r="E675" s="21" t="n"/>
      <c r="F675" s="22" t="n">
        <v>401.4</v>
      </c>
    </row>
    <row r="677" ht="18" customHeight="1">
      <c r="A677" s="9" t="inlineStr">
        <is>
          <t>9.24.1</t>
        </is>
      </c>
      <c r="B677" s="10" t="inlineStr">
        <is>
          <t>Rectangular or square</t>
        </is>
      </c>
      <c r="C677" s="11" t="n"/>
      <c r="D677" s="11" t="n"/>
      <c r="E677" s="11" t="n"/>
      <c r="F677" s="11" t="n"/>
    </row>
    <row r="678">
      <c r="A678" s="12" t="inlineStr">
        <is>
          <t>Rate basis: per sqm  (source: cost for 1 sqm)</t>
        </is>
      </c>
    </row>
    <row r="679">
      <c r="A679" s="5" t="inlineStr">
        <is>
          <t>Code</t>
        </is>
      </c>
      <c r="B679" s="5" t="inlineStr">
        <is>
          <t>Description</t>
        </is>
      </c>
      <c r="C679" s="5" t="inlineStr">
        <is>
          <t>Unit</t>
        </is>
      </c>
      <c r="D679" s="5" t="inlineStr">
        <is>
          <t>Quantity</t>
        </is>
      </c>
      <c r="E679" s="5" t="inlineStr">
        <is>
          <t>Rate (Rs.)</t>
        </is>
      </c>
      <c r="F679" s="5" t="inlineStr">
        <is>
          <t>Amount (Rs.)</t>
        </is>
      </c>
    </row>
    <row r="680">
      <c r="A680" s="13" t="inlineStr">
        <is>
          <t>0753</t>
        </is>
      </c>
      <c r="B680" s="14" t="inlineStr">
        <is>
          <t>Square vision panel (upto 0.10 sqm) in sqm of Block board construction flush door</t>
        </is>
      </c>
      <c r="C680" s="13" t="inlineStr">
        <is>
          <t>door area</t>
        </is>
      </c>
      <c r="D680" s="15" t="n">
        <v>1</v>
      </c>
      <c r="E680" s="16" t="n">
        <v>130</v>
      </c>
      <c r="F680" s="16">
        <f>D680*E680</f>
        <v/>
      </c>
    </row>
    <row r="681">
      <c r="A681" s="17" t="inlineStr">
        <is>
          <t>Resource Total (Material + Labour + Machinery, as printed)</t>
        </is>
      </c>
      <c r="B681" s="18" t="n"/>
      <c r="C681" s="18" t="n"/>
      <c r="D681" s="18" t="n"/>
      <c r="E681" s="18" t="n"/>
      <c r="F681" s="19">
        <f>SUM(F680:F680)</f>
        <v/>
      </c>
    </row>
    <row r="682">
      <c r="A682" s="20" t="inlineStr">
        <is>
          <t>SAY (Rs.) — final DAR rate</t>
        </is>
      </c>
      <c r="B682" s="21" t="n"/>
      <c r="C682" s="21" t="n"/>
      <c r="D682" s="21" t="n"/>
      <c r="E682" s="21" t="n"/>
      <c r="F682" s="22" t="n">
        <v>173.95</v>
      </c>
    </row>
    <row r="684" ht="18" customHeight="1">
      <c r="A684" s="9" t="inlineStr">
        <is>
          <t>9.24.2</t>
        </is>
      </c>
      <c r="B684" s="10" t="inlineStr">
        <is>
          <t>Circular</t>
        </is>
      </c>
      <c r="C684" s="11" t="n"/>
      <c r="D684" s="11" t="n"/>
      <c r="E684" s="11" t="n"/>
      <c r="F684" s="11" t="n"/>
    </row>
    <row r="685">
      <c r="A685" s="12" t="inlineStr">
        <is>
          <t>Rate basis: per sqm  (source: cost for 1 sqm)</t>
        </is>
      </c>
    </row>
    <row r="686">
      <c r="A686" s="5" t="inlineStr">
        <is>
          <t>Code</t>
        </is>
      </c>
      <c r="B686" s="5" t="inlineStr">
        <is>
          <t>Description</t>
        </is>
      </c>
      <c r="C686" s="5" t="inlineStr">
        <is>
          <t>Unit</t>
        </is>
      </c>
      <c r="D686" s="5" t="inlineStr">
        <is>
          <t>Quantity</t>
        </is>
      </c>
      <c r="E686" s="5" t="inlineStr">
        <is>
          <t>Rate (Rs.)</t>
        </is>
      </c>
      <c r="F686" s="5" t="inlineStr">
        <is>
          <t>Amount (Rs.)</t>
        </is>
      </c>
    </row>
    <row r="687">
      <c r="A687" s="13" t="inlineStr">
        <is>
          <t>0754</t>
        </is>
      </c>
      <c r="B687" s="14" t="inlineStr">
        <is>
          <t>Circular vision panel (upto 0.10 sqm) in sqm of Block board construction flush door</t>
        </is>
      </c>
      <c r="C687" s="13" t="inlineStr">
        <is>
          <t>door area</t>
        </is>
      </c>
      <c r="D687" s="15" t="n">
        <v>1</v>
      </c>
      <c r="E687" s="16" t="n">
        <v>135</v>
      </c>
      <c r="F687" s="16">
        <f>D687*E687</f>
        <v/>
      </c>
    </row>
    <row r="688">
      <c r="A688" s="17" t="inlineStr">
        <is>
          <t>Resource Total (Material + Labour + Machinery, as printed)</t>
        </is>
      </c>
      <c r="B688" s="18" t="n"/>
      <c r="C688" s="18" t="n"/>
      <c r="D688" s="18" t="n"/>
      <c r="E688" s="18" t="n"/>
      <c r="F688" s="19">
        <f>SUM(F687:F687)</f>
        <v/>
      </c>
    </row>
    <row r="689">
      <c r="A689" s="20" t="inlineStr">
        <is>
          <t>SAY (Rs.) — final DAR rate</t>
        </is>
      </c>
      <c r="B689" s="21" t="n"/>
      <c r="C689" s="21" t="n"/>
      <c r="D689" s="21" t="n"/>
      <c r="E689" s="21" t="n"/>
      <c r="F689" s="22" t="n">
        <v>180.6</v>
      </c>
    </row>
    <row r="691" ht="18" customHeight="1">
      <c r="A691" s="9" t="inlineStr">
        <is>
          <t>9.25.1</t>
        </is>
      </c>
      <c r="B691" s="10" t="inlineStr">
        <is>
          <t>Decorative type door</t>
        </is>
      </c>
      <c r="C691" s="11" t="n"/>
      <c r="D691" s="11" t="n"/>
      <c r="E691" s="11" t="n"/>
      <c r="F691" s="11" t="n"/>
    </row>
    <row r="692">
      <c r="A692" s="12" t="inlineStr">
        <is>
          <t>Rate basis: per sqm  (source: cost for 1 sqm)</t>
        </is>
      </c>
    </row>
    <row r="693">
      <c r="A693" s="5" t="inlineStr">
        <is>
          <t>Code</t>
        </is>
      </c>
      <c r="B693" s="5" t="inlineStr">
        <is>
          <t>Description</t>
        </is>
      </c>
      <c r="C693" s="5" t="inlineStr">
        <is>
          <t>Unit</t>
        </is>
      </c>
      <c r="D693" s="5" t="inlineStr">
        <is>
          <t>Quantity</t>
        </is>
      </c>
      <c r="E693" s="5" t="inlineStr">
        <is>
          <t>Rate (Rs.)</t>
        </is>
      </c>
      <c r="F693" s="5" t="inlineStr">
        <is>
          <t>Amount (Rs.)</t>
        </is>
      </c>
    </row>
    <row r="694">
      <c r="A694" s="13" t="inlineStr">
        <is>
          <t>0755</t>
        </is>
      </c>
      <c r="B694" s="14" t="inlineStr">
        <is>
          <t>Decorative type Louvers (upto 0.20 sqm)in Block board construction flush sqm of door</t>
        </is>
      </c>
      <c r="C694" s="13" t="inlineStr">
        <is>
          <t>door area</t>
        </is>
      </c>
      <c r="D694" s="15" t="n">
        <v>1</v>
      </c>
      <c r="E694" s="16" t="n">
        <v>265</v>
      </c>
      <c r="F694" s="16">
        <f>D694*E694</f>
        <v/>
      </c>
    </row>
    <row r="695">
      <c r="A695" s="17" t="inlineStr">
        <is>
          <t>Resource Total (Material + Labour + Machinery, as printed)</t>
        </is>
      </c>
      <c r="B695" s="18" t="n"/>
      <c r="C695" s="18" t="n"/>
      <c r="D695" s="18" t="n"/>
      <c r="E695" s="18" t="n"/>
      <c r="F695" s="19">
        <f>SUM(F694:F694)</f>
        <v/>
      </c>
    </row>
    <row r="696">
      <c r="A696" s="20" t="inlineStr">
        <is>
          <t>SAY (Rs.) — final DAR rate</t>
        </is>
      </c>
      <c r="B696" s="21" t="n"/>
      <c r="C696" s="21" t="n"/>
      <c r="D696" s="21" t="n"/>
      <c r="E696" s="21" t="n"/>
      <c r="F696" s="22" t="n">
        <v>354.55</v>
      </c>
    </row>
    <row r="698" ht="28" customHeight="1">
      <c r="A698" s="9" t="inlineStr">
        <is>
          <t>9.26</t>
        </is>
      </c>
      <c r="B698" s="10" t="inlineStr">
        <is>
          <t>Extra for cutting rebate in flush door shutters (Total area of the shutter to be measured).</t>
        </is>
      </c>
      <c r="C698" s="11" t="n"/>
      <c r="D698" s="11" t="n"/>
      <c r="E698" s="11" t="n"/>
      <c r="F698" s="11" t="n"/>
    </row>
    <row r="699">
      <c r="A699" s="12" t="inlineStr">
        <is>
          <t>Rate basis: per sqm  (source: cost for 1 sqm)</t>
        </is>
      </c>
    </row>
    <row r="700">
      <c r="A700" s="5" t="inlineStr">
        <is>
          <t>Code</t>
        </is>
      </c>
      <c r="B700" s="5" t="inlineStr">
        <is>
          <t>Description</t>
        </is>
      </c>
      <c r="C700" s="5" t="inlineStr">
        <is>
          <t>Unit</t>
        </is>
      </c>
      <c r="D700" s="5" t="inlineStr">
        <is>
          <t>Quantity</t>
        </is>
      </c>
      <c r="E700" s="5" t="inlineStr">
        <is>
          <t>Rate (Rs.)</t>
        </is>
      </c>
      <c r="F700" s="5" t="inlineStr">
        <is>
          <t>Amount (Rs.)</t>
        </is>
      </c>
    </row>
    <row r="701">
      <c r="A701" s="13" t="inlineStr">
        <is>
          <t>0757</t>
        </is>
      </c>
      <c r="B701" s="14" t="inlineStr">
        <is>
          <t>Rebate cutting in Block board sqm of construction flush door</t>
        </is>
      </c>
      <c r="C701" s="13" t="inlineStr">
        <is>
          <t>door area</t>
        </is>
      </c>
      <c r="D701" s="15" t="n">
        <v>1</v>
      </c>
      <c r="E701" s="16" t="n">
        <v>70</v>
      </c>
      <c r="F701" s="16">
        <f>D701*E701</f>
        <v/>
      </c>
    </row>
    <row r="702">
      <c r="A702" s="17" t="inlineStr">
        <is>
          <t>Resource Total (Material + Labour + Machinery, as printed)</t>
        </is>
      </c>
      <c r="B702" s="18" t="n"/>
      <c r="C702" s="18" t="n"/>
      <c r="D702" s="18" t="n"/>
      <c r="E702" s="18" t="n"/>
      <c r="F702" s="19">
        <f>SUM(F701:F701)</f>
        <v/>
      </c>
    </row>
    <row r="703">
      <c r="A703" s="20" t="inlineStr">
        <is>
          <t>SAY (Rs.) — final DAR rate</t>
        </is>
      </c>
      <c r="B703" s="21" t="n"/>
      <c r="C703" s="21" t="n"/>
      <c r="D703" s="21" t="n"/>
      <c r="E703" s="21" t="n"/>
      <c r="F703" s="22" t="n">
        <v>93.65000000000001</v>
      </c>
    </row>
    <row r="705" ht="18" customHeight="1">
      <c r="A705" s="9" t="inlineStr">
        <is>
          <t>9.27.1.1.1</t>
        </is>
      </c>
      <c r="B705" s="10" t="inlineStr">
        <is>
          <t>Second class teak wood</t>
        </is>
      </c>
      <c r="C705" s="11" t="n"/>
      <c r="D705" s="11" t="n"/>
      <c r="E705" s="11" t="n"/>
      <c r="F705" s="11" t="n"/>
    </row>
    <row r="706">
      <c r="A706" s="12" t="inlineStr">
        <is>
          <t>Rate basis: per sqm  (source: cost for 2.16 sqm)</t>
        </is>
      </c>
    </row>
    <row r="707">
      <c r="A707" s="5" t="inlineStr">
        <is>
          <t>Code</t>
        </is>
      </c>
      <c r="B707" s="5" t="inlineStr">
        <is>
          <t>Description</t>
        </is>
      </c>
      <c r="C707" s="5" t="inlineStr">
        <is>
          <t>Unit</t>
        </is>
      </c>
      <c r="D707" s="5" t="inlineStr">
        <is>
          <t>Quantity</t>
        </is>
      </c>
      <c r="E707" s="5" t="inlineStr">
        <is>
          <t>Rate (Rs.)</t>
        </is>
      </c>
      <c r="F707" s="5" t="inlineStr">
        <is>
          <t>Amount (Rs.)</t>
        </is>
      </c>
    </row>
    <row r="708">
      <c r="A708" s="13" t="inlineStr">
        <is>
          <t>7029</t>
        </is>
      </c>
      <c r="B708" s="14" t="inlineStr">
        <is>
          <t>Galvanised wire mesh of average width of aperture 1.4 mm and nominal dia. Of wire 0.63 mm</t>
        </is>
      </c>
      <c r="C708" s="13" t="inlineStr">
        <is>
          <t>sqm</t>
        </is>
      </c>
      <c r="D708" s="15" t="n">
        <v>1.41</v>
      </c>
      <c r="E708" s="16" t="n">
        <v>250</v>
      </c>
      <c r="F708" s="16">
        <f>D708*E708</f>
        <v/>
      </c>
    </row>
    <row r="709">
      <c r="A709" s="13" t="inlineStr">
        <is>
          <t>0595</t>
        </is>
      </c>
      <c r="B709" s="14" t="inlineStr">
        <is>
          <t>Bright finished or black enamelled mild steel butt hinges 100x58x1.90 mm</t>
        </is>
      </c>
      <c r="C709" s="13" t="inlineStr">
        <is>
          <t>10 Nos</t>
        </is>
      </c>
      <c r="D709" s="15" t="n">
        <v>0.6</v>
      </c>
      <c r="E709" s="16" t="n">
        <v>80</v>
      </c>
      <c r="F709" s="16">
        <f>D709*E709</f>
        <v/>
      </c>
    </row>
    <row r="710">
      <c r="A710" s="13" t="inlineStr">
        <is>
          <t>0597</t>
        </is>
      </c>
      <c r="B710" s="14" t="inlineStr">
        <is>
          <t>Bright finished or black enamelled mild steel butt hinges50x37x1.50 mm</t>
        </is>
      </c>
      <c r="C710" s="13" t="inlineStr">
        <is>
          <t>10 Nos</t>
        </is>
      </c>
      <c r="D710" s="15" t="n">
        <v>0.2</v>
      </c>
      <c r="E710" s="16" t="n">
        <v>49</v>
      </c>
      <c r="F710" s="16">
        <f>D710*E710</f>
        <v/>
      </c>
    </row>
    <row r="711">
      <c r="A711" s="13" t="inlineStr">
        <is>
          <t>0637</t>
        </is>
      </c>
      <c r="B711" s="14" t="inlineStr">
        <is>
          <t>Bright finished or black enamelled mild steel screws 40 mm</t>
        </is>
      </c>
      <c r="C711" s="13" t="inlineStr">
        <is>
          <t>100 Nos</t>
        </is>
      </c>
      <c r="D711" s="15" t="n">
        <v>0.48</v>
      </c>
      <c r="E711" s="16" t="n">
        <v>60</v>
      </c>
      <c r="F711" s="16">
        <f>D711*E711</f>
        <v/>
      </c>
    </row>
    <row r="712">
      <c r="A712" s="13" t="inlineStr">
        <is>
          <t>0640</t>
        </is>
      </c>
      <c r="B712" s="14" t="inlineStr">
        <is>
          <t>Bright finished or black enamelled mild steel screws 20 mm</t>
        </is>
      </c>
      <c r="C712" s="13" t="inlineStr">
        <is>
          <t>100 Nos</t>
        </is>
      </c>
      <c r="D712" s="15" t="n">
        <v>0.08</v>
      </c>
      <c r="E712" s="16" t="n">
        <v>30</v>
      </c>
      <c r="F712" s="16">
        <f>D712*E712</f>
        <v/>
      </c>
    </row>
    <row r="713">
      <c r="A713" s="13" t="inlineStr">
        <is>
          <t>2204</t>
        </is>
      </c>
      <c r="B713" s="14" t="inlineStr">
        <is>
          <t>Carriage of Timber</t>
        </is>
      </c>
      <c r="C713" s="13" t="inlineStr">
        <is>
          <t>cum</t>
        </is>
      </c>
      <c r="D713" s="15" t="n">
        <v>0.0514</v>
      </c>
      <c r="E713" s="16" t="n">
        <v>118.59</v>
      </c>
      <c r="F713" s="16">
        <f>D713*E713</f>
        <v/>
      </c>
    </row>
    <row r="714">
      <c r="A714" s="13" t="inlineStr">
        <is>
          <t>0111</t>
        </is>
      </c>
      <c r="B714" s="14" t="inlineStr">
        <is>
          <t>Carpenter 1st class</t>
        </is>
      </c>
      <c r="C714" s="13" t="inlineStr">
        <is>
          <t>day</t>
        </is>
      </c>
      <c r="D714" s="15" t="n">
        <v>1.3</v>
      </c>
      <c r="E714" s="16" t="n">
        <v>738</v>
      </c>
      <c r="F714" s="16">
        <f>D714*E714</f>
        <v/>
      </c>
    </row>
    <row r="715">
      <c r="A715" s="13" t="inlineStr">
        <is>
          <t>0112</t>
        </is>
      </c>
      <c r="B715" s="14" t="inlineStr">
        <is>
          <t>Carpenter 2nd class</t>
        </is>
      </c>
      <c r="C715" s="13" t="inlineStr">
        <is>
          <t>day</t>
        </is>
      </c>
      <c r="D715" s="15" t="n">
        <v>0.9</v>
      </c>
      <c r="E715" s="16" t="n">
        <v>679</v>
      </c>
      <c r="F715" s="16">
        <f>D715*E715</f>
        <v/>
      </c>
    </row>
    <row r="716">
      <c r="A716" s="13" t="inlineStr">
        <is>
          <t>0114</t>
        </is>
      </c>
      <c r="B716" s="14" t="inlineStr">
        <is>
          <t>Beldar</t>
        </is>
      </c>
      <c r="C716" s="13" t="inlineStr">
        <is>
          <t>day</t>
        </is>
      </c>
      <c r="D716" s="15" t="n">
        <v>1.05</v>
      </c>
      <c r="E716" s="16" t="n">
        <v>558</v>
      </c>
      <c r="F716" s="16">
        <f>D716*E716</f>
        <v/>
      </c>
    </row>
    <row r="717">
      <c r="A717" s="13" t="inlineStr">
        <is>
          <t>0130</t>
        </is>
      </c>
      <c r="B717" s="14" t="inlineStr">
        <is>
          <t>Mistry</t>
        </is>
      </c>
      <c r="C717" s="13" t="inlineStr">
        <is>
          <t>day</t>
        </is>
      </c>
      <c r="D717" s="15" t="n">
        <v>0.105</v>
      </c>
      <c r="E717" s="16" t="n">
        <v>738</v>
      </c>
      <c r="F717" s="16">
        <f>D717*E717</f>
        <v/>
      </c>
    </row>
    <row r="718">
      <c r="A718" s="13" t="inlineStr">
        <is>
          <t>9999</t>
        </is>
      </c>
      <c r="B718" s="14" t="inlineStr">
        <is>
          <t>Sundries</t>
        </is>
      </c>
      <c r="C718" s="13" t="inlineStr">
        <is>
          <t>L.S.</t>
        </is>
      </c>
      <c r="D718" s="15" t="n">
        <v>33.8</v>
      </c>
      <c r="E718" s="16" t="n">
        <v>2</v>
      </c>
      <c r="F718" s="16">
        <f>D718*E718</f>
        <v/>
      </c>
    </row>
    <row r="719">
      <c r="A719" s="17" t="inlineStr">
        <is>
          <t>Resource Total (Material + Labour + Machinery, as printed)</t>
        </is>
      </c>
      <c r="B719" s="18" t="n"/>
      <c r="C719" s="18" t="n"/>
      <c r="D719" s="18" t="n"/>
      <c r="E719" s="18" t="n"/>
      <c r="F719" s="19">
        <f>SUM(F708:F718)</f>
        <v/>
      </c>
    </row>
    <row r="720">
      <c r="A720" s="20" t="inlineStr">
        <is>
          <t>SAY (Rs.) — final DAR rate</t>
        </is>
      </c>
      <c r="B720" s="21" t="n"/>
      <c r="C720" s="21" t="n"/>
      <c r="D720" s="21" t="n"/>
      <c r="E720" s="21" t="n"/>
      <c r="F720" s="22" t="n">
        <v>4221.2</v>
      </c>
    </row>
    <row r="722" ht="18" customHeight="1">
      <c r="A722" s="9" t="inlineStr">
        <is>
          <t>9.27.1.1.2</t>
        </is>
      </c>
      <c r="B722" s="10" t="inlineStr">
        <is>
          <t>Kiln seasoned and chemically treated hollock wood</t>
        </is>
      </c>
      <c r="C722" s="11" t="n"/>
      <c r="D722" s="11" t="n"/>
      <c r="E722" s="11" t="n"/>
      <c r="F722" s="11" t="n"/>
    </row>
    <row r="723">
      <c r="A723" s="12" t="inlineStr">
        <is>
          <t>Rate basis: per sqm  (source: cost for 2.16 sqm)</t>
        </is>
      </c>
    </row>
    <row r="724">
      <c r="A724" s="5" t="inlineStr">
        <is>
          <t>Code</t>
        </is>
      </c>
      <c r="B724" s="5" t="inlineStr">
        <is>
          <t>Description</t>
        </is>
      </c>
      <c r="C724" s="5" t="inlineStr">
        <is>
          <t>Unit</t>
        </is>
      </c>
      <c r="D724" s="5" t="inlineStr">
        <is>
          <t>Quantity</t>
        </is>
      </c>
      <c r="E724" s="5" t="inlineStr">
        <is>
          <t>Rate (Rs.)</t>
        </is>
      </c>
      <c r="F724" s="5" t="inlineStr">
        <is>
          <t>Amount (Rs.)</t>
        </is>
      </c>
    </row>
    <row r="725">
      <c r="A725" s="13" t="inlineStr">
        <is>
          <t>2204</t>
        </is>
      </c>
      <c r="B725" s="14" t="inlineStr">
        <is>
          <t>Carriage of Timber</t>
        </is>
      </c>
      <c r="C725" s="13" t="inlineStr">
        <is>
          <t>cum</t>
        </is>
      </c>
      <c r="D725" s="15" t="n">
        <v>0.0514</v>
      </c>
      <c r="E725" s="16" t="n">
        <v>118.59</v>
      </c>
      <c r="F725" s="16">
        <f>D725*E725</f>
        <v/>
      </c>
    </row>
    <row r="726">
      <c r="A726" s="13" t="inlineStr">
        <is>
          <t>2504</t>
        </is>
      </c>
      <c r="B726" s="14" t="inlineStr">
        <is>
          <t>Kiln seasoning of timber</t>
        </is>
      </c>
      <c r="C726" s="13" t="inlineStr">
        <is>
          <t>cum</t>
        </is>
      </c>
      <c r="D726" s="15" t="n">
        <v>0.0514</v>
      </c>
      <c r="E726" s="16" t="n">
        <v>750</v>
      </c>
      <c r="F726" s="16">
        <f>D726*E726</f>
        <v/>
      </c>
    </row>
    <row r="727">
      <c r="A727" s="13" t="inlineStr">
        <is>
          <t>9999</t>
        </is>
      </c>
      <c r="B727" s="14" t="inlineStr">
        <is>
          <t>Chemical treatment</t>
        </is>
      </c>
      <c r="C727" s="13" t="inlineStr">
        <is>
          <t>L.S.</t>
        </is>
      </c>
      <c r="D727" s="15" t="n">
        <v>8.970000000000001</v>
      </c>
      <c r="E727" s="16" t="n">
        <v>2</v>
      </c>
      <c r="F727" s="16">
        <f>D727*E727</f>
        <v/>
      </c>
    </row>
    <row r="728">
      <c r="A728" s="13" t="inlineStr">
        <is>
          <t>7029</t>
        </is>
      </c>
      <c r="B728" s="14" t="inlineStr">
        <is>
          <t>Galvanised wire mesh of average width of aperture 1.4 mm and nominal dia. Of wire 0.63 mm</t>
        </is>
      </c>
      <c r="C728" s="13" t="inlineStr">
        <is>
          <t>sqm</t>
        </is>
      </c>
      <c r="D728" s="15" t="n">
        <v>1.41</v>
      </c>
      <c r="E728" s="16" t="n">
        <v>250</v>
      </c>
      <c r="F728" s="16">
        <f>D728*E728</f>
        <v/>
      </c>
    </row>
    <row r="729">
      <c r="A729" s="13" t="inlineStr">
        <is>
          <t>0595</t>
        </is>
      </c>
      <c r="B729" s="14" t="inlineStr">
        <is>
          <t>Bright finished or black enamelled mild steel butt hinges 100x58x1.90 mm</t>
        </is>
      </c>
      <c r="C729" s="13" t="inlineStr">
        <is>
          <t>10 Nos</t>
        </is>
      </c>
      <c r="D729" s="15" t="n">
        <v>0.6</v>
      </c>
      <c r="E729" s="16" t="n">
        <v>80</v>
      </c>
      <c r="F729" s="16">
        <f>D729*E729</f>
        <v/>
      </c>
    </row>
    <row r="730">
      <c r="A730" s="13" t="inlineStr">
        <is>
          <t>0597</t>
        </is>
      </c>
      <c r="B730" s="14" t="inlineStr">
        <is>
          <t>Bright finished or black enamelled mild steel butt hinges50x37x1.50 mm</t>
        </is>
      </c>
      <c r="C730" s="13" t="inlineStr">
        <is>
          <t>10 Nos</t>
        </is>
      </c>
      <c r="D730" s="15" t="n">
        <v>0.2</v>
      </c>
      <c r="E730" s="16" t="n">
        <v>49</v>
      </c>
      <c r="F730" s="16">
        <f>D730*E730</f>
        <v/>
      </c>
    </row>
    <row r="731">
      <c r="A731" s="13" t="inlineStr">
        <is>
          <t>0637</t>
        </is>
      </c>
      <c r="B731" s="14" t="inlineStr">
        <is>
          <t>Bright finished or black enamelled mild steel screws 40 mm</t>
        </is>
      </c>
      <c r="C731" s="13" t="inlineStr">
        <is>
          <t>100 Nos</t>
        </is>
      </c>
      <c r="D731" s="15" t="n">
        <v>0.48</v>
      </c>
      <c r="E731" s="16" t="n">
        <v>60</v>
      </c>
      <c r="F731" s="16">
        <f>D731*E731</f>
        <v/>
      </c>
    </row>
    <row r="732">
      <c r="A732" s="13" t="inlineStr">
        <is>
          <t>0640</t>
        </is>
      </c>
      <c r="B732" s="14" t="inlineStr">
        <is>
          <t>Bright finished or black enamelled mild steel screws 20 mm</t>
        </is>
      </c>
      <c r="C732" s="13" t="inlineStr">
        <is>
          <t>100 Nos</t>
        </is>
      </c>
      <c r="D732" s="15" t="n">
        <v>0.08</v>
      </c>
      <c r="E732" s="16" t="n">
        <v>30</v>
      </c>
      <c r="F732" s="16">
        <f>D732*E732</f>
        <v/>
      </c>
    </row>
    <row r="733">
      <c r="A733" s="13" t="inlineStr">
        <is>
          <t>0111</t>
        </is>
      </c>
      <c r="B733" s="14" t="inlineStr">
        <is>
          <t>Carpenter 1st class</t>
        </is>
      </c>
      <c r="C733" s="13" t="inlineStr">
        <is>
          <t>day</t>
        </is>
      </c>
      <c r="D733" s="15" t="n">
        <v>1.3</v>
      </c>
      <c r="E733" s="16" t="n">
        <v>738</v>
      </c>
      <c r="F733" s="16">
        <f>D733*E733</f>
        <v/>
      </c>
    </row>
    <row r="734">
      <c r="A734" s="13" t="inlineStr">
        <is>
          <t>0112</t>
        </is>
      </c>
      <c r="B734" s="14" t="inlineStr">
        <is>
          <t>Carpenter 2nd class</t>
        </is>
      </c>
      <c r="C734" s="13" t="inlineStr">
        <is>
          <t>day</t>
        </is>
      </c>
      <c r="D734" s="15" t="n">
        <v>0.9</v>
      </c>
      <c r="E734" s="16" t="n">
        <v>679</v>
      </c>
      <c r="F734" s="16">
        <f>D734*E734</f>
        <v/>
      </c>
    </row>
    <row r="735">
      <c r="A735" s="13" t="inlineStr">
        <is>
          <t>0114</t>
        </is>
      </c>
      <c r="B735" s="14" t="inlineStr">
        <is>
          <t>Beldar</t>
        </is>
      </c>
      <c r="C735" s="13" t="inlineStr">
        <is>
          <t>day</t>
        </is>
      </c>
      <c r="D735" s="15" t="n">
        <v>1.05</v>
      </c>
      <c r="E735" s="16" t="n">
        <v>558</v>
      </c>
      <c r="F735" s="16">
        <f>D735*E735</f>
        <v/>
      </c>
    </row>
    <row r="736">
      <c r="A736" s="13" t="inlineStr">
        <is>
          <t>0130</t>
        </is>
      </c>
      <c r="B736" s="14" t="inlineStr">
        <is>
          <t>Mistry</t>
        </is>
      </c>
      <c r="C736" s="13" t="inlineStr">
        <is>
          <t>day</t>
        </is>
      </c>
      <c r="D736" s="15" t="n">
        <v>0.105</v>
      </c>
      <c r="E736" s="16" t="n">
        <v>738</v>
      </c>
      <c r="F736" s="16">
        <f>D736*E736</f>
        <v/>
      </c>
    </row>
    <row r="737">
      <c r="A737" s="13" t="inlineStr">
        <is>
          <t>9999</t>
        </is>
      </c>
      <c r="B737" s="14" t="inlineStr">
        <is>
          <t>Sundries</t>
        </is>
      </c>
      <c r="C737" s="13" t="inlineStr">
        <is>
          <t>L.S.</t>
        </is>
      </c>
      <c r="D737" s="15" t="n">
        <v>33.8</v>
      </c>
      <c r="E737" s="16" t="n">
        <v>2</v>
      </c>
      <c r="F737" s="16">
        <f>D737*E737</f>
        <v/>
      </c>
    </row>
    <row r="738">
      <c r="A738" s="17" t="inlineStr">
        <is>
          <t>Resource Total (Material + Labour + Machinery, as printed)</t>
        </is>
      </c>
      <c r="B738" s="18" t="n"/>
      <c r="C738" s="18" t="n"/>
      <c r="D738" s="18" t="n"/>
      <c r="E738" s="18" t="n"/>
      <c r="F738" s="19">
        <f>SUM(F725:F737)</f>
        <v/>
      </c>
    </row>
    <row r="739">
      <c r="A739" s="20" t="inlineStr">
        <is>
          <t>SAY (Rs.) — final DAR rate</t>
        </is>
      </c>
      <c r="B739" s="21" t="n"/>
      <c r="C739" s="21" t="n"/>
      <c r="D739" s="21" t="n"/>
      <c r="E739" s="21" t="n"/>
      <c r="F739" s="22" t="n">
        <v>2979.5</v>
      </c>
    </row>
    <row r="741" ht="18" customHeight="1">
      <c r="A741" s="9" t="inlineStr">
        <is>
          <t>9.27.1.1.3</t>
        </is>
      </c>
      <c r="B741" s="10" t="inlineStr">
        <is>
          <t>Kiln seasoned selected class of sheesham wood</t>
        </is>
      </c>
      <c r="C741" s="11" t="n"/>
      <c r="D741" s="11" t="n"/>
      <c r="E741" s="11" t="n"/>
      <c r="F741" s="11" t="n"/>
    </row>
    <row r="742">
      <c r="A742" s="12" t="inlineStr">
        <is>
          <t>Rate basis: per sqm  (source: cost for 2.16 sqm)</t>
        </is>
      </c>
    </row>
    <row r="743">
      <c r="A743" s="5" t="inlineStr">
        <is>
          <t>Code</t>
        </is>
      </c>
      <c r="B743" s="5" t="inlineStr">
        <is>
          <t>Description</t>
        </is>
      </c>
      <c r="C743" s="5" t="inlineStr">
        <is>
          <t>Unit</t>
        </is>
      </c>
      <c r="D743" s="5" t="inlineStr">
        <is>
          <t>Quantity</t>
        </is>
      </c>
      <c r="E743" s="5" t="inlineStr">
        <is>
          <t>Rate (Rs.)</t>
        </is>
      </c>
      <c r="F743" s="5" t="inlineStr">
        <is>
          <t>Amount (Rs.)</t>
        </is>
      </c>
    </row>
    <row r="744">
      <c r="A744" s="13" t="inlineStr">
        <is>
          <t>2204</t>
        </is>
      </c>
      <c r="B744" s="14" t="inlineStr">
        <is>
          <t>Carriage of Timber</t>
        </is>
      </c>
      <c r="C744" s="13" t="inlineStr">
        <is>
          <t>cum</t>
        </is>
      </c>
      <c r="D744" s="15" t="n">
        <v>0.0514</v>
      </c>
      <c r="E744" s="16" t="n">
        <v>118.59</v>
      </c>
      <c r="F744" s="16">
        <f>D744*E744</f>
        <v/>
      </c>
    </row>
    <row r="745">
      <c r="A745" s="13" t="inlineStr">
        <is>
          <t>2504</t>
        </is>
      </c>
      <c r="B745" s="14" t="inlineStr">
        <is>
          <t>Kiln seasoning of timber</t>
        </is>
      </c>
      <c r="C745" s="13" t="inlineStr">
        <is>
          <t>cum</t>
        </is>
      </c>
      <c r="D745" s="15" t="n">
        <v>0.0514</v>
      </c>
      <c r="E745" s="16" t="n">
        <v>750</v>
      </c>
      <c r="F745" s="16">
        <f>D745*E745</f>
        <v/>
      </c>
    </row>
    <row r="746">
      <c r="A746" s="13" t="inlineStr">
        <is>
          <t>7029</t>
        </is>
      </c>
      <c r="B746" s="14" t="inlineStr">
        <is>
          <t>Galvanised wire mesh of average width of aperture 1.4 mm and nominal dia. of wire 0.63 mm</t>
        </is>
      </c>
      <c r="C746" s="13" t="inlineStr">
        <is>
          <t>sqm</t>
        </is>
      </c>
      <c r="D746" s="15" t="n">
        <v>1.41</v>
      </c>
      <c r="E746" s="16" t="n">
        <v>250</v>
      </c>
      <c r="F746" s="16">
        <f>D746*E746</f>
        <v/>
      </c>
    </row>
    <row r="747">
      <c r="A747" s="13" t="inlineStr">
        <is>
          <t>0595</t>
        </is>
      </c>
      <c r="B747" s="14" t="inlineStr">
        <is>
          <t>Bright finished or black enamelled mild steel butt hinges 100x58x1.90 mm</t>
        </is>
      </c>
      <c r="C747" s="13" t="inlineStr">
        <is>
          <t>10 Nos</t>
        </is>
      </c>
      <c r="D747" s="15" t="n">
        <v>0.6</v>
      </c>
      <c r="E747" s="16" t="n">
        <v>80</v>
      </c>
      <c r="F747" s="16">
        <f>D747*E747</f>
        <v/>
      </c>
    </row>
    <row r="748">
      <c r="A748" s="13" t="inlineStr">
        <is>
          <t>0597</t>
        </is>
      </c>
      <c r="B748" s="14" t="inlineStr">
        <is>
          <t>Bright finished or black enamelled mild steel butt hinges50x37x1.50 mm</t>
        </is>
      </c>
      <c r="C748" s="13" t="inlineStr">
        <is>
          <t>10 Nos</t>
        </is>
      </c>
      <c r="D748" s="15" t="n">
        <v>0.2</v>
      </c>
      <c r="E748" s="16" t="n">
        <v>49</v>
      </c>
      <c r="F748" s="16">
        <f>D748*E748</f>
        <v/>
      </c>
    </row>
    <row r="749">
      <c r="A749" s="13" t="inlineStr">
        <is>
          <t>0637</t>
        </is>
      </c>
      <c r="B749" s="14" t="inlineStr">
        <is>
          <t>Bright finished or black enamelled mild steel screws 40 mm</t>
        </is>
      </c>
      <c r="C749" s="13" t="inlineStr">
        <is>
          <t>100 Nos</t>
        </is>
      </c>
      <c r="D749" s="15" t="n">
        <v>0.48</v>
      </c>
      <c r="E749" s="16" t="n">
        <v>60</v>
      </c>
      <c r="F749" s="16">
        <f>D749*E749</f>
        <v/>
      </c>
    </row>
    <row r="750">
      <c r="A750" s="13" t="inlineStr">
        <is>
          <t>0640</t>
        </is>
      </c>
      <c r="B750" s="14" t="inlineStr">
        <is>
          <t>Bright finished or black enamelled mild steel screws 20 mm</t>
        </is>
      </c>
      <c r="C750" s="13" t="inlineStr">
        <is>
          <t>100 Nos</t>
        </is>
      </c>
      <c r="D750" s="15" t="n">
        <v>0.08</v>
      </c>
      <c r="E750" s="16" t="n">
        <v>30</v>
      </c>
      <c r="F750" s="16">
        <f>D750*E750</f>
        <v/>
      </c>
    </row>
    <row r="751">
      <c r="A751" s="13" t="inlineStr">
        <is>
          <t>0111</t>
        </is>
      </c>
      <c r="B751" s="14" t="inlineStr">
        <is>
          <t>Carpenter 1st class</t>
        </is>
      </c>
      <c r="C751" s="13" t="inlineStr">
        <is>
          <t>day</t>
        </is>
      </c>
      <c r="D751" s="15" t="n">
        <v>1.3</v>
      </c>
      <c r="E751" s="16" t="n">
        <v>738</v>
      </c>
      <c r="F751" s="16">
        <f>D751*E751</f>
        <v/>
      </c>
    </row>
    <row r="752">
      <c r="A752" s="13" t="inlineStr">
        <is>
          <t>0112</t>
        </is>
      </c>
      <c r="B752" s="14" t="inlineStr">
        <is>
          <t>Carpenter 2nd class</t>
        </is>
      </c>
      <c r="C752" s="13" t="inlineStr">
        <is>
          <t>day</t>
        </is>
      </c>
      <c r="D752" s="15" t="n">
        <v>0.9</v>
      </c>
      <c r="E752" s="16" t="n">
        <v>679</v>
      </c>
      <c r="F752" s="16">
        <f>D752*E752</f>
        <v/>
      </c>
    </row>
    <row r="753">
      <c r="A753" s="13" t="inlineStr">
        <is>
          <t>0114</t>
        </is>
      </c>
      <c r="B753" s="14" t="inlineStr">
        <is>
          <t>Beldar</t>
        </is>
      </c>
      <c r="C753" s="13" t="inlineStr">
        <is>
          <t>day</t>
        </is>
      </c>
      <c r="D753" s="15" t="n">
        <v>1.05</v>
      </c>
      <c r="E753" s="16" t="n">
        <v>558</v>
      </c>
      <c r="F753" s="16">
        <f>D753*E753</f>
        <v/>
      </c>
    </row>
    <row r="754">
      <c r="A754" s="13" t="inlineStr">
        <is>
          <t>0130</t>
        </is>
      </c>
      <c r="B754" s="14" t="inlineStr">
        <is>
          <t>Mistry</t>
        </is>
      </c>
      <c r="C754" s="13" t="inlineStr">
        <is>
          <t>day</t>
        </is>
      </c>
      <c r="D754" s="15" t="n">
        <v>0.105</v>
      </c>
      <c r="E754" s="16" t="n">
        <v>738</v>
      </c>
      <c r="F754" s="16">
        <f>D754*E754</f>
        <v/>
      </c>
    </row>
    <row r="755">
      <c r="A755" s="13" t="inlineStr">
        <is>
          <t>9999</t>
        </is>
      </c>
      <c r="B755" s="14" t="inlineStr">
        <is>
          <t>Sundries</t>
        </is>
      </c>
      <c r="C755" s="13" t="inlineStr">
        <is>
          <t>L.S.</t>
        </is>
      </c>
      <c r="D755" s="15" t="n">
        <v>33.8</v>
      </c>
      <c r="E755" s="16" t="n">
        <v>2</v>
      </c>
      <c r="F755" s="16">
        <f>D755*E755</f>
        <v/>
      </c>
    </row>
    <row r="756">
      <c r="A756" s="17" t="inlineStr">
        <is>
          <t>Resource Total (Material + Labour + Machinery, as printed)</t>
        </is>
      </c>
      <c r="B756" s="18" t="n"/>
      <c r="C756" s="18" t="n"/>
      <c r="D756" s="18" t="n"/>
      <c r="E756" s="18" t="n"/>
      <c r="F756" s="19">
        <f>SUM(F744:F755)</f>
        <v/>
      </c>
    </row>
    <row r="757">
      <c r="A757" s="20" t="inlineStr">
        <is>
          <t>SAY (Rs.) — final DAR rate</t>
        </is>
      </c>
      <c r="B757" s="21" t="n"/>
      <c r="C757" s="21" t="n"/>
      <c r="D757" s="21" t="n"/>
      <c r="E757" s="21" t="n"/>
      <c r="F757" s="22" t="n">
        <v>3796.15</v>
      </c>
    </row>
    <row r="759" ht="18" customHeight="1">
      <c r="A759" s="9" t="inlineStr">
        <is>
          <t>9.27.1.2.1</t>
        </is>
      </c>
      <c r="B759" s="10" t="inlineStr">
        <is>
          <t>Second class teak wood</t>
        </is>
      </c>
      <c r="C759" s="11" t="n"/>
      <c r="D759" s="11" t="n"/>
      <c r="E759" s="11" t="n"/>
      <c r="F759" s="11" t="n"/>
    </row>
    <row r="760">
      <c r="A760" s="12" t="inlineStr">
        <is>
          <t>Rate basis: per sqm  (source: cost for 2.16 sqm)</t>
        </is>
      </c>
    </row>
    <row r="761">
      <c r="A761" s="5" t="inlineStr">
        <is>
          <t>Code</t>
        </is>
      </c>
      <c r="B761" s="5" t="inlineStr">
        <is>
          <t>Description</t>
        </is>
      </c>
      <c r="C761" s="5" t="inlineStr">
        <is>
          <t>Unit</t>
        </is>
      </c>
      <c r="D761" s="5" t="inlineStr">
        <is>
          <t>Quantity</t>
        </is>
      </c>
      <c r="E761" s="5" t="inlineStr">
        <is>
          <t>Rate (Rs.)</t>
        </is>
      </c>
      <c r="F761" s="5" t="inlineStr">
        <is>
          <t>Amount (Rs.)</t>
        </is>
      </c>
    </row>
    <row r="762">
      <c r="A762" s="13" t="inlineStr">
        <is>
          <t>7029</t>
        </is>
      </c>
      <c r="B762" s="14" t="inlineStr">
        <is>
          <t>Galvanised wire mesh of average width of aperture 1.4 mm and nominal dia. Of wire 0.63 mm</t>
        </is>
      </c>
      <c r="C762" s="13" t="inlineStr">
        <is>
          <t>sqm</t>
        </is>
      </c>
      <c r="D762" s="15" t="n">
        <v>1.41</v>
      </c>
      <c r="E762" s="16" t="n">
        <v>250</v>
      </c>
      <c r="F762" s="16">
        <f>D762*E762</f>
        <v/>
      </c>
    </row>
    <row r="763">
      <c r="A763" s="13" t="inlineStr">
        <is>
          <t>8220</t>
        </is>
      </c>
      <c r="B763" s="14" t="inlineStr">
        <is>
          <t>Stainless steel butt hinges (heavy weight) 100x60x2.5 mm IS : 12817 marked</t>
        </is>
      </c>
      <c r="C763" s="13" t="inlineStr">
        <is>
          <t>10 Nos</t>
        </is>
      </c>
      <c r="D763" s="15" t="n">
        <v>0.6</v>
      </c>
      <c r="E763" s="16" t="n">
        <v>255</v>
      </c>
      <c r="F763" s="16">
        <f>D763*E763</f>
        <v/>
      </c>
    </row>
    <row r="764">
      <c r="A764" s="13" t="inlineStr">
        <is>
          <t>8218</t>
        </is>
      </c>
      <c r="B764" s="14" t="inlineStr">
        <is>
          <t>Stainless steel butt hinges 50x37x 1.5 mm IS : 12817 marked</t>
        </is>
      </c>
      <c r="C764" s="13" t="inlineStr">
        <is>
          <t>10 Nos</t>
        </is>
      </c>
      <c r="D764" s="15" t="n">
        <v>0.2</v>
      </c>
      <c r="E764" s="16" t="n">
        <v>135</v>
      </c>
      <c r="F764" s="16">
        <f>D764*E764</f>
        <v/>
      </c>
    </row>
    <row r="765">
      <c r="A765" s="13" t="inlineStr">
        <is>
          <t>8211</t>
        </is>
      </c>
      <c r="B765" s="14" t="inlineStr">
        <is>
          <t>Stainless steel screws 40 mm</t>
        </is>
      </c>
      <c r="C765" s="13" t="inlineStr">
        <is>
          <t>100 Nos</t>
        </is>
      </c>
      <c r="D765" s="15" t="n">
        <v>0.48</v>
      </c>
      <c r="E765" s="16" t="n">
        <v>215</v>
      </c>
      <c r="F765" s="16">
        <f>D765*E765</f>
        <v/>
      </c>
    </row>
    <row r="766">
      <c r="A766" s="13" t="inlineStr">
        <is>
          <t>8214</t>
        </is>
      </c>
      <c r="B766" s="14" t="inlineStr">
        <is>
          <t>Stainless steel screws 20 mm</t>
        </is>
      </c>
      <c r="C766" s="13" t="inlineStr">
        <is>
          <t>100 Nos</t>
        </is>
      </c>
      <c r="D766" s="15" t="n">
        <v>0.08</v>
      </c>
      <c r="E766" s="16" t="n">
        <v>125</v>
      </c>
      <c r="F766" s="16">
        <f>D766*E766</f>
        <v/>
      </c>
    </row>
    <row r="767">
      <c r="A767" s="13" t="inlineStr">
        <is>
          <t>2204</t>
        </is>
      </c>
      <c r="B767" s="14" t="inlineStr">
        <is>
          <t>Carriage of Timber</t>
        </is>
      </c>
      <c r="C767" s="13" t="inlineStr">
        <is>
          <t>cum</t>
        </is>
      </c>
      <c r="D767" s="15" t="n">
        <v>0.0514</v>
      </c>
      <c r="E767" s="16" t="n">
        <v>118.59</v>
      </c>
      <c r="F767" s="16">
        <f>D767*E767</f>
        <v/>
      </c>
    </row>
    <row r="768">
      <c r="A768" s="13" t="inlineStr">
        <is>
          <t>0111</t>
        </is>
      </c>
      <c r="B768" s="14" t="inlineStr">
        <is>
          <t>Carpenter 1st class</t>
        </is>
      </c>
      <c r="C768" s="13" t="inlineStr">
        <is>
          <t>day</t>
        </is>
      </c>
      <c r="D768" s="15" t="n">
        <v>1.3</v>
      </c>
      <c r="E768" s="16" t="n">
        <v>738</v>
      </c>
      <c r="F768" s="16">
        <f>D768*E768</f>
        <v/>
      </c>
    </row>
    <row r="769">
      <c r="A769" s="13" t="inlineStr">
        <is>
          <t>0112</t>
        </is>
      </c>
      <c r="B769" s="14" t="inlineStr">
        <is>
          <t>Carpenter 2nd class</t>
        </is>
      </c>
      <c r="C769" s="13" t="inlineStr">
        <is>
          <t>day</t>
        </is>
      </c>
      <c r="D769" s="15" t="n">
        <v>0.9</v>
      </c>
      <c r="E769" s="16" t="n">
        <v>679</v>
      </c>
      <c r="F769" s="16">
        <f>D769*E769</f>
        <v/>
      </c>
    </row>
    <row r="770">
      <c r="A770" s="13" t="inlineStr">
        <is>
          <t>0114</t>
        </is>
      </c>
      <c r="B770" s="14" t="inlineStr">
        <is>
          <t>Beldar</t>
        </is>
      </c>
      <c r="C770" s="13" t="inlineStr">
        <is>
          <t>day</t>
        </is>
      </c>
      <c r="D770" s="15" t="n">
        <v>1.05</v>
      </c>
      <c r="E770" s="16" t="n">
        <v>558</v>
      </c>
      <c r="F770" s="16">
        <f>D770*E770</f>
        <v/>
      </c>
    </row>
    <row r="771">
      <c r="A771" s="13" t="inlineStr">
        <is>
          <t>0130</t>
        </is>
      </c>
      <c r="B771" s="14" t="inlineStr">
        <is>
          <t>Mistry</t>
        </is>
      </c>
      <c r="C771" s="13" t="inlineStr">
        <is>
          <t>day</t>
        </is>
      </c>
      <c r="D771" s="15" t="n">
        <v>0.105</v>
      </c>
      <c r="E771" s="16" t="n">
        <v>738</v>
      </c>
      <c r="F771" s="16">
        <f>D771*E771</f>
        <v/>
      </c>
    </row>
    <row r="772">
      <c r="A772" s="13" t="inlineStr">
        <is>
          <t>9999</t>
        </is>
      </c>
      <c r="B772" s="14" t="inlineStr">
        <is>
          <t>Sundries</t>
        </is>
      </c>
      <c r="C772" s="13" t="inlineStr">
        <is>
          <t>L.S.</t>
        </is>
      </c>
      <c r="D772" s="15" t="n">
        <v>33.8</v>
      </c>
      <c r="E772" s="16" t="n">
        <v>2</v>
      </c>
      <c r="F772" s="16">
        <f>D772*E772</f>
        <v/>
      </c>
    </row>
    <row r="773">
      <c r="A773" s="17" t="inlineStr">
        <is>
          <t>Resource Total (Material + Labour + Machinery, as printed)</t>
        </is>
      </c>
      <c r="B773" s="18" t="n"/>
      <c r="C773" s="18" t="n"/>
      <c r="D773" s="18" t="n"/>
      <c r="E773" s="18" t="n"/>
      <c r="F773" s="19">
        <f>SUM(F762:F772)</f>
        <v/>
      </c>
    </row>
    <row r="774">
      <c r="A774" s="20" t="inlineStr">
        <is>
          <t>SAY (Rs.) — final DAR rate</t>
        </is>
      </c>
      <c r="B774" s="21" t="n"/>
      <c r="C774" s="21" t="n"/>
      <c r="D774" s="21" t="n"/>
      <c r="E774" s="21" t="n"/>
      <c r="F774" s="22" t="n">
        <v>4347.7</v>
      </c>
    </row>
    <row r="776" ht="18" customHeight="1">
      <c r="A776" s="9" t="inlineStr">
        <is>
          <t>9.27.1.2.2</t>
        </is>
      </c>
      <c r="B776" s="10" t="inlineStr">
        <is>
          <t>Kiln seasoned and chemically treated hollock wood</t>
        </is>
      </c>
      <c r="C776" s="11" t="n"/>
      <c r="D776" s="11" t="n"/>
      <c r="E776" s="11" t="n"/>
      <c r="F776" s="11" t="n"/>
    </row>
    <row r="777">
      <c r="A777" s="12" t="inlineStr">
        <is>
          <t>Rate basis: per sqm  (source: cost for 2.16 sqm)</t>
        </is>
      </c>
    </row>
    <row r="778">
      <c r="A778" s="5" t="inlineStr">
        <is>
          <t>Code</t>
        </is>
      </c>
      <c r="B778" s="5" t="inlineStr">
        <is>
          <t>Description</t>
        </is>
      </c>
      <c r="C778" s="5" t="inlineStr">
        <is>
          <t>Unit</t>
        </is>
      </c>
      <c r="D778" s="5" t="inlineStr">
        <is>
          <t>Quantity</t>
        </is>
      </c>
      <c r="E778" s="5" t="inlineStr">
        <is>
          <t>Rate (Rs.)</t>
        </is>
      </c>
      <c r="F778" s="5" t="inlineStr">
        <is>
          <t>Amount (Rs.)</t>
        </is>
      </c>
    </row>
    <row r="779">
      <c r="A779" s="13" t="inlineStr">
        <is>
          <t>2504</t>
        </is>
      </c>
      <c r="B779" s="14" t="inlineStr">
        <is>
          <t>Kiln seasoning of timber</t>
        </is>
      </c>
      <c r="C779" s="13" t="inlineStr">
        <is>
          <t>cum</t>
        </is>
      </c>
      <c r="D779" s="15" t="n">
        <v>0.0514</v>
      </c>
      <c r="E779" s="16" t="n">
        <v>750</v>
      </c>
      <c r="F779" s="16">
        <f>D779*E779</f>
        <v/>
      </c>
    </row>
    <row r="780">
      <c r="A780" s="13" t="inlineStr">
        <is>
          <t>9999</t>
        </is>
      </c>
      <c r="B780" s="14" t="inlineStr">
        <is>
          <t>Chemical treatment</t>
        </is>
      </c>
      <c r="C780" s="13" t="inlineStr">
        <is>
          <t>L.S.</t>
        </is>
      </c>
      <c r="D780" s="15" t="n">
        <v>8.970000000000001</v>
      </c>
      <c r="E780" s="16" t="n">
        <v>2</v>
      </c>
      <c r="F780" s="16">
        <f>D780*E780</f>
        <v/>
      </c>
    </row>
    <row r="781">
      <c r="A781" s="13" t="inlineStr">
        <is>
          <t>7029</t>
        </is>
      </c>
      <c r="B781" s="14" t="inlineStr">
        <is>
          <t>Galvanised wire mesh of average width of aperture 1.4 mm and nominal dia. Of wire 0.63 mm</t>
        </is>
      </c>
      <c r="C781" s="13" t="inlineStr">
        <is>
          <t>sqm</t>
        </is>
      </c>
      <c r="D781" s="15" t="n">
        <v>1.41</v>
      </c>
      <c r="E781" s="16" t="n">
        <v>250</v>
      </c>
      <c r="F781" s="16">
        <f>D781*E781</f>
        <v/>
      </c>
    </row>
    <row r="782">
      <c r="A782" s="13" t="inlineStr">
        <is>
          <t>8220</t>
        </is>
      </c>
      <c r="B782" s="14" t="inlineStr">
        <is>
          <t>Stainless steel butt hinges (heavy weight) 100x60x2.5 mm IS : 12817 marked</t>
        </is>
      </c>
      <c r="C782" s="13" t="inlineStr">
        <is>
          <t>10 Nos</t>
        </is>
      </c>
      <c r="D782" s="15" t="n">
        <v>0.6</v>
      </c>
      <c r="E782" s="16" t="n">
        <v>255</v>
      </c>
      <c r="F782" s="16">
        <f>D782*E782</f>
        <v/>
      </c>
    </row>
    <row r="783">
      <c r="A783" s="13" t="inlineStr">
        <is>
          <t>8218</t>
        </is>
      </c>
      <c r="B783" s="14" t="inlineStr">
        <is>
          <t>Stainless steel butt hinges 50x37x 1.5 mm IS : 12817 marked</t>
        </is>
      </c>
      <c r="C783" s="13" t="inlineStr">
        <is>
          <t>10 Nos</t>
        </is>
      </c>
      <c r="D783" s="15" t="n">
        <v>0.2</v>
      </c>
      <c r="E783" s="16" t="n">
        <v>135</v>
      </c>
      <c r="F783" s="16">
        <f>D783*E783</f>
        <v/>
      </c>
    </row>
    <row r="784">
      <c r="A784" s="13" t="inlineStr">
        <is>
          <t>8211</t>
        </is>
      </c>
      <c r="B784" s="14" t="inlineStr">
        <is>
          <t>Stainless steel screws 40 mm</t>
        </is>
      </c>
      <c r="C784" s="13" t="inlineStr">
        <is>
          <t>100 Nos</t>
        </is>
      </c>
      <c r="D784" s="15" t="n">
        <v>0.48</v>
      </c>
      <c r="E784" s="16" t="n">
        <v>215</v>
      </c>
      <c r="F784" s="16">
        <f>D784*E784</f>
        <v/>
      </c>
    </row>
    <row r="785">
      <c r="A785" s="13" t="inlineStr">
        <is>
          <t>8214</t>
        </is>
      </c>
      <c r="B785" s="14" t="inlineStr">
        <is>
          <t>Stainless steel screws 20 mm</t>
        </is>
      </c>
      <c r="C785" s="13" t="inlineStr">
        <is>
          <t>100 Nos</t>
        </is>
      </c>
      <c r="D785" s="15" t="n">
        <v>0.08</v>
      </c>
      <c r="E785" s="16" t="n">
        <v>125</v>
      </c>
      <c r="F785" s="16">
        <f>D785*E785</f>
        <v/>
      </c>
    </row>
    <row r="786">
      <c r="A786" s="13" t="inlineStr">
        <is>
          <t>2204</t>
        </is>
      </c>
      <c r="B786" s="14" t="inlineStr">
        <is>
          <t>Carriage of Timber</t>
        </is>
      </c>
      <c r="C786" s="13" t="inlineStr">
        <is>
          <t>cum</t>
        </is>
      </c>
      <c r="D786" s="15" t="n">
        <v>0.0514</v>
      </c>
      <c r="E786" s="16" t="n">
        <v>118.59</v>
      </c>
      <c r="F786" s="16">
        <f>D786*E786</f>
        <v/>
      </c>
    </row>
    <row r="787">
      <c r="A787" s="13" t="inlineStr">
        <is>
          <t>0111</t>
        </is>
      </c>
      <c r="B787" s="14" t="inlineStr">
        <is>
          <t>Carpenter 1st class</t>
        </is>
      </c>
      <c r="C787" s="13" t="inlineStr">
        <is>
          <t>day</t>
        </is>
      </c>
      <c r="D787" s="15" t="n">
        <v>1.3</v>
      </c>
      <c r="E787" s="16" t="n">
        <v>738</v>
      </c>
      <c r="F787" s="16">
        <f>D787*E787</f>
        <v/>
      </c>
    </row>
    <row r="788">
      <c r="A788" s="13" t="inlineStr">
        <is>
          <t>0112</t>
        </is>
      </c>
      <c r="B788" s="14" t="inlineStr">
        <is>
          <t>Carpenter 2nd class</t>
        </is>
      </c>
      <c r="C788" s="13" t="inlineStr">
        <is>
          <t>day</t>
        </is>
      </c>
      <c r="D788" s="15" t="n">
        <v>0.9</v>
      </c>
      <c r="E788" s="16" t="n">
        <v>679</v>
      </c>
      <c r="F788" s="16">
        <f>D788*E788</f>
        <v/>
      </c>
    </row>
    <row r="789">
      <c r="A789" s="13" t="inlineStr">
        <is>
          <t>0114</t>
        </is>
      </c>
      <c r="B789" s="14" t="inlineStr">
        <is>
          <t>Beldar</t>
        </is>
      </c>
      <c r="C789" s="13" t="inlineStr">
        <is>
          <t>day</t>
        </is>
      </c>
      <c r="D789" s="15" t="n">
        <v>1.05</v>
      </c>
      <c r="E789" s="16" t="n">
        <v>558</v>
      </c>
      <c r="F789" s="16">
        <f>D789*E789</f>
        <v/>
      </c>
    </row>
    <row r="790">
      <c r="A790" s="13" t="inlineStr">
        <is>
          <t>0130</t>
        </is>
      </c>
      <c r="B790" s="14" t="inlineStr">
        <is>
          <t>Mistry</t>
        </is>
      </c>
      <c r="C790" s="13" t="inlineStr">
        <is>
          <t>day</t>
        </is>
      </c>
      <c r="D790" s="15" t="n">
        <v>0.105</v>
      </c>
      <c r="E790" s="16" t="n">
        <v>738</v>
      </c>
      <c r="F790" s="16">
        <f>D790*E790</f>
        <v/>
      </c>
    </row>
    <row r="791">
      <c r="A791" s="13" t="inlineStr">
        <is>
          <t>9999</t>
        </is>
      </c>
      <c r="B791" s="14" t="inlineStr">
        <is>
          <t>Sundries</t>
        </is>
      </c>
      <c r="C791" s="13" t="inlineStr">
        <is>
          <t>L.S.</t>
        </is>
      </c>
      <c r="D791" s="15" t="n">
        <v>33.8</v>
      </c>
      <c r="E791" s="16" t="n">
        <v>2</v>
      </c>
      <c r="F791" s="16">
        <f>D791*E791</f>
        <v/>
      </c>
    </row>
    <row r="792">
      <c r="A792" s="17" t="inlineStr">
        <is>
          <t>Resource Total (Material + Labour + Machinery, as printed)</t>
        </is>
      </c>
      <c r="B792" s="18" t="n"/>
      <c r="C792" s="18" t="n"/>
      <c r="D792" s="18" t="n"/>
      <c r="E792" s="18" t="n"/>
      <c r="F792" s="19">
        <f>SUM(F779:F791)</f>
        <v/>
      </c>
    </row>
    <row r="793">
      <c r="A793" s="20" t="inlineStr">
        <is>
          <t>SAY (Rs.) — final DAR rate</t>
        </is>
      </c>
      <c r="B793" s="21" t="n"/>
      <c r="C793" s="21" t="n"/>
      <c r="D793" s="21" t="n"/>
      <c r="E793" s="21" t="n"/>
      <c r="F793" s="22" t="n">
        <v>3106</v>
      </c>
    </row>
    <row r="795" ht="18" customHeight="1">
      <c r="A795" s="9" t="inlineStr">
        <is>
          <t>9.27.1.2.3</t>
        </is>
      </c>
      <c r="B795" s="10" t="inlineStr">
        <is>
          <t>Kiln seasoned selected class of sheesham wood</t>
        </is>
      </c>
      <c r="C795" s="11" t="n"/>
      <c r="D795" s="11" t="n"/>
      <c r="E795" s="11" t="n"/>
      <c r="F795" s="11" t="n"/>
    </row>
    <row r="796">
      <c r="A796" s="12" t="inlineStr">
        <is>
          <t>Rate basis: per sqm  (source: cost for 2.16 sqm)</t>
        </is>
      </c>
    </row>
    <row r="797">
      <c r="A797" s="5" t="inlineStr">
        <is>
          <t>Code</t>
        </is>
      </c>
      <c r="B797" s="5" t="inlineStr">
        <is>
          <t>Description</t>
        </is>
      </c>
      <c r="C797" s="5" t="inlineStr">
        <is>
          <t>Unit</t>
        </is>
      </c>
      <c r="D797" s="5" t="inlineStr">
        <is>
          <t>Quantity</t>
        </is>
      </c>
      <c r="E797" s="5" t="inlineStr">
        <is>
          <t>Rate (Rs.)</t>
        </is>
      </c>
      <c r="F797" s="5" t="inlineStr">
        <is>
          <t>Amount (Rs.)</t>
        </is>
      </c>
    </row>
    <row r="798">
      <c r="A798" s="13" t="inlineStr">
        <is>
          <t>2504</t>
        </is>
      </c>
      <c r="B798" s="14" t="inlineStr">
        <is>
          <t>Kiln seasoning of timber</t>
        </is>
      </c>
      <c r="C798" s="13" t="inlineStr">
        <is>
          <t>cum</t>
        </is>
      </c>
      <c r="D798" s="15" t="n">
        <v>0.0514</v>
      </c>
      <c r="E798" s="16" t="n">
        <v>750</v>
      </c>
      <c r="F798" s="16">
        <f>D798*E798</f>
        <v/>
      </c>
    </row>
    <row r="799">
      <c r="A799" s="13" t="inlineStr">
        <is>
          <t>7029</t>
        </is>
      </c>
      <c r="B799" s="14" t="inlineStr">
        <is>
          <t>Galvanised wire mesh of average width of aperture 1.4 mm and nominal dia. Of wire 0.63 mm</t>
        </is>
      </c>
      <c r="C799" s="13" t="inlineStr">
        <is>
          <t>sqm</t>
        </is>
      </c>
      <c r="D799" s="15" t="n">
        <v>1.41</v>
      </c>
      <c r="E799" s="16" t="n">
        <v>250</v>
      </c>
      <c r="F799" s="16">
        <f>D799*E799</f>
        <v/>
      </c>
    </row>
    <row r="800">
      <c r="A800" s="13" t="inlineStr">
        <is>
          <t>8220</t>
        </is>
      </c>
      <c r="B800" s="14" t="inlineStr">
        <is>
          <t>Stainless steel butt hinges (heavy weight) 100x60x2.5 mm IS : 12817 marked</t>
        </is>
      </c>
      <c r="C800" s="13" t="inlineStr">
        <is>
          <t>10 Nos</t>
        </is>
      </c>
      <c r="D800" s="15" t="n">
        <v>0.6</v>
      </c>
      <c r="E800" s="16" t="n">
        <v>255</v>
      </c>
      <c r="F800" s="16">
        <f>D800*E800</f>
        <v/>
      </c>
    </row>
    <row r="801">
      <c r="A801" s="13" t="inlineStr">
        <is>
          <t>8218</t>
        </is>
      </c>
      <c r="B801" s="14" t="inlineStr">
        <is>
          <t>Stainless steel butt hinges 50x37x 1.5 mm IS : 12817 marked</t>
        </is>
      </c>
      <c r="C801" s="13" t="inlineStr">
        <is>
          <t>10 Nos</t>
        </is>
      </c>
      <c r="D801" s="15" t="n">
        <v>0.2</v>
      </c>
      <c r="E801" s="16" t="n">
        <v>135</v>
      </c>
      <c r="F801" s="16">
        <f>D801*E801</f>
        <v/>
      </c>
    </row>
    <row r="802">
      <c r="A802" s="13" t="inlineStr">
        <is>
          <t>8211</t>
        </is>
      </c>
      <c r="B802" s="14" t="inlineStr">
        <is>
          <t>Stainless steel screws 40 mm</t>
        </is>
      </c>
      <c r="C802" s="13" t="inlineStr">
        <is>
          <t>100 Nos</t>
        </is>
      </c>
      <c r="D802" s="15" t="n">
        <v>0.48</v>
      </c>
      <c r="E802" s="16" t="n">
        <v>215</v>
      </c>
      <c r="F802" s="16">
        <f>D802*E802</f>
        <v/>
      </c>
    </row>
    <row r="803">
      <c r="A803" s="13" t="inlineStr">
        <is>
          <t>8214</t>
        </is>
      </c>
      <c r="B803" s="14" t="inlineStr">
        <is>
          <t>Stainless steel screws 20 mm</t>
        </is>
      </c>
      <c r="C803" s="13" t="inlineStr">
        <is>
          <t>100 Nos</t>
        </is>
      </c>
      <c r="D803" s="15" t="n">
        <v>0.08</v>
      </c>
      <c r="E803" s="16" t="n">
        <v>125</v>
      </c>
      <c r="F803" s="16">
        <f>D803*E803</f>
        <v/>
      </c>
    </row>
    <row r="804">
      <c r="A804" s="13" t="inlineStr">
        <is>
          <t>2204</t>
        </is>
      </c>
      <c r="B804" s="14" t="inlineStr">
        <is>
          <t>Carriage of Timber</t>
        </is>
      </c>
      <c r="C804" s="13" t="inlineStr">
        <is>
          <t>cum</t>
        </is>
      </c>
      <c r="D804" s="15" t="n">
        <v>0.0514</v>
      </c>
      <c r="E804" s="16" t="n">
        <v>118.59</v>
      </c>
      <c r="F804" s="16">
        <f>D804*E804</f>
        <v/>
      </c>
    </row>
    <row r="805">
      <c r="A805" s="13" t="inlineStr">
        <is>
          <t>0111</t>
        </is>
      </c>
      <c r="B805" s="14" t="inlineStr">
        <is>
          <t>Carpenter 1st class</t>
        </is>
      </c>
      <c r="C805" s="13" t="inlineStr">
        <is>
          <t>day</t>
        </is>
      </c>
      <c r="D805" s="15" t="n">
        <v>1.3</v>
      </c>
      <c r="E805" s="16" t="n">
        <v>738</v>
      </c>
      <c r="F805" s="16">
        <f>D805*E805</f>
        <v/>
      </c>
    </row>
    <row r="806">
      <c r="A806" s="13" t="inlineStr">
        <is>
          <t>0112</t>
        </is>
      </c>
      <c r="B806" s="14" t="inlineStr">
        <is>
          <t>Carpenter 2nd class</t>
        </is>
      </c>
      <c r="C806" s="13" t="inlineStr">
        <is>
          <t>day</t>
        </is>
      </c>
      <c r="D806" s="15" t="n">
        <v>0.9</v>
      </c>
      <c r="E806" s="16" t="n">
        <v>679</v>
      </c>
      <c r="F806" s="16">
        <f>D806*E806</f>
        <v/>
      </c>
    </row>
    <row r="807">
      <c r="A807" s="13" t="inlineStr">
        <is>
          <t>0114</t>
        </is>
      </c>
      <c r="B807" s="14" t="inlineStr">
        <is>
          <t>Beldar</t>
        </is>
      </c>
      <c r="C807" s="13" t="inlineStr">
        <is>
          <t>day</t>
        </is>
      </c>
      <c r="D807" s="15" t="n">
        <v>1.05</v>
      </c>
      <c r="E807" s="16" t="n">
        <v>558</v>
      </c>
      <c r="F807" s="16">
        <f>D807*E807</f>
        <v/>
      </c>
    </row>
    <row r="808">
      <c r="A808" s="13" t="inlineStr">
        <is>
          <t>0130</t>
        </is>
      </c>
      <c r="B808" s="14" t="inlineStr">
        <is>
          <t>Mistry</t>
        </is>
      </c>
      <c r="C808" s="13" t="inlineStr">
        <is>
          <t>day</t>
        </is>
      </c>
      <c r="D808" s="15" t="n">
        <v>0.105</v>
      </c>
      <c r="E808" s="16" t="n">
        <v>738</v>
      </c>
      <c r="F808" s="16">
        <f>D808*E808</f>
        <v/>
      </c>
    </row>
    <row r="809">
      <c r="A809" s="13" t="inlineStr">
        <is>
          <t>9999</t>
        </is>
      </c>
      <c r="B809" s="14" t="inlineStr">
        <is>
          <t>Sundries</t>
        </is>
      </c>
      <c r="C809" s="13" t="inlineStr">
        <is>
          <t>L.S.</t>
        </is>
      </c>
      <c r="D809" s="15" t="n">
        <v>33.8</v>
      </c>
      <c r="E809" s="16" t="n">
        <v>2</v>
      </c>
      <c r="F809" s="16">
        <f>D809*E809</f>
        <v/>
      </c>
    </row>
    <row r="810">
      <c r="A810" s="17" t="inlineStr">
        <is>
          <t>Resource Total (Material + Labour + Machinery, as printed)</t>
        </is>
      </c>
      <c r="B810" s="18" t="n"/>
      <c r="C810" s="18" t="n"/>
      <c r="D810" s="18" t="n"/>
      <c r="E810" s="18" t="n"/>
      <c r="F810" s="19">
        <f>SUM(F798:F809)</f>
        <v/>
      </c>
    </row>
    <row r="811">
      <c r="A811" s="20" t="inlineStr">
        <is>
          <t>SAY (Rs.) — final DAR rate</t>
        </is>
      </c>
      <c r="B811" s="21" t="n"/>
      <c r="C811" s="21" t="n"/>
      <c r="D811" s="21" t="n"/>
      <c r="E811" s="21" t="n"/>
      <c r="F811" s="22" t="n">
        <v>3922.65</v>
      </c>
    </row>
    <row r="813" ht="18" customHeight="1">
      <c r="A813" s="9" t="inlineStr">
        <is>
          <t>9.27.2.1.1</t>
        </is>
      </c>
      <c r="B813" s="10" t="inlineStr">
        <is>
          <t>Second class teak wood</t>
        </is>
      </c>
      <c r="C813" s="11" t="n"/>
      <c r="D813" s="11" t="n"/>
      <c r="E813" s="11" t="n"/>
      <c r="F813" s="11" t="n"/>
    </row>
    <row r="814">
      <c r="A814" s="12" t="inlineStr">
        <is>
          <t>Rate basis: per sqm  (source: cost for 2.16 sqm)</t>
        </is>
      </c>
    </row>
    <row r="815">
      <c r="A815" s="5" t="inlineStr">
        <is>
          <t>Code</t>
        </is>
      </c>
      <c r="B815" s="5" t="inlineStr">
        <is>
          <t>Description</t>
        </is>
      </c>
      <c r="C815" s="5" t="inlineStr">
        <is>
          <t>Unit</t>
        </is>
      </c>
      <c r="D815" s="5" t="inlineStr">
        <is>
          <t>Quantity</t>
        </is>
      </c>
      <c r="E815" s="5" t="inlineStr">
        <is>
          <t>Rate (Rs.)</t>
        </is>
      </c>
      <c r="F815" s="5" t="inlineStr">
        <is>
          <t>Amount (Rs.)</t>
        </is>
      </c>
    </row>
    <row r="816">
      <c r="A816" s="13" t="inlineStr">
        <is>
          <t>2204</t>
        </is>
      </c>
      <c r="B816" s="14" t="inlineStr">
        <is>
          <t>Carriage of Timber</t>
        </is>
      </c>
      <c r="C816" s="13" t="inlineStr">
        <is>
          <t>cum</t>
        </is>
      </c>
      <c r="D816" s="15" t="n">
        <v>0.044</v>
      </c>
      <c r="E816" s="16" t="n">
        <v>118.59</v>
      </c>
      <c r="F816" s="16">
        <f>D816*E816</f>
        <v/>
      </c>
    </row>
    <row r="817">
      <c r="A817" s="13" t="inlineStr">
        <is>
          <t>7029</t>
        </is>
      </c>
      <c r="B817" s="14" t="inlineStr">
        <is>
          <t>Galvanised wire mesh of average width of aperture 1.4 mm and nominal dia. Of wire 0.63 mm</t>
        </is>
      </c>
      <c r="C817" s="13" t="inlineStr">
        <is>
          <t>sqm</t>
        </is>
      </c>
      <c r="D817" s="15" t="n">
        <v>1.41</v>
      </c>
      <c r="E817" s="16" t="n">
        <v>250</v>
      </c>
      <c r="F817" s="16">
        <f>D817*E817</f>
        <v/>
      </c>
    </row>
    <row r="818">
      <c r="A818" s="13" t="inlineStr">
        <is>
          <t>0597</t>
        </is>
      </c>
      <c r="B818" s="14" t="inlineStr">
        <is>
          <t>Bright finished or black enamelled mild steel butt hinges50x37x1.50 mm</t>
        </is>
      </c>
      <c r="C818" s="13" t="inlineStr">
        <is>
          <t>10 Nos</t>
        </is>
      </c>
      <c r="D818" s="15" t="n">
        <v>0.2</v>
      </c>
      <c r="E818" s="16" t="n">
        <v>49</v>
      </c>
      <c r="F818" s="16">
        <f>D818*E818</f>
        <v/>
      </c>
    </row>
    <row r="819">
      <c r="A819" s="13" t="inlineStr">
        <is>
          <t>0637</t>
        </is>
      </c>
      <c r="B819" s="14" t="inlineStr">
        <is>
          <t>Bright finished or black enamelled mild steel screws 40 mm</t>
        </is>
      </c>
      <c r="C819" s="13" t="inlineStr">
        <is>
          <t>100 Nos</t>
        </is>
      </c>
      <c r="D819" s="15" t="n">
        <v>0.48</v>
      </c>
      <c r="E819" s="16" t="n">
        <v>60</v>
      </c>
      <c r="F819" s="16">
        <f>D819*E819</f>
        <v/>
      </c>
    </row>
    <row r="820">
      <c r="A820" s="13" t="inlineStr">
        <is>
          <t>0640</t>
        </is>
      </c>
      <c r="B820" s="14" t="inlineStr">
        <is>
          <t>Bright finished or black enamelled mild steel screws 20 mm</t>
        </is>
      </c>
      <c r="C820" s="13" t="inlineStr">
        <is>
          <t>100 Nos</t>
        </is>
      </c>
      <c r="D820" s="15" t="n">
        <v>0.08</v>
      </c>
      <c r="E820" s="16" t="n">
        <v>30</v>
      </c>
      <c r="F820" s="16">
        <f>D820*E820</f>
        <v/>
      </c>
    </row>
    <row r="821">
      <c r="A821" s="13" t="inlineStr">
        <is>
          <t>0111</t>
        </is>
      </c>
      <c r="B821" s="14" t="inlineStr">
        <is>
          <t>Carpenter 1st class</t>
        </is>
      </c>
      <c r="C821" s="13" t="inlineStr">
        <is>
          <t>day</t>
        </is>
      </c>
      <c r="D821" s="15" t="n">
        <v>1.2</v>
      </c>
      <c r="E821" s="16" t="n">
        <v>738</v>
      </c>
      <c r="F821" s="16">
        <f>D821*E821</f>
        <v/>
      </c>
    </row>
    <row r="822">
      <c r="A822" s="13" t="inlineStr">
        <is>
          <t>0112</t>
        </is>
      </c>
      <c r="B822" s="14" t="inlineStr">
        <is>
          <t>Carpenter 2nd class</t>
        </is>
      </c>
      <c r="C822" s="13" t="inlineStr">
        <is>
          <t>day</t>
        </is>
      </c>
      <c r="D822" s="15" t="n">
        <v>0.8</v>
      </c>
      <c r="E822" s="16" t="n">
        <v>679</v>
      </c>
      <c r="F822" s="16">
        <f>D822*E822</f>
        <v/>
      </c>
    </row>
    <row r="823">
      <c r="A823" s="13" t="inlineStr">
        <is>
          <t>0114</t>
        </is>
      </c>
      <c r="B823" s="14" t="inlineStr">
        <is>
          <t>Beldar</t>
        </is>
      </c>
      <c r="C823" s="13" t="inlineStr">
        <is>
          <t>day</t>
        </is>
      </c>
      <c r="D823" s="15" t="n">
        <v>1</v>
      </c>
      <c r="E823" s="16" t="n">
        <v>558</v>
      </c>
      <c r="F823" s="16">
        <f>D823*E823</f>
        <v/>
      </c>
    </row>
    <row r="824">
      <c r="A824" s="13" t="inlineStr">
        <is>
          <t>0130</t>
        </is>
      </c>
      <c r="B824" s="14" t="inlineStr">
        <is>
          <t>Mistry</t>
        </is>
      </c>
      <c r="C824" s="13" t="inlineStr">
        <is>
          <t>day</t>
        </is>
      </c>
      <c r="D824" s="15" t="n">
        <v>0.1</v>
      </c>
      <c r="E824" s="16" t="n">
        <v>738</v>
      </c>
      <c r="F824" s="16">
        <f>D824*E824</f>
        <v/>
      </c>
    </row>
    <row r="825">
      <c r="A825" s="13" t="inlineStr">
        <is>
          <t>9999</t>
        </is>
      </c>
      <c r="B825" s="14" t="inlineStr">
        <is>
          <t>Sundries</t>
        </is>
      </c>
      <c r="C825" s="13" t="inlineStr">
        <is>
          <t>L.S.</t>
        </is>
      </c>
      <c r="D825" s="15" t="n">
        <v>33.8</v>
      </c>
      <c r="E825" s="16" t="n">
        <v>2</v>
      </c>
      <c r="F825" s="16">
        <f>D825*E825</f>
        <v/>
      </c>
    </row>
    <row r="826">
      <c r="A826" s="17" t="inlineStr">
        <is>
          <t>Resource Total (Material + Labour + Machinery, as printed)</t>
        </is>
      </c>
      <c r="B826" s="18" t="n"/>
      <c r="C826" s="18" t="n"/>
      <c r="D826" s="18" t="n"/>
      <c r="E826" s="18" t="n"/>
      <c r="F826" s="19">
        <f>SUM(F816:F825)</f>
        <v/>
      </c>
    </row>
    <row r="827">
      <c r="A827" s="20" t="inlineStr">
        <is>
          <t>SAY (Rs.) — final DAR rate</t>
        </is>
      </c>
      <c r="B827" s="21" t="n"/>
      <c r="C827" s="21" t="n"/>
      <c r="D827" s="21" t="n"/>
      <c r="E827" s="21" t="n"/>
      <c r="F827" s="22" t="n">
        <v>3750.75</v>
      </c>
    </row>
    <row r="829" ht="18" customHeight="1">
      <c r="A829" s="9" t="inlineStr">
        <is>
          <t>9.27.2.1.2</t>
        </is>
      </c>
      <c r="B829" s="10" t="inlineStr">
        <is>
          <t>Kiln seasoned and chemically treated hollock wood</t>
        </is>
      </c>
      <c r="C829" s="11" t="n"/>
      <c r="D829" s="11" t="n"/>
      <c r="E829" s="11" t="n"/>
      <c r="F829" s="11" t="n"/>
    </row>
    <row r="830">
      <c r="A830" s="12" t="inlineStr">
        <is>
          <t>Rate basis: per sqm  (source: cost for 2.16 sqm)</t>
        </is>
      </c>
    </row>
    <row r="831">
      <c r="A831" s="5" t="inlineStr">
        <is>
          <t>Code</t>
        </is>
      </c>
      <c r="B831" s="5" t="inlineStr">
        <is>
          <t>Description</t>
        </is>
      </c>
      <c r="C831" s="5" t="inlineStr">
        <is>
          <t>Unit</t>
        </is>
      </c>
      <c r="D831" s="5" t="inlineStr">
        <is>
          <t>Quantity</t>
        </is>
      </c>
      <c r="E831" s="5" t="inlineStr">
        <is>
          <t>Rate (Rs.)</t>
        </is>
      </c>
      <c r="F831" s="5" t="inlineStr">
        <is>
          <t>Amount (Rs.)</t>
        </is>
      </c>
    </row>
    <row r="832">
      <c r="A832" s="13" t="inlineStr">
        <is>
          <t>2204</t>
        </is>
      </c>
      <c r="B832" s="14" t="inlineStr">
        <is>
          <t>Carriage of Timber</t>
        </is>
      </c>
      <c r="C832" s="13" t="inlineStr">
        <is>
          <t>cum</t>
        </is>
      </c>
      <c r="D832" s="15" t="n">
        <v>0.044</v>
      </c>
      <c r="E832" s="16" t="n">
        <v>118.59</v>
      </c>
      <c r="F832" s="16">
        <f>D832*E832</f>
        <v/>
      </c>
    </row>
    <row r="833">
      <c r="A833" s="13" t="inlineStr">
        <is>
          <t>2504</t>
        </is>
      </c>
      <c r="B833" s="14" t="inlineStr">
        <is>
          <t>Kiln seasoning of timber</t>
        </is>
      </c>
      <c r="C833" s="13" t="inlineStr">
        <is>
          <t>cum</t>
        </is>
      </c>
      <c r="D833" s="15" t="n">
        <v>0.044</v>
      </c>
      <c r="E833" s="16" t="n">
        <v>750</v>
      </c>
      <c r="F833" s="16">
        <f>D833*E833</f>
        <v/>
      </c>
    </row>
    <row r="834">
      <c r="A834" s="13" t="inlineStr">
        <is>
          <t>9999</t>
        </is>
      </c>
      <c r="B834" s="14" t="inlineStr">
        <is>
          <t>Chemical treatment</t>
        </is>
      </c>
      <c r="C834" s="13" t="inlineStr">
        <is>
          <t>L.S.</t>
        </is>
      </c>
      <c r="D834" s="15" t="n">
        <v>9.1</v>
      </c>
      <c r="E834" s="16" t="n">
        <v>2</v>
      </c>
      <c r="F834" s="16">
        <f>D834*E834</f>
        <v/>
      </c>
    </row>
    <row r="835">
      <c r="A835" s="13" t="inlineStr">
        <is>
          <t>7029</t>
        </is>
      </c>
      <c r="B835" s="14" t="inlineStr">
        <is>
          <t>Galvanised wire mesh of average width of aperture 1.4 mm and nominal dia. Of wire 0.63 mm</t>
        </is>
      </c>
      <c r="C835" s="13" t="inlineStr">
        <is>
          <t>sqm</t>
        </is>
      </c>
      <c r="D835" s="15" t="n">
        <v>1.41</v>
      </c>
      <c r="E835" s="16" t="n">
        <v>250</v>
      </c>
      <c r="F835" s="16">
        <f>D835*E835</f>
        <v/>
      </c>
    </row>
    <row r="836">
      <c r="A836" s="13" t="inlineStr">
        <is>
          <t>0595</t>
        </is>
      </c>
      <c r="B836" s="14" t="inlineStr">
        <is>
          <t>Bright finished or black enamelled mild steel butt hinges 100x58x1.90 mm</t>
        </is>
      </c>
      <c r="C836" s="13" t="inlineStr">
        <is>
          <t>10 Nos</t>
        </is>
      </c>
      <c r="D836" s="15" t="n">
        <v>0.6</v>
      </c>
      <c r="E836" s="16" t="n">
        <v>80</v>
      </c>
      <c r="F836" s="16">
        <f>D836*E836</f>
        <v/>
      </c>
    </row>
    <row r="837">
      <c r="A837" s="13" t="inlineStr">
        <is>
          <t>0597</t>
        </is>
      </c>
      <c r="B837" s="14" t="inlineStr">
        <is>
          <t>Bright finished or black enamelled mild steel butt hinges50x37x1.50 mm</t>
        </is>
      </c>
      <c r="C837" s="13" t="inlineStr">
        <is>
          <t>10 Nos</t>
        </is>
      </c>
      <c r="D837" s="15" t="n">
        <v>0.2</v>
      </c>
      <c r="E837" s="16" t="n">
        <v>49</v>
      </c>
      <c r="F837" s="16">
        <f>D837*E837</f>
        <v/>
      </c>
    </row>
    <row r="838">
      <c r="A838" s="13" t="inlineStr">
        <is>
          <t>0637</t>
        </is>
      </c>
      <c r="B838" s="14" t="inlineStr">
        <is>
          <t>Bright finished or black enamelled mild steel screws 40 mm</t>
        </is>
      </c>
      <c r="C838" s="13" t="inlineStr">
        <is>
          <t>100 Nos</t>
        </is>
      </c>
      <c r="D838" s="15" t="n">
        <v>0.48</v>
      </c>
      <c r="E838" s="16" t="n">
        <v>60</v>
      </c>
      <c r="F838" s="16">
        <f>D838*E838</f>
        <v/>
      </c>
    </row>
    <row r="839">
      <c r="A839" s="13" t="inlineStr">
        <is>
          <t>0640</t>
        </is>
      </c>
      <c r="B839" s="14" t="inlineStr">
        <is>
          <t>Bright finished or black enamelled mild steel screws 20 mm</t>
        </is>
      </c>
      <c r="C839" s="13" t="inlineStr">
        <is>
          <t>100 Nos</t>
        </is>
      </c>
      <c r="D839" s="15" t="n">
        <v>0.08</v>
      </c>
      <c r="E839" s="16" t="n">
        <v>30</v>
      </c>
      <c r="F839" s="16">
        <f>D839*E839</f>
        <v/>
      </c>
    </row>
    <row r="840">
      <c r="A840" s="13" t="inlineStr">
        <is>
          <t>0111</t>
        </is>
      </c>
      <c r="B840" s="14" t="inlineStr">
        <is>
          <t>Carpenter 1st class</t>
        </is>
      </c>
      <c r="C840" s="13" t="inlineStr">
        <is>
          <t>day</t>
        </is>
      </c>
      <c r="D840" s="15" t="n">
        <v>1.2</v>
      </c>
      <c r="E840" s="16" t="n">
        <v>738</v>
      </c>
      <c r="F840" s="16">
        <f>D840*E840</f>
        <v/>
      </c>
    </row>
    <row r="841">
      <c r="A841" s="13" t="inlineStr">
        <is>
          <t>0112</t>
        </is>
      </c>
      <c r="B841" s="14" t="inlineStr">
        <is>
          <t>Carpenter 2nd class</t>
        </is>
      </c>
      <c r="C841" s="13" t="inlineStr">
        <is>
          <t>day</t>
        </is>
      </c>
      <c r="D841" s="15" t="n">
        <v>0.8</v>
      </c>
      <c r="E841" s="16" t="n">
        <v>679</v>
      </c>
      <c r="F841" s="16">
        <f>D841*E841</f>
        <v/>
      </c>
    </row>
    <row r="842">
      <c r="A842" s="13" t="inlineStr">
        <is>
          <t>0114</t>
        </is>
      </c>
      <c r="B842" s="14" t="inlineStr">
        <is>
          <t>Beldar</t>
        </is>
      </c>
      <c r="C842" s="13" t="inlineStr">
        <is>
          <t>day</t>
        </is>
      </c>
      <c r="D842" s="15" t="n">
        <v>1</v>
      </c>
      <c r="E842" s="16" t="n">
        <v>558</v>
      </c>
      <c r="F842" s="16">
        <f>D842*E842</f>
        <v/>
      </c>
    </row>
    <row r="843">
      <c r="A843" s="13" t="inlineStr">
        <is>
          <t>0130</t>
        </is>
      </c>
      <c r="B843" s="14" t="inlineStr">
        <is>
          <t>Mistry</t>
        </is>
      </c>
      <c r="C843" s="13" t="inlineStr">
        <is>
          <t>day</t>
        </is>
      </c>
      <c r="D843" s="15" t="n">
        <v>0.1</v>
      </c>
      <c r="E843" s="16" t="n">
        <v>738</v>
      </c>
      <c r="F843" s="16">
        <f>D843*E843</f>
        <v/>
      </c>
    </row>
    <row r="844">
      <c r="A844" s="13" t="inlineStr">
        <is>
          <t>9999</t>
        </is>
      </c>
      <c r="B844" s="14" t="inlineStr">
        <is>
          <t>Sundries</t>
        </is>
      </c>
      <c r="C844" s="13" t="inlineStr">
        <is>
          <t>L.S.</t>
        </is>
      </c>
      <c r="D844" s="15" t="n">
        <v>33.8</v>
      </c>
      <c r="E844" s="16" t="n">
        <v>2</v>
      </c>
      <c r="F844" s="16">
        <f>D844*E844</f>
        <v/>
      </c>
    </row>
    <row r="845">
      <c r="A845" s="17" t="inlineStr">
        <is>
          <t>Resource Total (Material + Labour + Machinery, as printed)</t>
        </is>
      </c>
      <c r="B845" s="18" t="n"/>
      <c r="C845" s="18" t="n"/>
      <c r="D845" s="18" t="n"/>
      <c r="E845" s="18" t="n"/>
      <c r="F845" s="19">
        <f>SUM(F832:F844)</f>
        <v/>
      </c>
    </row>
    <row r="846">
      <c r="A846" s="20" t="inlineStr">
        <is>
          <t>SAY (Rs.) — final DAR rate</t>
        </is>
      </c>
      <c r="B846" s="21" t="n"/>
      <c r="C846" s="21" t="n"/>
      <c r="D846" s="21" t="n"/>
      <c r="E846" s="21" t="n"/>
      <c r="F846" s="22" t="n">
        <v>2689.6</v>
      </c>
    </row>
    <row r="848" ht="18" customHeight="1">
      <c r="A848" s="9" t="inlineStr">
        <is>
          <t>9.27.2.1.3</t>
        </is>
      </c>
      <c r="B848" s="10" t="inlineStr">
        <is>
          <t>Kiln seasoned selected class of sheesham wood</t>
        </is>
      </c>
      <c r="C848" s="11" t="n"/>
      <c r="D848" s="11" t="n"/>
      <c r="E848" s="11" t="n"/>
      <c r="F848" s="11" t="n"/>
    </row>
    <row r="849">
      <c r="A849" s="12" t="inlineStr">
        <is>
          <t>Rate basis: per sqm  (source: cost for 2.16 sqm)</t>
        </is>
      </c>
    </row>
    <row r="850">
      <c r="A850" s="5" t="inlineStr">
        <is>
          <t>Code</t>
        </is>
      </c>
      <c r="B850" s="5" t="inlineStr">
        <is>
          <t>Description</t>
        </is>
      </c>
      <c r="C850" s="5" t="inlineStr">
        <is>
          <t>Unit</t>
        </is>
      </c>
      <c r="D850" s="5" t="inlineStr">
        <is>
          <t>Quantity</t>
        </is>
      </c>
      <c r="E850" s="5" t="inlineStr">
        <is>
          <t>Rate (Rs.)</t>
        </is>
      </c>
      <c r="F850" s="5" t="inlineStr">
        <is>
          <t>Amount (Rs.)</t>
        </is>
      </c>
    </row>
    <row r="851">
      <c r="A851" s="13" t="inlineStr">
        <is>
          <t>2204</t>
        </is>
      </c>
      <c r="B851" s="14" t="inlineStr">
        <is>
          <t>Carriage of Timber</t>
        </is>
      </c>
      <c r="C851" s="13" t="inlineStr">
        <is>
          <t>cum</t>
        </is>
      </c>
      <c r="D851" s="15" t="n">
        <v>0.044</v>
      </c>
      <c r="E851" s="16" t="n">
        <v>118.59</v>
      </c>
      <c r="F851" s="16">
        <f>D851*E851</f>
        <v/>
      </c>
    </row>
    <row r="852">
      <c r="A852" s="13" t="inlineStr">
        <is>
          <t>2504</t>
        </is>
      </c>
      <c r="B852" s="14" t="inlineStr">
        <is>
          <t>Kiln seasoning of timber</t>
        </is>
      </c>
      <c r="C852" s="13" t="inlineStr">
        <is>
          <t>cum</t>
        </is>
      </c>
      <c r="D852" s="15" t="n">
        <v>0.044</v>
      </c>
      <c r="E852" s="16" t="n">
        <v>750</v>
      </c>
      <c r="F852" s="16">
        <f>D852*E852</f>
        <v/>
      </c>
    </row>
    <row r="853">
      <c r="A853" s="13" t="inlineStr">
        <is>
          <t>7029</t>
        </is>
      </c>
      <c r="B853" s="14" t="inlineStr">
        <is>
          <t>Galvanised wire mesh of average width of aperture 1.4 mm and nominal dia. Of wire 0.63 mm</t>
        </is>
      </c>
      <c r="C853" s="13" t="inlineStr">
        <is>
          <t>sqm</t>
        </is>
      </c>
      <c r="D853" s="15" t="n">
        <v>1.41</v>
      </c>
      <c r="E853" s="16" t="n">
        <v>250</v>
      </c>
      <c r="F853" s="16">
        <f>D853*E853</f>
        <v/>
      </c>
    </row>
    <row r="854">
      <c r="A854" s="13" t="inlineStr">
        <is>
          <t>0595</t>
        </is>
      </c>
      <c r="B854" s="14" t="inlineStr">
        <is>
          <t>Bright finished or black enamelled mild steel butt hinges 100x58x1.90 mm</t>
        </is>
      </c>
      <c r="C854" s="13" t="inlineStr">
        <is>
          <t>10 Nos</t>
        </is>
      </c>
      <c r="D854" s="15" t="n">
        <v>0.6</v>
      </c>
      <c r="E854" s="16" t="n">
        <v>80</v>
      </c>
      <c r="F854" s="16">
        <f>D854*E854</f>
        <v/>
      </c>
    </row>
    <row r="855">
      <c r="A855" s="13" t="inlineStr">
        <is>
          <t>0597</t>
        </is>
      </c>
      <c r="B855" s="14" t="inlineStr">
        <is>
          <t>Bright finished or black enamelled mild steel butt hinges50x37x1.50 mm</t>
        </is>
      </c>
      <c r="C855" s="13" t="inlineStr">
        <is>
          <t>10 Nos</t>
        </is>
      </c>
      <c r="D855" s="15" t="n">
        <v>0.2</v>
      </c>
      <c r="E855" s="16" t="n">
        <v>49</v>
      </c>
      <c r="F855" s="16">
        <f>D855*E855</f>
        <v/>
      </c>
    </row>
    <row r="856">
      <c r="A856" s="13" t="inlineStr">
        <is>
          <t>0637</t>
        </is>
      </c>
      <c r="B856" s="14" t="inlineStr">
        <is>
          <t>Bright finished or black enamelled mild steel screws 40 mm</t>
        </is>
      </c>
      <c r="C856" s="13" t="inlineStr">
        <is>
          <t>100 Nos</t>
        </is>
      </c>
      <c r="D856" s="15" t="n">
        <v>0.48</v>
      </c>
      <c r="E856" s="16" t="n">
        <v>60</v>
      </c>
      <c r="F856" s="16">
        <f>D856*E856</f>
        <v/>
      </c>
    </row>
    <row r="857">
      <c r="A857" s="13" t="inlineStr">
        <is>
          <t>0640</t>
        </is>
      </c>
      <c r="B857" s="14" t="inlineStr">
        <is>
          <t>Bright finished or black enamelled mild steel screws 20 mm</t>
        </is>
      </c>
      <c r="C857" s="13" t="inlineStr">
        <is>
          <t>100 Nos</t>
        </is>
      </c>
      <c r="D857" s="15" t="n">
        <v>0.08</v>
      </c>
      <c r="E857" s="16" t="n">
        <v>30</v>
      </c>
      <c r="F857" s="16">
        <f>D857*E857</f>
        <v/>
      </c>
    </row>
    <row r="858">
      <c r="A858" s="13" t="inlineStr">
        <is>
          <t>0111</t>
        </is>
      </c>
      <c r="B858" s="14" t="inlineStr">
        <is>
          <t>Carpenter 1st class</t>
        </is>
      </c>
      <c r="C858" s="13" t="inlineStr">
        <is>
          <t>day</t>
        </is>
      </c>
      <c r="D858" s="15" t="n">
        <v>1.2</v>
      </c>
      <c r="E858" s="16" t="n">
        <v>738</v>
      </c>
      <c r="F858" s="16">
        <f>D858*E858</f>
        <v/>
      </c>
    </row>
    <row r="859">
      <c r="A859" s="13" t="inlineStr">
        <is>
          <t>0112</t>
        </is>
      </c>
      <c r="B859" s="14" t="inlineStr">
        <is>
          <t>Carpenter 2nd class</t>
        </is>
      </c>
      <c r="C859" s="13" t="inlineStr">
        <is>
          <t>day</t>
        </is>
      </c>
      <c r="D859" s="15" t="n">
        <v>0.8</v>
      </c>
      <c r="E859" s="16" t="n">
        <v>679</v>
      </c>
      <c r="F859" s="16">
        <f>D859*E859</f>
        <v/>
      </c>
    </row>
    <row r="860">
      <c r="A860" s="13" t="inlineStr">
        <is>
          <t>0114</t>
        </is>
      </c>
      <c r="B860" s="14" t="inlineStr">
        <is>
          <t>Beldar</t>
        </is>
      </c>
      <c r="C860" s="13" t="inlineStr">
        <is>
          <t>day</t>
        </is>
      </c>
      <c r="D860" s="15" t="n">
        <v>1</v>
      </c>
      <c r="E860" s="16" t="n">
        <v>558</v>
      </c>
      <c r="F860" s="16">
        <f>D860*E860</f>
        <v/>
      </c>
    </row>
    <row r="861">
      <c r="A861" s="13" t="inlineStr">
        <is>
          <t>0130</t>
        </is>
      </c>
      <c r="B861" s="14" t="inlineStr">
        <is>
          <t>Mistry</t>
        </is>
      </c>
      <c r="C861" s="13" t="inlineStr">
        <is>
          <t>day</t>
        </is>
      </c>
      <c r="D861" s="15" t="n">
        <v>0.1</v>
      </c>
      <c r="E861" s="16" t="n">
        <v>738</v>
      </c>
      <c r="F861" s="16">
        <f>D861*E861</f>
        <v/>
      </c>
    </row>
    <row r="862">
      <c r="A862" s="13" t="inlineStr">
        <is>
          <t>9999</t>
        </is>
      </c>
      <c r="B862" s="14" t="inlineStr">
        <is>
          <t>Sundries</t>
        </is>
      </c>
      <c r="C862" s="13" t="inlineStr">
        <is>
          <t>L.S.</t>
        </is>
      </c>
      <c r="D862" s="15" t="n">
        <v>33.8</v>
      </c>
      <c r="E862" s="16" t="n">
        <v>2</v>
      </c>
      <c r="F862" s="16">
        <f>D862*E862</f>
        <v/>
      </c>
    </row>
    <row r="863">
      <c r="A863" s="17" t="inlineStr">
        <is>
          <t>Resource Total (Material + Labour + Machinery, as printed)</t>
        </is>
      </c>
      <c r="B863" s="18" t="n"/>
      <c r="C863" s="18" t="n"/>
      <c r="D863" s="18" t="n"/>
      <c r="E863" s="18" t="n"/>
      <c r="F863" s="19">
        <f>SUM(F851:F862)</f>
        <v/>
      </c>
    </row>
    <row r="864">
      <c r="A864" s="20" t="inlineStr">
        <is>
          <t>SAY (Rs.) — final DAR rate</t>
        </is>
      </c>
      <c r="B864" s="21" t="n"/>
      <c r="C864" s="21" t="n"/>
      <c r="D864" s="21" t="n"/>
      <c r="E864" s="21" t="n"/>
      <c r="F864" s="22" t="n">
        <v>3386.9</v>
      </c>
    </row>
    <row r="866" ht="18" customHeight="1">
      <c r="A866" s="9" t="inlineStr">
        <is>
          <t>9.27.2.2.1</t>
        </is>
      </c>
      <c r="B866" s="10" t="inlineStr">
        <is>
          <t>Second class teak wood</t>
        </is>
      </c>
      <c r="C866" s="11" t="n"/>
      <c r="D866" s="11" t="n"/>
      <c r="E866" s="11" t="n"/>
      <c r="F866" s="11" t="n"/>
    </row>
    <row r="867">
      <c r="A867" s="12" t="inlineStr">
        <is>
          <t>Rate basis: per sqm  (source: cost for 2.16 sqm)</t>
        </is>
      </c>
    </row>
    <row r="868">
      <c r="A868" s="5" t="inlineStr">
        <is>
          <t>Code</t>
        </is>
      </c>
      <c r="B868" s="5" t="inlineStr">
        <is>
          <t>Description</t>
        </is>
      </c>
      <c r="C868" s="5" t="inlineStr">
        <is>
          <t>Unit</t>
        </is>
      </c>
      <c r="D868" s="5" t="inlineStr">
        <is>
          <t>Quantity</t>
        </is>
      </c>
      <c r="E868" s="5" t="inlineStr">
        <is>
          <t>Rate (Rs.)</t>
        </is>
      </c>
      <c r="F868" s="5" t="inlineStr">
        <is>
          <t>Amount (Rs.)</t>
        </is>
      </c>
    </row>
    <row r="869">
      <c r="A869" s="13" t="inlineStr">
        <is>
          <t>2204</t>
        </is>
      </c>
      <c r="B869" s="14" t="inlineStr">
        <is>
          <t>Carriage of Timber</t>
        </is>
      </c>
      <c r="C869" s="13" t="inlineStr">
        <is>
          <t>cum</t>
        </is>
      </c>
      <c r="D869" s="15" t="n">
        <v>0.044</v>
      </c>
      <c r="E869" s="16" t="n">
        <v>118.59</v>
      </c>
      <c r="F869" s="16">
        <f>D869*E869</f>
        <v/>
      </c>
    </row>
    <row r="870">
      <c r="A870" s="13" t="inlineStr">
        <is>
          <t>7029</t>
        </is>
      </c>
      <c r="B870" s="14" t="inlineStr">
        <is>
          <t>Galvanised wire mesh of average width of aperture 1.4 mm and nominal dia. Of wire 0.63 mm</t>
        </is>
      </c>
      <c r="C870" s="13" t="inlineStr">
        <is>
          <t>sqm</t>
        </is>
      </c>
      <c r="D870" s="15" t="n">
        <v>1.41</v>
      </c>
      <c r="E870" s="16" t="n">
        <v>250</v>
      </c>
      <c r="F870" s="16">
        <f>D870*E870</f>
        <v/>
      </c>
    </row>
    <row r="871">
      <c r="A871" s="13" t="inlineStr">
        <is>
          <t>8220</t>
        </is>
      </c>
      <c r="B871" s="14" t="inlineStr">
        <is>
          <t>Stainless steel butt hinges (heavy weight) 100x60x2.5 mm IS : 12817 marked</t>
        </is>
      </c>
      <c r="C871" s="13" t="inlineStr">
        <is>
          <t>10 Nos</t>
        </is>
      </c>
      <c r="D871" s="15" t="n">
        <v>0.6</v>
      </c>
      <c r="E871" s="16" t="n">
        <v>255</v>
      </c>
      <c r="F871" s="16">
        <f>D871*E871</f>
        <v/>
      </c>
    </row>
    <row r="872">
      <c r="A872" s="13" t="inlineStr">
        <is>
          <t>8218</t>
        </is>
      </c>
      <c r="B872" s="14" t="inlineStr">
        <is>
          <t>Stainless steel butt hinges 50x37x 1.5 mm IS : 12817 marked</t>
        </is>
      </c>
      <c r="C872" s="13" t="inlineStr">
        <is>
          <t>10 Nos</t>
        </is>
      </c>
      <c r="D872" s="15" t="n">
        <v>0.2</v>
      </c>
      <c r="E872" s="16" t="n">
        <v>135</v>
      </c>
      <c r="F872" s="16">
        <f>D872*E872</f>
        <v/>
      </c>
    </row>
    <row r="873">
      <c r="A873" s="13" t="inlineStr">
        <is>
          <t>8211</t>
        </is>
      </c>
      <c r="B873" s="14" t="inlineStr">
        <is>
          <t>Stainless steel screws 40 mm</t>
        </is>
      </c>
      <c r="C873" s="13" t="inlineStr">
        <is>
          <t>100 Nos</t>
        </is>
      </c>
      <c r="D873" s="15" t="n">
        <v>0.48</v>
      </c>
      <c r="E873" s="16" t="n">
        <v>215</v>
      </c>
      <c r="F873" s="16">
        <f>D873*E873</f>
        <v/>
      </c>
    </row>
    <row r="874">
      <c r="A874" s="13" t="inlineStr">
        <is>
          <t>8214</t>
        </is>
      </c>
      <c r="B874" s="14" t="inlineStr">
        <is>
          <t>Stainless steel screws 20 mm</t>
        </is>
      </c>
      <c r="C874" s="13" t="inlineStr">
        <is>
          <t>100 Nos</t>
        </is>
      </c>
      <c r="D874" s="15" t="n">
        <v>0.08</v>
      </c>
      <c r="E874" s="16" t="n">
        <v>125</v>
      </c>
      <c r="F874" s="16">
        <f>D874*E874</f>
        <v/>
      </c>
    </row>
    <row r="875">
      <c r="A875" s="13" t="inlineStr">
        <is>
          <t>0111</t>
        </is>
      </c>
      <c r="B875" s="14" t="inlineStr">
        <is>
          <t>Carpenter 1st class</t>
        </is>
      </c>
      <c r="C875" s="13" t="inlineStr">
        <is>
          <t>day</t>
        </is>
      </c>
      <c r="D875" s="15" t="n">
        <v>1.2</v>
      </c>
      <c r="E875" s="16" t="n">
        <v>738</v>
      </c>
      <c r="F875" s="16">
        <f>D875*E875</f>
        <v/>
      </c>
    </row>
    <row r="876">
      <c r="A876" s="13" t="inlineStr">
        <is>
          <t>0112</t>
        </is>
      </c>
      <c r="B876" s="14" t="inlineStr">
        <is>
          <t>Carpenter 2nd class</t>
        </is>
      </c>
      <c r="C876" s="13" t="inlineStr">
        <is>
          <t>day</t>
        </is>
      </c>
      <c r="D876" s="15" t="n">
        <v>0.8</v>
      </c>
      <c r="E876" s="16" t="n">
        <v>679</v>
      </c>
      <c r="F876" s="16">
        <f>D876*E876</f>
        <v/>
      </c>
    </row>
    <row r="877">
      <c r="A877" s="13" t="inlineStr">
        <is>
          <t>0114</t>
        </is>
      </c>
      <c r="B877" s="14" t="inlineStr">
        <is>
          <t>Beldar</t>
        </is>
      </c>
      <c r="C877" s="13" t="inlineStr">
        <is>
          <t>day</t>
        </is>
      </c>
      <c r="D877" s="15" t="n">
        <v>1</v>
      </c>
      <c r="E877" s="16" t="n">
        <v>558</v>
      </c>
      <c r="F877" s="16">
        <f>D877*E877</f>
        <v/>
      </c>
    </row>
    <row r="878">
      <c r="A878" s="13" t="inlineStr">
        <is>
          <t>0130</t>
        </is>
      </c>
      <c r="B878" s="14" t="inlineStr">
        <is>
          <t>Mistry</t>
        </is>
      </c>
      <c r="C878" s="13" t="inlineStr">
        <is>
          <t>day</t>
        </is>
      </c>
      <c r="D878" s="15" t="n">
        <v>0.1</v>
      </c>
      <c r="E878" s="16" t="n">
        <v>738</v>
      </c>
      <c r="F878" s="16">
        <f>D878*E878</f>
        <v/>
      </c>
    </row>
    <row r="879">
      <c r="A879" s="13" t="inlineStr">
        <is>
          <t>9999</t>
        </is>
      </c>
      <c r="B879" s="14" t="inlineStr">
        <is>
          <t>Sundries</t>
        </is>
      </c>
      <c r="C879" s="13" t="inlineStr">
        <is>
          <t>L.S.</t>
        </is>
      </c>
      <c r="D879" s="15" t="n">
        <v>33.8</v>
      </c>
      <c r="E879" s="16" t="n">
        <v>2</v>
      </c>
      <c r="F879" s="16">
        <f>D879*E879</f>
        <v/>
      </c>
    </row>
    <row r="880">
      <c r="A880" s="17" t="inlineStr">
        <is>
          <t>Resource Total (Material + Labour + Machinery, as printed)</t>
        </is>
      </c>
      <c r="B880" s="18" t="n"/>
      <c r="C880" s="18" t="n"/>
      <c r="D880" s="18" t="n"/>
      <c r="E880" s="18" t="n"/>
      <c r="F880" s="19">
        <f>SUM(F869:F879)</f>
        <v/>
      </c>
    </row>
    <row r="881">
      <c r="A881" s="20" t="inlineStr">
        <is>
          <t>SAY (Rs.) — final DAR rate</t>
        </is>
      </c>
      <c r="B881" s="21" t="n"/>
      <c r="C881" s="21" t="n"/>
      <c r="D881" s="21" t="n"/>
      <c r="E881" s="21" t="n"/>
      <c r="F881" s="22" t="n">
        <v>3877.25</v>
      </c>
    </row>
    <row r="883" ht="18" customHeight="1">
      <c r="A883" s="9" t="inlineStr">
        <is>
          <t>9.27.2.2.2</t>
        </is>
      </c>
      <c r="B883" s="10" t="inlineStr">
        <is>
          <t>Kiln seasoned and chemically treated hollock wood</t>
        </is>
      </c>
      <c r="C883" s="11" t="n"/>
      <c r="D883" s="11" t="n"/>
      <c r="E883" s="11" t="n"/>
      <c r="F883" s="11" t="n"/>
    </row>
    <row r="884">
      <c r="A884" s="12" t="inlineStr">
        <is>
          <t>Rate basis: per sqm  (source: cost for 2.16 sqm)</t>
        </is>
      </c>
    </row>
    <row r="885">
      <c r="A885" s="5" t="inlineStr">
        <is>
          <t>Code</t>
        </is>
      </c>
      <c r="B885" s="5" t="inlineStr">
        <is>
          <t>Description</t>
        </is>
      </c>
      <c r="C885" s="5" t="inlineStr">
        <is>
          <t>Unit</t>
        </is>
      </c>
      <c r="D885" s="5" t="inlineStr">
        <is>
          <t>Quantity</t>
        </is>
      </c>
      <c r="E885" s="5" t="inlineStr">
        <is>
          <t>Rate (Rs.)</t>
        </is>
      </c>
      <c r="F885" s="5" t="inlineStr">
        <is>
          <t>Amount (Rs.)</t>
        </is>
      </c>
    </row>
    <row r="886">
      <c r="A886" s="13" t="inlineStr">
        <is>
          <t>2504</t>
        </is>
      </c>
      <c r="B886" s="14" t="inlineStr">
        <is>
          <t>Kiln seasoning of timber</t>
        </is>
      </c>
      <c r="C886" s="13" t="inlineStr">
        <is>
          <t>cum</t>
        </is>
      </c>
      <c r="D886" s="15" t="n">
        <v>0.044</v>
      </c>
      <c r="E886" s="16" t="n">
        <v>750</v>
      </c>
      <c r="F886" s="16">
        <f>D886*E886</f>
        <v/>
      </c>
    </row>
    <row r="887">
      <c r="A887" s="13" t="inlineStr">
        <is>
          <t>9999</t>
        </is>
      </c>
      <c r="B887" s="14" t="inlineStr">
        <is>
          <t>Chemical treatment</t>
        </is>
      </c>
      <c r="C887" s="13" t="inlineStr">
        <is>
          <t>L.S.</t>
        </is>
      </c>
      <c r="D887" s="15" t="n">
        <v>8.970000000000001</v>
      </c>
      <c r="E887" s="16" t="n">
        <v>2</v>
      </c>
      <c r="F887" s="16">
        <f>D887*E887</f>
        <v/>
      </c>
    </row>
    <row r="888">
      <c r="A888" s="13" t="inlineStr">
        <is>
          <t>2204</t>
        </is>
      </c>
      <c r="B888" s="14" t="inlineStr">
        <is>
          <t>Carriage of Timber</t>
        </is>
      </c>
      <c r="C888" s="13" t="inlineStr">
        <is>
          <t>cum</t>
        </is>
      </c>
      <c r="D888" s="15" t="n">
        <v>0.044</v>
      </c>
      <c r="E888" s="16" t="n">
        <v>118.59</v>
      </c>
      <c r="F888" s="16">
        <f>D888*E888</f>
        <v/>
      </c>
    </row>
    <row r="889">
      <c r="A889" s="13" t="inlineStr">
        <is>
          <t>7029</t>
        </is>
      </c>
      <c r="B889" s="14" t="inlineStr">
        <is>
          <t>Galvanised wire mesh of average width of aperture 1.4 mm and nominal dia. Of wire 0.63 mm</t>
        </is>
      </c>
      <c r="C889" s="13" t="inlineStr">
        <is>
          <t>sqm</t>
        </is>
      </c>
      <c r="D889" s="15" t="n">
        <v>1.41</v>
      </c>
      <c r="E889" s="16" t="n">
        <v>250</v>
      </c>
      <c r="F889" s="16">
        <f>D889*E889</f>
        <v/>
      </c>
    </row>
    <row r="890">
      <c r="A890" s="13" t="inlineStr">
        <is>
          <t>8220</t>
        </is>
      </c>
      <c r="B890" s="14" t="inlineStr">
        <is>
          <t>Stainless steel butt hinges (heavy weight) 100x60x2.5 mm IS : 12817 marked</t>
        </is>
      </c>
      <c r="C890" s="13" t="inlineStr">
        <is>
          <t>10 Nos</t>
        </is>
      </c>
      <c r="D890" s="15" t="n">
        <v>0.6</v>
      </c>
      <c r="E890" s="16" t="n">
        <v>255</v>
      </c>
      <c r="F890" s="16">
        <f>D890*E890</f>
        <v/>
      </c>
    </row>
    <row r="891">
      <c r="A891" s="13" t="inlineStr">
        <is>
          <t>8218</t>
        </is>
      </c>
      <c r="B891" s="14" t="inlineStr">
        <is>
          <t>Stainless steel butt hinges 50x37x 1.5 mm IS : 12817 marked</t>
        </is>
      </c>
      <c r="C891" s="13" t="inlineStr">
        <is>
          <t>10 Nos</t>
        </is>
      </c>
      <c r="D891" s="15" t="n">
        <v>0.2</v>
      </c>
      <c r="E891" s="16" t="n">
        <v>135</v>
      </c>
      <c r="F891" s="16">
        <f>D891*E891</f>
        <v/>
      </c>
    </row>
    <row r="892">
      <c r="A892" s="13" t="inlineStr">
        <is>
          <t>8211</t>
        </is>
      </c>
      <c r="B892" s="14" t="inlineStr">
        <is>
          <t>Stainless steel screws 40 mm</t>
        </is>
      </c>
      <c r="C892" s="13" t="inlineStr">
        <is>
          <t>100 Nos</t>
        </is>
      </c>
      <c r="D892" s="15" t="n">
        <v>0.48</v>
      </c>
      <c r="E892" s="16" t="n">
        <v>215</v>
      </c>
      <c r="F892" s="16">
        <f>D892*E892</f>
        <v/>
      </c>
    </row>
    <row r="893">
      <c r="A893" s="13" t="inlineStr">
        <is>
          <t>8214</t>
        </is>
      </c>
      <c r="B893" s="14" t="inlineStr">
        <is>
          <t>Stainless steel screws 20 mm</t>
        </is>
      </c>
      <c r="C893" s="13" t="inlineStr">
        <is>
          <t>100 Nos</t>
        </is>
      </c>
      <c r="D893" s="15" t="n">
        <v>0.08</v>
      </c>
      <c r="E893" s="16" t="n">
        <v>125</v>
      </c>
      <c r="F893" s="16">
        <f>D893*E893</f>
        <v/>
      </c>
    </row>
    <row r="894">
      <c r="A894" s="13" t="inlineStr">
        <is>
          <t>0111</t>
        </is>
      </c>
      <c r="B894" s="14" t="inlineStr">
        <is>
          <t>Carpenter 1st class</t>
        </is>
      </c>
      <c r="C894" s="13" t="inlineStr">
        <is>
          <t>day</t>
        </is>
      </c>
      <c r="D894" s="15" t="n">
        <v>1.2</v>
      </c>
      <c r="E894" s="16" t="n">
        <v>738</v>
      </c>
      <c r="F894" s="16">
        <f>D894*E894</f>
        <v/>
      </c>
    </row>
    <row r="895">
      <c r="A895" s="13" t="inlineStr">
        <is>
          <t>0112</t>
        </is>
      </c>
      <c r="B895" s="14" t="inlineStr">
        <is>
          <t>Carpenter 2nd class</t>
        </is>
      </c>
      <c r="C895" s="13" t="inlineStr">
        <is>
          <t>day</t>
        </is>
      </c>
      <c r="D895" s="15" t="n">
        <v>0.8</v>
      </c>
      <c r="E895" s="16" t="n">
        <v>679</v>
      </c>
      <c r="F895" s="16">
        <f>D895*E895</f>
        <v/>
      </c>
    </row>
    <row r="896">
      <c r="A896" s="13" t="inlineStr">
        <is>
          <t>0114</t>
        </is>
      </c>
      <c r="B896" s="14" t="inlineStr">
        <is>
          <t>Beldar</t>
        </is>
      </c>
      <c r="C896" s="13" t="inlineStr">
        <is>
          <t>day</t>
        </is>
      </c>
      <c r="D896" s="15" t="n">
        <v>1</v>
      </c>
      <c r="E896" s="16" t="n">
        <v>558</v>
      </c>
      <c r="F896" s="16">
        <f>D896*E896</f>
        <v/>
      </c>
    </row>
    <row r="897">
      <c r="A897" s="13" t="inlineStr">
        <is>
          <t>0130</t>
        </is>
      </c>
      <c r="B897" s="14" t="inlineStr">
        <is>
          <t>Mistry</t>
        </is>
      </c>
      <c r="C897" s="13" t="inlineStr">
        <is>
          <t>day</t>
        </is>
      </c>
      <c r="D897" s="15" t="n">
        <v>0.1</v>
      </c>
      <c r="E897" s="16" t="n">
        <v>738</v>
      </c>
      <c r="F897" s="16">
        <f>D897*E897</f>
        <v/>
      </c>
    </row>
    <row r="898">
      <c r="A898" s="13" t="inlineStr">
        <is>
          <t>9999</t>
        </is>
      </c>
      <c r="B898" s="14" t="inlineStr">
        <is>
          <t>Sundries</t>
        </is>
      </c>
      <c r="C898" s="13" t="inlineStr">
        <is>
          <t>L.S.</t>
        </is>
      </c>
      <c r="D898" s="15" t="n">
        <v>33.8</v>
      </c>
      <c r="E898" s="16" t="n">
        <v>2</v>
      </c>
      <c r="F898" s="16">
        <f>D898*E898</f>
        <v/>
      </c>
    </row>
    <row r="899">
      <c r="A899" s="17" t="inlineStr">
        <is>
          <t>Resource Total (Material + Labour + Machinery, as printed)</t>
        </is>
      </c>
      <c r="B899" s="18" t="n"/>
      <c r="C899" s="18" t="n"/>
      <c r="D899" s="18" t="n"/>
      <c r="E899" s="18" t="n"/>
      <c r="F899" s="19">
        <f>SUM(F886:F898)</f>
        <v/>
      </c>
    </row>
    <row r="900">
      <c r="A900" s="20" t="inlineStr">
        <is>
          <t>SAY (Rs.) — final DAR rate</t>
        </is>
      </c>
      <c r="B900" s="21" t="n"/>
      <c r="C900" s="21" t="n"/>
      <c r="D900" s="21" t="n"/>
      <c r="E900" s="21" t="n"/>
      <c r="F900" s="22" t="n">
        <v>2815.9</v>
      </c>
    </row>
    <row r="902" ht="18" customHeight="1">
      <c r="A902" s="9" t="inlineStr">
        <is>
          <t>9.27.2.2.3</t>
        </is>
      </c>
      <c r="B902" s="10" t="inlineStr">
        <is>
          <t>Kiln seasoned selected class of sheesham wood</t>
        </is>
      </c>
      <c r="C902" s="11" t="n"/>
      <c r="D902" s="11" t="n"/>
      <c r="E902" s="11" t="n"/>
      <c r="F902" s="11" t="n"/>
    </row>
    <row r="903">
      <c r="A903" s="12" t="inlineStr">
        <is>
          <t>Rate basis: per sqm  (source: cost for 2.16 sqm)</t>
        </is>
      </c>
    </row>
    <row r="904">
      <c r="A904" s="5" t="inlineStr">
        <is>
          <t>Code</t>
        </is>
      </c>
      <c r="B904" s="5" t="inlineStr">
        <is>
          <t>Description</t>
        </is>
      </c>
      <c r="C904" s="5" t="inlineStr">
        <is>
          <t>Unit</t>
        </is>
      </c>
      <c r="D904" s="5" t="inlineStr">
        <is>
          <t>Quantity</t>
        </is>
      </c>
      <c r="E904" s="5" t="inlineStr">
        <is>
          <t>Rate (Rs.)</t>
        </is>
      </c>
      <c r="F904" s="5" t="inlineStr">
        <is>
          <t>Amount (Rs.)</t>
        </is>
      </c>
    </row>
    <row r="905">
      <c r="A905" s="13" t="inlineStr">
        <is>
          <t>2504</t>
        </is>
      </c>
      <c r="B905" s="14" t="inlineStr">
        <is>
          <t>Kiln seasoning of timber</t>
        </is>
      </c>
      <c r="C905" s="13" t="inlineStr">
        <is>
          <t>cum</t>
        </is>
      </c>
      <c r="D905" s="15" t="n">
        <v>0.044</v>
      </c>
      <c r="E905" s="16" t="n">
        <v>750</v>
      </c>
      <c r="F905" s="16">
        <f>D905*E905</f>
        <v/>
      </c>
    </row>
    <row r="906">
      <c r="A906" s="13" t="inlineStr">
        <is>
          <t>2204</t>
        </is>
      </c>
      <c r="B906" s="14" t="inlineStr">
        <is>
          <t>Carriage of Timber</t>
        </is>
      </c>
      <c r="C906" s="13" t="inlineStr">
        <is>
          <t>cum</t>
        </is>
      </c>
      <c r="D906" s="15" t="n">
        <v>0.044</v>
      </c>
      <c r="E906" s="16" t="n">
        <v>118.59</v>
      </c>
      <c r="F906" s="16">
        <f>D906*E906</f>
        <v/>
      </c>
    </row>
    <row r="907">
      <c r="A907" s="13" t="inlineStr">
        <is>
          <t>7029</t>
        </is>
      </c>
      <c r="B907" s="14" t="inlineStr">
        <is>
          <t>Galvanised wire mesh of average width of aperture 1.4 mm and nominal dia. of wire 0.63 mm</t>
        </is>
      </c>
      <c r="C907" s="13" t="inlineStr">
        <is>
          <t>sqm</t>
        </is>
      </c>
      <c r="D907" s="15" t="n">
        <v>1.41</v>
      </c>
      <c r="E907" s="16" t="n">
        <v>250</v>
      </c>
      <c r="F907" s="16">
        <f>D907*E907</f>
        <v/>
      </c>
    </row>
    <row r="908">
      <c r="A908" s="13" t="inlineStr">
        <is>
          <t>8220</t>
        </is>
      </c>
      <c r="B908" s="14" t="inlineStr">
        <is>
          <t>Stainless steel butt hinges (heavy weight) 100x60x2.5 mm IS : 12817 marked</t>
        </is>
      </c>
      <c r="C908" s="13" t="inlineStr">
        <is>
          <t>10 Nos</t>
        </is>
      </c>
      <c r="D908" s="15" t="n">
        <v>0.6</v>
      </c>
      <c r="E908" s="16" t="n">
        <v>255</v>
      </c>
      <c r="F908" s="16">
        <f>D908*E908</f>
        <v/>
      </c>
    </row>
    <row r="909">
      <c r="A909" s="13" t="inlineStr">
        <is>
          <t>8218</t>
        </is>
      </c>
      <c r="B909" s="14" t="inlineStr">
        <is>
          <t>Stainless steel butt hinges 50x37x 1.5 mm IS : 12817 marked</t>
        </is>
      </c>
      <c r="C909" s="13" t="inlineStr">
        <is>
          <t>10 Nos</t>
        </is>
      </c>
      <c r="D909" s="15" t="n">
        <v>0.2</v>
      </c>
      <c r="E909" s="16" t="n">
        <v>135</v>
      </c>
      <c r="F909" s="16">
        <f>D909*E909</f>
        <v/>
      </c>
    </row>
    <row r="910">
      <c r="A910" s="13" t="inlineStr">
        <is>
          <t>8211</t>
        </is>
      </c>
      <c r="B910" s="14" t="inlineStr">
        <is>
          <t>Stainless steel screws 40 mm</t>
        </is>
      </c>
      <c r="C910" s="13" t="inlineStr">
        <is>
          <t>100 Nos</t>
        </is>
      </c>
      <c r="D910" s="15" t="n">
        <v>0.48</v>
      </c>
      <c r="E910" s="16" t="n">
        <v>215</v>
      </c>
      <c r="F910" s="16">
        <f>D910*E910</f>
        <v/>
      </c>
    </row>
    <row r="911">
      <c r="A911" s="13" t="inlineStr">
        <is>
          <t>8214</t>
        </is>
      </c>
      <c r="B911" s="14" t="inlineStr">
        <is>
          <t>Stainless steel screws 20 mm</t>
        </is>
      </c>
      <c r="C911" s="13" t="inlineStr">
        <is>
          <t>100 Nos</t>
        </is>
      </c>
      <c r="D911" s="15" t="n">
        <v>0.08</v>
      </c>
      <c r="E911" s="16" t="n">
        <v>125</v>
      </c>
      <c r="F911" s="16">
        <f>D911*E911</f>
        <v/>
      </c>
    </row>
    <row r="912">
      <c r="A912" s="13" t="inlineStr">
        <is>
          <t>0111</t>
        </is>
      </c>
      <c r="B912" s="14" t="inlineStr">
        <is>
          <t>Carpenter 1st class</t>
        </is>
      </c>
      <c r="C912" s="13" t="inlineStr">
        <is>
          <t>day</t>
        </is>
      </c>
      <c r="D912" s="15" t="n">
        <v>1.2</v>
      </c>
      <c r="E912" s="16" t="n">
        <v>738</v>
      </c>
      <c r="F912" s="16">
        <f>D912*E912</f>
        <v/>
      </c>
    </row>
    <row r="913">
      <c r="A913" s="13" t="inlineStr">
        <is>
          <t>0112</t>
        </is>
      </c>
      <c r="B913" s="14" t="inlineStr">
        <is>
          <t>Carpenter 2nd class</t>
        </is>
      </c>
      <c r="C913" s="13" t="inlineStr">
        <is>
          <t>day</t>
        </is>
      </c>
      <c r="D913" s="15" t="n">
        <v>0.8</v>
      </c>
      <c r="E913" s="16" t="n">
        <v>679</v>
      </c>
      <c r="F913" s="16">
        <f>D913*E913</f>
        <v/>
      </c>
    </row>
    <row r="914">
      <c r="A914" s="13" t="inlineStr">
        <is>
          <t>0114</t>
        </is>
      </c>
      <c r="B914" s="14" t="inlineStr">
        <is>
          <t>Beldar</t>
        </is>
      </c>
      <c r="C914" s="13" t="inlineStr">
        <is>
          <t>day</t>
        </is>
      </c>
      <c r="D914" s="15" t="n">
        <v>1</v>
      </c>
      <c r="E914" s="16" t="n">
        <v>558</v>
      </c>
      <c r="F914" s="16">
        <f>D914*E914</f>
        <v/>
      </c>
    </row>
    <row r="915">
      <c r="A915" s="13" t="inlineStr">
        <is>
          <t>0130</t>
        </is>
      </c>
      <c r="B915" s="14" t="inlineStr">
        <is>
          <t>Mistry</t>
        </is>
      </c>
      <c r="C915" s="13" t="inlineStr">
        <is>
          <t>day</t>
        </is>
      </c>
      <c r="D915" s="15" t="n">
        <v>0.1</v>
      </c>
      <c r="E915" s="16" t="n">
        <v>738</v>
      </c>
      <c r="F915" s="16">
        <f>D915*E915</f>
        <v/>
      </c>
    </row>
    <row r="916">
      <c r="A916" s="13" t="inlineStr">
        <is>
          <t>9999</t>
        </is>
      </c>
      <c r="B916" s="14" t="inlineStr">
        <is>
          <t>Sundries</t>
        </is>
      </c>
      <c r="C916" s="13" t="inlineStr">
        <is>
          <t>L.S.</t>
        </is>
      </c>
      <c r="D916" s="15" t="n">
        <v>33.8</v>
      </c>
      <c r="E916" s="16" t="n">
        <v>2</v>
      </c>
      <c r="F916" s="16">
        <f>D916*E916</f>
        <v/>
      </c>
    </row>
    <row r="917">
      <c r="A917" s="17" t="inlineStr">
        <is>
          <t>Resource Total (Material + Labour + Machinery, as printed)</t>
        </is>
      </c>
      <c r="B917" s="18" t="n"/>
      <c r="C917" s="18" t="n"/>
      <c r="D917" s="18" t="n"/>
      <c r="E917" s="18" t="n"/>
      <c r="F917" s="19">
        <f>SUM(F905:F916)</f>
        <v/>
      </c>
    </row>
    <row r="918">
      <c r="A918" s="20" t="inlineStr">
        <is>
          <t>SAY (Rs.) — final DAR rate</t>
        </is>
      </c>
      <c r="B918" s="21" t="n"/>
      <c r="C918" s="21" t="n"/>
      <c r="D918" s="21" t="n"/>
      <c r="E918" s="21" t="n"/>
      <c r="F918" s="22" t="n">
        <v>3513.4</v>
      </c>
    </row>
    <row r="920" ht="18" customHeight="1">
      <c r="A920" s="9" t="inlineStr">
        <is>
          <t>9.31.1</t>
        </is>
      </c>
      <c r="B920" s="10" t="inlineStr">
        <is>
          <t>35 mm thick shutters</t>
        </is>
      </c>
      <c r="C920" s="11" t="n"/>
      <c r="D920" s="11" t="n"/>
      <c r="E920" s="11" t="n"/>
      <c r="F920" s="11" t="n"/>
    </row>
    <row r="921">
      <c r="A921" s="12" t="inlineStr">
        <is>
          <t>Rate basis: per sqm  (source: cost for 2.38 sqm)</t>
        </is>
      </c>
    </row>
    <row r="922">
      <c r="A922" s="5" t="inlineStr">
        <is>
          <t>Code</t>
        </is>
      </c>
      <c r="B922" s="5" t="inlineStr">
        <is>
          <t>Description</t>
        </is>
      </c>
      <c r="C922" s="5" t="inlineStr">
        <is>
          <t>Unit</t>
        </is>
      </c>
      <c r="D922" s="5" t="inlineStr">
        <is>
          <t>Quantity</t>
        </is>
      </c>
      <c r="E922" s="5" t="inlineStr">
        <is>
          <t>Rate (Rs.)</t>
        </is>
      </c>
      <c r="F922" s="5" t="inlineStr">
        <is>
          <t>Amount (Rs.)</t>
        </is>
      </c>
    </row>
    <row r="923">
      <c r="A923" s="13" t="inlineStr">
        <is>
          <t>7154</t>
        </is>
      </c>
      <c r="B923" s="14" t="inlineStr">
        <is>
          <t>Factory made 35 mm thick shutters with laminated veneer lumber styles rails as per TADS IS:1995 and panels of galvanised wire gauge with average width of aperture 1.4 mm on both directions with wire of dia 0.63 mm</t>
        </is>
      </c>
      <c r="C923" s="13" t="inlineStr">
        <is>
          <t>sqm</t>
        </is>
      </c>
      <c r="D923" s="15" t="n">
        <v>2.38</v>
      </c>
      <c r="E923" s="16" t="n">
        <v>1620</v>
      </c>
      <c r="F923" s="16">
        <f>D923*E923</f>
        <v/>
      </c>
    </row>
    <row r="924">
      <c r="A924" s="13" t="inlineStr">
        <is>
          <t>9977</t>
        </is>
      </c>
      <c r="B924" s="14" t="inlineStr">
        <is>
          <t>Carriage of shutters</t>
        </is>
      </c>
      <c r="C924" s="13" t="inlineStr">
        <is>
          <t>L.S.</t>
        </is>
      </c>
      <c r="D924" s="15" t="n">
        <v>29.64</v>
      </c>
      <c r="E924" s="16" t="n">
        <v>2</v>
      </c>
      <c r="F924" s="16">
        <f>D924*E924</f>
        <v/>
      </c>
    </row>
    <row r="925">
      <c r="A925" s="13" t="inlineStr">
        <is>
          <t>0156</t>
        </is>
      </c>
      <c r="B925" s="14" t="inlineStr">
        <is>
          <t>Carpenter (average)</t>
        </is>
      </c>
      <c r="C925" s="13" t="inlineStr">
        <is>
          <t>day</t>
        </is>
      </c>
      <c r="D925" s="15" t="n">
        <v>0.52</v>
      </c>
      <c r="E925" s="16" t="n">
        <v>709</v>
      </c>
      <c r="F925" s="16">
        <f>D925*E925</f>
        <v/>
      </c>
    </row>
    <row r="926">
      <c r="A926" s="13" t="inlineStr">
        <is>
          <t>0114</t>
        </is>
      </c>
      <c r="B926" s="14" t="inlineStr">
        <is>
          <t>Beldar</t>
        </is>
      </c>
      <c r="C926" s="13" t="inlineStr">
        <is>
          <t>day</t>
        </is>
      </c>
      <c r="D926" s="15" t="n">
        <v>0.6</v>
      </c>
      <c r="E926" s="16" t="n">
        <v>558</v>
      </c>
      <c r="F926" s="16">
        <f>D926*E926</f>
        <v/>
      </c>
    </row>
    <row r="927">
      <c r="A927" s="13" t="inlineStr">
        <is>
          <t>9999</t>
        </is>
      </c>
      <c r="B927" s="14" t="inlineStr">
        <is>
          <t>Sundries</t>
        </is>
      </c>
      <c r="C927" s="13" t="inlineStr">
        <is>
          <t>L.S.</t>
        </is>
      </c>
      <c r="D927" s="15" t="n">
        <v>35.88</v>
      </c>
      <c r="E927" s="16" t="n">
        <v>2</v>
      </c>
      <c r="F927" s="16">
        <f>D927*E927</f>
        <v/>
      </c>
    </row>
    <row r="928">
      <c r="A928" s="17" t="inlineStr">
        <is>
          <t>Resource Total (Material + Labour + Machinery, as printed)</t>
        </is>
      </c>
      <c r="B928" s="18" t="n"/>
      <c r="C928" s="18" t="n"/>
      <c r="D928" s="18" t="n"/>
      <c r="E928" s="18" t="n"/>
      <c r="F928" s="19">
        <f>SUM(F923:F927)</f>
        <v/>
      </c>
    </row>
    <row r="929">
      <c r="A929" s="20" t="inlineStr">
        <is>
          <t>SAY (Rs.) — final DAR rate</t>
        </is>
      </c>
      <c r="B929" s="21" t="n"/>
      <c r="C929" s="21" t="n"/>
      <c r="D929" s="21" t="n"/>
      <c r="E929" s="21" t="n"/>
      <c r="F929" s="22" t="n">
        <v>2636.6</v>
      </c>
    </row>
    <row r="931" ht="18" customHeight="1">
      <c r="A931" s="9" t="inlineStr">
        <is>
          <t>9.31.2</t>
        </is>
      </c>
      <c r="B931" s="10" t="inlineStr">
        <is>
          <t>30 mm thick shutters</t>
        </is>
      </c>
      <c r="C931" s="11" t="n"/>
      <c r="D931" s="11" t="n"/>
      <c r="E931" s="11" t="n"/>
      <c r="F931" s="11" t="n"/>
    </row>
    <row r="932">
      <c r="A932" s="12" t="inlineStr">
        <is>
          <t>Rate basis: per sqm  (source: cost for 2.38 sqm)</t>
        </is>
      </c>
    </row>
    <row r="933">
      <c r="A933" s="5" t="inlineStr">
        <is>
          <t>Code</t>
        </is>
      </c>
      <c r="B933" s="5" t="inlineStr">
        <is>
          <t>Description</t>
        </is>
      </c>
      <c r="C933" s="5" t="inlineStr">
        <is>
          <t>Unit</t>
        </is>
      </c>
      <c r="D933" s="5" t="inlineStr">
        <is>
          <t>Quantity</t>
        </is>
      </c>
      <c r="E933" s="5" t="inlineStr">
        <is>
          <t>Rate (Rs.)</t>
        </is>
      </c>
      <c r="F933" s="5" t="inlineStr">
        <is>
          <t>Amount (Rs.)</t>
        </is>
      </c>
    </row>
    <row r="934">
      <c r="A934" s="13" t="inlineStr">
        <is>
          <t>7155</t>
        </is>
      </c>
      <c r="B934" s="14" t="inlineStr">
        <is>
          <t>Factory made 30 mm thick shutters with laminated veneer lumber styles rails as per TADS IS:1995 and panels of galvanised wire gauge with average width of aperture 1.4 mm on both directions with wire of dia 0.63 mm</t>
        </is>
      </c>
      <c r="C934" s="13" t="inlineStr">
        <is>
          <t>sqm</t>
        </is>
      </c>
      <c r="D934" s="15" t="n">
        <v>2.38</v>
      </c>
      <c r="E934" s="16" t="n">
        <v>1430</v>
      </c>
      <c r="F934" s="16">
        <f>D934*E934</f>
        <v/>
      </c>
    </row>
    <row r="935">
      <c r="A935" s="13" t="inlineStr">
        <is>
          <t>9977</t>
        </is>
      </c>
      <c r="B935" s="14" t="inlineStr">
        <is>
          <t>Carriage of shutters</t>
        </is>
      </c>
      <c r="C935" s="13" t="inlineStr">
        <is>
          <t>L.S.</t>
        </is>
      </c>
      <c r="D935" s="15" t="n">
        <v>29.64</v>
      </c>
      <c r="E935" s="16" t="n">
        <v>2</v>
      </c>
      <c r="F935" s="16">
        <f>D935*E935</f>
        <v/>
      </c>
    </row>
    <row r="936">
      <c r="A936" s="13" t="inlineStr">
        <is>
          <t>0156</t>
        </is>
      </c>
      <c r="B936" s="14" t="inlineStr">
        <is>
          <t>Carpenter (average)</t>
        </is>
      </c>
      <c r="C936" s="13" t="inlineStr">
        <is>
          <t>day</t>
        </is>
      </c>
      <c r="D936" s="15" t="n">
        <v>0.52</v>
      </c>
      <c r="E936" s="16" t="n">
        <v>709</v>
      </c>
      <c r="F936" s="16">
        <f>D936*E936</f>
        <v/>
      </c>
    </row>
    <row r="937">
      <c r="A937" s="13" t="inlineStr">
        <is>
          <t>0114</t>
        </is>
      </c>
      <c r="B937" s="14" t="inlineStr">
        <is>
          <t>Beldar</t>
        </is>
      </c>
      <c r="C937" s="13" t="inlineStr">
        <is>
          <t>day</t>
        </is>
      </c>
      <c r="D937" s="15" t="n">
        <v>0.6</v>
      </c>
      <c r="E937" s="16" t="n">
        <v>558</v>
      </c>
      <c r="F937" s="16">
        <f>D937*E937</f>
        <v/>
      </c>
    </row>
    <row r="938">
      <c r="A938" s="13" t="inlineStr">
        <is>
          <t>9999</t>
        </is>
      </c>
      <c r="B938" s="14" t="inlineStr">
        <is>
          <t>Sundries</t>
        </is>
      </c>
      <c r="C938" s="13" t="inlineStr">
        <is>
          <t>L.S.</t>
        </is>
      </c>
      <c r="D938" s="15" t="n">
        <v>35.88</v>
      </c>
      <c r="E938" s="16" t="n">
        <v>2</v>
      </c>
      <c r="F938" s="16">
        <f>D938*E938</f>
        <v/>
      </c>
    </row>
    <row r="939">
      <c r="A939" s="17" t="inlineStr">
        <is>
          <t>Resource Total (Material + Labour + Machinery, as printed)</t>
        </is>
      </c>
      <c r="B939" s="18" t="n"/>
      <c r="C939" s="18" t="n"/>
      <c r="D939" s="18" t="n"/>
      <c r="E939" s="18" t="n"/>
      <c r="F939" s="19">
        <f>SUM(F934:F938)</f>
        <v/>
      </c>
    </row>
    <row r="940">
      <c r="A940" s="20" t="inlineStr">
        <is>
          <t>SAY (Rs.) — final DAR rate</t>
        </is>
      </c>
      <c r="B940" s="21" t="n"/>
      <c r="C940" s="21" t="n"/>
      <c r="D940" s="21" t="n"/>
      <c r="E940" s="21" t="n"/>
      <c r="F940" s="22" t="n">
        <v>2382.4</v>
      </c>
    </row>
    <row r="942" ht="18" customHeight="1">
      <c r="A942" s="9" t="inlineStr">
        <is>
          <t>9.40.1.1</t>
        </is>
      </c>
      <c r="B942" s="10" t="inlineStr">
        <is>
          <t>50x12 mm</t>
        </is>
      </c>
      <c r="C942" s="11" t="n"/>
      <c r="D942" s="11" t="n"/>
      <c r="E942" s="11" t="n"/>
      <c r="F942" s="11" t="n"/>
    </row>
    <row r="943">
      <c r="A943" s="12" t="inlineStr">
        <is>
          <t>Rate basis: per cum  (source: cost for 0.003 cum)</t>
        </is>
      </c>
    </row>
    <row r="944">
      <c r="A944" s="5" t="inlineStr">
        <is>
          <t>Code</t>
        </is>
      </c>
      <c r="B944" s="5" t="inlineStr">
        <is>
          <t>Description</t>
        </is>
      </c>
      <c r="C944" s="5" t="inlineStr">
        <is>
          <t>Unit</t>
        </is>
      </c>
      <c r="D944" s="5" t="inlineStr">
        <is>
          <t>Quantity</t>
        </is>
      </c>
      <c r="E944" s="5" t="inlineStr">
        <is>
          <t>Rate (Rs.)</t>
        </is>
      </c>
      <c r="F944" s="5" t="inlineStr">
        <is>
          <t>Amount (Rs.)</t>
        </is>
      </c>
    </row>
    <row r="945">
      <c r="A945" s="13" t="inlineStr">
        <is>
          <t>13.50.1</t>
        </is>
      </c>
      <c r="B945" s="14" t="inlineStr">
        <is>
          <t>Rate as per SH: 13.50.1</t>
        </is>
      </c>
      <c r="C945" s="13" t="inlineStr">
        <is>
          <t>sqm</t>
        </is>
      </c>
      <c r="D945" s="15" t="n">
        <v>0.37</v>
      </c>
      <c r="E945" s="16" t="n">
        <v>57.05</v>
      </c>
      <c r="F945" s="16">
        <f>D945*E945</f>
        <v/>
      </c>
    </row>
    <row r="946">
      <c r="A946" s="13" t="inlineStr">
        <is>
          <t>2204</t>
        </is>
      </c>
      <c r="B946" s="14" t="inlineStr">
        <is>
          <t>Carriage of Timber</t>
        </is>
      </c>
      <c r="C946" s="13" t="inlineStr">
        <is>
          <t>cum</t>
        </is>
      </c>
      <c r="D946" s="15" t="n">
        <v>0.0033</v>
      </c>
      <c r="E946" s="16" t="n">
        <v>118.59</v>
      </c>
      <c r="F946" s="16">
        <f>D946*E946</f>
        <v/>
      </c>
    </row>
    <row r="947">
      <c r="A947" s="13" t="inlineStr">
        <is>
          <t>0637</t>
        </is>
      </c>
      <c r="B947" s="14" t="inlineStr">
        <is>
          <t>Bright finished or black enamelled mild steel screws 40 mm</t>
        </is>
      </c>
      <c r="C947" s="13" t="inlineStr">
        <is>
          <t>100 Nos</t>
        </is>
      </c>
      <c r="D947" s="15" t="n">
        <v>0.36</v>
      </c>
      <c r="E947" s="16" t="n">
        <v>60</v>
      </c>
      <c r="F947" s="16">
        <f>D947*E947</f>
        <v/>
      </c>
    </row>
    <row r="948">
      <c r="A948" s="13" t="inlineStr">
        <is>
          <t>0111</t>
        </is>
      </c>
      <c r="B948" s="14" t="inlineStr">
        <is>
          <t>Carpenter 1st class</t>
        </is>
      </c>
      <c r="C948" s="13" t="inlineStr">
        <is>
          <t>day</t>
        </is>
      </c>
      <c r="D948" s="15" t="n">
        <v>0.53</v>
      </c>
      <c r="E948" s="16" t="n">
        <v>738</v>
      </c>
      <c r="F948" s="16">
        <f>D948*E948</f>
        <v/>
      </c>
    </row>
    <row r="949">
      <c r="A949" s="17" t="inlineStr">
        <is>
          <t>Resource Total (Material + Labour + Machinery, as printed)</t>
        </is>
      </c>
      <c r="B949" s="18" t="n"/>
      <c r="C949" s="18" t="n"/>
      <c r="D949" s="18" t="n"/>
      <c r="E949" s="18" t="n"/>
      <c r="F949" s="19">
        <f>SUM(F945:F948)</f>
        <v/>
      </c>
    </row>
    <row r="950">
      <c r="A950" s="20" t="inlineStr">
        <is>
          <t>SAY (Rs.) — final DAR rate</t>
        </is>
      </c>
      <c r="B950" s="21" t="n"/>
      <c r="C950" s="21" t="n"/>
      <c r="D950" s="21" t="n"/>
      <c r="E950" s="21" t="n"/>
      <c r="F950" s="22" t="n">
        <v>184.6</v>
      </c>
    </row>
    <row r="952" ht="18" customHeight="1">
      <c r="A952" s="9" t="inlineStr">
        <is>
          <t>9.40.1.2</t>
        </is>
      </c>
      <c r="B952" s="10" t="inlineStr">
        <is>
          <t>50 x 20 mm</t>
        </is>
      </c>
      <c r="C952" s="11" t="n"/>
      <c r="D952" s="11" t="n"/>
      <c r="E952" s="11" t="n"/>
      <c r="F952" s="11" t="n"/>
    </row>
    <row r="953">
      <c r="A953" s="12" t="inlineStr">
        <is>
          <t>Rate basis: per cum  (source: cost for 0.005 cum)</t>
        </is>
      </c>
    </row>
    <row r="954">
      <c r="A954" s="5" t="inlineStr">
        <is>
          <t>Code</t>
        </is>
      </c>
      <c r="B954" s="5" t="inlineStr">
        <is>
          <t>Description</t>
        </is>
      </c>
      <c r="C954" s="5" t="inlineStr">
        <is>
          <t>Unit</t>
        </is>
      </c>
      <c r="D954" s="5" t="inlineStr">
        <is>
          <t>Quantity</t>
        </is>
      </c>
      <c r="E954" s="5" t="inlineStr">
        <is>
          <t>Rate (Rs.)</t>
        </is>
      </c>
      <c r="F954" s="5" t="inlineStr">
        <is>
          <t>Amount (Rs.)</t>
        </is>
      </c>
    </row>
    <row r="955">
      <c r="A955" s="13" t="inlineStr">
        <is>
          <t>13.50.1</t>
        </is>
      </c>
      <c r="B955" s="14" t="inlineStr">
        <is>
          <t>Rate as per SH: 13.50.1</t>
        </is>
      </c>
      <c r="C955" s="13" t="inlineStr">
        <is>
          <t>sqm</t>
        </is>
      </c>
      <c r="D955" s="15" t="n">
        <v>0.45</v>
      </c>
      <c r="E955" s="16" t="n">
        <v>57.05</v>
      </c>
      <c r="F955" s="16">
        <f>D955*E955</f>
        <v/>
      </c>
    </row>
    <row r="956">
      <c r="A956" s="13" t="inlineStr">
        <is>
          <t>2204</t>
        </is>
      </c>
      <c r="B956" s="14" t="inlineStr">
        <is>
          <t>Carriage of Timber</t>
        </is>
      </c>
      <c r="C956" s="13" t="inlineStr">
        <is>
          <t>cum</t>
        </is>
      </c>
      <c r="D956" s="15" t="n">
        <v>0.0055</v>
      </c>
      <c r="E956" s="16" t="n">
        <v>118.59</v>
      </c>
      <c r="F956" s="16">
        <f>D956*E956</f>
        <v/>
      </c>
    </row>
    <row r="957">
      <c r="A957" s="13" t="inlineStr">
        <is>
          <t>0637</t>
        </is>
      </c>
      <c r="B957" s="14" t="inlineStr">
        <is>
          <t>Bright finished or black enamelled mild steel screws 40 mm</t>
        </is>
      </c>
      <c r="C957" s="13" t="inlineStr">
        <is>
          <t>100 Nos</t>
        </is>
      </c>
      <c r="D957" s="15" t="n">
        <v>0.36</v>
      </c>
      <c r="E957" s="16" t="n">
        <v>60</v>
      </c>
      <c r="F957" s="16">
        <f>D957*E957</f>
        <v/>
      </c>
    </row>
    <row r="958">
      <c r="A958" s="13" t="inlineStr">
        <is>
          <t>0111</t>
        </is>
      </c>
      <c r="B958" s="14" t="inlineStr">
        <is>
          <t>Carpenter 1st class</t>
        </is>
      </c>
      <c r="C958" s="13" t="inlineStr">
        <is>
          <t>day</t>
        </is>
      </c>
      <c r="D958" s="15" t="n">
        <v>0.53</v>
      </c>
      <c r="E958" s="16" t="n">
        <v>738</v>
      </c>
      <c r="F958" s="16">
        <f>D958*E958</f>
        <v/>
      </c>
    </row>
    <row r="959">
      <c r="A959" s="17" t="inlineStr">
        <is>
          <t>Resource Total (Material + Labour + Machinery, as printed)</t>
        </is>
      </c>
      <c r="B959" s="18" t="n"/>
      <c r="C959" s="18" t="n"/>
      <c r="D959" s="18" t="n"/>
      <c r="E959" s="18" t="n"/>
      <c r="F959" s="19">
        <f>SUM(F955:F958)</f>
        <v/>
      </c>
    </row>
    <row r="960">
      <c r="A960" s="20" t="inlineStr">
        <is>
          <t>SAY (Rs.) — final DAR rate</t>
        </is>
      </c>
      <c r="B960" s="21" t="n"/>
      <c r="C960" s="21" t="n"/>
      <c r="D960" s="21" t="n"/>
      <c r="E960" s="21" t="n"/>
      <c r="F960" s="22" t="n">
        <v>232.15</v>
      </c>
    </row>
    <row r="962" ht="18" customHeight="1">
      <c r="A962" s="9" t="inlineStr">
        <is>
          <t>9.40.2.1</t>
        </is>
      </c>
      <c r="B962" s="10" t="inlineStr">
        <is>
          <t>50x12 mm</t>
        </is>
      </c>
      <c r="C962" s="11" t="n"/>
      <c r="D962" s="11" t="n"/>
      <c r="E962" s="11" t="n"/>
      <c r="F962" s="11" t="n"/>
    </row>
    <row r="963">
      <c r="A963" s="12" t="inlineStr">
        <is>
          <t>Rate basis: per cum  (source: cost for 0.003 cum)</t>
        </is>
      </c>
    </row>
    <row r="964">
      <c r="A964" s="5" t="inlineStr">
        <is>
          <t>Code</t>
        </is>
      </c>
      <c r="B964" s="5" t="inlineStr">
        <is>
          <t>Description</t>
        </is>
      </c>
      <c r="C964" s="5" t="inlineStr">
        <is>
          <t>Unit</t>
        </is>
      </c>
      <c r="D964" s="5" t="inlineStr">
        <is>
          <t>Quantity</t>
        </is>
      </c>
      <c r="E964" s="5" t="inlineStr">
        <is>
          <t>Rate (Rs.)</t>
        </is>
      </c>
      <c r="F964" s="5" t="inlineStr">
        <is>
          <t>Amount (Rs.)</t>
        </is>
      </c>
    </row>
    <row r="965">
      <c r="A965" s="13" t="inlineStr">
        <is>
          <t>13.50.1</t>
        </is>
      </c>
      <c r="B965" s="14" t="inlineStr">
        <is>
          <t>Rate as per SH: 13.50.1</t>
        </is>
      </c>
      <c r="C965" s="13" t="inlineStr">
        <is>
          <t>sqm</t>
        </is>
      </c>
      <c r="D965" s="15" t="n">
        <v>0.37</v>
      </c>
      <c r="E965" s="16" t="n">
        <v>57.05</v>
      </c>
      <c r="F965" s="16">
        <f>D965*E965</f>
        <v/>
      </c>
    </row>
    <row r="966">
      <c r="A966" s="13" t="inlineStr">
        <is>
          <t>2204</t>
        </is>
      </c>
      <c r="B966" s="14" t="inlineStr">
        <is>
          <t>Carriage of Timber</t>
        </is>
      </c>
      <c r="C966" s="13" t="inlineStr">
        <is>
          <t>cum</t>
        </is>
      </c>
      <c r="D966" s="15" t="n">
        <v>0.0033</v>
      </c>
      <c r="E966" s="16" t="n">
        <v>118.59</v>
      </c>
      <c r="F966" s="16">
        <f>D966*E966</f>
        <v/>
      </c>
    </row>
    <row r="967">
      <c r="A967" s="13" t="inlineStr">
        <is>
          <t>0637</t>
        </is>
      </c>
      <c r="B967" s="14" t="inlineStr">
        <is>
          <t>Bright finished or black enamelled mild steel screws 40 mm</t>
        </is>
      </c>
      <c r="C967" s="13" t="inlineStr">
        <is>
          <t>100 Nos</t>
        </is>
      </c>
      <c r="D967" s="15" t="n">
        <v>0.36</v>
      </c>
      <c r="E967" s="16" t="n">
        <v>60</v>
      </c>
      <c r="F967" s="16">
        <f>D967*E967</f>
        <v/>
      </c>
    </row>
    <row r="968">
      <c r="A968" s="13" t="inlineStr">
        <is>
          <t>0111</t>
        </is>
      </c>
      <c r="B968" s="14" t="inlineStr">
        <is>
          <t>Carpenter 1st class</t>
        </is>
      </c>
      <c r="C968" s="13" t="inlineStr">
        <is>
          <t>day</t>
        </is>
      </c>
      <c r="D968" s="15" t="n">
        <v>0.53</v>
      </c>
      <c r="E968" s="16" t="n">
        <v>738</v>
      </c>
      <c r="F968" s="16">
        <f>D968*E968</f>
        <v/>
      </c>
    </row>
    <row r="969">
      <c r="A969" s="17" t="inlineStr">
        <is>
          <t>Resource Total (Material + Labour + Machinery, as printed)</t>
        </is>
      </c>
      <c r="B969" s="18" t="n"/>
      <c r="C969" s="18" t="n"/>
      <c r="D969" s="18" t="n"/>
      <c r="E969" s="18" t="n"/>
      <c r="F969" s="19">
        <f>SUM(F965:F968)</f>
        <v/>
      </c>
    </row>
    <row r="970">
      <c r="A970" s="20" t="inlineStr">
        <is>
          <t>SAY (Rs.) — final DAR rate</t>
        </is>
      </c>
      <c r="B970" s="21" t="n"/>
      <c r="C970" s="21" t="n"/>
      <c r="D970" s="21" t="n"/>
      <c r="E970" s="21" t="n"/>
      <c r="F970" s="22" t="n">
        <v>149.2</v>
      </c>
    </row>
    <row r="972" ht="18" customHeight="1">
      <c r="A972" s="9" t="inlineStr">
        <is>
          <t>9.40.2.2</t>
        </is>
      </c>
      <c r="B972" s="10" t="inlineStr">
        <is>
          <t>50x20 mm</t>
        </is>
      </c>
      <c r="C972" s="11" t="n"/>
      <c r="D972" s="11" t="n"/>
      <c r="E972" s="11" t="n"/>
      <c r="F972" s="11" t="n"/>
    </row>
    <row r="973">
      <c r="A973" s="12" t="inlineStr">
        <is>
          <t>Rate basis: per cum  (source: cost for 0.005 cum)</t>
        </is>
      </c>
    </row>
    <row r="974">
      <c r="A974" s="5" t="inlineStr">
        <is>
          <t>Code</t>
        </is>
      </c>
      <c r="B974" s="5" t="inlineStr">
        <is>
          <t>Description</t>
        </is>
      </c>
      <c r="C974" s="5" t="inlineStr">
        <is>
          <t>Unit</t>
        </is>
      </c>
      <c r="D974" s="5" t="inlineStr">
        <is>
          <t>Quantity</t>
        </is>
      </c>
      <c r="E974" s="5" t="inlineStr">
        <is>
          <t>Rate (Rs.)</t>
        </is>
      </c>
      <c r="F974" s="5" t="inlineStr">
        <is>
          <t>Amount (Rs.)</t>
        </is>
      </c>
    </row>
    <row r="975">
      <c r="A975" s="13" t="inlineStr">
        <is>
          <t>13.50.1</t>
        </is>
      </c>
      <c r="B975" s="14" t="inlineStr">
        <is>
          <t>Rate as per SH: 13.50.1</t>
        </is>
      </c>
      <c r="C975" s="13" t="inlineStr">
        <is>
          <t>sqm</t>
        </is>
      </c>
      <c r="D975" s="15" t="n">
        <v>0.45</v>
      </c>
      <c r="E975" s="16" t="n">
        <v>57.05</v>
      </c>
      <c r="F975" s="16">
        <f>D975*E975</f>
        <v/>
      </c>
    </row>
    <row r="976">
      <c r="A976" s="13" t="inlineStr">
        <is>
          <t>2204</t>
        </is>
      </c>
      <c r="B976" s="14" t="inlineStr">
        <is>
          <t>Carriage of Timber</t>
        </is>
      </c>
      <c r="C976" s="13" t="inlineStr">
        <is>
          <t>cum</t>
        </is>
      </c>
      <c r="D976" s="15" t="n">
        <v>0.0055</v>
      </c>
      <c r="E976" s="16" t="n">
        <v>118.59</v>
      </c>
      <c r="F976" s="16">
        <f>D976*E976</f>
        <v/>
      </c>
    </row>
    <row r="977">
      <c r="A977" s="13" t="inlineStr">
        <is>
          <t>0637</t>
        </is>
      </c>
      <c r="B977" s="14" t="inlineStr">
        <is>
          <t>Bright finished or black enamelled mild steel screws 40 mm</t>
        </is>
      </c>
      <c r="C977" s="13" t="inlineStr">
        <is>
          <t>100 Nos</t>
        </is>
      </c>
      <c r="D977" s="15" t="n">
        <v>0.36</v>
      </c>
      <c r="E977" s="16" t="n">
        <v>60</v>
      </c>
      <c r="F977" s="16">
        <f>D977*E977</f>
        <v/>
      </c>
    </row>
    <row r="978">
      <c r="A978" s="13" t="inlineStr">
        <is>
          <t>0111</t>
        </is>
      </c>
      <c r="B978" s="14" t="inlineStr">
        <is>
          <t>Carpenter 1st class</t>
        </is>
      </c>
      <c r="C978" s="13" t="inlineStr">
        <is>
          <t>day</t>
        </is>
      </c>
      <c r="D978" s="15" t="n">
        <v>0.53</v>
      </c>
      <c r="E978" s="16" t="n">
        <v>738</v>
      </c>
      <c r="F978" s="16">
        <f>D978*E978</f>
        <v/>
      </c>
    </row>
    <row r="979">
      <c r="A979" s="17" t="inlineStr">
        <is>
          <t>Resource Total (Material + Labour + Machinery, as printed)</t>
        </is>
      </c>
      <c r="B979" s="18" t="n"/>
      <c r="C979" s="18" t="n"/>
      <c r="D979" s="18" t="n"/>
      <c r="E979" s="18" t="n"/>
      <c r="F979" s="19">
        <f>SUM(F975:F978)</f>
        <v/>
      </c>
    </row>
    <row r="980">
      <c r="A980" s="20" t="inlineStr">
        <is>
          <t>SAY (Rs.) — final DAR rate</t>
        </is>
      </c>
      <c r="B980" s="21" t="n"/>
      <c r="C980" s="21" t="n"/>
      <c r="D980" s="21" t="n"/>
      <c r="E980" s="21" t="n"/>
      <c r="F980" s="22" t="n">
        <v>173.15</v>
      </c>
    </row>
    <row r="982" ht="18" customHeight="1">
      <c r="A982" s="9" t="inlineStr">
        <is>
          <t>9.41.1</t>
        </is>
      </c>
      <c r="B982" s="10" t="inlineStr">
        <is>
          <t>Second class teak wood</t>
        </is>
      </c>
      <c r="C982" s="11" t="n"/>
      <c r="D982" s="11" t="n"/>
      <c r="E982" s="11" t="n"/>
      <c r="F982" s="11" t="n"/>
    </row>
    <row r="983">
      <c r="A983" s="12" t="inlineStr">
        <is>
          <t>Rate basis: per sqm  (source: cost for 2.2 sqm)</t>
        </is>
      </c>
    </row>
    <row r="984">
      <c r="A984" s="5" t="inlineStr">
        <is>
          <t>Code</t>
        </is>
      </c>
      <c r="B984" s="5" t="inlineStr">
        <is>
          <t>Description</t>
        </is>
      </c>
      <c r="C984" s="5" t="inlineStr">
        <is>
          <t>Unit</t>
        </is>
      </c>
      <c r="D984" s="5" t="inlineStr">
        <is>
          <t>Quantity</t>
        </is>
      </c>
      <c r="E984" s="5" t="inlineStr">
        <is>
          <t>Rate (Rs.)</t>
        </is>
      </c>
      <c r="F984" s="5" t="inlineStr">
        <is>
          <t>Amount (Rs.)</t>
        </is>
      </c>
    </row>
    <row r="985">
      <c r="A985" s="13" t="inlineStr">
        <is>
          <t>2204</t>
        </is>
      </c>
      <c r="B985" s="14" t="inlineStr">
        <is>
          <t>Carriage of Timber</t>
        </is>
      </c>
      <c r="C985" s="13" t="inlineStr">
        <is>
          <t>cum</t>
        </is>
      </c>
      <c r="D985" s="15" t="n">
        <v>0.032</v>
      </c>
      <c r="E985" s="16" t="n">
        <v>118.59</v>
      </c>
      <c r="F985" s="16">
        <f>D985*E985</f>
        <v/>
      </c>
    </row>
    <row r="986">
      <c r="A986" s="13" t="inlineStr">
        <is>
          <t>0111</t>
        </is>
      </c>
      <c r="B986" s="14" t="inlineStr">
        <is>
          <t>Carpenter 1st class</t>
        </is>
      </c>
      <c r="C986" s="13" t="inlineStr">
        <is>
          <t>day</t>
        </is>
      </c>
      <c r="D986" s="15" t="n">
        <v>0.75</v>
      </c>
      <c r="E986" s="16" t="n">
        <v>738</v>
      </c>
      <c r="F986" s="16">
        <f>D986*E986</f>
        <v/>
      </c>
    </row>
    <row r="987">
      <c r="A987" s="13" t="inlineStr">
        <is>
          <t>0112</t>
        </is>
      </c>
      <c r="B987" s="14" t="inlineStr">
        <is>
          <t>Carpenter 2nd class</t>
        </is>
      </c>
      <c r="C987" s="13" t="inlineStr">
        <is>
          <t>day</t>
        </is>
      </c>
      <c r="D987" s="15" t="n">
        <v>1</v>
      </c>
      <c r="E987" s="16" t="n">
        <v>679</v>
      </c>
      <c r="F987" s="16">
        <f>D987*E987</f>
        <v/>
      </c>
    </row>
    <row r="988">
      <c r="A988" s="13" t="inlineStr">
        <is>
          <t>0114</t>
        </is>
      </c>
      <c r="B988" s="14" t="inlineStr">
        <is>
          <t>Beldar</t>
        </is>
      </c>
      <c r="C988" s="13" t="inlineStr">
        <is>
          <t>day</t>
        </is>
      </c>
      <c r="D988" s="15" t="n">
        <v>0.5</v>
      </c>
      <c r="E988" s="16" t="n">
        <v>558</v>
      </c>
      <c r="F988" s="16">
        <f>D988*E988</f>
        <v/>
      </c>
    </row>
    <row r="989">
      <c r="A989" s="13" t="inlineStr">
        <is>
          <t>0130</t>
        </is>
      </c>
      <c r="B989" s="14" t="inlineStr">
        <is>
          <t>Mistry</t>
        </is>
      </c>
      <c r="C989" s="13" t="inlineStr">
        <is>
          <t>day</t>
        </is>
      </c>
      <c r="D989" s="15" t="n">
        <v>0.1</v>
      </c>
      <c r="E989" s="16" t="n">
        <v>738</v>
      </c>
      <c r="F989" s="16">
        <f>D989*E989</f>
        <v/>
      </c>
    </row>
    <row r="990">
      <c r="A990" s="13" t="inlineStr">
        <is>
          <t>9999</t>
        </is>
      </c>
      <c r="B990" s="14" t="inlineStr">
        <is>
          <t>Sundries</t>
        </is>
      </c>
      <c r="C990" s="13" t="inlineStr">
        <is>
          <t>L.S.</t>
        </is>
      </c>
      <c r="D990" s="15" t="n">
        <v>33.8</v>
      </c>
      <c r="E990" s="16" t="n">
        <v>2</v>
      </c>
      <c r="F990" s="16">
        <f>D990*E990</f>
        <v/>
      </c>
    </row>
    <row r="991">
      <c r="A991" s="17" t="inlineStr">
        <is>
          <t>Resource Total (Material + Labour + Machinery, as printed)</t>
        </is>
      </c>
      <c r="B991" s="18" t="n"/>
      <c r="C991" s="18" t="n"/>
      <c r="D991" s="18" t="n"/>
      <c r="E991" s="18" t="n"/>
      <c r="F991" s="19">
        <f>SUM(F985:F990)</f>
        <v/>
      </c>
    </row>
    <row r="992">
      <c r="A992" s="20" t="inlineStr">
        <is>
          <t>SAY (Rs.) — final DAR rate</t>
        </is>
      </c>
      <c r="B992" s="21" t="n"/>
      <c r="C992" s="21" t="n"/>
      <c r="D992" s="21" t="n"/>
      <c r="E992" s="21" t="n"/>
      <c r="F992" s="22" t="n">
        <v>2546.9</v>
      </c>
    </row>
    <row r="994" ht="28" customHeight="1">
      <c r="A994" s="9" t="inlineStr">
        <is>
          <t>9.42</t>
        </is>
      </c>
      <c r="B994" s="10" t="inlineStr">
        <is>
          <t>Providing and fixing 18 mm thick, 150 mm wide pelmet of flat pressed 3 layer or graded wood particle board medium density grade I, IS : 3087</t>
        </is>
      </c>
      <c r="C994" s="11" t="n"/>
      <c r="D994" s="11" t="n"/>
      <c r="E994" s="11" t="n"/>
      <c r="F994" s="11" t="n"/>
    </row>
    <row r="995">
      <c r="A995" s="12" t="inlineStr">
        <is>
          <t>Rate basis: per sqm  (source: cost for 0.255 sqm)</t>
        </is>
      </c>
    </row>
    <row r="996">
      <c r="A996" s="5" t="inlineStr">
        <is>
          <t>Code</t>
        </is>
      </c>
      <c r="B996" s="5" t="inlineStr">
        <is>
          <t>Description</t>
        </is>
      </c>
      <c r="C996" s="5" t="inlineStr">
        <is>
          <t>Unit</t>
        </is>
      </c>
      <c r="D996" s="5" t="inlineStr">
        <is>
          <t>Quantity</t>
        </is>
      </c>
      <c r="E996" s="5" t="inlineStr">
        <is>
          <t>Rate (Rs.)</t>
        </is>
      </c>
      <c r="F996" s="5" t="inlineStr">
        <is>
          <t>Amount (Rs.)</t>
        </is>
      </c>
    </row>
    <row r="997">
      <c r="A997" s="13" t="inlineStr">
        <is>
          <t>7055</t>
        </is>
      </c>
      <c r="B997" s="14" t="inlineStr">
        <is>
          <t>Flat pressed 3 layer and graded particle board (medium density) Grade 1 conforming to IS : 3087 - 18 mm thick</t>
        </is>
      </c>
      <c r="C997" s="13" t="inlineStr">
        <is>
          <t>sqm</t>
        </is>
      </c>
      <c r="D997" s="15" t="n">
        <v>0.32</v>
      </c>
      <c r="E997" s="16" t="n">
        <v>480</v>
      </c>
      <c r="F997" s="16">
        <f>D997*E997</f>
        <v/>
      </c>
    </row>
    <row r="998">
      <c r="A998" s="13" t="inlineStr">
        <is>
          <t>2412</t>
        </is>
      </c>
      <c r="B998" s="14" t="inlineStr">
        <is>
          <t>Ply wood 5 ply with commercial ply on both faces 6 mm thick</t>
        </is>
      </c>
      <c r="C998" s="13" t="inlineStr">
        <is>
          <t>sqm</t>
        </is>
      </c>
      <c r="D998" s="15" t="n">
        <v>0.27</v>
      </c>
      <c r="E998" s="16" t="n">
        <v>300</v>
      </c>
      <c r="F998" s="16">
        <f>D998*E998</f>
        <v/>
      </c>
    </row>
    <row r="999">
      <c r="A999" s="13" t="inlineStr">
        <is>
          <t>7034</t>
        </is>
      </c>
      <c r="B999" s="14" t="inlineStr">
        <is>
          <t>Nickle plated M.S. pipe 20 mm dia.</t>
        </is>
      </c>
      <c r="C999" s="13" t="inlineStr">
        <is>
          <t>metre</t>
        </is>
      </c>
      <c r="D999" s="15" t="n">
        <v>1.65</v>
      </c>
      <c r="E999" s="16" t="n">
        <v>72</v>
      </c>
      <c r="F999" s="16">
        <f>D999*E999</f>
        <v/>
      </c>
    </row>
    <row r="1000">
      <c r="A1000" s="13" t="inlineStr">
        <is>
          <t>7035</t>
        </is>
      </c>
      <c r="B1000" s="14" t="inlineStr">
        <is>
          <t>Nickle plated M.S. Brackets for curtain rod 20 mm</t>
        </is>
      </c>
      <c r="C1000" s="13" t="inlineStr">
        <is>
          <t>each</t>
        </is>
      </c>
      <c r="D1000" s="15" t="n">
        <v>2</v>
      </c>
      <c r="E1000" s="16" t="n">
        <v>7</v>
      </c>
      <c r="F1000" s="16">
        <f>D1000*E1000</f>
        <v/>
      </c>
    </row>
    <row r="1001">
      <c r="A1001" s="13" t="inlineStr">
        <is>
          <t>9977</t>
        </is>
      </c>
      <c r="B1001" s="14" t="inlineStr">
        <is>
          <t>Carriage of material</t>
        </is>
      </c>
      <c r="C1001" s="13" t="inlineStr">
        <is>
          <t>L.S.</t>
        </is>
      </c>
      <c r="D1001" s="15" t="n">
        <v>0.52</v>
      </c>
      <c r="E1001" s="16" t="n">
        <v>2</v>
      </c>
      <c r="F1001" s="16">
        <f>D1001*E1001</f>
        <v/>
      </c>
    </row>
    <row r="1002">
      <c r="A1002" s="13" t="inlineStr">
        <is>
          <t>9999</t>
        </is>
      </c>
      <c r="B1002" s="14" t="inlineStr">
        <is>
          <t>M.S. flat 25x3mm and 10cm long over brackets</t>
        </is>
      </c>
      <c r="C1002" s="13" t="inlineStr">
        <is>
          <t>L.S.</t>
        </is>
      </c>
      <c r="D1002" s="15" t="n">
        <v>8.06</v>
      </c>
      <c r="E1002" s="16" t="n">
        <v>2</v>
      </c>
      <c r="F1002" s="16">
        <f>D1002*E1002</f>
        <v/>
      </c>
    </row>
    <row r="1003">
      <c r="A1003" s="13" t="inlineStr">
        <is>
          <t>7048</t>
        </is>
      </c>
      <c r="B1003" s="14" t="inlineStr">
        <is>
          <t>Rawl plug 50 mm (designation 10 no.)</t>
        </is>
      </c>
      <c r="C1003" s="13" t="inlineStr">
        <is>
          <t>each</t>
        </is>
      </c>
      <c r="D1003" s="15" t="n">
        <v>2</v>
      </c>
      <c r="E1003" s="16" t="n">
        <v>25</v>
      </c>
      <c r="F1003" s="16">
        <f>D1003*E1003</f>
        <v/>
      </c>
    </row>
    <row r="1004">
      <c r="A1004" s="13" t="inlineStr">
        <is>
          <t>0112</t>
        </is>
      </c>
      <c r="B1004" s="14" t="inlineStr">
        <is>
          <t>Carpenter 2nd class</t>
        </is>
      </c>
      <c r="C1004" s="13" t="inlineStr">
        <is>
          <t>day</t>
        </is>
      </c>
      <c r="D1004" s="15" t="n">
        <v>0.18</v>
      </c>
      <c r="E1004" s="16" t="n">
        <v>679</v>
      </c>
      <c r="F1004" s="16">
        <f>D1004*E1004</f>
        <v/>
      </c>
    </row>
    <row r="1005">
      <c r="A1005" s="13" t="inlineStr">
        <is>
          <t>0114</t>
        </is>
      </c>
      <c r="B1005" s="14" t="inlineStr">
        <is>
          <t>Beldar</t>
        </is>
      </c>
      <c r="C1005" s="13" t="inlineStr">
        <is>
          <t>day</t>
        </is>
      </c>
      <c r="D1005" s="15" t="n">
        <v>0.18</v>
      </c>
      <c r="E1005" s="16" t="n">
        <v>558</v>
      </c>
      <c r="F1005" s="16">
        <f>D1005*E1005</f>
        <v/>
      </c>
    </row>
    <row r="1006">
      <c r="A1006" s="13" t="inlineStr">
        <is>
          <t>0130</t>
        </is>
      </c>
      <c r="B1006" s="14" t="inlineStr">
        <is>
          <t>Mistry</t>
        </is>
      </c>
      <c r="C1006" s="13" t="inlineStr">
        <is>
          <t>day</t>
        </is>
      </c>
      <c r="D1006" s="15" t="n">
        <v>0.11</v>
      </c>
      <c r="E1006" s="16" t="n">
        <v>738</v>
      </c>
      <c r="F1006" s="16">
        <f>D1006*E1006</f>
        <v/>
      </c>
    </row>
    <row r="1007">
      <c r="A1007" s="13" t="inlineStr">
        <is>
          <t>9999</t>
        </is>
      </c>
      <c r="B1007" s="14" t="inlineStr">
        <is>
          <t>Sundries</t>
        </is>
      </c>
      <c r="C1007" s="13" t="inlineStr">
        <is>
          <t>L.S.</t>
        </is>
      </c>
      <c r="D1007" s="15" t="n">
        <v>2.73</v>
      </c>
      <c r="E1007" s="16" t="n">
        <v>2</v>
      </c>
      <c r="F1007" s="16">
        <f>D1007*E1007</f>
        <v/>
      </c>
    </row>
    <row r="1008">
      <c r="A1008" s="17" t="inlineStr">
        <is>
          <t>Resource Total (Material + Labour + Machinery, as printed)</t>
        </is>
      </c>
      <c r="B1008" s="18" t="n"/>
      <c r="C1008" s="18" t="n"/>
      <c r="D1008" s="18" t="n"/>
      <c r="E1008" s="18" t="n"/>
      <c r="F1008" s="19">
        <f>SUM(F997:F1007)</f>
        <v/>
      </c>
    </row>
    <row r="1009">
      <c r="A1009" s="20" t="inlineStr">
        <is>
          <t>SAY (Rs.) — final DAR rate</t>
        </is>
      </c>
      <c r="B1009" s="21" t="n"/>
      <c r="C1009" s="21" t="n"/>
      <c r="D1009" s="21" t="n"/>
      <c r="E1009" s="21" t="n"/>
      <c r="F1009" s="22" t="n">
        <v>505.95</v>
      </c>
    </row>
    <row r="1011" ht="28" customHeight="1">
      <c r="A1011" s="9" t="inlineStr">
        <is>
          <t>9.43</t>
        </is>
      </c>
      <c r="B1011" s="10" t="inlineStr">
        <is>
          <t>Providing and fixing 18 mm thick, 150 mm wide pelmet of coir veneer board ISI marked IS : 14842, including top cover of 6 mm coir veneer boa</t>
        </is>
      </c>
      <c r="C1011" s="11" t="n"/>
      <c r="D1011" s="11" t="n"/>
      <c r="E1011" s="11" t="n"/>
      <c r="F1011" s="11" t="n"/>
    </row>
    <row r="1012">
      <c r="A1012" s="12" t="inlineStr">
        <is>
          <t>Rate basis: per sqm  (source: cost for 0.255 sqm)</t>
        </is>
      </c>
    </row>
    <row r="1013">
      <c r="A1013" s="5" t="inlineStr">
        <is>
          <t>Code</t>
        </is>
      </c>
      <c r="B1013" s="5" t="inlineStr">
        <is>
          <t>Description</t>
        </is>
      </c>
      <c r="C1013" s="5" t="inlineStr">
        <is>
          <t>Unit</t>
        </is>
      </c>
      <c r="D1013" s="5" t="inlineStr">
        <is>
          <t>Quantity</t>
        </is>
      </c>
      <c r="E1013" s="5" t="inlineStr">
        <is>
          <t>Rate (Rs.)</t>
        </is>
      </c>
      <c r="F1013" s="5" t="inlineStr">
        <is>
          <t>Amount (Rs.)</t>
        </is>
      </c>
    </row>
    <row r="1014">
      <c r="A1014" s="13" t="inlineStr">
        <is>
          <t>7556</t>
        </is>
      </c>
      <c r="B1014" s="14" t="inlineStr">
        <is>
          <t>Coir veneered board 18mm thick</t>
        </is>
      </c>
      <c r="C1014" s="13" t="inlineStr">
        <is>
          <t>sqm</t>
        </is>
      </c>
      <c r="D1014" s="15" t="n">
        <v>0.32</v>
      </c>
      <c r="E1014" s="16" t="n">
        <v>1000</v>
      </c>
      <c r="F1014" s="16">
        <f>D1014*E1014</f>
        <v/>
      </c>
    </row>
    <row r="1015">
      <c r="A1015" s="13" t="inlineStr">
        <is>
          <t>7553</t>
        </is>
      </c>
      <c r="B1015" s="14" t="inlineStr">
        <is>
          <t>Coir veneered board 6mm thick</t>
        </is>
      </c>
      <c r="C1015" s="13" t="inlineStr">
        <is>
          <t>sqm</t>
        </is>
      </c>
      <c r="D1015" s="15" t="n">
        <v>0.27</v>
      </c>
      <c r="E1015" s="16" t="n">
        <v>385</v>
      </c>
      <c r="F1015" s="16">
        <f>D1015*E1015</f>
        <v/>
      </c>
    </row>
    <row r="1016">
      <c r="A1016" s="13" t="inlineStr">
        <is>
          <t>7034</t>
        </is>
      </c>
      <c r="B1016" s="14" t="inlineStr">
        <is>
          <t>Nickle plated M.S. pipe 20 mm dia.</t>
        </is>
      </c>
      <c r="C1016" s="13" t="inlineStr">
        <is>
          <t>metre</t>
        </is>
      </c>
      <c r="D1016" s="15" t="n">
        <v>1.65</v>
      </c>
      <c r="E1016" s="16" t="n">
        <v>72</v>
      </c>
      <c r="F1016" s="16">
        <f>D1016*E1016</f>
        <v/>
      </c>
    </row>
    <row r="1017">
      <c r="A1017" s="13" t="inlineStr">
        <is>
          <t>7035</t>
        </is>
      </c>
      <c r="B1017" s="14" t="inlineStr">
        <is>
          <t>Nickle plated M.S. Brackets for curtain rod 20 mm</t>
        </is>
      </c>
      <c r="C1017" s="13" t="inlineStr">
        <is>
          <t>each</t>
        </is>
      </c>
      <c r="D1017" s="15" t="n">
        <v>2</v>
      </c>
      <c r="E1017" s="16" t="n">
        <v>7</v>
      </c>
      <c r="F1017" s="16">
        <f>D1017*E1017</f>
        <v/>
      </c>
    </row>
    <row r="1018">
      <c r="A1018" s="13" t="inlineStr">
        <is>
          <t>9977</t>
        </is>
      </c>
      <c r="B1018" s="14" t="inlineStr">
        <is>
          <t>Carriage of material</t>
        </is>
      </c>
      <c r="C1018" s="13" t="inlineStr">
        <is>
          <t>L.S.</t>
        </is>
      </c>
      <c r="D1018" s="15" t="n">
        <v>0.52</v>
      </c>
      <c r="E1018" s="16" t="n">
        <v>2</v>
      </c>
      <c r="F1018" s="16">
        <f>D1018*E1018</f>
        <v/>
      </c>
    </row>
    <row r="1019">
      <c r="A1019" s="13" t="inlineStr">
        <is>
          <t>9999</t>
        </is>
      </c>
      <c r="B1019" s="14" t="inlineStr">
        <is>
          <t>M.S. flat 25x3mm and 10cm long over brackets</t>
        </is>
      </c>
      <c r="C1019" s="13" t="inlineStr">
        <is>
          <t>L.S.</t>
        </is>
      </c>
      <c r="D1019" s="15" t="n">
        <v>8.06</v>
      </c>
      <c r="E1019" s="16" t="n">
        <v>2</v>
      </c>
      <c r="F1019" s="16">
        <f>D1019*E1019</f>
        <v/>
      </c>
    </row>
    <row r="1020">
      <c r="A1020" s="13" t="inlineStr">
        <is>
          <t>7048</t>
        </is>
      </c>
      <c r="B1020" s="14" t="inlineStr">
        <is>
          <t>Rawl plug 50 mm (designation 10 no.)</t>
        </is>
      </c>
      <c r="C1020" s="13" t="inlineStr">
        <is>
          <t>each</t>
        </is>
      </c>
      <c r="D1020" s="15" t="n">
        <v>2</v>
      </c>
      <c r="E1020" s="16" t="n">
        <v>25</v>
      </c>
      <c r="F1020" s="16">
        <f>D1020*E1020</f>
        <v/>
      </c>
    </row>
    <row r="1021">
      <c r="A1021" s="13" t="inlineStr">
        <is>
          <t>0112</t>
        </is>
      </c>
      <c r="B1021" s="14" t="inlineStr">
        <is>
          <t>Carpenter 2nd class</t>
        </is>
      </c>
      <c r="C1021" s="13" t="inlineStr">
        <is>
          <t>day</t>
        </is>
      </c>
      <c r="D1021" s="15" t="n">
        <v>0.18</v>
      </c>
      <c r="E1021" s="16" t="n">
        <v>679</v>
      </c>
      <c r="F1021" s="16">
        <f>D1021*E1021</f>
        <v/>
      </c>
    </row>
    <row r="1022">
      <c r="A1022" s="13" t="inlineStr">
        <is>
          <t>0114</t>
        </is>
      </c>
      <c r="B1022" s="14" t="inlineStr">
        <is>
          <t>Beldar</t>
        </is>
      </c>
      <c r="C1022" s="13" t="inlineStr">
        <is>
          <t>day</t>
        </is>
      </c>
      <c r="D1022" s="15" t="n">
        <v>0.18</v>
      </c>
      <c r="E1022" s="16" t="n">
        <v>558</v>
      </c>
      <c r="F1022" s="16">
        <f>D1022*E1022</f>
        <v/>
      </c>
    </row>
    <row r="1023">
      <c r="A1023" s="13" t="inlineStr">
        <is>
          <t>0130</t>
        </is>
      </c>
      <c r="B1023" s="14" t="inlineStr">
        <is>
          <t>Mistry</t>
        </is>
      </c>
      <c r="C1023" s="13" t="inlineStr">
        <is>
          <t>day</t>
        </is>
      </c>
      <c r="D1023" s="15" t="n">
        <v>0.11</v>
      </c>
      <c r="E1023" s="16" t="n">
        <v>738</v>
      </c>
      <c r="F1023" s="16">
        <f>D1023*E1023</f>
        <v/>
      </c>
    </row>
    <row r="1024">
      <c r="A1024" s="13" t="inlineStr">
        <is>
          <t>9999</t>
        </is>
      </c>
      <c r="B1024" s="14" t="inlineStr">
        <is>
          <t>Sundries</t>
        </is>
      </c>
      <c r="C1024" s="13" t="inlineStr">
        <is>
          <t>L.S.</t>
        </is>
      </c>
      <c r="D1024" s="15" t="n">
        <v>2.73</v>
      </c>
      <c r="E1024" s="16" t="n">
        <v>2</v>
      </c>
      <c r="F1024" s="16">
        <f>D1024*E1024</f>
        <v/>
      </c>
    </row>
    <row r="1025">
      <c r="A1025" s="17" t="inlineStr">
        <is>
          <t>Resource Total (Material + Labour + Machinery, as printed)</t>
        </is>
      </c>
      <c r="B1025" s="18" t="n"/>
      <c r="C1025" s="18" t="n"/>
      <c r="D1025" s="18" t="n"/>
      <c r="E1025" s="18" t="n"/>
      <c r="F1025" s="19">
        <f>SUM(F1014:F1024)</f>
        <v/>
      </c>
    </row>
    <row r="1026">
      <c r="A1026" s="20" t="inlineStr">
        <is>
          <t>SAY (Rs.) — final DAR rate</t>
        </is>
      </c>
      <c r="B1026" s="21" t="n"/>
      <c r="C1026" s="21" t="n"/>
      <c r="D1026" s="21" t="n"/>
      <c r="E1026" s="21" t="n"/>
      <c r="F1026" s="22" t="n">
        <v>632.65</v>
      </c>
    </row>
    <row r="1028" ht="18" customHeight="1">
      <c r="A1028" s="9" t="inlineStr">
        <is>
          <t>9.44.1</t>
        </is>
      </c>
      <c r="B1028" s="10" t="inlineStr">
        <is>
          <t>Non decorative veneer on both sides</t>
        </is>
      </c>
      <c r="C1028" s="11" t="n"/>
      <c r="D1028" s="11" t="n"/>
      <c r="E1028" s="11" t="n"/>
      <c r="F1028" s="11" t="n"/>
    </row>
    <row r="1029">
      <c r="A1029" s="12" t="inlineStr">
        <is>
          <t>Rate basis: per sqm  (source: cost for 0.255 sqm)</t>
        </is>
      </c>
    </row>
    <row r="1030">
      <c r="A1030" s="5" t="inlineStr">
        <is>
          <t>Code</t>
        </is>
      </c>
      <c r="B1030" s="5" t="inlineStr">
        <is>
          <t>Description</t>
        </is>
      </c>
      <c r="C1030" s="5" t="inlineStr">
        <is>
          <t>Unit</t>
        </is>
      </c>
      <c r="D1030" s="5" t="inlineStr">
        <is>
          <t>Quantity</t>
        </is>
      </c>
      <c r="E1030" s="5" t="inlineStr">
        <is>
          <t>Rate (Rs.)</t>
        </is>
      </c>
      <c r="F1030" s="5" t="inlineStr">
        <is>
          <t>Amount (Rs.)</t>
        </is>
      </c>
    </row>
    <row r="1031">
      <c r="A1031" s="13" t="inlineStr">
        <is>
          <t>0347</t>
        </is>
      </c>
      <c r="B1031" s="14" t="inlineStr">
        <is>
          <t>Extra for veneered particle board with Commercial veneering on both sides</t>
        </is>
      </c>
      <c r="C1031" s="13" t="inlineStr">
        <is>
          <t>sqm</t>
        </is>
      </c>
      <c r="D1031" s="15" t="n">
        <v>0.32</v>
      </c>
      <c r="E1031" s="16" t="n">
        <v>155</v>
      </c>
      <c r="F1031" s="16">
        <f>D1031*E1031</f>
        <v/>
      </c>
    </row>
    <row r="1032">
      <c r="A1032" s="17" t="inlineStr">
        <is>
          <t>Resource Total (Material + Labour + Machinery, as printed)</t>
        </is>
      </c>
      <c r="B1032" s="18" t="n"/>
      <c r="C1032" s="18" t="n"/>
      <c r="D1032" s="18" t="n"/>
      <c r="E1032" s="18" t="n"/>
      <c r="F1032" s="19">
        <f>SUM(F1031:F1031)</f>
        <v/>
      </c>
    </row>
    <row r="1033">
      <c r="A1033" s="20" t="inlineStr">
        <is>
          <t>SAY (Rs.) — final DAR rate</t>
        </is>
      </c>
      <c r="B1033" s="21" t="n"/>
      <c r="C1033" s="21" t="n"/>
      <c r="D1033" s="21" t="n"/>
      <c r="E1033" s="21" t="n"/>
      <c r="F1033" s="22" t="n">
        <v>33.2</v>
      </c>
    </row>
    <row r="1035" ht="18" customHeight="1">
      <c r="A1035" s="9" t="inlineStr">
        <is>
          <t>9.44.2</t>
        </is>
      </c>
      <c r="B1035" s="10" t="inlineStr">
        <is>
          <t>Particle board with decorative veneering on both sides</t>
        </is>
      </c>
      <c r="C1035" s="11" t="n"/>
      <c r="D1035" s="11" t="n"/>
      <c r="E1035" s="11" t="n"/>
      <c r="F1035" s="11" t="n"/>
    </row>
    <row r="1036">
      <c r="A1036" s="12" t="inlineStr">
        <is>
          <t>Rate basis: per sqm  (source: cost for 0.255 sqm)</t>
        </is>
      </c>
    </row>
    <row r="1037">
      <c r="A1037" s="5" t="inlineStr">
        <is>
          <t>Code</t>
        </is>
      </c>
      <c r="B1037" s="5" t="inlineStr">
        <is>
          <t>Description</t>
        </is>
      </c>
      <c r="C1037" s="5" t="inlineStr">
        <is>
          <t>Unit</t>
        </is>
      </c>
      <c r="D1037" s="5" t="inlineStr">
        <is>
          <t>Quantity</t>
        </is>
      </c>
      <c r="E1037" s="5" t="inlineStr">
        <is>
          <t>Rate (Rs.)</t>
        </is>
      </c>
      <c r="F1037" s="5" t="inlineStr">
        <is>
          <t>Amount (Rs.)</t>
        </is>
      </c>
    </row>
    <row r="1038">
      <c r="A1038" s="13" t="inlineStr">
        <is>
          <t>0348</t>
        </is>
      </c>
      <c r="B1038" s="14" t="inlineStr">
        <is>
          <t>Extra for veneered particle board with Teak veneering on both sides</t>
        </is>
      </c>
      <c r="C1038" s="13" t="inlineStr">
        <is>
          <t>sqm</t>
        </is>
      </c>
      <c r="D1038" s="15" t="n">
        <v>0.32</v>
      </c>
      <c r="E1038" s="16" t="n">
        <v>500</v>
      </c>
      <c r="F1038" s="16">
        <f>D1038*E1038</f>
        <v/>
      </c>
    </row>
    <row r="1039">
      <c r="A1039" s="17" t="inlineStr">
        <is>
          <t>Resource Total (Material + Labour + Machinery, as printed)</t>
        </is>
      </c>
      <c r="B1039" s="18" t="n"/>
      <c r="C1039" s="18" t="n"/>
      <c r="D1039" s="18" t="n"/>
      <c r="E1039" s="18" t="n"/>
      <c r="F1039" s="19">
        <f>SUM(F1038:F1038)</f>
        <v/>
      </c>
    </row>
    <row r="1040">
      <c r="A1040" s="20" t="inlineStr">
        <is>
          <t>SAY (Rs.) — final DAR rate</t>
        </is>
      </c>
      <c r="B1040" s="21" t="n"/>
      <c r="C1040" s="21" t="n"/>
      <c r="D1040" s="21" t="n"/>
      <c r="E1040" s="21" t="n"/>
      <c r="F1040" s="22" t="n">
        <v>107.05</v>
      </c>
    </row>
    <row r="1042" ht="18" customHeight="1">
      <c r="A1042" s="9" t="inlineStr">
        <is>
          <t>9.45</t>
        </is>
      </c>
      <c r="B1042" s="10" t="inlineStr">
        <is>
          <t>Providing and fixing teak wood lipping of size 25x3 mm in pelmet.</t>
        </is>
      </c>
      <c r="C1042" s="11" t="n"/>
      <c r="D1042" s="11" t="n"/>
      <c r="E1042" s="11" t="n"/>
      <c r="F1042" s="11" t="n"/>
    </row>
    <row r="1043">
      <c r="A1043" s="12" t="inlineStr">
        <is>
          <t>Rate basis: per metre  (source: cost for 10 metre)</t>
        </is>
      </c>
    </row>
    <row r="1044">
      <c r="A1044" s="5" t="inlineStr">
        <is>
          <t>Code</t>
        </is>
      </c>
      <c r="B1044" s="5" t="inlineStr">
        <is>
          <t>Description</t>
        </is>
      </c>
      <c r="C1044" s="5" t="inlineStr">
        <is>
          <t>Unit</t>
        </is>
      </c>
      <c r="D1044" s="5" t="inlineStr">
        <is>
          <t>Quantity</t>
        </is>
      </c>
      <c r="E1044" s="5" t="inlineStr">
        <is>
          <t>Rate (Rs.)</t>
        </is>
      </c>
      <c r="F1044" s="5" t="inlineStr">
        <is>
          <t>Amount (Rs.)</t>
        </is>
      </c>
    </row>
    <row r="1045">
      <c r="A1045" s="13" t="inlineStr">
        <is>
          <t>7049</t>
        </is>
      </c>
      <c r="B1045" s="14" t="inlineStr">
        <is>
          <t>Teak wood lipping of size 25x3 mm in pelmets</t>
        </is>
      </c>
      <c r="C1045" s="13" t="inlineStr">
        <is>
          <t>metre</t>
        </is>
      </c>
      <c r="D1045" s="15" t="n">
        <v>10</v>
      </c>
      <c r="E1045" s="16" t="n">
        <v>14</v>
      </c>
      <c r="F1045" s="16">
        <f>D1045*E1045</f>
        <v/>
      </c>
    </row>
    <row r="1046">
      <c r="A1046" s="13" t="inlineStr">
        <is>
          <t>0112</t>
        </is>
      </c>
      <c r="B1046" s="14" t="inlineStr">
        <is>
          <t>Carpenter 2nd class</t>
        </is>
      </c>
      <c r="C1046" s="13" t="inlineStr">
        <is>
          <t>day</t>
        </is>
      </c>
      <c r="D1046" s="15" t="n">
        <v>0.25</v>
      </c>
      <c r="E1046" s="16" t="n">
        <v>679</v>
      </c>
      <c r="F1046" s="16">
        <f>D1046*E1046</f>
        <v/>
      </c>
    </row>
    <row r="1047">
      <c r="A1047" s="13" t="inlineStr">
        <is>
          <t>0114</t>
        </is>
      </c>
      <c r="B1047" s="14" t="inlineStr">
        <is>
          <t>Beldar</t>
        </is>
      </c>
      <c r="C1047" s="13" t="inlineStr">
        <is>
          <t>day</t>
        </is>
      </c>
      <c r="D1047" s="15" t="n">
        <v>0.25</v>
      </c>
      <c r="E1047" s="16" t="n">
        <v>558</v>
      </c>
      <c r="F1047" s="16">
        <f>D1047*E1047</f>
        <v/>
      </c>
    </row>
    <row r="1048">
      <c r="A1048" s="17" t="inlineStr">
        <is>
          <t>Resource Total (Material + Labour + Machinery, as printed)</t>
        </is>
      </c>
      <c r="B1048" s="18" t="n"/>
      <c r="C1048" s="18" t="n"/>
      <c r="D1048" s="18" t="n"/>
      <c r="E1048" s="18" t="n"/>
      <c r="F1048" s="19">
        <f>SUM(F1045:F1047)</f>
        <v/>
      </c>
    </row>
    <row r="1049">
      <c r="A1049" s="20" t="inlineStr">
        <is>
          <t>SAY (Rs.) — final DAR rate</t>
        </is>
      </c>
      <c r="B1049" s="21" t="n"/>
      <c r="C1049" s="21" t="n"/>
      <c r="D1049" s="21" t="n"/>
      <c r="E1049" s="21" t="n"/>
      <c r="F1049" s="22" t="n">
        <v>60.1</v>
      </c>
    </row>
    <row r="1051" ht="18" customHeight="1">
      <c r="A1051" s="9" t="inlineStr">
        <is>
          <t>9.46.1</t>
        </is>
      </c>
      <c r="B1051" s="10" t="inlineStr">
        <is>
          <t>12 mm dia</t>
        </is>
      </c>
      <c r="C1051" s="11" t="n"/>
      <c r="D1051" s="11" t="n"/>
      <c r="E1051" s="11" t="n"/>
      <c r="F1051" s="11" t="n"/>
    </row>
    <row r="1052">
      <c r="A1052" s="12" t="inlineStr">
        <is>
          <t>Rate basis: per m  (source: cost for 2 m)</t>
        </is>
      </c>
    </row>
    <row r="1053">
      <c r="A1053" s="5" t="inlineStr">
        <is>
          <t>Code</t>
        </is>
      </c>
      <c r="B1053" s="5" t="inlineStr">
        <is>
          <t>Description</t>
        </is>
      </c>
      <c r="C1053" s="5" t="inlineStr">
        <is>
          <t>Unit</t>
        </is>
      </c>
      <c r="D1053" s="5" t="inlineStr">
        <is>
          <t>Quantity</t>
        </is>
      </c>
      <c r="E1053" s="5" t="inlineStr">
        <is>
          <t>Rate (Rs.)</t>
        </is>
      </c>
      <c r="F1053" s="5" t="inlineStr">
        <is>
          <t>Amount (Rs.)</t>
        </is>
      </c>
    </row>
    <row r="1054">
      <c r="A1054" s="13" t="inlineStr">
        <is>
          <t>0590</t>
        </is>
      </c>
      <c r="B1054" s="14" t="inlineStr">
        <is>
          <t>Chromium plated Brass curtain rod 12 mm dia 1.25mm thick</t>
        </is>
      </c>
      <c r="C1054" s="13" t="inlineStr">
        <is>
          <t>metre</t>
        </is>
      </c>
      <c r="D1054" s="15" t="n">
        <v>2</v>
      </c>
      <c r="E1054" s="16" t="n">
        <v>185</v>
      </c>
      <c r="F1054" s="16">
        <f>D1054*E1054</f>
        <v/>
      </c>
    </row>
    <row r="1055">
      <c r="A1055" s="13" t="inlineStr">
        <is>
          <t>7023</t>
        </is>
      </c>
      <c r="B1055" s="14" t="inlineStr">
        <is>
          <t>Chromium plated brackets ( curtain rods)</t>
        </is>
      </c>
      <c r="C1055" s="13" t="inlineStr">
        <is>
          <t>each</t>
        </is>
      </c>
      <c r="D1055" s="15" t="n">
        <v>2</v>
      </c>
      <c r="E1055" s="16" t="n">
        <v>7</v>
      </c>
      <c r="F1055" s="16">
        <f>D1055*E1055</f>
        <v/>
      </c>
    </row>
    <row r="1056">
      <c r="A1056" s="13" t="inlineStr">
        <is>
          <t>9999</t>
        </is>
      </c>
      <c r="B1056" s="14" t="inlineStr">
        <is>
          <t>C.P. brass screws</t>
        </is>
      </c>
      <c r="C1056" s="13" t="inlineStr">
        <is>
          <t>L.S.</t>
        </is>
      </c>
      <c r="D1056" s="15" t="n">
        <v>4.03</v>
      </c>
      <c r="E1056" s="16" t="n">
        <v>2</v>
      </c>
      <c r="F1056" s="16">
        <f>D1056*E1056</f>
        <v/>
      </c>
    </row>
    <row r="1057">
      <c r="A1057" s="13" t="inlineStr">
        <is>
          <t>9977</t>
        </is>
      </c>
      <c r="B1057" s="14" t="inlineStr">
        <is>
          <t>CARRIAGE</t>
        </is>
      </c>
      <c r="C1057" s="13" t="inlineStr">
        <is>
          <t>L.S.</t>
        </is>
      </c>
      <c r="D1057" s="15" t="n">
        <v>1.56</v>
      </c>
      <c r="E1057" s="16" t="n">
        <v>2</v>
      </c>
      <c r="F1057" s="16">
        <f>D1057*E1057</f>
        <v/>
      </c>
    </row>
    <row r="1058">
      <c r="A1058" s="13" t="inlineStr">
        <is>
          <t>0458</t>
        </is>
      </c>
      <c r="B1058" s="14" t="inlineStr">
        <is>
          <t>PVC cleeves for screws</t>
        </is>
      </c>
      <c r="C1058" s="13" t="inlineStr">
        <is>
          <t>each</t>
        </is>
      </c>
      <c r="D1058" s="15" t="n">
        <v>2</v>
      </c>
      <c r="E1058" s="16" t="n">
        <v>2</v>
      </c>
      <c r="F1058" s="16">
        <f>D1058*E1058</f>
        <v/>
      </c>
    </row>
    <row r="1059">
      <c r="A1059" s="13" t="inlineStr">
        <is>
          <t>9999</t>
        </is>
      </c>
      <c r="B1059" s="14" t="inlineStr">
        <is>
          <t>LABOUR</t>
        </is>
      </c>
      <c r="C1059" s="13" t="inlineStr">
        <is>
          <t>L.S.</t>
        </is>
      </c>
      <c r="D1059" s="15" t="n">
        <v>2.73</v>
      </c>
      <c r="E1059" s="16" t="n">
        <v>2</v>
      </c>
      <c r="F1059" s="16">
        <f>D1059*E1059</f>
        <v/>
      </c>
    </row>
    <row r="1060">
      <c r="A1060" s="13" t="inlineStr">
        <is>
          <t>9999</t>
        </is>
      </c>
      <c r="B1060" s="14" t="inlineStr">
        <is>
          <t>Sundries</t>
        </is>
      </c>
      <c r="C1060" s="13" t="inlineStr">
        <is>
          <t>L.S.</t>
        </is>
      </c>
      <c r="D1060" s="15" t="n">
        <v>1.56</v>
      </c>
      <c r="E1060" s="16" t="n">
        <v>2</v>
      </c>
      <c r="F1060" s="16">
        <f>D1060*E1060</f>
        <v/>
      </c>
    </row>
    <row r="1061">
      <c r="A1061" s="17" t="inlineStr">
        <is>
          <t>Resource Total (Material + Labour + Machinery, as printed)</t>
        </is>
      </c>
      <c r="B1061" s="18" t="n"/>
      <c r="C1061" s="18" t="n"/>
      <c r="D1061" s="18" t="n"/>
      <c r="E1061" s="18" t="n"/>
      <c r="F1061" s="19">
        <f>SUM(F1054:F1060)</f>
        <v/>
      </c>
    </row>
    <row r="1062">
      <c r="A1062" s="20" t="inlineStr">
        <is>
          <t>SAY (Rs.) — final DAR rate</t>
        </is>
      </c>
      <c r="B1062" s="21" t="n"/>
      <c r="C1062" s="21" t="n"/>
      <c r="D1062" s="21" t="n"/>
      <c r="E1062" s="21" t="n"/>
      <c r="F1062" s="22" t="n">
        <v>272.8</v>
      </c>
    </row>
    <row r="1064" ht="18" customHeight="1">
      <c r="A1064" s="9" t="inlineStr">
        <is>
          <t>9.46.2</t>
        </is>
      </c>
      <c r="B1064" s="10" t="inlineStr">
        <is>
          <t>20 mm dia</t>
        </is>
      </c>
      <c r="C1064" s="11" t="n"/>
      <c r="D1064" s="11" t="n"/>
      <c r="E1064" s="11" t="n"/>
      <c r="F1064" s="11" t="n"/>
    </row>
    <row r="1065">
      <c r="A1065" s="12" t="inlineStr">
        <is>
          <t>Rate basis: per m  (source: cost for 2 m)</t>
        </is>
      </c>
    </row>
    <row r="1066">
      <c r="A1066" s="5" t="inlineStr">
        <is>
          <t>Code</t>
        </is>
      </c>
      <c r="B1066" s="5" t="inlineStr">
        <is>
          <t>Description</t>
        </is>
      </c>
      <c r="C1066" s="5" t="inlineStr">
        <is>
          <t>Unit</t>
        </is>
      </c>
      <c r="D1066" s="5" t="inlineStr">
        <is>
          <t>Quantity</t>
        </is>
      </c>
      <c r="E1066" s="5" t="inlineStr">
        <is>
          <t>Rate (Rs.)</t>
        </is>
      </c>
      <c r="F1066" s="5" t="inlineStr">
        <is>
          <t>Amount (Rs.)</t>
        </is>
      </c>
    </row>
    <row r="1067">
      <c r="A1067" s="13" t="inlineStr">
        <is>
          <t>0591</t>
        </is>
      </c>
      <c r="B1067" s="14" t="inlineStr">
        <is>
          <t>Chromium plated Brass curtain rod 20 mm dia 1.25mm thick</t>
        </is>
      </c>
      <c r="C1067" s="13" t="inlineStr">
        <is>
          <t>metre</t>
        </is>
      </c>
      <c r="D1067" s="15" t="n">
        <v>2</v>
      </c>
      <c r="E1067" s="16" t="n">
        <v>260</v>
      </c>
      <c r="F1067" s="16">
        <f>D1067*E1067</f>
        <v/>
      </c>
    </row>
    <row r="1068">
      <c r="A1068" s="13" t="inlineStr">
        <is>
          <t>7023</t>
        </is>
      </c>
      <c r="B1068" s="14" t="inlineStr">
        <is>
          <t>Chromium plated brackets ( curtain rods)</t>
        </is>
      </c>
      <c r="C1068" s="13" t="inlineStr">
        <is>
          <t>each</t>
        </is>
      </c>
      <c r="D1068" s="15" t="n">
        <v>2</v>
      </c>
      <c r="E1068" s="16" t="n">
        <v>7</v>
      </c>
      <c r="F1068" s="16">
        <f>D1068*E1068</f>
        <v/>
      </c>
    </row>
    <row r="1069">
      <c r="A1069" s="13" t="inlineStr">
        <is>
          <t>9999</t>
        </is>
      </c>
      <c r="B1069" s="14" t="inlineStr">
        <is>
          <t>C.P. brass screws</t>
        </is>
      </c>
      <c r="C1069" s="13" t="inlineStr">
        <is>
          <t>L.S.</t>
        </is>
      </c>
      <c r="D1069" s="15" t="n">
        <v>4.03</v>
      </c>
      <c r="E1069" s="16" t="n">
        <v>2</v>
      </c>
      <c r="F1069" s="16">
        <f>D1069*E1069</f>
        <v/>
      </c>
    </row>
    <row r="1070">
      <c r="A1070" s="13" t="inlineStr">
        <is>
          <t>9977</t>
        </is>
      </c>
      <c r="B1070" s="14" t="inlineStr">
        <is>
          <t>CARRIAGE</t>
        </is>
      </c>
      <c r="C1070" s="13" t="inlineStr">
        <is>
          <t>L.S.</t>
        </is>
      </c>
      <c r="D1070" s="15" t="n">
        <v>1.56</v>
      </c>
      <c r="E1070" s="16" t="n">
        <v>2</v>
      </c>
      <c r="F1070" s="16">
        <f>D1070*E1070</f>
        <v/>
      </c>
    </row>
    <row r="1071">
      <c r="A1071" s="13" t="inlineStr">
        <is>
          <t>0458</t>
        </is>
      </c>
      <c r="B1071" s="14" t="inlineStr">
        <is>
          <t>PVC cleeves for screws</t>
        </is>
      </c>
      <c r="C1071" s="13" t="inlineStr">
        <is>
          <t>each</t>
        </is>
      </c>
      <c r="D1071" s="15" t="n">
        <v>2</v>
      </c>
      <c r="E1071" s="16" t="n">
        <v>2</v>
      </c>
      <c r="F1071" s="16">
        <f>D1071*E1071</f>
        <v/>
      </c>
    </row>
    <row r="1072">
      <c r="A1072" s="13" t="inlineStr">
        <is>
          <t>9999</t>
        </is>
      </c>
      <c r="B1072" s="14" t="inlineStr">
        <is>
          <t>LABOUR</t>
        </is>
      </c>
      <c r="C1072" s="13" t="inlineStr">
        <is>
          <t>L.S.</t>
        </is>
      </c>
      <c r="D1072" s="15" t="n">
        <v>2.73</v>
      </c>
      <c r="E1072" s="16" t="n">
        <v>2</v>
      </c>
      <c r="F1072" s="16">
        <f>D1072*E1072</f>
        <v/>
      </c>
    </row>
    <row r="1073">
      <c r="A1073" s="13" t="inlineStr">
        <is>
          <t>9999</t>
        </is>
      </c>
      <c r="B1073" s="14" t="inlineStr">
        <is>
          <t>Sundries</t>
        </is>
      </c>
      <c r="C1073" s="13" t="inlineStr">
        <is>
          <t>L.S.</t>
        </is>
      </c>
      <c r="D1073" s="15" t="n">
        <v>1.56</v>
      </c>
      <c r="E1073" s="16" t="n">
        <v>2</v>
      </c>
      <c r="F1073" s="16">
        <f>D1073*E1073</f>
        <v/>
      </c>
    </row>
    <row r="1074">
      <c r="A1074" s="17" t="inlineStr">
        <is>
          <t>Resource Total (Material + Labour + Machinery, as printed)</t>
        </is>
      </c>
      <c r="B1074" s="18" t="n"/>
      <c r="C1074" s="18" t="n"/>
      <c r="D1074" s="18" t="n"/>
      <c r="E1074" s="18" t="n"/>
      <c r="F1074" s="19">
        <f>SUM(F1067:F1073)</f>
        <v/>
      </c>
    </row>
    <row r="1075">
      <c r="A1075" s="20" t="inlineStr">
        <is>
          <t>SAY (Rs.) — final DAR rate</t>
        </is>
      </c>
      <c r="B1075" s="21" t="n"/>
      <c r="C1075" s="21" t="n"/>
      <c r="D1075" s="21" t="n"/>
      <c r="E1075" s="21" t="n"/>
      <c r="F1075" s="22" t="n">
        <v>373.15</v>
      </c>
    </row>
    <row r="1077" ht="18" customHeight="1">
      <c r="A1077" s="9" t="inlineStr">
        <is>
          <t>9.46.3</t>
        </is>
      </c>
      <c r="B1077" s="10" t="inlineStr">
        <is>
          <t>25 mm dia</t>
        </is>
      </c>
      <c r="C1077" s="11" t="n"/>
      <c r="D1077" s="11" t="n"/>
      <c r="E1077" s="11" t="n"/>
      <c r="F1077" s="11" t="n"/>
    </row>
    <row r="1078">
      <c r="A1078" s="12" t="inlineStr">
        <is>
          <t>Rate basis: per m  (source: cost for 2 m)</t>
        </is>
      </c>
    </row>
    <row r="1079">
      <c r="A1079" s="5" t="inlineStr">
        <is>
          <t>Code</t>
        </is>
      </c>
      <c r="B1079" s="5" t="inlineStr">
        <is>
          <t>Description</t>
        </is>
      </c>
      <c r="C1079" s="5" t="inlineStr">
        <is>
          <t>Unit</t>
        </is>
      </c>
      <c r="D1079" s="5" t="inlineStr">
        <is>
          <t>Quantity</t>
        </is>
      </c>
      <c r="E1079" s="5" t="inlineStr">
        <is>
          <t>Rate (Rs.)</t>
        </is>
      </c>
      <c r="F1079" s="5" t="inlineStr">
        <is>
          <t>Amount (Rs.)</t>
        </is>
      </c>
    </row>
    <row r="1080">
      <c r="A1080" s="13" t="inlineStr">
        <is>
          <t>0592</t>
        </is>
      </c>
      <c r="B1080" s="14" t="inlineStr">
        <is>
          <t>Chromium plated Brass curtain rod 25 mm dia 1.25mm thick</t>
        </is>
      </c>
      <c r="C1080" s="13" t="inlineStr">
        <is>
          <t>metre</t>
        </is>
      </c>
      <c r="D1080" s="15" t="n">
        <v>2</v>
      </c>
      <c r="E1080" s="16" t="n">
        <v>340</v>
      </c>
      <c r="F1080" s="16">
        <f>D1080*E1080</f>
        <v/>
      </c>
    </row>
    <row r="1081">
      <c r="A1081" s="13" t="inlineStr">
        <is>
          <t>7023</t>
        </is>
      </c>
      <c r="B1081" s="14" t="inlineStr">
        <is>
          <t>Chromium plated brackets ( curtain rods)</t>
        </is>
      </c>
      <c r="C1081" s="13" t="inlineStr">
        <is>
          <t>each</t>
        </is>
      </c>
      <c r="D1081" s="15" t="n">
        <v>2</v>
      </c>
      <c r="E1081" s="16" t="n">
        <v>7</v>
      </c>
      <c r="F1081" s="16">
        <f>D1081*E1081</f>
        <v/>
      </c>
    </row>
    <row r="1082">
      <c r="A1082" s="13" t="inlineStr">
        <is>
          <t>9999</t>
        </is>
      </c>
      <c r="B1082" s="14" t="inlineStr">
        <is>
          <t>C.P. brass screws</t>
        </is>
      </c>
      <c r="C1082" s="13" t="inlineStr">
        <is>
          <t>L.S.</t>
        </is>
      </c>
      <c r="D1082" s="15" t="n">
        <v>4.03</v>
      </c>
      <c r="E1082" s="16" t="n">
        <v>2</v>
      </c>
      <c r="F1082" s="16">
        <f>D1082*E1082</f>
        <v/>
      </c>
    </row>
    <row r="1083">
      <c r="A1083" s="13" t="inlineStr">
        <is>
          <t>9977</t>
        </is>
      </c>
      <c r="B1083" s="14" t="inlineStr">
        <is>
          <t>CARRIAGE</t>
        </is>
      </c>
      <c r="C1083" s="13" t="inlineStr">
        <is>
          <t>L.S.</t>
        </is>
      </c>
      <c r="D1083" s="15" t="n">
        <v>1.56</v>
      </c>
      <c r="E1083" s="16" t="n">
        <v>2</v>
      </c>
      <c r="F1083" s="16">
        <f>D1083*E1083</f>
        <v/>
      </c>
    </row>
    <row r="1084">
      <c r="A1084" s="13" t="inlineStr">
        <is>
          <t>0458</t>
        </is>
      </c>
      <c r="B1084" s="14" t="inlineStr">
        <is>
          <t>PVC cleeves for screws</t>
        </is>
      </c>
      <c r="C1084" s="13" t="inlineStr">
        <is>
          <t>each</t>
        </is>
      </c>
      <c r="D1084" s="15" t="n">
        <v>2</v>
      </c>
      <c r="E1084" s="16" t="n">
        <v>2</v>
      </c>
      <c r="F1084" s="16">
        <f>D1084*E1084</f>
        <v/>
      </c>
    </row>
    <row r="1085">
      <c r="A1085" s="13" t="inlineStr">
        <is>
          <t>9999</t>
        </is>
      </c>
      <c r="B1085" s="14" t="inlineStr">
        <is>
          <t>LABOUR</t>
        </is>
      </c>
      <c r="C1085" s="13" t="inlineStr">
        <is>
          <t>L.S.</t>
        </is>
      </c>
      <c r="D1085" s="15" t="n">
        <v>2.73</v>
      </c>
      <c r="E1085" s="16" t="n">
        <v>2</v>
      </c>
      <c r="F1085" s="16">
        <f>D1085*E1085</f>
        <v/>
      </c>
    </row>
    <row r="1086">
      <c r="A1086" s="13" t="inlineStr">
        <is>
          <t>9999</t>
        </is>
      </c>
      <c r="B1086" s="14" t="inlineStr">
        <is>
          <t>Sundries</t>
        </is>
      </c>
      <c r="C1086" s="13" t="inlineStr">
        <is>
          <t>L.S.</t>
        </is>
      </c>
      <c r="D1086" s="15" t="n">
        <v>1.56</v>
      </c>
      <c r="E1086" s="16" t="n">
        <v>2</v>
      </c>
      <c r="F1086" s="16">
        <f>D1086*E1086</f>
        <v/>
      </c>
    </row>
    <row r="1087">
      <c r="A1087" s="17" t="inlineStr">
        <is>
          <t>Resource Total (Material + Labour + Machinery, as printed)</t>
        </is>
      </c>
      <c r="B1087" s="18" t="n"/>
      <c r="C1087" s="18" t="n"/>
      <c r="D1087" s="18" t="n"/>
      <c r="E1087" s="18" t="n"/>
      <c r="F1087" s="19">
        <f>SUM(F1080:F1086)</f>
        <v/>
      </c>
    </row>
    <row r="1088">
      <c r="A1088" s="20" t="inlineStr">
        <is>
          <t>SAY (Rs.) — final DAR rate</t>
        </is>
      </c>
      <c r="B1088" s="21" t="n"/>
      <c r="C1088" s="21" t="n"/>
      <c r="D1088" s="21" t="n"/>
      <c r="E1088" s="21" t="n"/>
      <c r="F1088" s="22" t="n">
        <v>480.15</v>
      </c>
    </row>
    <row r="1090" ht="18" customHeight="1">
      <c r="A1090" s="9" t="inlineStr">
        <is>
          <t>9.47.1</t>
        </is>
      </c>
      <c r="B1090" s="10" t="inlineStr">
        <is>
          <t>20 mm dia (heavy type)</t>
        </is>
      </c>
      <c r="C1090" s="11" t="n"/>
      <c r="D1090" s="11" t="n"/>
      <c r="E1090" s="11" t="n"/>
      <c r="F1090" s="11" t="n"/>
    </row>
    <row r="1091">
      <c r="A1091" s="12" t="inlineStr">
        <is>
          <t>Rate basis: per m  (source: cost for 2 m)</t>
        </is>
      </c>
    </row>
    <row r="1092">
      <c r="A1092" s="5" t="inlineStr">
        <is>
          <t>Code</t>
        </is>
      </c>
      <c r="B1092" s="5" t="inlineStr">
        <is>
          <t>Description</t>
        </is>
      </c>
      <c r="C1092" s="5" t="inlineStr">
        <is>
          <t>Unit</t>
        </is>
      </c>
      <c r="D1092" s="5" t="inlineStr">
        <is>
          <t>Quantity</t>
        </is>
      </c>
      <c r="E1092" s="5" t="inlineStr">
        <is>
          <t>Rate (Rs.)</t>
        </is>
      </c>
      <c r="F1092" s="5" t="inlineStr">
        <is>
          <t>Amount (Rs.)</t>
        </is>
      </c>
    </row>
    <row r="1093">
      <c r="A1093" s="13" t="inlineStr">
        <is>
          <t>7034</t>
        </is>
      </c>
      <c r="B1093" s="14" t="inlineStr">
        <is>
          <t>Nickle plated M.S. pipe 20 mm dia.</t>
        </is>
      </c>
      <c r="C1093" s="13" t="inlineStr">
        <is>
          <t>metre</t>
        </is>
      </c>
      <c r="D1093" s="15" t="n">
        <v>2</v>
      </c>
      <c r="E1093" s="16" t="n">
        <v>72</v>
      </c>
      <c r="F1093" s="16">
        <f>D1093*E1093</f>
        <v/>
      </c>
    </row>
    <row r="1094">
      <c r="A1094" s="13" t="inlineStr">
        <is>
          <t>7035</t>
        </is>
      </c>
      <c r="B1094" s="14" t="inlineStr">
        <is>
          <t>Nickle plated M.S. Brackets for curtain rod 20 mm</t>
        </is>
      </c>
      <c r="C1094" s="13" t="inlineStr">
        <is>
          <t>each</t>
        </is>
      </c>
      <c r="D1094" s="15" t="n">
        <v>2</v>
      </c>
      <c r="E1094" s="16" t="n">
        <v>7</v>
      </c>
      <c r="F1094" s="16">
        <f>D1094*E1094</f>
        <v/>
      </c>
    </row>
    <row r="1095">
      <c r="A1095" s="13" t="inlineStr">
        <is>
          <t>9999</t>
        </is>
      </c>
      <c r="B1095" s="14" t="inlineStr">
        <is>
          <t>Screws</t>
        </is>
      </c>
      <c r="C1095" s="13" t="inlineStr">
        <is>
          <t>L.S.</t>
        </is>
      </c>
      <c r="D1095" s="15" t="n">
        <v>4.03</v>
      </c>
      <c r="E1095" s="16" t="n">
        <v>2</v>
      </c>
      <c r="F1095" s="16">
        <f>D1095*E1095</f>
        <v/>
      </c>
    </row>
    <row r="1096">
      <c r="A1096" s="13" t="inlineStr">
        <is>
          <t>9999</t>
        </is>
      </c>
      <c r="B1096" s="14" t="inlineStr">
        <is>
          <t>CARRIAGE</t>
        </is>
      </c>
      <c r="C1096" s="13" t="inlineStr">
        <is>
          <t>L.S.</t>
        </is>
      </c>
      <c r="D1096" s="15" t="n">
        <v>1.56</v>
      </c>
      <c r="E1096" s="16" t="n">
        <v>2</v>
      </c>
      <c r="F1096" s="16">
        <f>D1096*E1096</f>
        <v/>
      </c>
    </row>
    <row r="1097">
      <c r="A1097" s="13" t="inlineStr">
        <is>
          <t>7048</t>
        </is>
      </c>
      <c r="B1097" s="14" t="inlineStr">
        <is>
          <t>Rawl plug 50 mm (designation 10 no.)</t>
        </is>
      </c>
      <c r="C1097" s="13" t="inlineStr">
        <is>
          <t>each</t>
        </is>
      </c>
      <c r="D1097" s="15" t="n">
        <v>2</v>
      </c>
      <c r="E1097" s="16" t="n">
        <v>25</v>
      </c>
      <c r="F1097" s="16">
        <f>D1097*E1097</f>
        <v/>
      </c>
    </row>
    <row r="1098">
      <c r="A1098" s="13" t="inlineStr">
        <is>
          <t>9999</t>
        </is>
      </c>
      <c r="B1098" s="14" t="inlineStr">
        <is>
          <t>Labour including fixing rawl plug</t>
        </is>
      </c>
      <c r="C1098" s="13" t="inlineStr">
        <is>
          <t>L.S.</t>
        </is>
      </c>
      <c r="D1098" s="15" t="n">
        <v>5.2</v>
      </c>
      <c r="E1098" s="16" t="n">
        <v>2</v>
      </c>
      <c r="F1098" s="16">
        <f>D1098*E1098</f>
        <v/>
      </c>
    </row>
    <row r="1099">
      <c r="A1099" s="13" t="inlineStr">
        <is>
          <t>9999</t>
        </is>
      </c>
      <c r="B1099" s="14" t="inlineStr">
        <is>
          <t>Sundries</t>
        </is>
      </c>
      <c r="C1099" s="13" t="inlineStr">
        <is>
          <t>L.S.</t>
        </is>
      </c>
      <c r="D1099" s="15" t="n">
        <v>1.56</v>
      </c>
      <c r="E1099" s="16" t="n">
        <v>2</v>
      </c>
      <c r="F1099" s="16">
        <f>D1099*E1099</f>
        <v/>
      </c>
    </row>
    <row r="1100">
      <c r="A1100" s="17" t="inlineStr">
        <is>
          <t>Resource Total (Material + Labour + Machinery, as printed)</t>
        </is>
      </c>
      <c r="B1100" s="18" t="n"/>
      <c r="C1100" s="18" t="n"/>
      <c r="D1100" s="18" t="n"/>
      <c r="E1100" s="18" t="n"/>
      <c r="F1100" s="19">
        <f>SUM(F1093:F1099)</f>
        <v/>
      </c>
    </row>
    <row r="1101">
      <c r="A1101" s="20" t="inlineStr">
        <is>
          <t>SAY (Rs.) — final DAR rate</t>
        </is>
      </c>
      <c r="B1101" s="21" t="n"/>
      <c r="C1101" s="21" t="n"/>
      <c r="D1101" s="21" t="n"/>
      <c r="E1101" s="21" t="n"/>
      <c r="F1101" s="22" t="n">
        <v>155.65</v>
      </c>
    </row>
    <row r="1103" ht="18" customHeight="1">
      <c r="A1103" s="9" t="inlineStr">
        <is>
          <t>9.47.2</t>
        </is>
      </c>
      <c r="B1103" s="10" t="inlineStr">
        <is>
          <t>25 mm dia (heavy type)</t>
        </is>
      </c>
      <c r="C1103" s="11" t="n"/>
      <c r="D1103" s="11" t="n"/>
      <c r="E1103" s="11" t="n"/>
      <c r="F1103" s="11" t="n"/>
    </row>
    <row r="1104">
      <c r="A1104" s="12" t="inlineStr">
        <is>
          <t>Rate basis: per m  (source: cost for 2 m)</t>
        </is>
      </c>
    </row>
    <row r="1105">
      <c r="A1105" s="5" t="inlineStr">
        <is>
          <t>Code</t>
        </is>
      </c>
      <c r="B1105" s="5" t="inlineStr">
        <is>
          <t>Description</t>
        </is>
      </c>
      <c r="C1105" s="5" t="inlineStr">
        <is>
          <t>Unit</t>
        </is>
      </c>
      <c r="D1105" s="5" t="inlineStr">
        <is>
          <t>Quantity</t>
        </is>
      </c>
      <c r="E1105" s="5" t="inlineStr">
        <is>
          <t>Rate (Rs.)</t>
        </is>
      </c>
      <c r="F1105" s="5" t="inlineStr">
        <is>
          <t>Amount (Rs.)</t>
        </is>
      </c>
    </row>
    <row r="1106">
      <c r="A1106" s="13" t="inlineStr">
        <is>
          <t>7033</t>
        </is>
      </c>
      <c r="B1106" s="14" t="inlineStr">
        <is>
          <t>Nickel plated M.S. pipe 25mm dia</t>
        </is>
      </c>
      <c r="C1106" s="13" t="inlineStr">
        <is>
          <t>metre</t>
        </is>
      </c>
      <c r="D1106" s="15" t="n">
        <v>2</v>
      </c>
      <c r="E1106" s="16" t="n">
        <v>76</v>
      </c>
      <c r="F1106" s="16">
        <f>D1106*E1106</f>
        <v/>
      </c>
    </row>
    <row r="1107">
      <c r="A1107" s="13" t="inlineStr">
        <is>
          <t>7036</t>
        </is>
      </c>
      <c r="B1107" s="14" t="inlineStr">
        <is>
          <t>Nickle plated M.S. Brackets for curtain rod 25 mm</t>
        </is>
      </c>
      <c r="C1107" s="13" t="inlineStr">
        <is>
          <t>each</t>
        </is>
      </c>
      <c r="D1107" s="15" t="n">
        <v>2</v>
      </c>
      <c r="E1107" s="16" t="n">
        <v>8</v>
      </c>
      <c r="F1107" s="16">
        <f>D1107*E1107</f>
        <v/>
      </c>
    </row>
    <row r="1108">
      <c r="A1108" s="13" t="inlineStr">
        <is>
          <t>9999</t>
        </is>
      </c>
      <c r="B1108" s="14" t="inlineStr">
        <is>
          <t>Screws</t>
        </is>
      </c>
      <c r="C1108" s="13" t="inlineStr">
        <is>
          <t>L.S.</t>
        </is>
      </c>
      <c r="D1108" s="15" t="n">
        <v>4.03</v>
      </c>
      <c r="E1108" s="16" t="n">
        <v>2</v>
      </c>
      <c r="F1108" s="16">
        <f>D1108*E1108</f>
        <v/>
      </c>
    </row>
    <row r="1109">
      <c r="A1109" s="13" t="inlineStr">
        <is>
          <t>9999</t>
        </is>
      </c>
      <c r="B1109" s="14" t="inlineStr">
        <is>
          <t>CARRIAGE</t>
        </is>
      </c>
      <c r="C1109" s="13" t="inlineStr">
        <is>
          <t>L.S.</t>
        </is>
      </c>
      <c r="D1109" s="15" t="n">
        <v>1.56</v>
      </c>
      <c r="E1109" s="16" t="n">
        <v>2</v>
      </c>
      <c r="F1109" s="16">
        <f>D1109*E1109</f>
        <v/>
      </c>
    </row>
    <row r="1110">
      <c r="A1110" s="13" t="inlineStr">
        <is>
          <t>7048</t>
        </is>
      </c>
      <c r="B1110" s="14" t="inlineStr">
        <is>
          <t>Rawl plug 50 mm (designation 10 no.)</t>
        </is>
      </c>
      <c r="C1110" s="13" t="inlineStr">
        <is>
          <t>each</t>
        </is>
      </c>
      <c r="D1110" s="15" t="n">
        <v>2</v>
      </c>
      <c r="E1110" s="16" t="n">
        <v>25</v>
      </c>
      <c r="F1110" s="16">
        <f>D1110*E1110</f>
        <v/>
      </c>
    </row>
    <row r="1111">
      <c r="A1111" s="13" t="inlineStr">
        <is>
          <t>9999</t>
        </is>
      </c>
      <c r="B1111" s="14" t="inlineStr">
        <is>
          <t>Labour including fixing rawl plug</t>
        </is>
      </c>
      <c r="C1111" s="13" t="inlineStr">
        <is>
          <t>L.S.</t>
        </is>
      </c>
      <c r="D1111" s="15" t="n">
        <v>5.2</v>
      </c>
      <c r="E1111" s="16" t="n">
        <v>2</v>
      </c>
      <c r="F1111" s="16">
        <f>D1111*E1111</f>
        <v/>
      </c>
    </row>
    <row r="1112">
      <c r="A1112" s="13" t="inlineStr">
        <is>
          <t>9999</t>
        </is>
      </c>
      <c r="B1112" s="14" t="inlineStr">
        <is>
          <t>Sundries</t>
        </is>
      </c>
      <c r="C1112" s="13" t="inlineStr">
        <is>
          <t>L.S.</t>
        </is>
      </c>
      <c r="D1112" s="15" t="n">
        <v>1.56</v>
      </c>
      <c r="E1112" s="16" t="n">
        <v>2</v>
      </c>
      <c r="F1112" s="16">
        <f>D1112*E1112</f>
        <v/>
      </c>
    </row>
    <row r="1113">
      <c r="A1113" s="17" t="inlineStr">
        <is>
          <t>Resource Total (Material + Labour + Machinery, as printed)</t>
        </is>
      </c>
      <c r="B1113" s="18" t="n"/>
      <c r="C1113" s="18" t="n"/>
      <c r="D1113" s="18" t="n"/>
      <c r="E1113" s="18" t="n"/>
      <c r="F1113" s="19">
        <f>SUM(F1106:F1112)</f>
        <v/>
      </c>
    </row>
    <row r="1114">
      <c r="A1114" s="20" t="inlineStr">
        <is>
          <t>SAY (Rs.) — final DAR rate</t>
        </is>
      </c>
      <c r="B1114" s="21" t="n"/>
      <c r="C1114" s="21" t="n"/>
      <c r="D1114" s="21" t="n"/>
      <c r="E1114" s="21" t="n"/>
      <c r="F1114" s="22" t="n">
        <v>162.35</v>
      </c>
    </row>
    <row r="1116" ht="18" customHeight="1">
      <c r="A1116" s="9" t="inlineStr">
        <is>
          <t>9.48.1</t>
        </is>
      </c>
      <c r="B1116" s="10" t="inlineStr">
        <is>
          <t>Fixed to steel windows by welding</t>
        </is>
      </c>
      <c r="C1116" s="11" t="n"/>
      <c r="D1116" s="11" t="n"/>
      <c r="E1116" s="11" t="n"/>
      <c r="F1116" s="11" t="n"/>
    </row>
    <row r="1117">
      <c r="A1117" s="12" t="inlineStr">
        <is>
          <t>Rate basis: per kg  (source: cost for 18.54 kg)</t>
        </is>
      </c>
    </row>
    <row r="1118">
      <c r="A1118" s="5" t="inlineStr">
        <is>
          <t>Code</t>
        </is>
      </c>
      <c r="B1118" s="5" t="inlineStr">
        <is>
          <t>Description</t>
        </is>
      </c>
      <c r="C1118" s="5" t="inlineStr">
        <is>
          <t>Unit</t>
        </is>
      </c>
      <c r="D1118" s="5" t="inlineStr">
        <is>
          <t>Quantity</t>
        </is>
      </c>
      <c r="E1118" s="5" t="inlineStr">
        <is>
          <t>Rate (Rs.)</t>
        </is>
      </c>
      <c r="F1118" s="5" t="inlineStr">
        <is>
          <t>Amount (Rs.)</t>
        </is>
      </c>
    </row>
    <row r="1119">
      <c r="A1119" s="13" t="inlineStr">
        <is>
          <t>13.50.3</t>
        </is>
      </c>
      <c r="B1119" s="14" t="inlineStr">
        <is>
          <t>Rate as per SH: 13.50.3</t>
        </is>
      </c>
      <c r="C1119" s="13" t="inlineStr">
        <is>
          <t>sqm</t>
        </is>
      </c>
      <c r="D1119" s="15" t="n">
        <v>1.08</v>
      </c>
      <c r="E1119" s="16" t="n">
        <v>50.7</v>
      </c>
      <c r="F1119" s="16">
        <f>D1119*E1119</f>
        <v/>
      </c>
    </row>
    <row r="1120">
      <c r="A1120" s="13" t="inlineStr">
        <is>
          <t>1003</t>
        </is>
      </c>
      <c r="B1120" s="14" t="inlineStr">
        <is>
          <t>Mild steel round bar above 12 mm dia</t>
        </is>
      </c>
      <c r="C1120" s="13" t="inlineStr">
        <is>
          <t>quintal</t>
        </is>
      </c>
      <c r="D1120" s="15" t="n">
        <v>0.165</v>
      </c>
      <c r="E1120" s="16" t="n">
        <v>4400</v>
      </c>
      <c r="F1120" s="16">
        <f>D1120*E1120</f>
        <v/>
      </c>
    </row>
    <row r="1121">
      <c r="A1121" s="13" t="inlineStr">
        <is>
          <t>1008</t>
        </is>
      </c>
      <c r="B1121" s="14" t="inlineStr">
        <is>
          <t>Flats upto 10 mm in thickness</t>
        </is>
      </c>
      <c r="C1121" s="13" t="inlineStr">
        <is>
          <t>quintal</t>
        </is>
      </c>
      <c r="D1121" s="15" t="n">
        <v>0.04</v>
      </c>
      <c r="E1121" s="16" t="n">
        <v>4500</v>
      </c>
      <c r="F1121" s="16">
        <f>D1121*E1121</f>
        <v/>
      </c>
    </row>
    <row r="1122">
      <c r="A1122" s="13" t="inlineStr">
        <is>
          <t>2205</t>
        </is>
      </c>
      <c r="B1122" s="14" t="inlineStr">
        <is>
          <t>Carriage of Steel</t>
        </is>
      </c>
      <c r="C1122" s="13" t="inlineStr">
        <is>
          <t>tonne</t>
        </is>
      </c>
      <c r="D1122" s="15" t="n">
        <v>0.02</v>
      </c>
      <c r="E1122" s="16" t="n">
        <v>92.23999999999999</v>
      </c>
      <c r="F1122" s="16">
        <f>D1122*E1122</f>
        <v/>
      </c>
    </row>
    <row r="1123">
      <c r="A1123" s="13" t="inlineStr">
        <is>
          <t>9999</t>
        </is>
      </c>
      <c r="B1123" s="14" t="inlineStr">
        <is>
          <t>Sundries</t>
        </is>
      </c>
      <c r="C1123" s="13" t="inlineStr">
        <is>
          <t>L.S.</t>
        </is>
      </c>
      <c r="D1123" s="15" t="n">
        <v>26.91</v>
      </c>
      <c r="E1123" s="16" t="n">
        <v>2</v>
      </c>
      <c r="F1123" s="16">
        <f>D1123*E1123</f>
        <v/>
      </c>
    </row>
    <row r="1124">
      <c r="A1124" s="13" t="inlineStr">
        <is>
          <t>9999</t>
        </is>
      </c>
      <c r="B1124" s="14" t="inlineStr">
        <is>
          <t>Welding charges</t>
        </is>
      </c>
      <c r="C1124" s="13" t="inlineStr">
        <is>
          <t>L.S.</t>
        </is>
      </c>
      <c r="D1124" s="15" t="n">
        <v>19.76</v>
      </c>
      <c r="E1124" s="16" t="n">
        <v>2</v>
      </c>
      <c r="F1124" s="16">
        <f>D1124*E1124</f>
        <v/>
      </c>
    </row>
    <row r="1125">
      <c r="A1125" s="13" t="inlineStr">
        <is>
          <t>0102</t>
        </is>
      </c>
      <c r="B1125" s="14" t="inlineStr">
        <is>
          <t>Blacksmith 1st class</t>
        </is>
      </c>
      <c r="C1125" s="13" t="inlineStr">
        <is>
          <t>day</t>
        </is>
      </c>
      <c r="D1125" s="15" t="n">
        <v>0.86</v>
      </c>
      <c r="E1125" s="16" t="n">
        <v>738</v>
      </c>
      <c r="F1125" s="16">
        <f>D1125*E1125</f>
        <v/>
      </c>
    </row>
    <row r="1126">
      <c r="A1126" s="13" t="inlineStr">
        <is>
          <t>0114</t>
        </is>
      </c>
      <c r="B1126" s="14" t="inlineStr">
        <is>
          <t>Beldar</t>
        </is>
      </c>
      <c r="C1126" s="13" t="inlineStr">
        <is>
          <t>day</t>
        </is>
      </c>
      <c r="D1126" s="15" t="n">
        <v>1.1</v>
      </c>
      <c r="E1126" s="16" t="n">
        <v>558</v>
      </c>
      <c r="F1126" s="16">
        <f>D1126*E1126</f>
        <v/>
      </c>
    </row>
    <row r="1127">
      <c r="A1127" s="17" t="inlineStr">
        <is>
          <t>Resource Total (Material + Labour + Machinery, as printed)</t>
        </is>
      </c>
      <c r="B1127" s="18" t="n"/>
      <c r="C1127" s="18" t="n"/>
      <c r="D1127" s="18" t="n"/>
      <c r="E1127" s="18" t="n"/>
      <c r="F1127" s="19">
        <f>SUM(F1119:F1126)</f>
        <v/>
      </c>
    </row>
    <row r="1128">
      <c r="A1128" s="20" t="inlineStr">
        <is>
          <t>SAY (Rs.) — final DAR rate</t>
        </is>
      </c>
      <c r="B1128" s="21" t="n"/>
      <c r="C1128" s="21" t="n"/>
      <c r="D1128" s="21" t="n"/>
      <c r="E1128" s="21" t="n"/>
      <c r="F1128" s="22" t="n">
        <v>165.3</v>
      </c>
    </row>
    <row r="1130" ht="18" customHeight="1">
      <c r="A1130" s="9" t="inlineStr">
        <is>
          <t>9.48.2</t>
        </is>
      </c>
      <c r="B1130" s="10" t="inlineStr">
        <is>
          <t>Fixed to openings /wooden frames with rawl plugs screws etc.</t>
        </is>
      </c>
      <c r="C1130" s="11" t="n"/>
      <c r="D1130" s="11" t="n"/>
      <c r="E1130" s="11" t="n"/>
      <c r="F1130" s="11" t="n"/>
    </row>
    <row r="1131">
      <c r="A1131" s="12" t="inlineStr">
        <is>
          <t>Rate basis: per kg  (source: cost for 18.54 kg)</t>
        </is>
      </c>
    </row>
    <row r="1132">
      <c r="A1132" s="5" t="inlineStr">
        <is>
          <t>Code</t>
        </is>
      </c>
      <c r="B1132" s="5" t="inlineStr">
        <is>
          <t>Description</t>
        </is>
      </c>
      <c r="C1132" s="5" t="inlineStr">
        <is>
          <t>Unit</t>
        </is>
      </c>
      <c r="D1132" s="5" t="inlineStr">
        <is>
          <t>Quantity</t>
        </is>
      </c>
      <c r="E1132" s="5" t="inlineStr">
        <is>
          <t>Rate (Rs.)</t>
        </is>
      </c>
      <c r="F1132" s="5" t="inlineStr">
        <is>
          <t>Amount (Rs.)</t>
        </is>
      </c>
    </row>
    <row r="1133">
      <c r="A1133" s="13" t="inlineStr">
        <is>
          <t>13.50.3</t>
        </is>
      </c>
      <c r="B1133" s="14" t="inlineStr">
        <is>
          <t>Rate as per SH: 13.50.3</t>
        </is>
      </c>
      <c r="C1133" s="13" t="inlineStr">
        <is>
          <t>sqm</t>
        </is>
      </c>
      <c r="D1133" s="15" t="n">
        <v>1.08</v>
      </c>
      <c r="E1133" s="16" t="n">
        <v>50.7</v>
      </c>
      <c r="F1133" s="16">
        <f>D1133*E1133</f>
        <v/>
      </c>
    </row>
    <row r="1134">
      <c r="A1134" s="13" t="inlineStr">
        <is>
          <t>1003</t>
        </is>
      </c>
      <c r="B1134" s="14" t="inlineStr">
        <is>
          <t>Mild steel round bar above 12 mm dia</t>
        </is>
      </c>
      <c r="C1134" s="13" t="inlineStr">
        <is>
          <t>quintal</t>
        </is>
      </c>
      <c r="D1134" s="15" t="n">
        <v>0.165</v>
      </c>
      <c r="E1134" s="16" t="n">
        <v>4400</v>
      </c>
      <c r="F1134" s="16">
        <f>D1134*E1134</f>
        <v/>
      </c>
    </row>
    <row r="1135">
      <c r="A1135" s="13" t="inlineStr">
        <is>
          <t>1008</t>
        </is>
      </c>
      <c r="B1135" s="14" t="inlineStr">
        <is>
          <t>Flats upto 10 mm in thickness</t>
        </is>
      </c>
      <c r="C1135" s="13" t="inlineStr">
        <is>
          <t>quintal</t>
        </is>
      </c>
      <c r="D1135" s="15" t="n">
        <v>0.04</v>
      </c>
      <c r="E1135" s="16" t="n">
        <v>4500</v>
      </c>
      <c r="F1135" s="16">
        <f>D1135*E1135</f>
        <v/>
      </c>
    </row>
    <row r="1136">
      <c r="A1136" s="13" t="inlineStr">
        <is>
          <t>2205</t>
        </is>
      </c>
      <c r="B1136" s="14" t="inlineStr">
        <is>
          <t>Carriage of Steel</t>
        </is>
      </c>
      <c r="C1136" s="13" t="inlineStr">
        <is>
          <t>tonne</t>
        </is>
      </c>
      <c r="D1136" s="15" t="n">
        <v>0.02</v>
      </c>
      <c r="E1136" s="16" t="n">
        <v>92.23999999999999</v>
      </c>
      <c r="F1136" s="16">
        <f>D1136*E1136</f>
        <v/>
      </c>
    </row>
    <row r="1137">
      <c r="A1137" s="13" t="inlineStr">
        <is>
          <t>9999</t>
        </is>
      </c>
      <c r="B1137" s="14" t="inlineStr">
        <is>
          <t>Sundries</t>
        </is>
      </c>
      <c r="C1137" s="13" t="inlineStr">
        <is>
          <t>L.S.</t>
        </is>
      </c>
      <c r="D1137" s="15" t="n">
        <v>26.91</v>
      </c>
      <c r="E1137" s="16" t="n">
        <v>2</v>
      </c>
      <c r="F1137" s="16">
        <f>D1137*E1137</f>
        <v/>
      </c>
    </row>
    <row r="1138">
      <c r="A1138" s="13" t="inlineStr">
        <is>
          <t>9999</t>
        </is>
      </c>
      <c r="B1138" s="14" t="inlineStr">
        <is>
          <t>Welding charges</t>
        </is>
      </c>
      <c r="C1138" s="13" t="inlineStr">
        <is>
          <t>L.S.</t>
        </is>
      </c>
      <c r="D1138" s="15" t="n">
        <v>19.76</v>
      </c>
      <c r="E1138" s="16" t="n">
        <v>2</v>
      </c>
      <c r="F1138" s="16">
        <f>D1138*E1138</f>
        <v/>
      </c>
    </row>
    <row r="1139">
      <c r="A1139" s="13" t="inlineStr">
        <is>
          <t>0102</t>
        </is>
      </c>
      <c r="B1139" s="14" t="inlineStr">
        <is>
          <t>Blacksmith 1st class</t>
        </is>
      </c>
      <c r="C1139" s="13" t="inlineStr">
        <is>
          <t>day</t>
        </is>
      </c>
      <c r="D1139" s="15" t="n">
        <v>0.86</v>
      </c>
      <c r="E1139" s="16" t="n">
        <v>738</v>
      </c>
      <c r="F1139" s="16">
        <f>D1139*E1139</f>
        <v/>
      </c>
    </row>
    <row r="1140">
      <c r="A1140" s="13" t="inlineStr">
        <is>
          <t>0114</t>
        </is>
      </c>
      <c r="B1140" s="14" t="inlineStr">
        <is>
          <t>Beldar</t>
        </is>
      </c>
      <c r="C1140" s="13" t="inlineStr">
        <is>
          <t>day</t>
        </is>
      </c>
      <c r="D1140" s="15" t="n">
        <v>1.1</v>
      </c>
      <c r="E1140" s="16" t="n">
        <v>558</v>
      </c>
      <c r="F1140" s="16">
        <f>D1140*E1140</f>
        <v/>
      </c>
    </row>
    <row r="1141">
      <c r="A1141" s="13" t="inlineStr">
        <is>
          <t>7048</t>
        </is>
      </c>
      <c r="B1141" s="14" t="inlineStr">
        <is>
          <t>Rawl plug 50 mm (designation 10 no.)</t>
        </is>
      </c>
      <c r="C1141" s="13" t="inlineStr">
        <is>
          <t>each</t>
        </is>
      </c>
      <c r="D1141" s="15" t="n">
        <v>8</v>
      </c>
      <c r="E1141" s="16" t="n">
        <v>25</v>
      </c>
      <c r="F1141" s="16">
        <f>D1141*E1141</f>
        <v/>
      </c>
    </row>
    <row r="1142">
      <c r="A1142" s="13" t="inlineStr">
        <is>
          <t>9999</t>
        </is>
      </c>
      <c r="B1142" s="14" t="inlineStr">
        <is>
          <t>Fixing of rawl plugs</t>
        </is>
      </c>
      <c r="C1142" s="13" t="inlineStr">
        <is>
          <t>L.S.</t>
        </is>
      </c>
      <c r="D1142" s="15" t="n">
        <v>26</v>
      </c>
      <c r="E1142" s="16" t="n">
        <v>2</v>
      </c>
      <c r="F1142" s="16">
        <f>D1142*E1142</f>
        <v/>
      </c>
    </row>
    <row r="1143">
      <c r="A1143" s="17" t="inlineStr">
        <is>
          <t>Resource Total (Material + Labour + Machinery, as printed)</t>
        </is>
      </c>
      <c r="B1143" s="18" t="n"/>
      <c r="C1143" s="18" t="n"/>
      <c r="D1143" s="18" t="n"/>
      <c r="E1143" s="18" t="n"/>
      <c r="F1143" s="19">
        <f>SUM(F1133:F1142)</f>
        <v/>
      </c>
    </row>
    <row r="1144">
      <c r="A1144" s="20" t="inlineStr">
        <is>
          <t>SAY (Rs.) — final DAR rate</t>
        </is>
      </c>
      <c r="B1144" s="21" t="n"/>
      <c r="C1144" s="21" t="n"/>
      <c r="D1144" s="21" t="n"/>
      <c r="E1144" s="21" t="n"/>
      <c r="F1144" s="22" t="n">
        <v>183.5</v>
      </c>
    </row>
    <row r="1146" ht="28" customHeight="1">
      <c r="A1146" s="9" t="inlineStr">
        <is>
          <t>9.49</t>
        </is>
      </c>
      <c r="B1146" s="10" t="inlineStr">
        <is>
          <t>Providing and fixing expanded metal 20x60 mm strands 3.25 mm wide and 1.6mm thick for windows etc. including 62 x19 mm beading of II nd clas</t>
        </is>
      </c>
      <c r="C1146" s="11" t="n"/>
      <c r="D1146" s="11" t="n"/>
      <c r="E1146" s="11" t="n"/>
      <c r="F1146" s="11" t="n"/>
    </row>
    <row r="1147">
      <c r="A1147" s="12" t="inlineStr">
        <is>
          <t>Rate basis: per sqm  (source: cost for 1.54 sqm)</t>
        </is>
      </c>
    </row>
    <row r="1148">
      <c r="A1148" s="5" t="inlineStr">
        <is>
          <t>Code</t>
        </is>
      </c>
      <c r="B1148" s="5" t="inlineStr">
        <is>
          <t>Description</t>
        </is>
      </c>
      <c r="C1148" s="5" t="inlineStr">
        <is>
          <t>Unit</t>
        </is>
      </c>
      <c r="D1148" s="5" t="inlineStr">
        <is>
          <t>Quantity</t>
        </is>
      </c>
      <c r="E1148" s="5" t="inlineStr">
        <is>
          <t>Rate (Rs.)</t>
        </is>
      </c>
      <c r="F1148" s="5" t="inlineStr">
        <is>
          <t>Amount (Rs.)</t>
        </is>
      </c>
    </row>
    <row r="1149">
      <c r="A1149" s="13" t="inlineStr">
        <is>
          <t>13.50.3</t>
        </is>
      </c>
      <c r="B1149" s="14" t="inlineStr">
        <is>
          <t>Rate as per SH: 13.50.3</t>
        </is>
      </c>
      <c r="C1149" s="13" t="inlineStr">
        <is>
          <t>sqm</t>
        </is>
      </c>
      <c r="D1149" s="15" t="n">
        <v>1.54</v>
      </c>
      <c r="E1149" s="16" t="n">
        <v>50.7</v>
      </c>
      <c r="F1149" s="16">
        <f>D1149*E1149</f>
        <v/>
      </c>
    </row>
    <row r="1150">
      <c r="A1150" s="13" t="inlineStr">
        <is>
          <t>1015</t>
        </is>
      </c>
      <c r="B1150" s="14" t="inlineStr">
        <is>
          <t>Mild steel expanded metal 20x60 mm strands</t>
        </is>
      </c>
      <c r="C1150" s="13" t="inlineStr">
        <is>
          <t>sqm</t>
        </is>
      </c>
      <c r="D1150" s="15" t="n">
        <v>1.69</v>
      </c>
      <c r="E1150" s="16" t="n">
        <v>280</v>
      </c>
      <c r="F1150" s="16">
        <f>D1150*E1150</f>
        <v/>
      </c>
    </row>
    <row r="1151">
      <c r="A1151" s="13" t="inlineStr">
        <is>
          <t>9977</t>
        </is>
      </c>
      <c r="B1151" s="14" t="inlineStr">
        <is>
          <t>Carriage</t>
        </is>
      </c>
      <c r="C1151" s="13" t="inlineStr">
        <is>
          <t>L.S.</t>
        </is>
      </c>
      <c r="D1151" s="15" t="n">
        <v>1.82</v>
      </c>
      <c r="E1151" s="16" t="n">
        <v>2</v>
      </c>
      <c r="F1151" s="16">
        <f>D1151*E1151</f>
        <v/>
      </c>
    </row>
    <row r="1152">
      <c r="A1152" s="13" t="inlineStr">
        <is>
          <t>2204</t>
        </is>
      </c>
      <c r="B1152" s="14" t="inlineStr">
        <is>
          <t>Carriage of Timber</t>
        </is>
      </c>
      <c r="C1152" s="13" t="inlineStr">
        <is>
          <t>cum</t>
        </is>
      </c>
      <c r="D1152" s="15" t="n">
        <v>0.006</v>
      </c>
      <c r="E1152" s="16" t="n">
        <v>118.59</v>
      </c>
      <c r="F1152" s="16">
        <f>D1152*E1152</f>
        <v/>
      </c>
    </row>
    <row r="1153">
      <c r="A1153" s="13" t="inlineStr">
        <is>
          <t>0112</t>
        </is>
      </c>
      <c r="B1153" s="14" t="inlineStr">
        <is>
          <t>Carpenter 2nd class</t>
        </is>
      </c>
      <c r="C1153" s="13" t="inlineStr">
        <is>
          <t>day</t>
        </is>
      </c>
      <c r="D1153" s="15" t="n">
        <v>0.33</v>
      </c>
      <c r="E1153" s="16" t="n">
        <v>679</v>
      </c>
      <c r="F1153" s="16">
        <f>D1153*E1153</f>
        <v/>
      </c>
    </row>
    <row r="1154">
      <c r="A1154" s="13" t="inlineStr">
        <is>
          <t>0114</t>
        </is>
      </c>
      <c r="B1154" s="14" t="inlineStr">
        <is>
          <t>Beldar</t>
        </is>
      </c>
      <c r="C1154" s="13" t="inlineStr">
        <is>
          <t>day</t>
        </is>
      </c>
      <c r="D1154" s="15" t="n">
        <v>0.25</v>
      </c>
      <c r="E1154" s="16" t="n">
        <v>558</v>
      </c>
      <c r="F1154" s="16">
        <f>D1154*E1154</f>
        <v/>
      </c>
    </row>
    <row r="1155">
      <c r="A1155" s="13" t="inlineStr">
        <is>
          <t>9999</t>
        </is>
      </c>
      <c r="B1155" s="14" t="inlineStr">
        <is>
          <t>Sundries</t>
        </is>
      </c>
      <c r="C1155" s="13" t="inlineStr">
        <is>
          <t>L.S.</t>
        </is>
      </c>
      <c r="D1155" s="15" t="n">
        <v>26.91</v>
      </c>
      <c r="E1155" s="16" t="n">
        <v>2</v>
      </c>
      <c r="F1155" s="16">
        <f>D1155*E1155</f>
        <v/>
      </c>
    </row>
    <row r="1156">
      <c r="A1156" s="17" t="inlineStr">
        <is>
          <t>Resource Total (Material + Labour + Machinery, as printed)</t>
        </is>
      </c>
      <c r="B1156" s="18" t="n"/>
      <c r="C1156" s="18" t="n"/>
      <c r="D1156" s="18" t="n"/>
      <c r="E1156" s="18" t="n"/>
      <c r="F1156" s="19">
        <f>SUM(F1149:F1155)</f>
        <v/>
      </c>
    </row>
    <row r="1157">
      <c r="A1157" s="20" t="inlineStr">
        <is>
          <t>SAY (Rs.) — final DAR rate</t>
        </is>
      </c>
      <c r="B1157" s="21" t="n"/>
      <c r="C1157" s="21" t="n"/>
      <c r="D1157" s="21" t="n"/>
      <c r="E1157" s="21" t="n"/>
      <c r="F1157" s="22" t="n">
        <v>1240.55</v>
      </c>
    </row>
    <row r="1159" ht="28" customHeight="1">
      <c r="A1159" s="9" t="inlineStr">
        <is>
          <t>9.50</t>
        </is>
      </c>
      <c r="B1159" s="10" t="inlineStr">
        <is>
          <t>Providing and fixing hard drawn steel wire fabric 75x25 mm mesh of weight not less than 7.75 Kg per sqm to window frames etc. including 62x1</t>
        </is>
      </c>
      <c r="C1159" s="11" t="n"/>
      <c r="D1159" s="11" t="n"/>
      <c r="E1159" s="11" t="n"/>
      <c r="F1159" s="11" t="n"/>
    </row>
    <row r="1160">
      <c r="A1160" s="12" t="inlineStr">
        <is>
          <t>Rate basis: per sqm  (source: cost for 1.54 sqm)</t>
        </is>
      </c>
    </row>
    <row r="1161">
      <c r="A1161" s="5" t="inlineStr">
        <is>
          <t>Code</t>
        </is>
      </c>
      <c r="B1161" s="5" t="inlineStr">
        <is>
          <t>Description</t>
        </is>
      </c>
      <c r="C1161" s="5" t="inlineStr">
        <is>
          <t>Unit</t>
        </is>
      </c>
      <c r="D1161" s="5" t="inlineStr">
        <is>
          <t>Quantity</t>
        </is>
      </c>
      <c r="E1161" s="5" t="inlineStr">
        <is>
          <t>Rate (Rs.)</t>
        </is>
      </c>
      <c r="F1161" s="5" t="inlineStr">
        <is>
          <t>Amount (Rs.)</t>
        </is>
      </c>
    </row>
    <row r="1162">
      <c r="A1162" s="13" t="inlineStr">
        <is>
          <t>13.50.3</t>
        </is>
      </c>
      <c r="B1162" s="14" t="inlineStr">
        <is>
          <t>Rate as per SH: 13.50.3</t>
        </is>
      </c>
      <c r="C1162" s="13" t="inlineStr">
        <is>
          <t>sqm</t>
        </is>
      </c>
      <c r="D1162" s="15" t="n">
        <v>1.54</v>
      </c>
      <c r="E1162" s="16" t="n">
        <v>50.7</v>
      </c>
      <c r="F1162" s="16">
        <f>D1162*E1162</f>
        <v/>
      </c>
    </row>
    <row r="1163">
      <c r="A1163" s="13" t="inlineStr">
        <is>
          <t>1021</t>
        </is>
      </c>
      <c r="B1163" s="14" t="inlineStr">
        <is>
          <t>Hard drawn steel wire fabric</t>
        </is>
      </c>
      <c r="C1163" s="13" t="inlineStr">
        <is>
          <t>sqm</t>
        </is>
      </c>
      <c r="D1163" s="15" t="n">
        <v>1.69</v>
      </c>
      <c r="E1163" s="16" t="n">
        <v>430</v>
      </c>
      <c r="F1163" s="16">
        <f>D1163*E1163</f>
        <v/>
      </c>
    </row>
    <row r="1164">
      <c r="A1164" s="13" t="inlineStr">
        <is>
          <t>9977</t>
        </is>
      </c>
      <c r="B1164" s="14" t="inlineStr">
        <is>
          <t>Carriage of wire fabric</t>
        </is>
      </c>
      <c r="C1164" s="13" t="inlineStr">
        <is>
          <t>L.S.</t>
        </is>
      </c>
      <c r="D1164" s="15" t="n">
        <v>1.82</v>
      </c>
      <c r="E1164" s="16" t="n">
        <v>2</v>
      </c>
      <c r="F1164" s="16">
        <f>D1164*E1164</f>
        <v/>
      </c>
    </row>
    <row r="1165">
      <c r="A1165" s="13" t="inlineStr">
        <is>
          <t>2204</t>
        </is>
      </c>
      <c r="B1165" s="14" t="inlineStr">
        <is>
          <t>Carriage of Timber</t>
        </is>
      </c>
      <c r="C1165" s="13" t="inlineStr">
        <is>
          <t>cum</t>
        </is>
      </c>
      <c r="D1165" s="15" t="n">
        <v>0.006</v>
      </c>
      <c r="E1165" s="16" t="n">
        <v>118.59</v>
      </c>
      <c r="F1165" s="16">
        <f>D1165*E1165</f>
        <v/>
      </c>
    </row>
    <row r="1166">
      <c r="A1166" s="13" t="inlineStr">
        <is>
          <t>0112</t>
        </is>
      </c>
      <c r="B1166" s="14" t="inlineStr">
        <is>
          <t>Carpenter 2nd class</t>
        </is>
      </c>
      <c r="C1166" s="13" t="inlineStr">
        <is>
          <t>day</t>
        </is>
      </c>
      <c r="D1166" s="15" t="n">
        <v>0.33</v>
      </c>
      <c r="E1166" s="16" t="n">
        <v>679</v>
      </c>
      <c r="F1166" s="16">
        <f>D1166*E1166</f>
        <v/>
      </c>
    </row>
    <row r="1167">
      <c r="A1167" s="13" t="inlineStr">
        <is>
          <t>0114</t>
        </is>
      </c>
      <c r="B1167" s="14" t="inlineStr">
        <is>
          <t>Beldar</t>
        </is>
      </c>
      <c r="C1167" s="13" t="inlineStr">
        <is>
          <t>day</t>
        </is>
      </c>
      <c r="D1167" s="15" t="n">
        <v>0.25</v>
      </c>
      <c r="E1167" s="16" t="n">
        <v>558</v>
      </c>
      <c r="F1167" s="16">
        <f>D1167*E1167</f>
        <v/>
      </c>
    </row>
    <row r="1168">
      <c r="A1168" s="13" t="inlineStr">
        <is>
          <t>9999</t>
        </is>
      </c>
      <c r="B1168" s="14" t="inlineStr">
        <is>
          <t>Sundries</t>
        </is>
      </c>
      <c r="C1168" s="13" t="inlineStr">
        <is>
          <t>L.S.</t>
        </is>
      </c>
      <c r="D1168" s="15" t="n">
        <v>19.76</v>
      </c>
      <c r="E1168" s="16" t="n">
        <v>2</v>
      </c>
      <c r="F1168" s="16">
        <f>D1168*E1168</f>
        <v/>
      </c>
    </row>
    <row r="1169">
      <c r="A1169" s="17" t="inlineStr">
        <is>
          <t>Resource Total (Material + Labour + Machinery, as printed)</t>
        </is>
      </c>
      <c r="B1169" s="18" t="n"/>
      <c r="C1169" s="18" t="n"/>
      <c r="D1169" s="18" t="n"/>
      <c r="E1169" s="18" t="n"/>
      <c r="F1169" s="19">
        <f>SUM(F1162:F1168)</f>
        <v/>
      </c>
    </row>
    <row r="1170">
      <c r="A1170" s="20" t="inlineStr">
        <is>
          <t>SAY (Rs.) — final DAR rate</t>
        </is>
      </c>
      <c r="B1170" s="21" t="n"/>
      <c r="C1170" s="21" t="n"/>
      <c r="D1170" s="21" t="n"/>
      <c r="E1170" s="21" t="n"/>
      <c r="F1170" s="22" t="n">
        <v>1448.35</v>
      </c>
    </row>
    <row r="1172" ht="18" customHeight="1">
      <c r="A1172" s="9" t="inlineStr">
        <is>
          <t>9.51.1</t>
        </is>
      </c>
      <c r="B1172" s="10" t="inlineStr">
        <is>
          <t>With 2nd class teak wood beading 62X19 mm</t>
        </is>
      </c>
      <c r="C1172" s="11" t="n"/>
      <c r="D1172" s="11" t="n"/>
      <c r="E1172" s="11" t="n"/>
      <c r="F1172" s="11" t="n"/>
    </row>
    <row r="1173">
      <c r="A1173" s="12" t="inlineStr">
        <is>
          <t>Rate basis: per sqm  (source: cost for 1.54 sqm)</t>
        </is>
      </c>
    </row>
    <row r="1174">
      <c r="A1174" s="5" t="inlineStr">
        <is>
          <t>Code</t>
        </is>
      </c>
      <c r="B1174" s="5" t="inlineStr">
        <is>
          <t>Description</t>
        </is>
      </c>
      <c r="C1174" s="5" t="inlineStr">
        <is>
          <t>Unit</t>
        </is>
      </c>
      <c r="D1174" s="5" t="inlineStr">
        <is>
          <t>Quantity</t>
        </is>
      </c>
      <c r="E1174" s="5" t="inlineStr">
        <is>
          <t>Rate (Rs.)</t>
        </is>
      </c>
      <c r="F1174" s="5" t="inlineStr">
        <is>
          <t>Amount (Rs.)</t>
        </is>
      </c>
    </row>
    <row r="1175">
      <c r="A1175" s="13" t="inlineStr">
        <is>
          <t>7029</t>
        </is>
      </c>
      <c r="B1175" s="14" t="inlineStr">
        <is>
          <t>Galvanised wire mesh of average width of aperture 1.4 mm and nominal dia. of wire 0.63 mm</t>
        </is>
      </c>
      <c r="C1175" s="13" t="inlineStr">
        <is>
          <t>sqm</t>
        </is>
      </c>
      <c r="D1175" s="15" t="n">
        <v>1.69</v>
      </c>
      <c r="E1175" s="16" t="n">
        <v>250</v>
      </c>
      <c r="F1175" s="16">
        <f>D1175*E1175</f>
        <v/>
      </c>
    </row>
    <row r="1176">
      <c r="A1176" s="13" t="inlineStr">
        <is>
          <t>9977</t>
        </is>
      </c>
      <c r="B1176" s="14" t="inlineStr">
        <is>
          <t>Carriage of wire fabric</t>
        </is>
      </c>
      <c r="C1176" s="13" t="inlineStr">
        <is>
          <t>L.S.</t>
        </is>
      </c>
      <c r="D1176" s="15" t="n">
        <v>1.82</v>
      </c>
      <c r="E1176" s="16" t="n">
        <v>2</v>
      </c>
      <c r="F1176" s="16">
        <f>D1176*E1176</f>
        <v/>
      </c>
    </row>
    <row r="1177">
      <c r="A1177" s="13" t="inlineStr">
        <is>
          <t>2204</t>
        </is>
      </c>
      <c r="B1177" s="14" t="inlineStr">
        <is>
          <t>Carriage of Timber</t>
        </is>
      </c>
      <c r="C1177" s="13" t="inlineStr">
        <is>
          <t>cum</t>
        </is>
      </c>
      <c r="D1177" s="15" t="n">
        <v>0.006</v>
      </c>
      <c r="E1177" s="16" t="n">
        <v>118.59</v>
      </c>
      <c r="F1177" s="16">
        <f>D1177*E1177</f>
        <v/>
      </c>
    </row>
    <row r="1178">
      <c r="A1178" s="13" t="inlineStr">
        <is>
          <t>0112</t>
        </is>
      </c>
      <c r="B1178" s="14" t="inlineStr">
        <is>
          <t>Carpenter 2nd class</t>
        </is>
      </c>
      <c r="C1178" s="13" t="inlineStr">
        <is>
          <t>day</t>
        </is>
      </c>
      <c r="D1178" s="15" t="n">
        <v>0.33</v>
      </c>
      <c r="E1178" s="16" t="n">
        <v>679</v>
      </c>
      <c r="F1178" s="16">
        <f>D1178*E1178</f>
        <v/>
      </c>
    </row>
    <row r="1179">
      <c r="A1179" s="13" t="inlineStr">
        <is>
          <t>0114</t>
        </is>
      </c>
      <c r="B1179" s="14" t="inlineStr">
        <is>
          <t>Beldar</t>
        </is>
      </c>
      <c r="C1179" s="13" t="inlineStr">
        <is>
          <t>day</t>
        </is>
      </c>
      <c r="D1179" s="15" t="n">
        <v>0.25</v>
      </c>
      <c r="E1179" s="16" t="n">
        <v>558</v>
      </c>
      <c r="F1179" s="16">
        <f>D1179*E1179</f>
        <v/>
      </c>
    </row>
    <row r="1180">
      <c r="A1180" s="13" t="inlineStr">
        <is>
          <t>9999</t>
        </is>
      </c>
      <c r="B1180" s="14" t="inlineStr">
        <is>
          <t>Sundries</t>
        </is>
      </c>
      <c r="C1180" s="13" t="inlineStr">
        <is>
          <t>L.S.</t>
        </is>
      </c>
      <c r="D1180" s="15" t="n">
        <v>19.76</v>
      </c>
      <c r="E1180" s="16" t="n">
        <v>2</v>
      </c>
      <c r="F1180" s="16">
        <f>D1180*E1180</f>
        <v/>
      </c>
    </row>
    <row r="1181">
      <c r="A1181" s="17" t="inlineStr">
        <is>
          <t>Resource Total (Material + Labour + Machinery, as printed)</t>
        </is>
      </c>
      <c r="B1181" s="18" t="n"/>
      <c r="C1181" s="18" t="n"/>
      <c r="D1181" s="18" t="n"/>
      <c r="E1181" s="18" t="n"/>
      <c r="F1181" s="19">
        <f>SUM(F1175:F1180)</f>
        <v/>
      </c>
    </row>
    <row r="1182">
      <c r="A1182" s="20" t="inlineStr">
        <is>
          <t>SAY (Rs.) — final DAR rate</t>
        </is>
      </c>
      <c r="B1182" s="21" t="n"/>
      <c r="C1182" s="21" t="n"/>
      <c r="D1182" s="21" t="n"/>
      <c r="E1182" s="21" t="n"/>
      <c r="F1182" s="22" t="n">
        <v>1133.35</v>
      </c>
    </row>
    <row r="1184" ht="18" customHeight="1">
      <c r="A1184" s="9" t="inlineStr">
        <is>
          <t>9.51.2</t>
        </is>
      </c>
      <c r="B1184" s="10" t="inlineStr">
        <is>
          <t>With 12 mm mild steel U beading</t>
        </is>
      </c>
      <c r="C1184" s="11" t="n"/>
      <c r="D1184" s="11" t="n"/>
      <c r="E1184" s="11" t="n"/>
      <c r="F1184" s="11" t="n"/>
    </row>
    <row r="1185">
      <c r="A1185" s="12" t="inlineStr">
        <is>
          <t>Rate basis: per sqm  (source: cost for 1.54 sqm)</t>
        </is>
      </c>
    </row>
    <row r="1186">
      <c r="A1186" s="5" t="inlineStr">
        <is>
          <t>Code</t>
        </is>
      </c>
      <c r="B1186" s="5" t="inlineStr">
        <is>
          <t>Description</t>
        </is>
      </c>
      <c r="C1186" s="5" t="inlineStr">
        <is>
          <t>Unit</t>
        </is>
      </c>
      <c r="D1186" s="5" t="inlineStr">
        <is>
          <t>Quantity</t>
        </is>
      </c>
      <c r="E1186" s="5" t="inlineStr">
        <is>
          <t>Rate (Rs.)</t>
        </is>
      </c>
      <c r="F1186" s="5" t="inlineStr">
        <is>
          <t>Amount (Rs.)</t>
        </is>
      </c>
    </row>
    <row r="1187">
      <c r="A1187" s="13" t="inlineStr">
        <is>
          <t>7029</t>
        </is>
      </c>
      <c r="B1187" s="14" t="inlineStr">
        <is>
          <t>Galvanised wire mesh of average width of aperture 1.4 mm and nominal dia. Of wire 0.63 mm</t>
        </is>
      </c>
      <c r="C1187" s="13" t="inlineStr">
        <is>
          <t>sqm</t>
        </is>
      </c>
      <c r="D1187" s="15" t="n">
        <v>1.69</v>
      </c>
      <c r="E1187" s="16" t="n">
        <v>250</v>
      </c>
      <c r="F1187" s="16">
        <f>D1187*E1187</f>
        <v/>
      </c>
    </row>
    <row r="1188">
      <c r="A1188" s="13" t="inlineStr">
        <is>
          <t>9977</t>
        </is>
      </c>
      <c r="B1188" s="14" t="inlineStr">
        <is>
          <t>Carriage of wire fabric</t>
        </is>
      </c>
      <c r="C1188" s="13" t="inlineStr">
        <is>
          <t>L.S.</t>
        </is>
      </c>
      <c r="D1188" s="15" t="n">
        <v>1.82</v>
      </c>
      <c r="E1188" s="16" t="n">
        <v>2</v>
      </c>
      <c r="F1188" s="16">
        <f>D1188*E1188</f>
        <v/>
      </c>
    </row>
    <row r="1189">
      <c r="A1189" s="13" t="inlineStr">
        <is>
          <t>7349</t>
        </is>
      </c>
      <c r="B1189" s="14" t="inlineStr">
        <is>
          <t>12 mm M.S. 'U' beading</t>
        </is>
      </c>
      <c r="C1189" s="13" t="inlineStr">
        <is>
          <t>metre</t>
        </is>
      </c>
      <c r="D1189" s="15" t="n">
        <v>5</v>
      </c>
      <c r="E1189" s="16" t="n">
        <v>14</v>
      </c>
      <c r="F1189" s="16">
        <f>D1189*E1189</f>
        <v/>
      </c>
    </row>
    <row r="1190">
      <c r="A1190" s="13" t="inlineStr">
        <is>
          <t>0112</t>
        </is>
      </c>
      <c r="B1190" s="14" t="inlineStr">
        <is>
          <t>Carpenter 2nd class</t>
        </is>
      </c>
      <c r="C1190" s="13" t="inlineStr">
        <is>
          <t>day</t>
        </is>
      </c>
      <c r="D1190" s="15" t="n">
        <v>0.33</v>
      </c>
      <c r="E1190" s="16" t="n">
        <v>679</v>
      </c>
      <c r="F1190" s="16">
        <f>D1190*E1190</f>
        <v/>
      </c>
    </row>
    <row r="1191">
      <c r="A1191" s="13" t="inlineStr">
        <is>
          <t>0114</t>
        </is>
      </c>
      <c r="B1191" s="14" t="inlineStr">
        <is>
          <t>Beldar</t>
        </is>
      </c>
      <c r="C1191" s="13" t="inlineStr">
        <is>
          <t>day</t>
        </is>
      </c>
      <c r="D1191" s="15" t="n">
        <v>0.25</v>
      </c>
      <c r="E1191" s="16" t="n">
        <v>558</v>
      </c>
      <c r="F1191" s="16">
        <f>D1191*E1191</f>
        <v/>
      </c>
    </row>
    <row r="1192">
      <c r="A1192" s="13" t="inlineStr">
        <is>
          <t>9999</t>
        </is>
      </c>
      <c r="B1192" s="14" t="inlineStr">
        <is>
          <t>Sundries</t>
        </is>
      </c>
      <c r="C1192" s="13" t="inlineStr">
        <is>
          <t>L.S.</t>
        </is>
      </c>
      <c r="D1192" s="15" t="n">
        <v>19.76</v>
      </c>
      <c r="E1192" s="16" t="n">
        <v>2</v>
      </c>
      <c r="F1192" s="16">
        <f>D1192*E1192</f>
        <v/>
      </c>
    </row>
    <row r="1193">
      <c r="A1193" s="17" t="inlineStr">
        <is>
          <t>Resource Total (Material + Labour + Machinery, as printed)</t>
        </is>
      </c>
      <c r="B1193" s="18" t="n"/>
      <c r="C1193" s="18" t="n"/>
      <c r="D1193" s="18" t="n"/>
      <c r="E1193" s="18" t="n"/>
      <c r="F1193" s="19">
        <f>SUM(F1187:F1192)</f>
        <v/>
      </c>
    </row>
    <row r="1194">
      <c r="A1194" s="20" t="inlineStr">
        <is>
          <t>SAY (Rs.) — final DAR rate</t>
        </is>
      </c>
      <c r="B1194" s="21" t="n"/>
      <c r="C1194" s="21" t="n"/>
      <c r="D1194" s="21" t="n"/>
      <c r="E1194" s="21" t="n"/>
      <c r="F1194" s="22" t="n">
        <v>781.25</v>
      </c>
    </row>
    <row r="1196" ht="28" customHeight="1">
      <c r="A1196" s="9" t="inlineStr">
        <is>
          <t>9.52</t>
        </is>
      </c>
      <c r="B1196" s="10" t="inlineStr">
        <is>
          <t>Deduct for fixing 75x25 mm hard drawn steel wire fabric of weight not less than 7.75 Kg per sqm in panelled and glazed door and window shutt</t>
        </is>
      </c>
      <c r="C1196" s="11" t="n"/>
      <c r="D1196" s="11" t="n"/>
      <c r="E1196" s="11" t="n"/>
      <c r="F1196" s="11" t="n"/>
    </row>
    <row r="1197">
      <c r="A1197" s="12" t="inlineStr">
        <is>
          <t>Rate basis: per sqm  (source: cost for 1 sqm)</t>
        </is>
      </c>
    </row>
    <row r="1198">
      <c r="A1198" s="5" t="inlineStr">
        <is>
          <t>Code</t>
        </is>
      </c>
      <c r="B1198" s="5" t="inlineStr">
        <is>
          <t>Description</t>
        </is>
      </c>
      <c r="C1198" s="5" t="inlineStr">
        <is>
          <t>Unit</t>
        </is>
      </c>
      <c r="D1198" s="5" t="inlineStr">
        <is>
          <t>Quantity</t>
        </is>
      </c>
      <c r="E1198" s="5" t="inlineStr">
        <is>
          <t>Rate (Rs.)</t>
        </is>
      </c>
      <c r="F1198" s="5" t="inlineStr">
        <is>
          <t>Amount (Rs.)</t>
        </is>
      </c>
    </row>
    <row r="1199">
      <c r="A1199" s="13" t="inlineStr">
        <is>
          <t>1021</t>
        </is>
      </c>
      <c r="B1199" s="14" t="inlineStr">
        <is>
          <t>Hard drawn steel wire fabric</t>
        </is>
      </c>
      <c r="C1199" s="13" t="inlineStr">
        <is>
          <t>sqm</t>
        </is>
      </c>
      <c r="D1199" s="15" t="n">
        <v>1</v>
      </c>
      <c r="E1199" s="16" t="n">
        <v>430</v>
      </c>
      <c r="F1199" s="16">
        <f>D1199*E1199</f>
        <v/>
      </c>
    </row>
    <row r="1200">
      <c r="A1200" s="17" t="inlineStr">
        <is>
          <t>Resource Total (Material + Labour + Machinery, as printed)</t>
        </is>
      </c>
      <c r="B1200" s="18" t="n"/>
      <c r="C1200" s="18" t="n"/>
      <c r="D1200" s="18" t="n"/>
      <c r="E1200" s="18" t="n"/>
      <c r="F1200" s="19">
        <f>SUM(F1199:F1199)</f>
        <v/>
      </c>
    </row>
    <row r="1201">
      <c r="A1201" s="20" t="inlineStr">
        <is>
          <t>SAY (Rs.) — final DAR rate</t>
        </is>
      </c>
      <c r="B1201" s="21" t="n"/>
      <c r="C1201" s="21" t="n"/>
      <c r="D1201" s="21" t="n"/>
      <c r="E1201" s="21" t="n"/>
      <c r="F1201" s="22" t="n">
        <v>173.95</v>
      </c>
    </row>
    <row r="1203" ht="28" customHeight="1">
      <c r="A1203" s="9" t="inlineStr">
        <is>
          <t>9.53</t>
        </is>
      </c>
      <c r="B1203" s="10" t="inlineStr">
        <is>
          <t>Providing 40x5 mm flat iron hold fast 40 cm long including fixing to frame with 10 mm diameter bolts, nuts and wooden plugs and embedding in</t>
        </is>
      </c>
      <c r="C1203" s="11" t="n"/>
      <c r="D1203" s="11" t="n"/>
      <c r="E1203" s="11" t="n"/>
      <c r="F1203" s="11" t="n"/>
    </row>
    <row r="1204">
      <c r="A1204" s="12" t="inlineStr">
        <is>
          <t>Rate basis: per hold  (source: cost for 1 hold)</t>
        </is>
      </c>
    </row>
    <row r="1205">
      <c r="A1205" s="5" t="inlineStr">
        <is>
          <t>Code</t>
        </is>
      </c>
      <c r="B1205" s="5" t="inlineStr">
        <is>
          <t>Description</t>
        </is>
      </c>
      <c r="C1205" s="5" t="inlineStr">
        <is>
          <t>Unit</t>
        </is>
      </c>
      <c r="D1205" s="5" t="inlineStr">
        <is>
          <t>Quantity</t>
        </is>
      </c>
      <c r="E1205" s="5" t="inlineStr">
        <is>
          <t>Rate (Rs.)</t>
        </is>
      </c>
      <c r="F1205" s="5" t="inlineStr">
        <is>
          <t>Amount (Rs.)</t>
        </is>
      </c>
    </row>
    <row r="1206">
      <c r="A1206" s="13" t="inlineStr">
        <is>
          <t>4.2.5</t>
        </is>
      </c>
      <c r="B1206" s="14" t="inlineStr">
        <is>
          <t>Rate as per SH: 4.2.5</t>
        </is>
      </c>
      <c r="C1206" s="13" t="inlineStr">
        <is>
          <t>cum</t>
        </is>
      </c>
      <c r="D1206" s="15" t="n">
        <v>0.005</v>
      </c>
      <c r="E1206" s="16" t="n">
        <v>8025</v>
      </c>
      <c r="F1206" s="16">
        <f>D1206*E1206</f>
        <v/>
      </c>
    </row>
    <row r="1207">
      <c r="A1207" s="13" t="inlineStr">
        <is>
          <t>1008</t>
        </is>
      </c>
      <c r="B1207" s="14" t="inlineStr">
        <is>
          <t>Flats upto 10 mm in thickness</t>
        </is>
      </c>
      <c r="C1207" s="13" t="inlineStr">
        <is>
          <t>quintal</t>
        </is>
      </c>
      <c r="D1207" s="15" t="n">
        <v>0.0067</v>
      </c>
      <c r="E1207" s="16" t="n">
        <v>4500</v>
      </c>
      <c r="F1207" s="16">
        <f>D1207*E1207</f>
        <v/>
      </c>
    </row>
    <row r="1208">
      <c r="A1208" s="13" t="inlineStr">
        <is>
          <t>9977</t>
        </is>
      </c>
      <c r="B1208" s="14" t="inlineStr">
        <is>
          <t>Carriage of steel</t>
        </is>
      </c>
      <c r="C1208" s="13" t="inlineStr">
        <is>
          <t>L.S.</t>
        </is>
      </c>
      <c r="D1208" s="15" t="n">
        <v>1.82</v>
      </c>
      <c r="E1208" s="16" t="n">
        <v>2</v>
      </c>
      <c r="F1208" s="16">
        <f>D1208*E1208</f>
        <v/>
      </c>
    </row>
    <row r="1209">
      <c r="A1209" s="13" t="inlineStr">
        <is>
          <t>9999</t>
        </is>
      </c>
      <c r="B1209" s="14" t="inlineStr">
        <is>
          <t>Bolts and nuts</t>
        </is>
      </c>
      <c r="C1209" s="13" t="inlineStr">
        <is>
          <t>L.S.</t>
        </is>
      </c>
      <c r="D1209" s="15" t="n">
        <v>5.46</v>
      </c>
      <c r="E1209" s="16" t="n">
        <v>2</v>
      </c>
      <c r="F1209" s="16">
        <f>D1209*E1209</f>
        <v/>
      </c>
    </row>
    <row r="1210">
      <c r="A1210" s="13" t="inlineStr">
        <is>
          <t>0103</t>
        </is>
      </c>
      <c r="B1210" s="14" t="inlineStr">
        <is>
          <t>Blacksmith 2nd class</t>
        </is>
      </c>
      <c r="C1210" s="13" t="inlineStr">
        <is>
          <t>day</t>
        </is>
      </c>
      <c r="D1210" s="15" t="n">
        <v>0.03</v>
      </c>
      <c r="E1210" s="16" t="n">
        <v>679</v>
      </c>
      <c r="F1210" s="16">
        <f>D1210*E1210</f>
        <v/>
      </c>
    </row>
    <row r="1211">
      <c r="A1211" s="13" t="inlineStr">
        <is>
          <t>0123</t>
        </is>
      </c>
      <c r="B1211" s="14" t="inlineStr">
        <is>
          <t>Mason (brick layer) 1st class</t>
        </is>
      </c>
      <c r="C1211" s="13" t="inlineStr">
        <is>
          <t>day</t>
        </is>
      </c>
      <c r="D1211" s="15" t="n">
        <v>0.03</v>
      </c>
      <c r="E1211" s="16" t="n">
        <v>738</v>
      </c>
      <c r="F1211" s="16">
        <f>D1211*E1211</f>
        <v/>
      </c>
    </row>
    <row r="1212">
      <c r="A1212" s="13" t="inlineStr">
        <is>
          <t>0114</t>
        </is>
      </c>
      <c r="B1212" s="14" t="inlineStr">
        <is>
          <t>Beldar</t>
        </is>
      </c>
      <c r="C1212" s="13" t="inlineStr">
        <is>
          <t>day</t>
        </is>
      </c>
      <c r="D1212" s="15" t="n">
        <v>0.03</v>
      </c>
      <c r="E1212" s="16" t="n">
        <v>558</v>
      </c>
      <c r="F1212" s="16">
        <f>D1212*E1212</f>
        <v/>
      </c>
    </row>
    <row r="1213">
      <c r="A1213" s="17" t="inlineStr">
        <is>
          <t>Resource Total (Material + Labour + Machinery, as printed)</t>
        </is>
      </c>
      <c r="B1213" s="18" t="n"/>
      <c r="C1213" s="18" t="n"/>
      <c r="D1213" s="18" t="n"/>
      <c r="E1213" s="18" t="n"/>
      <c r="F1213" s="19">
        <f>SUM(F1206:F1212)</f>
        <v/>
      </c>
    </row>
    <row r="1214">
      <c r="A1214" s="20" t="inlineStr">
        <is>
          <t>SAY (Rs.) — final DAR rate</t>
        </is>
      </c>
      <c r="B1214" s="21" t="n"/>
      <c r="C1214" s="21" t="n"/>
      <c r="D1214" s="21" t="n"/>
      <c r="E1214" s="21" t="n"/>
      <c r="F1214" s="22" t="n">
        <v>179.2</v>
      </c>
    </row>
    <row r="1216" ht="18" customHeight="1">
      <c r="A1216" s="9" t="inlineStr">
        <is>
          <t>9.54.1</t>
        </is>
      </c>
      <c r="B1216" s="10" t="inlineStr">
        <is>
          <t>Sal wood</t>
        </is>
      </c>
      <c r="C1216" s="11" t="n"/>
      <c r="D1216" s="11" t="n"/>
      <c r="E1216" s="11" t="n"/>
      <c r="F1216" s="11" t="n"/>
    </row>
    <row r="1217">
      <c r="A1217" s="12" t="inlineStr">
        <is>
          <t>Rate basis: per cum  (source: cost for 0.203 cum)</t>
        </is>
      </c>
    </row>
    <row r="1218">
      <c r="A1218" s="5" t="inlineStr">
        <is>
          <t>Code</t>
        </is>
      </c>
      <c r="B1218" s="5" t="inlineStr">
        <is>
          <t>Description</t>
        </is>
      </c>
      <c r="C1218" s="5" t="inlineStr">
        <is>
          <t>Unit</t>
        </is>
      </c>
      <c r="D1218" s="5" t="inlineStr">
        <is>
          <t>Quantity</t>
        </is>
      </c>
      <c r="E1218" s="5" t="inlineStr">
        <is>
          <t>Rate (Rs.)</t>
        </is>
      </c>
      <c r="F1218" s="5" t="inlineStr">
        <is>
          <t>Amount (Rs.)</t>
        </is>
      </c>
    </row>
    <row r="1219">
      <c r="A1219" s="13" t="inlineStr">
        <is>
          <t>13.57.1</t>
        </is>
      </c>
      <c r="B1219" s="14" t="inlineStr">
        <is>
          <t>Rate as per SH: 13.57.1</t>
        </is>
      </c>
      <c r="C1219" s="13" t="inlineStr">
        <is>
          <t>sqm</t>
        </is>
      </c>
      <c r="D1219" s="15" t="n">
        <v>0.54</v>
      </c>
      <c r="E1219" s="16" t="n">
        <v>44.5</v>
      </c>
      <c r="F1219" s="16">
        <f>D1219*E1219</f>
        <v/>
      </c>
    </row>
    <row r="1220">
      <c r="A1220" s="13" t="inlineStr">
        <is>
          <t>2204</t>
        </is>
      </c>
      <c r="B1220" s="14" t="inlineStr">
        <is>
          <t>Carriage of Timber</t>
        </is>
      </c>
      <c r="C1220" s="13" t="inlineStr">
        <is>
          <t>cum</t>
        </is>
      </c>
      <c r="D1220" s="15" t="n">
        <v>0.2071</v>
      </c>
      <c r="E1220" s="16" t="n">
        <v>118.59</v>
      </c>
      <c r="F1220" s="16">
        <f>D1220*E1220</f>
        <v/>
      </c>
    </row>
    <row r="1221">
      <c r="A1221" s="13" t="inlineStr">
        <is>
          <t>0112</t>
        </is>
      </c>
      <c r="B1221" s="14" t="inlineStr">
        <is>
          <t>Carpenter 2nd class</t>
        </is>
      </c>
      <c r="C1221" s="13" t="inlineStr">
        <is>
          <t>day</t>
        </is>
      </c>
      <c r="D1221" s="15" t="n">
        <v>0.7</v>
      </c>
      <c r="E1221" s="16" t="n">
        <v>679</v>
      </c>
      <c r="F1221" s="16">
        <f>D1221*E1221</f>
        <v/>
      </c>
    </row>
    <row r="1222">
      <c r="A1222" s="13" t="inlineStr">
        <is>
          <t>0114</t>
        </is>
      </c>
      <c r="B1222" s="14" t="inlineStr">
        <is>
          <t>Beldar</t>
        </is>
      </c>
      <c r="C1222" s="13" t="inlineStr">
        <is>
          <t>day</t>
        </is>
      </c>
      <c r="D1222" s="15" t="n">
        <v>1.45</v>
      </c>
      <c r="E1222" s="16" t="n">
        <v>558</v>
      </c>
      <c r="F1222" s="16">
        <f>D1222*E1222</f>
        <v/>
      </c>
    </row>
    <row r="1223">
      <c r="A1223" s="13" t="inlineStr">
        <is>
          <t>0100</t>
        </is>
      </c>
      <c r="B1223" s="14" t="inlineStr">
        <is>
          <t>Bandhani</t>
        </is>
      </c>
      <c r="C1223" s="13" t="inlineStr">
        <is>
          <t>day</t>
        </is>
      </c>
      <c r="D1223" s="15" t="n">
        <v>0.7</v>
      </c>
      <c r="E1223" s="16" t="n">
        <v>617</v>
      </c>
      <c r="F1223" s="16">
        <f>D1223*E1223</f>
        <v/>
      </c>
    </row>
    <row r="1224">
      <c r="A1224" s="13" t="inlineStr">
        <is>
          <t>9999</t>
        </is>
      </c>
      <c r="B1224" s="14" t="inlineStr">
        <is>
          <t>Sundries</t>
        </is>
      </c>
      <c r="C1224" s="13" t="inlineStr">
        <is>
          <t>L.S.</t>
        </is>
      </c>
      <c r="D1224" s="15" t="n">
        <v>26.91</v>
      </c>
      <c r="E1224" s="16" t="n">
        <v>2</v>
      </c>
      <c r="F1224" s="16">
        <f>D1224*E1224</f>
        <v/>
      </c>
    </row>
    <row r="1225">
      <c r="A1225" s="17" t="inlineStr">
        <is>
          <t>Resource Total (Material + Labour + Machinery, as printed)</t>
        </is>
      </c>
      <c r="B1225" s="18" t="n"/>
      <c r="C1225" s="18" t="n"/>
      <c r="D1225" s="18" t="n"/>
      <c r="E1225" s="18" t="n"/>
      <c r="F1225" s="19">
        <f>SUM(F1219:F1224)</f>
        <v/>
      </c>
    </row>
    <row r="1226">
      <c r="A1226" s="20" t="inlineStr">
        <is>
          <t>SAY (Rs.) — final DAR rate</t>
        </is>
      </c>
      <c r="B1226" s="21" t="n"/>
      <c r="C1226" s="21" t="n"/>
      <c r="D1226" s="21" t="n"/>
      <c r="E1226" s="21" t="n"/>
      <c r="F1226" s="22" t="n">
        <v>93844.39999999999</v>
      </c>
    </row>
    <row r="1228" ht="18" customHeight="1">
      <c r="A1228" s="9" t="inlineStr">
        <is>
          <t>9.54.2</t>
        </is>
      </c>
      <c r="B1228" s="10" t="inlineStr">
        <is>
          <t>Hollock wood</t>
        </is>
      </c>
      <c r="C1228" s="11" t="n"/>
      <c r="D1228" s="11" t="n"/>
      <c r="E1228" s="11" t="n"/>
      <c r="F1228" s="11" t="n"/>
    </row>
    <row r="1229">
      <c r="A1229" s="12" t="inlineStr">
        <is>
          <t>Rate basis: per cum  (source: cost for 0.203 cum)</t>
        </is>
      </c>
    </row>
    <row r="1230">
      <c r="A1230" s="5" t="inlineStr">
        <is>
          <t>Code</t>
        </is>
      </c>
      <c r="B1230" s="5" t="inlineStr">
        <is>
          <t>Description</t>
        </is>
      </c>
      <c r="C1230" s="5" t="inlineStr">
        <is>
          <t>Unit</t>
        </is>
      </c>
      <c r="D1230" s="5" t="inlineStr">
        <is>
          <t>Quantity</t>
        </is>
      </c>
      <c r="E1230" s="5" t="inlineStr">
        <is>
          <t>Rate (Rs.)</t>
        </is>
      </c>
      <c r="F1230" s="5" t="inlineStr">
        <is>
          <t>Amount (Rs.)</t>
        </is>
      </c>
    </row>
    <row r="1231">
      <c r="A1231" s="13" t="inlineStr">
        <is>
          <t>13.57.1</t>
        </is>
      </c>
      <c r="B1231" s="14" t="inlineStr">
        <is>
          <t>Rate as per SH: 13.57.1</t>
        </is>
      </c>
      <c r="C1231" s="13" t="inlineStr">
        <is>
          <t>sqm</t>
        </is>
      </c>
      <c r="D1231" s="15" t="n">
        <v>0.54</v>
      </c>
      <c r="E1231" s="16" t="n">
        <v>44.5</v>
      </c>
      <c r="F1231" s="16">
        <f>D1231*E1231</f>
        <v/>
      </c>
    </row>
    <row r="1232">
      <c r="A1232" s="13" t="inlineStr">
        <is>
          <t>2204</t>
        </is>
      </c>
      <c r="B1232" s="14" t="inlineStr">
        <is>
          <t>Carriage of Timber</t>
        </is>
      </c>
      <c r="C1232" s="13" t="inlineStr">
        <is>
          <t>cum</t>
        </is>
      </c>
      <c r="D1232" s="15" t="n">
        <v>0.207</v>
      </c>
      <c r="E1232" s="16" t="n">
        <v>118.59</v>
      </c>
      <c r="F1232" s="16">
        <f>D1232*E1232</f>
        <v/>
      </c>
    </row>
    <row r="1233">
      <c r="A1233" s="13" t="inlineStr">
        <is>
          <t>0112</t>
        </is>
      </c>
      <c r="B1233" s="14" t="inlineStr">
        <is>
          <t>Carpenter 2nd class</t>
        </is>
      </c>
      <c r="C1233" s="13" t="inlineStr">
        <is>
          <t>day</t>
        </is>
      </c>
      <c r="D1233" s="15" t="n">
        <v>0.7</v>
      </c>
      <c r="E1233" s="16" t="n">
        <v>679</v>
      </c>
      <c r="F1233" s="16">
        <f>D1233*E1233</f>
        <v/>
      </c>
    </row>
    <row r="1234">
      <c r="A1234" s="13" t="inlineStr">
        <is>
          <t>0114</t>
        </is>
      </c>
      <c r="B1234" s="14" t="inlineStr">
        <is>
          <t>Beldar</t>
        </is>
      </c>
      <c r="C1234" s="13" t="inlineStr">
        <is>
          <t>day</t>
        </is>
      </c>
      <c r="D1234" s="15" t="n">
        <v>1.45</v>
      </c>
      <c r="E1234" s="16" t="n">
        <v>558</v>
      </c>
      <c r="F1234" s="16">
        <f>D1234*E1234</f>
        <v/>
      </c>
    </row>
    <row r="1235">
      <c r="A1235" s="13" t="inlineStr">
        <is>
          <t>0100</t>
        </is>
      </c>
      <c r="B1235" s="14" t="inlineStr">
        <is>
          <t>Bandhani</t>
        </is>
      </c>
      <c r="C1235" s="13" t="inlineStr">
        <is>
          <t>day</t>
        </is>
      </c>
      <c r="D1235" s="15" t="n">
        <v>0.7</v>
      </c>
      <c r="E1235" s="16" t="n">
        <v>617</v>
      </c>
      <c r="F1235" s="16">
        <f>D1235*E1235</f>
        <v/>
      </c>
    </row>
    <row r="1236">
      <c r="A1236" s="13" t="inlineStr">
        <is>
          <t>9999</t>
        </is>
      </c>
      <c r="B1236" s="14" t="inlineStr">
        <is>
          <t>Sundries</t>
        </is>
      </c>
      <c r="C1236" s="13" t="inlineStr">
        <is>
          <t>L.S.</t>
        </is>
      </c>
      <c r="D1236" s="15" t="n">
        <v>26.91</v>
      </c>
      <c r="E1236" s="16" t="n">
        <v>2</v>
      </c>
      <c r="F1236" s="16">
        <f>D1236*E1236</f>
        <v/>
      </c>
    </row>
    <row r="1237">
      <c r="A1237" s="17" t="inlineStr">
        <is>
          <t>Resource Total (Material + Labour + Machinery, as printed)</t>
        </is>
      </c>
      <c r="B1237" s="18" t="n"/>
      <c r="C1237" s="18" t="n"/>
      <c r="D1237" s="18" t="n"/>
      <c r="E1237" s="18" t="n"/>
      <c r="F1237" s="19">
        <f>SUM(F1231:F1236)</f>
        <v/>
      </c>
    </row>
    <row r="1238">
      <c r="A1238" s="20" t="inlineStr">
        <is>
          <t>SAY (Rs.) — final DAR rate</t>
        </is>
      </c>
      <c r="B1238" s="21" t="n"/>
      <c r="C1238" s="21" t="n"/>
      <c r="D1238" s="21" t="n"/>
      <c r="E1238" s="21" t="n"/>
      <c r="F1238" s="22" t="n">
        <v>59720.35</v>
      </c>
    </row>
    <row r="1240" ht="18" customHeight="1">
      <c r="A1240" s="9" t="inlineStr">
        <is>
          <t>9.55.1</t>
        </is>
      </c>
      <c r="B1240" s="10" t="inlineStr">
        <is>
          <t>125x65x2.12 mm</t>
        </is>
      </c>
      <c r="C1240" s="11" t="n"/>
      <c r="D1240" s="11" t="n"/>
      <c r="E1240" s="11" t="n"/>
      <c r="F1240" s="11" t="n"/>
    </row>
    <row r="1241">
      <c r="A1241" s="12" t="inlineStr">
        <is>
          <t>Rate basis: per nos  (source: cost for 1 nos)</t>
        </is>
      </c>
    </row>
    <row r="1242">
      <c r="A1242" s="5" t="inlineStr">
        <is>
          <t>Code</t>
        </is>
      </c>
      <c r="B1242" s="5" t="inlineStr">
        <is>
          <t>Description</t>
        </is>
      </c>
      <c r="C1242" s="5" t="inlineStr">
        <is>
          <t>Unit</t>
        </is>
      </c>
      <c r="D1242" s="5" t="inlineStr">
        <is>
          <t>Quantity</t>
        </is>
      </c>
      <c r="E1242" s="5" t="inlineStr">
        <is>
          <t>Rate (Rs.)</t>
        </is>
      </c>
      <c r="F1242" s="5" t="inlineStr">
        <is>
          <t>Amount (Rs.)</t>
        </is>
      </c>
    </row>
    <row r="1243">
      <c r="A1243" s="13" t="inlineStr">
        <is>
          <t>0594</t>
        </is>
      </c>
      <c r="B1243" s="14" t="inlineStr">
        <is>
          <t>Bright finished or black enamelled mild steel butt hinges 125x65x2.12 mm</t>
        </is>
      </c>
      <c r="C1243" s="13" t="inlineStr">
        <is>
          <t>10 Nos</t>
        </is>
      </c>
      <c r="D1243" s="15" t="n">
        <v>1</v>
      </c>
      <c r="E1243" s="16" t="n">
        <v>135</v>
      </c>
      <c r="F1243" s="16">
        <f>D1243*E1243</f>
        <v/>
      </c>
    </row>
    <row r="1244">
      <c r="A1244" s="13" t="inlineStr">
        <is>
          <t>0635</t>
        </is>
      </c>
      <c r="B1244" s="14" t="inlineStr">
        <is>
          <t>Bright finished or black enamelled mild steel screws 50 mm</t>
        </is>
      </c>
      <c r="C1244" s="13" t="inlineStr">
        <is>
          <t>100 Nos</t>
        </is>
      </c>
      <c r="D1244" s="15" t="n">
        <v>0.8</v>
      </c>
      <c r="E1244" s="16" t="n">
        <v>75</v>
      </c>
      <c r="F1244" s="16">
        <f>D1244*E1244</f>
        <v/>
      </c>
    </row>
    <row r="1245">
      <c r="A1245" s="13" t="inlineStr">
        <is>
          <t>9977</t>
        </is>
      </c>
      <c r="B1245" s="14" t="inlineStr">
        <is>
          <t>Carriage of materials</t>
        </is>
      </c>
      <c r="C1245" s="13" t="inlineStr">
        <is>
          <t>L.S.</t>
        </is>
      </c>
      <c r="D1245" s="15" t="n">
        <v>2.73</v>
      </c>
      <c r="E1245" s="16" t="n">
        <v>2</v>
      </c>
      <c r="F1245" s="16">
        <f>D1245*E1245</f>
        <v/>
      </c>
    </row>
    <row r="1246">
      <c r="A1246" s="13" t="inlineStr">
        <is>
          <t>0112</t>
        </is>
      </c>
      <c r="B1246" s="14" t="inlineStr">
        <is>
          <t>Carpenter 2nd class</t>
        </is>
      </c>
      <c r="C1246" s="13" t="inlineStr">
        <is>
          <t>day</t>
        </is>
      </c>
      <c r="D1246" s="15" t="n">
        <v>0.14</v>
      </c>
      <c r="E1246" s="16" t="n">
        <v>679</v>
      </c>
      <c r="F1246" s="16">
        <f>D1246*E1246</f>
        <v/>
      </c>
    </row>
    <row r="1247">
      <c r="A1247" s="13" t="inlineStr">
        <is>
          <t>0114</t>
        </is>
      </c>
      <c r="B1247" s="14" t="inlineStr">
        <is>
          <t>Beldar</t>
        </is>
      </c>
      <c r="C1247" s="13" t="inlineStr">
        <is>
          <t>day</t>
        </is>
      </c>
      <c r="D1247" s="15" t="n">
        <v>0.09</v>
      </c>
      <c r="E1247" s="16" t="n">
        <v>558</v>
      </c>
      <c r="F1247" s="16">
        <f>D1247*E1247</f>
        <v/>
      </c>
    </row>
    <row r="1248">
      <c r="A1248" s="17" t="inlineStr">
        <is>
          <t>Resource Total (Material + Labour + Machinery, as printed)</t>
        </is>
      </c>
      <c r="B1248" s="18" t="n"/>
      <c r="C1248" s="18" t="n"/>
      <c r="D1248" s="18" t="n"/>
      <c r="E1248" s="18" t="n"/>
      <c r="F1248" s="19">
        <f>SUM(F1243:F1247)</f>
        <v/>
      </c>
    </row>
    <row r="1249">
      <c r="A1249" s="20" t="inlineStr">
        <is>
          <t>SAY (Rs.) — final DAR rate</t>
        </is>
      </c>
      <c r="B1249" s="21" t="n"/>
      <c r="C1249" s="21" t="n"/>
      <c r="D1249" s="21" t="n"/>
      <c r="E1249" s="21" t="n"/>
      <c r="F1249" s="22" t="n">
        <v>46.25</v>
      </c>
    </row>
    <row r="1251" ht="18" customHeight="1">
      <c r="A1251" s="9" t="inlineStr">
        <is>
          <t>9.55.2</t>
        </is>
      </c>
      <c r="B1251" s="10" t="inlineStr">
        <is>
          <t>100x58x1.90 mm</t>
        </is>
      </c>
      <c r="C1251" s="11" t="n"/>
      <c r="D1251" s="11" t="n"/>
      <c r="E1251" s="11" t="n"/>
      <c r="F1251" s="11" t="n"/>
    </row>
    <row r="1252">
      <c r="A1252" s="12" t="inlineStr">
        <is>
          <t>Rate basis: per nos  (source: cost for 1 nos)</t>
        </is>
      </c>
    </row>
    <row r="1253">
      <c r="A1253" s="5" t="inlineStr">
        <is>
          <t>Code</t>
        </is>
      </c>
      <c r="B1253" s="5" t="inlineStr">
        <is>
          <t>Description</t>
        </is>
      </c>
      <c r="C1253" s="5" t="inlineStr">
        <is>
          <t>Unit</t>
        </is>
      </c>
      <c r="D1253" s="5" t="inlineStr">
        <is>
          <t>Quantity</t>
        </is>
      </c>
      <c r="E1253" s="5" t="inlineStr">
        <is>
          <t>Rate (Rs.)</t>
        </is>
      </c>
      <c r="F1253" s="5" t="inlineStr">
        <is>
          <t>Amount (Rs.)</t>
        </is>
      </c>
    </row>
    <row r="1254">
      <c r="A1254" s="13" t="inlineStr">
        <is>
          <t>0595</t>
        </is>
      </c>
      <c r="B1254" s="14" t="inlineStr">
        <is>
          <t>Bright finished or black enamelled mild steel butt hinges 100x58x1.90 mm</t>
        </is>
      </c>
      <c r="C1254" s="13" t="inlineStr">
        <is>
          <t>10 Nos</t>
        </is>
      </c>
      <c r="D1254" s="15" t="n">
        <v>1</v>
      </c>
      <c r="E1254" s="16" t="n">
        <v>80</v>
      </c>
      <c r="F1254" s="16">
        <f>D1254*E1254</f>
        <v/>
      </c>
    </row>
    <row r="1255">
      <c r="A1255" s="13" t="inlineStr">
        <is>
          <t>0637</t>
        </is>
      </c>
      <c r="B1255" s="14" t="inlineStr">
        <is>
          <t>Bright finished or black enamelled mild steel screws 40 mm</t>
        </is>
      </c>
      <c r="C1255" s="13" t="inlineStr">
        <is>
          <t>100 Nos</t>
        </is>
      </c>
      <c r="D1255" s="15" t="n">
        <v>0.8</v>
      </c>
      <c r="E1255" s="16" t="n">
        <v>60</v>
      </c>
      <c r="F1255" s="16">
        <f>D1255*E1255</f>
        <v/>
      </c>
    </row>
    <row r="1256">
      <c r="A1256" s="13" t="inlineStr">
        <is>
          <t>9977</t>
        </is>
      </c>
      <c r="B1256" s="14" t="inlineStr">
        <is>
          <t>Carriage of materials</t>
        </is>
      </c>
      <c r="C1256" s="13" t="inlineStr">
        <is>
          <t>L.S.</t>
        </is>
      </c>
      <c r="D1256" s="15" t="n">
        <v>2.73</v>
      </c>
      <c r="E1256" s="16" t="n">
        <v>2</v>
      </c>
      <c r="F1256" s="16">
        <f>D1256*E1256</f>
        <v/>
      </c>
    </row>
    <row r="1257">
      <c r="A1257" s="13" t="inlineStr">
        <is>
          <t>0112</t>
        </is>
      </c>
      <c r="B1257" s="14" t="inlineStr">
        <is>
          <t>Carpenter 2nd class</t>
        </is>
      </c>
      <c r="C1257" s="13" t="inlineStr">
        <is>
          <t>day</t>
        </is>
      </c>
      <c r="D1257" s="15" t="n">
        <v>0.14</v>
      </c>
      <c r="E1257" s="16" t="n">
        <v>679</v>
      </c>
      <c r="F1257" s="16">
        <f>D1257*E1257</f>
        <v/>
      </c>
    </row>
    <row r="1258">
      <c r="A1258" s="13" t="inlineStr">
        <is>
          <t>0114</t>
        </is>
      </c>
      <c r="B1258" s="14" t="inlineStr">
        <is>
          <t>Beldar</t>
        </is>
      </c>
      <c r="C1258" s="13" t="inlineStr">
        <is>
          <t>day</t>
        </is>
      </c>
      <c r="D1258" s="15" t="n">
        <v>0.09</v>
      </c>
      <c r="E1258" s="16" t="n">
        <v>558</v>
      </c>
      <c r="F1258" s="16">
        <f>D1258*E1258</f>
        <v/>
      </c>
    </row>
    <row r="1259">
      <c r="A1259" s="17" t="inlineStr">
        <is>
          <t>Resource Total (Material + Labour + Machinery, as printed)</t>
        </is>
      </c>
      <c r="B1259" s="18" t="n"/>
      <c r="C1259" s="18" t="n"/>
      <c r="D1259" s="18" t="n"/>
      <c r="E1259" s="18" t="n"/>
      <c r="F1259" s="19">
        <f>SUM(F1254:F1258)</f>
        <v/>
      </c>
    </row>
    <row r="1260">
      <c r="A1260" s="20" t="inlineStr">
        <is>
          <t>SAY (Rs.) — final DAR rate</t>
        </is>
      </c>
      <c r="B1260" s="21" t="n"/>
      <c r="C1260" s="21" t="n"/>
      <c r="D1260" s="21" t="n"/>
      <c r="E1260" s="21" t="n"/>
      <c r="F1260" s="22" t="n">
        <v>37.3</v>
      </c>
    </row>
    <row r="1262" ht="18" customHeight="1">
      <c r="A1262" s="9" t="inlineStr">
        <is>
          <t>9.55.3</t>
        </is>
      </c>
      <c r="B1262" s="10" t="inlineStr">
        <is>
          <t>75x47x1.70 mm</t>
        </is>
      </c>
      <c r="C1262" s="11" t="n"/>
      <c r="D1262" s="11" t="n"/>
      <c r="E1262" s="11" t="n"/>
      <c r="F1262" s="11" t="n"/>
    </row>
    <row r="1263">
      <c r="A1263" s="12" t="inlineStr">
        <is>
          <t>Rate basis: per nos  (source: cost for 1 nos)</t>
        </is>
      </c>
    </row>
    <row r="1264">
      <c r="A1264" s="5" t="inlineStr">
        <is>
          <t>Code</t>
        </is>
      </c>
      <c r="B1264" s="5" t="inlineStr">
        <is>
          <t>Description</t>
        </is>
      </c>
      <c r="C1264" s="5" t="inlineStr">
        <is>
          <t>Unit</t>
        </is>
      </c>
      <c r="D1264" s="5" t="inlineStr">
        <is>
          <t>Quantity</t>
        </is>
      </c>
      <c r="E1264" s="5" t="inlineStr">
        <is>
          <t>Rate (Rs.)</t>
        </is>
      </c>
      <c r="F1264" s="5" t="inlineStr">
        <is>
          <t>Amount (Rs.)</t>
        </is>
      </c>
    </row>
    <row r="1265">
      <c r="A1265" s="13" t="inlineStr">
        <is>
          <t>0596</t>
        </is>
      </c>
      <c r="B1265" s="14" t="inlineStr">
        <is>
          <t>Bright finished or black enamelled mild steel butt hinges75x47x1.70 mm</t>
        </is>
      </c>
      <c r="C1265" s="13" t="inlineStr">
        <is>
          <t>10 Nos</t>
        </is>
      </c>
      <c r="D1265" s="15" t="n">
        <v>1</v>
      </c>
      <c r="E1265" s="16" t="n">
        <v>56</v>
      </c>
      <c r="F1265" s="16">
        <f>D1265*E1265</f>
        <v/>
      </c>
    </row>
    <row r="1266">
      <c r="A1266" s="13" t="inlineStr">
        <is>
          <t>0638</t>
        </is>
      </c>
      <c r="B1266" s="14" t="inlineStr">
        <is>
          <t>Bright finished or black enamelled mild steel screws 30 mm</t>
        </is>
      </c>
      <c r="C1266" s="13" t="inlineStr">
        <is>
          <t>100 Nos</t>
        </is>
      </c>
      <c r="D1266" s="15" t="n">
        <v>0.6</v>
      </c>
      <c r="E1266" s="16" t="n">
        <v>45</v>
      </c>
      <c r="F1266" s="16">
        <f>D1266*E1266</f>
        <v/>
      </c>
    </row>
    <row r="1267">
      <c r="A1267" s="13" t="inlineStr">
        <is>
          <t>9977</t>
        </is>
      </c>
      <c r="B1267" s="14" t="inlineStr">
        <is>
          <t>Carriage of materials</t>
        </is>
      </c>
      <c r="C1267" s="13" t="inlineStr">
        <is>
          <t>L.S.</t>
        </is>
      </c>
      <c r="D1267" s="15" t="n">
        <v>1.82</v>
      </c>
      <c r="E1267" s="16" t="n">
        <v>2</v>
      </c>
      <c r="F1267" s="16">
        <f>D1267*E1267</f>
        <v/>
      </c>
    </row>
    <row r="1268">
      <c r="A1268" s="13" t="inlineStr">
        <is>
          <t>0112</t>
        </is>
      </c>
      <c r="B1268" s="14" t="inlineStr">
        <is>
          <t>Carpenter 2nd class</t>
        </is>
      </c>
      <c r="C1268" s="13" t="inlineStr">
        <is>
          <t>day</t>
        </is>
      </c>
      <c r="D1268" s="15" t="n">
        <v>0.14</v>
      </c>
      <c r="E1268" s="16" t="n">
        <v>679</v>
      </c>
      <c r="F1268" s="16">
        <f>D1268*E1268</f>
        <v/>
      </c>
    </row>
    <row r="1269">
      <c r="A1269" s="13" t="inlineStr">
        <is>
          <t>0114</t>
        </is>
      </c>
      <c r="B1269" s="14" t="inlineStr">
        <is>
          <t>Beldar</t>
        </is>
      </c>
      <c r="C1269" s="13" t="inlineStr">
        <is>
          <t>day</t>
        </is>
      </c>
      <c r="D1269" s="15" t="n">
        <v>0.09</v>
      </c>
      <c r="E1269" s="16" t="n">
        <v>558</v>
      </c>
      <c r="F1269" s="16">
        <f>D1269*E1269</f>
        <v/>
      </c>
    </row>
    <row r="1270">
      <c r="A1270" s="17" t="inlineStr">
        <is>
          <t>Resource Total (Material + Labour + Machinery, as printed)</t>
        </is>
      </c>
      <c r="B1270" s="18" t="n"/>
      <c r="C1270" s="18" t="n"/>
      <c r="D1270" s="18" t="n"/>
      <c r="E1270" s="18" t="n"/>
      <c r="F1270" s="19">
        <f>SUM(F1265:F1269)</f>
        <v/>
      </c>
    </row>
    <row r="1271">
      <c r="A1271" s="20" t="inlineStr">
        <is>
          <t>SAY (Rs.) — final DAR rate</t>
        </is>
      </c>
      <c r="B1271" s="21" t="n"/>
      <c r="C1271" s="21" t="n"/>
      <c r="D1271" s="21" t="n"/>
      <c r="E1271" s="21" t="n"/>
      <c r="F1271" s="22" t="n">
        <v>31.05</v>
      </c>
    </row>
    <row r="1273" ht="18" customHeight="1">
      <c r="A1273" s="9" t="inlineStr">
        <is>
          <t>9.55.4</t>
        </is>
      </c>
      <c r="B1273" s="10" t="inlineStr">
        <is>
          <t>50x37x1.50 mm</t>
        </is>
      </c>
      <c r="C1273" s="11" t="n"/>
      <c r="D1273" s="11" t="n"/>
      <c r="E1273" s="11" t="n"/>
      <c r="F1273" s="11" t="n"/>
    </row>
    <row r="1274">
      <c r="A1274" s="12" t="inlineStr">
        <is>
          <t>Rate basis: per nos  (source: cost for 1 nos)</t>
        </is>
      </c>
    </row>
    <row r="1275">
      <c r="A1275" s="5" t="inlineStr">
        <is>
          <t>Code</t>
        </is>
      </c>
      <c r="B1275" s="5" t="inlineStr">
        <is>
          <t>Description</t>
        </is>
      </c>
      <c r="C1275" s="5" t="inlineStr">
        <is>
          <t>Unit</t>
        </is>
      </c>
      <c r="D1275" s="5" t="inlineStr">
        <is>
          <t>Quantity</t>
        </is>
      </c>
      <c r="E1275" s="5" t="inlineStr">
        <is>
          <t>Rate (Rs.)</t>
        </is>
      </c>
      <c r="F1275" s="5" t="inlineStr">
        <is>
          <t>Amount (Rs.)</t>
        </is>
      </c>
    </row>
    <row r="1276">
      <c r="A1276" s="13" t="inlineStr">
        <is>
          <t>0597</t>
        </is>
      </c>
      <c r="B1276" s="14" t="inlineStr">
        <is>
          <t>Bright finished or black enamelled mild steel butt hinges50x37x1.50 mm</t>
        </is>
      </c>
      <c r="C1276" s="13" t="inlineStr">
        <is>
          <t>10 Nos</t>
        </is>
      </c>
      <c r="D1276" s="15" t="n">
        <v>1</v>
      </c>
      <c r="E1276" s="16" t="n">
        <v>49</v>
      </c>
      <c r="F1276" s="16">
        <f>D1276*E1276</f>
        <v/>
      </c>
    </row>
    <row r="1277">
      <c r="A1277" s="13" t="inlineStr">
        <is>
          <t>0640</t>
        </is>
      </c>
      <c r="B1277" s="14" t="inlineStr">
        <is>
          <t>Bright finished or black enamelled mild steel screws 20 mm</t>
        </is>
      </c>
      <c r="C1277" s="13" t="inlineStr">
        <is>
          <t>100 Nos</t>
        </is>
      </c>
      <c r="D1277" s="15" t="n">
        <v>0.4</v>
      </c>
      <c r="E1277" s="16" t="n">
        <v>30</v>
      </c>
      <c r="F1277" s="16">
        <f>D1277*E1277</f>
        <v/>
      </c>
    </row>
    <row r="1278">
      <c r="A1278" s="13" t="inlineStr">
        <is>
          <t>9977</t>
        </is>
      </c>
      <c r="B1278" s="14" t="inlineStr">
        <is>
          <t>Carriage of materials</t>
        </is>
      </c>
      <c r="C1278" s="13" t="inlineStr">
        <is>
          <t>L.S.</t>
        </is>
      </c>
      <c r="D1278" s="15" t="n">
        <v>0.91</v>
      </c>
      <c r="E1278" s="16" t="n">
        <v>2</v>
      </c>
      <c r="F1278" s="16">
        <f>D1278*E1278</f>
        <v/>
      </c>
    </row>
    <row r="1279">
      <c r="A1279" s="13" t="inlineStr">
        <is>
          <t>0112</t>
        </is>
      </c>
      <c r="B1279" s="14" t="inlineStr">
        <is>
          <t>Carpenter 2nd class</t>
        </is>
      </c>
      <c r="C1279" s="13" t="inlineStr">
        <is>
          <t>day</t>
        </is>
      </c>
      <c r="D1279" s="15" t="n">
        <v>0.08</v>
      </c>
      <c r="E1279" s="16" t="n">
        <v>679</v>
      </c>
      <c r="F1279" s="16">
        <f>D1279*E1279</f>
        <v/>
      </c>
    </row>
    <row r="1280">
      <c r="A1280" s="17" t="inlineStr">
        <is>
          <t>Resource Total (Material + Labour + Machinery, as printed)</t>
        </is>
      </c>
      <c r="B1280" s="18" t="n"/>
      <c r="C1280" s="18" t="n"/>
      <c r="D1280" s="18" t="n"/>
      <c r="E1280" s="18" t="n"/>
      <c r="F1280" s="19">
        <f>SUM(F1276:F1279)</f>
        <v/>
      </c>
    </row>
    <row r="1281">
      <c r="A1281" s="20" t="inlineStr">
        <is>
          <t>SAY (Rs.) — final DAR rate</t>
        </is>
      </c>
      <c r="B1281" s="21" t="n"/>
      <c r="C1281" s="21" t="n"/>
      <c r="D1281" s="21" t="n"/>
      <c r="E1281" s="21" t="n"/>
      <c r="F1281" s="22" t="n">
        <v>15.65</v>
      </c>
    </row>
    <row r="1283" ht="18" customHeight="1">
      <c r="A1283" s="9" t="inlineStr">
        <is>
          <t>9.56.1</t>
        </is>
      </c>
      <c r="B1283" s="10" t="inlineStr">
        <is>
          <t>125x90x4.00 mm</t>
        </is>
      </c>
      <c r="C1283" s="11" t="n"/>
      <c r="D1283" s="11" t="n"/>
      <c r="E1283" s="11" t="n"/>
      <c r="F1283" s="11" t="n"/>
    </row>
    <row r="1284">
      <c r="A1284" s="12" t="inlineStr">
        <is>
          <t>Rate basis: per nos  (source: cost for 1 nos)</t>
        </is>
      </c>
    </row>
    <row r="1285">
      <c r="A1285" s="5" t="inlineStr">
        <is>
          <t>Code</t>
        </is>
      </c>
      <c r="B1285" s="5" t="inlineStr">
        <is>
          <t>Description</t>
        </is>
      </c>
      <c r="C1285" s="5" t="inlineStr">
        <is>
          <t>Unit</t>
        </is>
      </c>
      <c r="D1285" s="5" t="inlineStr">
        <is>
          <t>Quantity</t>
        </is>
      </c>
      <c r="E1285" s="5" t="inlineStr">
        <is>
          <t>Rate (Rs.)</t>
        </is>
      </c>
      <c r="F1285" s="5" t="inlineStr">
        <is>
          <t>Amount (Rs.)</t>
        </is>
      </c>
    </row>
    <row r="1286">
      <c r="A1286" s="13" t="inlineStr">
        <is>
          <t>8222</t>
        </is>
      </c>
      <c r="B1286" s="14" t="inlineStr">
        <is>
          <t>M.S. heavy weight but hinges 125x90x4.0mm IS : 1341 marked.</t>
        </is>
      </c>
      <c r="C1286" s="13" t="inlineStr">
        <is>
          <t>10 Nos</t>
        </is>
      </c>
      <c r="D1286" s="15" t="n">
        <v>1</v>
      </c>
      <c r="E1286" s="16" t="n">
        <v>210</v>
      </c>
      <c r="F1286" s="16">
        <f>D1286*E1286</f>
        <v/>
      </c>
    </row>
    <row r="1287">
      <c r="A1287" s="13" t="inlineStr">
        <is>
          <t>0635</t>
        </is>
      </c>
      <c r="B1287" s="14" t="inlineStr">
        <is>
          <t>Bright finished or black enamelled mild steel screws 50 mm</t>
        </is>
      </c>
      <c r="C1287" s="13" t="inlineStr">
        <is>
          <t>100 Nos</t>
        </is>
      </c>
      <c r="D1287" s="15" t="n">
        <v>0.8</v>
      </c>
      <c r="E1287" s="16" t="n">
        <v>75</v>
      </c>
      <c r="F1287" s="16">
        <f>D1287*E1287</f>
        <v/>
      </c>
    </row>
    <row r="1288">
      <c r="A1288" s="13" t="inlineStr">
        <is>
          <t>9977</t>
        </is>
      </c>
      <c r="B1288" s="14" t="inlineStr">
        <is>
          <t>Carriage of materials</t>
        </is>
      </c>
      <c r="C1288" s="13" t="inlineStr">
        <is>
          <t>L.S.</t>
        </is>
      </c>
      <c r="D1288" s="15" t="n">
        <v>2.73</v>
      </c>
      <c r="E1288" s="16" t="n">
        <v>2</v>
      </c>
      <c r="F1288" s="16">
        <f>D1288*E1288</f>
        <v/>
      </c>
    </row>
    <row r="1289">
      <c r="A1289" s="13" t="inlineStr">
        <is>
          <t>0112</t>
        </is>
      </c>
      <c r="B1289" s="14" t="inlineStr">
        <is>
          <t>Carpenter 2nd class</t>
        </is>
      </c>
      <c r="C1289" s="13" t="inlineStr">
        <is>
          <t>day</t>
        </is>
      </c>
      <c r="D1289" s="15" t="n">
        <v>0.14</v>
      </c>
      <c r="E1289" s="16" t="n">
        <v>679</v>
      </c>
      <c r="F1289" s="16">
        <f>D1289*E1289</f>
        <v/>
      </c>
    </row>
    <row r="1290">
      <c r="A1290" s="13" t="inlineStr">
        <is>
          <t>0114</t>
        </is>
      </c>
      <c r="B1290" s="14" t="inlineStr">
        <is>
          <t>Beldar</t>
        </is>
      </c>
      <c r="C1290" s="13" t="inlineStr">
        <is>
          <t>day</t>
        </is>
      </c>
      <c r="D1290" s="15" t="n">
        <v>0.09</v>
      </c>
      <c r="E1290" s="16" t="n">
        <v>558</v>
      </c>
      <c r="F1290" s="16">
        <f>D1290*E1290</f>
        <v/>
      </c>
    </row>
    <row r="1291">
      <c r="A1291" s="17" t="inlineStr">
        <is>
          <t>Resource Total (Material + Labour + Machinery, as printed)</t>
        </is>
      </c>
      <c r="B1291" s="18" t="n"/>
      <c r="C1291" s="18" t="n"/>
      <c r="D1291" s="18" t="n"/>
      <c r="E1291" s="18" t="n"/>
      <c r="F1291" s="19">
        <f>SUM(F1286:F1290)</f>
        <v/>
      </c>
    </row>
    <row r="1292">
      <c r="A1292" s="20" t="inlineStr">
        <is>
          <t>SAY (Rs.) — final DAR rate</t>
        </is>
      </c>
      <c r="B1292" s="21" t="n"/>
      <c r="C1292" s="21" t="n"/>
      <c r="D1292" s="21" t="n"/>
      <c r="E1292" s="21" t="n"/>
      <c r="F1292" s="22" t="n">
        <v>56.3</v>
      </c>
    </row>
    <row r="1294" ht="18" customHeight="1">
      <c r="A1294" s="9" t="inlineStr">
        <is>
          <t>9.56.2</t>
        </is>
      </c>
      <c r="B1294" s="10" t="inlineStr">
        <is>
          <t>100x75x3.50 mm</t>
        </is>
      </c>
      <c r="C1294" s="11" t="n"/>
      <c r="D1294" s="11" t="n"/>
      <c r="E1294" s="11" t="n"/>
      <c r="F1294" s="11" t="n"/>
    </row>
    <row r="1295">
      <c r="A1295" s="12" t="inlineStr">
        <is>
          <t>Rate basis: per nos  (source: cost for 1 nos)</t>
        </is>
      </c>
    </row>
    <row r="1296">
      <c r="A1296" s="5" t="inlineStr">
        <is>
          <t>Code</t>
        </is>
      </c>
      <c r="B1296" s="5" t="inlineStr">
        <is>
          <t>Description</t>
        </is>
      </c>
      <c r="C1296" s="5" t="inlineStr">
        <is>
          <t>Unit</t>
        </is>
      </c>
      <c r="D1296" s="5" t="inlineStr">
        <is>
          <t>Quantity</t>
        </is>
      </c>
      <c r="E1296" s="5" t="inlineStr">
        <is>
          <t>Rate (Rs.)</t>
        </is>
      </c>
      <c r="F1296" s="5" t="inlineStr">
        <is>
          <t>Amount (Rs.)</t>
        </is>
      </c>
    </row>
    <row r="1297">
      <c r="A1297" s="13" t="inlineStr">
        <is>
          <t>8223</t>
        </is>
      </c>
      <c r="B1297" s="14" t="inlineStr">
        <is>
          <t>M.S. heavy weight butt hinges 100x75x3.5 mm IS: 1341 marked</t>
        </is>
      </c>
      <c r="C1297" s="13" t="inlineStr">
        <is>
          <t>10 Nos</t>
        </is>
      </c>
      <c r="D1297" s="15" t="n">
        <v>1</v>
      </c>
      <c r="E1297" s="16" t="n">
        <v>160</v>
      </c>
      <c r="F1297" s="16">
        <f>D1297*E1297</f>
        <v/>
      </c>
    </row>
    <row r="1298">
      <c r="A1298" s="13" t="inlineStr">
        <is>
          <t>0637</t>
        </is>
      </c>
      <c r="B1298" s="14" t="inlineStr">
        <is>
          <t>Bright finished or black enamelled mild steel screws 40 mm</t>
        </is>
      </c>
      <c r="C1298" s="13" t="inlineStr">
        <is>
          <t>100 Nos</t>
        </is>
      </c>
      <c r="D1298" s="15" t="n">
        <v>0.8</v>
      </c>
      <c r="E1298" s="16" t="n">
        <v>60</v>
      </c>
      <c r="F1298" s="16">
        <f>D1298*E1298</f>
        <v/>
      </c>
    </row>
    <row r="1299">
      <c r="A1299" s="13" t="inlineStr">
        <is>
          <t>9977</t>
        </is>
      </c>
      <c r="B1299" s="14" t="inlineStr">
        <is>
          <t>Carriage of materials</t>
        </is>
      </c>
      <c r="C1299" s="13" t="inlineStr">
        <is>
          <t>L.S.</t>
        </is>
      </c>
      <c r="D1299" s="15" t="n">
        <v>2.73</v>
      </c>
      <c r="E1299" s="16" t="n">
        <v>2</v>
      </c>
      <c r="F1299" s="16">
        <f>D1299*E1299</f>
        <v/>
      </c>
    </row>
    <row r="1300">
      <c r="A1300" s="13" t="inlineStr">
        <is>
          <t>0112</t>
        </is>
      </c>
      <c r="B1300" s="14" t="inlineStr">
        <is>
          <t>Carpenter 2nd class</t>
        </is>
      </c>
      <c r="C1300" s="13" t="inlineStr">
        <is>
          <t>day</t>
        </is>
      </c>
      <c r="D1300" s="15" t="n">
        <v>0.14</v>
      </c>
      <c r="E1300" s="16" t="n">
        <v>679</v>
      </c>
      <c r="F1300" s="16">
        <f>D1300*E1300</f>
        <v/>
      </c>
    </row>
    <row r="1301">
      <c r="A1301" s="13" t="inlineStr">
        <is>
          <t>0114</t>
        </is>
      </c>
      <c r="B1301" s="14" t="inlineStr">
        <is>
          <t>Beldar</t>
        </is>
      </c>
      <c r="C1301" s="13" t="inlineStr">
        <is>
          <t>day</t>
        </is>
      </c>
      <c r="D1301" s="15" t="n">
        <v>0.09</v>
      </c>
      <c r="E1301" s="16" t="n">
        <v>558</v>
      </c>
      <c r="F1301" s="16">
        <f>D1301*E1301</f>
        <v/>
      </c>
    </row>
    <row r="1302">
      <c r="A1302" s="17" t="inlineStr">
        <is>
          <t>Resource Total (Material + Labour + Machinery, as printed)</t>
        </is>
      </c>
      <c r="B1302" s="18" t="n"/>
      <c r="C1302" s="18" t="n"/>
      <c r="D1302" s="18" t="n"/>
      <c r="E1302" s="18" t="n"/>
      <c r="F1302" s="19">
        <f>SUM(F1297:F1301)</f>
        <v/>
      </c>
    </row>
    <row r="1303">
      <c r="A1303" s="20" t="inlineStr">
        <is>
          <t>SAY (Rs.) — final DAR rate</t>
        </is>
      </c>
      <c r="B1303" s="21" t="n"/>
      <c r="C1303" s="21" t="n"/>
      <c r="D1303" s="21" t="n"/>
      <c r="E1303" s="21" t="n"/>
      <c r="F1303" s="22" t="n">
        <v>48</v>
      </c>
    </row>
    <row r="1305" ht="18" customHeight="1">
      <c r="A1305" s="9" t="inlineStr">
        <is>
          <t>9.56.3</t>
        </is>
      </c>
      <c r="B1305" s="10" t="inlineStr">
        <is>
          <t>75x60x3.10 mm</t>
        </is>
      </c>
      <c r="C1305" s="11" t="n"/>
      <c r="D1305" s="11" t="n"/>
      <c r="E1305" s="11" t="n"/>
      <c r="F1305" s="11" t="n"/>
    </row>
    <row r="1306">
      <c r="A1306" s="12" t="inlineStr">
        <is>
          <t>Rate basis: per nos  (source: cost for 1 nos)</t>
        </is>
      </c>
    </row>
    <row r="1307">
      <c r="A1307" s="5" t="inlineStr">
        <is>
          <t>Code</t>
        </is>
      </c>
      <c r="B1307" s="5" t="inlineStr">
        <is>
          <t>Description</t>
        </is>
      </c>
      <c r="C1307" s="5" t="inlineStr">
        <is>
          <t>Unit</t>
        </is>
      </c>
      <c r="D1307" s="5" t="inlineStr">
        <is>
          <t>Quantity</t>
        </is>
      </c>
      <c r="E1307" s="5" t="inlineStr">
        <is>
          <t>Rate (Rs.)</t>
        </is>
      </c>
      <c r="F1307" s="5" t="inlineStr">
        <is>
          <t>Amount (Rs.)</t>
        </is>
      </c>
    </row>
    <row r="1308">
      <c r="A1308" s="13" t="inlineStr">
        <is>
          <t>8224</t>
        </is>
      </c>
      <c r="B1308" s="14" t="inlineStr">
        <is>
          <t>M.S. heavy weight butt hinges 75x60x3.1 mm IS: 1341 marked</t>
        </is>
      </c>
      <c r="C1308" s="13" t="inlineStr">
        <is>
          <t>10 Nos</t>
        </is>
      </c>
      <c r="D1308" s="15" t="n">
        <v>1</v>
      </c>
      <c r="E1308" s="16" t="n">
        <v>95</v>
      </c>
      <c r="F1308" s="16">
        <f>D1308*E1308</f>
        <v/>
      </c>
    </row>
    <row r="1309">
      <c r="A1309" s="13" t="inlineStr">
        <is>
          <t>0638</t>
        </is>
      </c>
      <c r="B1309" s="14" t="inlineStr">
        <is>
          <t>Bright finished or black enamelled mild steel screws 30 mm</t>
        </is>
      </c>
      <c r="C1309" s="13" t="inlineStr">
        <is>
          <t>100 Nos</t>
        </is>
      </c>
      <c r="D1309" s="15" t="n">
        <v>0.6</v>
      </c>
      <c r="E1309" s="16" t="n">
        <v>45</v>
      </c>
      <c r="F1309" s="16">
        <f>D1309*E1309</f>
        <v/>
      </c>
    </row>
    <row r="1310">
      <c r="A1310" s="13" t="inlineStr">
        <is>
          <t>9977</t>
        </is>
      </c>
      <c r="B1310" s="14" t="inlineStr">
        <is>
          <t>Carriage of materials</t>
        </is>
      </c>
      <c r="C1310" s="13" t="inlineStr">
        <is>
          <t>L.S.</t>
        </is>
      </c>
      <c r="D1310" s="15" t="n">
        <v>1.82</v>
      </c>
      <c r="E1310" s="16" t="n">
        <v>2</v>
      </c>
      <c r="F1310" s="16">
        <f>D1310*E1310</f>
        <v/>
      </c>
    </row>
    <row r="1311">
      <c r="A1311" s="13" t="inlineStr">
        <is>
          <t>0112</t>
        </is>
      </c>
      <c r="B1311" s="14" t="inlineStr">
        <is>
          <t>Carpenter 2nd class</t>
        </is>
      </c>
      <c r="C1311" s="13" t="inlineStr">
        <is>
          <t>day</t>
        </is>
      </c>
      <c r="D1311" s="15" t="n">
        <v>0.14</v>
      </c>
      <c r="E1311" s="16" t="n">
        <v>679</v>
      </c>
      <c r="F1311" s="16">
        <f>D1311*E1311</f>
        <v/>
      </c>
    </row>
    <row r="1312">
      <c r="A1312" s="13" t="inlineStr">
        <is>
          <t>0114</t>
        </is>
      </c>
      <c r="B1312" s="14" t="inlineStr">
        <is>
          <t>Beldar</t>
        </is>
      </c>
      <c r="C1312" s="13" t="inlineStr">
        <is>
          <t>day</t>
        </is>
      </c>
      <c r="D1312" s="15" t="n">
        <v>0.09</v>
      </c>
      <c r="E1312" s="16" t="n">
        <v>558</v>
      </c>
      <c r="F1312" s="16">
        <f>D1312*E1312</f>
        <v/>
      </c>
    </row>
    <row r="1313">
      <c r="A1313" s="17" t="inlineStr">
        <is>
          <t>Resource Total (Material + Labour + Machinery, as printed)</t>
        </is>
      </c>
      <c r="B1313" s="18" t="n"/>
      <c r="C1313" s="18" t="n"/>
      <c r="D1313" s="18" t="n"/>
      <c r="E1313" s="18" t="n"/>
      <c r="F1313" s="19">
        <f>SUM(F1308:F1312)</f>
        <v/>
      </c>
    </row>
    <row r="1314">
      <c r="A1314" s="20" t="inlineStr">
        <is>
          <t>SAY (Rs.) — final DAR rate</t>
        </is>
      </c>
      <c r="B1314" s="21" t="n"/>
      <c r="C1314" s="21" t="n"/>
      <c r="D1314" s="21" t="n"/>
      <c r="E1314" s="21" t="n"/>
      <c r="F1314" s="22" t="n">
        <v>36.25</v>
      </c>
    </row>
    <row r="1316" ht="18" customHeight="1">
      <c r="A1316" s="9" t="inlineStr">
        <is>
          <t>9.56.4</t>
        </is>
      </c>
      <c r="B1316" s="10" t="inlineStr">
        <is>
          <t>50x40x2.50 mm</t>
        </is>
      </c>
      <c r="C1316" s="11" t="n"/>
      <c r="D1316" s="11" t="n"/>
      <c r="E1316" s="11" t="n"/>
      <c r="F1316" s="11" t="n"/>
    </row>
    <row r="1317">
      <c r="A1317" s="12" t="inlineStr">
        <is>
          <t>Rate basis: per nos  (source: cost for 1 nos)</t>
        </is>
      </c>
    </row>
    <row r="1318">
      <c r="A1318" s="5" t="inlineStr">
        <is>
          <t>Code</t>
        </is>
      </c>
      <c r="B1318" s="5" t="inlineStr">
        <is>
          <t>Description</t>
        </is>
      </c>
      <c r="C1318" s="5" t="inlineStr">
        <is>
          <t>Unit</t>
        </is>
      </c>
      <c r="D1318" s="5" t="inlineStr">
        <is>
          <t>Quantity</t>
        </is>
      </c>
      <c r="E1318" s="5" t="inlineStr">
        <is>
          <t>Rate (Rs.)</t>
        </is>
      </c>
      <c r="F1318" s="5" t="inlineStr">
        <is>
          <t>Amount (Rs.)</t>
        </is>
      </c>
    </row>
    <row r="1319">
      <c r="A1319" s="13" t="inlineStr">
        <is>
          <t>8225</t>
        </is>
      </c>
      <c r="B1319" s="14" t="inlineStr">
        <is>
          <t>M.S. heavy weight butt hinges 50x40x2.5 mm IS : 1341 marked</t>
        </is>
      </c>
      <c r="C1319" s="13" t="inlineStr">
        <is>
          <t>10 Nos</t>
        </is>
      </c>
      <c r="D1319" s="15" t="n">
        <v>1</v>
      </c>
      <c r="E1319" s="16" t="n">
        <v>80</v>
      </c>
      <c r="F1319" s="16">
        <f>D1319*E1319</f>
        <v/>
      </c>
    </row>
    <row r="1320">
      <c r="A1320" s="13" t="inlineStr">
        <is>
          <t>0640</t>
        </is>
      </c>
      <c r="B1320" s="14" t="inlineStr">
        <is>
          <t>Bright finished or black enamelled mild steel screws 20 mm</t>
        </is>
      </c>
      <c r="C1320" s="13" t="inlineStr">
        <is>
          <t>100 Nos</t>
        </is>
      </c>
      <c r="D1320" s="15" t="n">
        <v>0.4</v>
      </c>
      <c r="E1320" s="16" t="n">
        <v>30</v>
      </c>
      <c r="F1320" s="16">
        <f>D1320*E1320</f>
        <v/>
      </c>
    </row>
    <row r="1321">
      <c r="A1321" s="13" t="inlineStr">
        <is>
          <t>9977</t>
        </is>
      </c>
      <c r="B1321" s="14" t="inlineStr">
        <is>
          <t>Carriage of materials</t>
        </is>
      </c>
      <c r="C1321" s="13" t="inlineStr">
        <is>
          <t>L.S.</t>
        </is>
      </c>
      <c r="D1321" s="15" t="n">
        <v>0.91</v>
      </c>
      <c r="E1321" s="16" t="n">
        <v>2</v>
      </c>
      <c r="F1321" s="16">
        <f>D1321*E1321</f>
        <v/>
      </c>
    </row>
    <row r="1322">
      <c r="A1322" s="13" t="inlineStr">
        <is>
          <t>0112</t>
        </is>
      </c>
      <c r="B1322" s="14" t="inlineStr">
        <is>
          <t>Carpenter 2nd class</t>
        </is>
      </c>
      <c r="C1322" s="13" t="inlineStr">
        <is>
          <t>day</t>
        </is>
      </c>
      <c r="D1322" s="15" t="n">
        <v>0.08</v>
      </c>
      <c r="E1322" s="16" t="n">
        <v>679</v>
      </c>
      <c r="F1322" s="16">
        <f>D1322*E1322</f>
        <v/>
      </c>
    </row>
    <row r="1323">
      <c r="A1323" s="17" t="inlineStr">
        <is>
          <t>Resource Total (Material + Labour + Machinery, as printed)</t>
        </is>
      </c>
      <c r="B1323" s="18" t="n"/>
      <c r="C1323" s="18" t="n"/>
      <c r="D1323" s="18" t="n"/>
      <c r="E1323" s="18" t="n"/>
      <c r="F1323" s="19">
        <f>SUM(F1319:F1322)</f>
        <v/>
      </c>
    </row>
    <row r="1324">
      <c r="A1324" s="20" t="inlineStr">
        <is>
          <t>SAY (Rs.) — final DAR rate</t>
        </is>
      </c>
      <c r="B1324" s="21" t="n"/>
      <c r="C1324" s="21" t="n"/>
      <c r="D1324" s="21" t="n"/>
      <c r="E1324" s="21" t="n"/>
      <c r="F1324" s="22" t="n">
        <v>19.8</v>
      </c>
    </row>
    <row r="1326" ht="18" customHeight="1">
      <c r="A1326" s="9" t="inlineStr">
        <is>
          <t>9.57.1</t>
        </is>
      </c>
      <c r="B1326" s="10" t="inlineStr">
        <is>
          <t>125x65x2.12 mm</t>
        </is>
      </c>
      <c r="C1326" s="11" t="n"/>
      <c r="D1326" s="11" t="n"/>
      <c r="E1326" s="11" t="n"/>
      <c r="F1326" s="11" t="n"/>
    </row>
    <row r="1327">
      <c r="A1327" s="12" t="inlineStr">
        <is>
          <t>Rate basis: per nos  (source: cost for 10 nos)</t>
        </is>
      </c>
    </row>
    <row r="1328">
      <c r="A1328" s="5" t="inlineStr">
        <is>
          <t>Code</t>
        </is>
      </c>
      <c r="B1328" s="5" t="inlineStr">
        <is>
          <t>Description</t>
        </is>
      </c>
      <c r="C1328" s="5" t="inlineStr">
        <is>
          <t>Unit</t>
        </is>
      </c>
      <c r="D1328" s="5" t="inlineStr">
        <is>
          <t>Quantity</t>
        </is>
      </c>
      <c r="E1328" s="5" t="inlineStr">
        <is>
          <t>Rate (Rs.)</t>
        </is>
      </c>
      <c r="F1328" s="5" t="inlineStr">
        <is>
          <t>Amount (Rs.)</t>
        </is>
      </c>
    </row>
    <row r="1329">
      <c r="A1329" s="13" t="inlineStr">
        <is>
          <t>0642</t>
        </is>
      </c>
      <c r="B1329" s="14" t="inlineStr">
        <is>
          <t>Oxidised mild steel butt hinges 125x65x2.12 mm</t>
        </is>
      </c>
      <c r="C1329" s="13" t="inlineStr">
        <is>
          <t>10 Nos</t>
        </is>
      </c>
      <c r="D1329" s="15" t="n">
        <v>1</v>
      </c>
      <c r="E1329" s="16" t="n">
        <v>130</v>
      </c>
      <c r="F1329" s="16">
        <f>D1329*E1329</f>
        <v/>
      </c>
    </row>
    <row r="1330">
      <c r="A1330" s="13" t="inlineStr">
        <is>
          <t>0682</t>
        </is>
      </c>
      <c r="B1330" s="14" t="inlineStr">
        <is>
          <t>Oxidised mild steel screws 50 mm</t>
        </is>
      </c>
      <c r="C1330" s="13" t="inlineStr">
        <is>
          <t>100 Nos</t>
        </is>
      </c>
      <c r="D1330" s="15" t="n">
        <v>0.8</v>
      </c>
      <c r="E1330" s="16" t="n">
        <v>76</v>
      </c>
      <c r="F1330" s="16">
        <f>D1330*E1330</f>
        <v/>
      </c>
    </row>
    <row r="1331">
      <c r="A1331" s="13" t="inlineStr">
        <is>
          <t>9977</t>
        </is>
      </c>
      <c r="B1331" s="14" t="inlineStr">
        <is>
          <t>Carriage of materials</t>
        </is>
      </c>
      <c r="C1331" s="13" t="inlineStr">
        <is>
          <t>L.S.</t>
        </is>
      </c>
      <c r="D1331" s="15" t="n">
        <v>3.64</v>
      </c>
      <c r="E1331" s="16" t="n">
        <v>2</v>
      </c>
      <c r="F1331" s="16">
        <f>D1331*E1331</f>
        <v/>
      </c>
    </row>
    <row r="1332">
      <c r="A1332" s="13" t="inlineStr">
        <is>
          <t>0112</t>
        </is>
      </c>
      <c r="B1332" s="14" t="inlineStr">
        <is>
          <t>Carpenter 2nd class</t>
        </is>
      </c>
      <c r="C1332" s="13" t="inlineStr">
        <is>
          <t>day</t>
        </is>
      </c>
      <c r="D1332" s="15" t="n">
        <v>0.14</v>
      </c>
      <c r="E1332" s="16" t="n">
        <v>679</v>
      </c>
      <c r="F1332" s="16">
        <f>D1332*E1332</f>
        <v/>
      </c>
    </row>
    <row r="1333">
      <c r="A1333" s="13" t="inlineStr">
        <is>
          <t>0114</t>
        </is>
      </c>
      <c r="B1333" s="14" t="inlineStr">
        <is>
          <t>Beldar</t>
        </is>
      </c>
      <c r="C1333" s="13" t="inlineStr">
        <is>
          <t>day</t>
        </is>
      </c>
      <c r="D1333" s="15" t="n">
        <v>0.09</v>
      </c>
      <c r="E1333" s="16" t="n">
        <v>558</v>
      </c>
      <c r="F1333" s="16">
        <f>D1333*E1333</f>
        <v/>
      </c>
    </row>
    <row r="1334">
      <c r="A1334" s="17" t="inlineStr">
        <is>
          <t>Resource Total (Material + Labour + Machinery, as printed)</t>
        </is>
      </c>
      <c r="B1334" s="18" t="n"/>
      <c r="C1334" s="18" t="n"/>
      <c r="D1334" s="18" t="n"/>
      <c r="E1334" s="18" t="n"/>
      <c r="F1334" s="19">
        <f>SUM(F1329:F1333)</f>
        <v/>
      </c>
    </row>
    <row r="1335">
      <c r="A1335" s="20" t="inlineStr">
        <is>
          <t>SAY (Rs.) — final DAR rate</t>
        </is>
      </c>
      <c r="B1335" s="21" t="n"/>
      <c r="C1335" s="21" t="n"/>
      <c r="D1335" s="21" t="n"/>
      <c r="E1335" s="21" t="n"/>
      <c r="F1335" s="22" t="n">
        <v>45.95</v>
      </c>
    </row>
    <row r="1337" ht="18" customHeight="1">
      <c r="A1337" s="9" t="inlineStr">
        <is>
          <t>9.57.2</t>
        </is>
      </c>
      <c r="B1337" s="10" t="inlineStr">
        <is>
          <t>100x58x1.90 mm</t>
        </is>
      </c>
      <c r="C1337" s="11" t="n"/>
      <c r="D1337" s="11" t="n"/>
      <c r="E1337" s="11" t="n"/>
      <c r="F1337" s="11" t="n"/>
    </row>
    <row r="1338">
      <c r="A1338" s="12" t="inlineStr">
        <is>
          <t>Rate basis: per nos  (source: cost for 10 nos)</t>
        </is>
      </c>
    </row>
    <row r="1339">
      <c r="A1339" s="5" t="inlineStr">
        <is>
          <t>Code</t>
        </is>
      </c>
      <c r="B1339" s="5" t="inlineStr">
        <is>
          <t>Description</t>
        </is>
      </c>
      <c r="C1339" s="5" t="inlineStr">
        <is>
          <t>Unit</t>
        </is>
      </c>
      <c r="D1339" s="5" t="inlineStr">
        <is>
          <t>Quantity</t>
        </is>
      </c>
      <c r="E1339" s="5" t="inlineStr">
        <is>
          <t>Rate (Rs.)</t>
        </is>
      </c>
      <c r="F1339" s="5" t="inlineStr">
        <is>
          <t>Amount (Rs.)</t>
        </is>
      </c>
    </row>
    <row r="1340">
      <c r="A1340" s="13" t="inlineStr">
        <is>
          <t>0643</t>
        </is>
      </c>
      <c r="B1340" s="14" t="inlineStr">
        <is>
          <t>Oxidised mild steel butt hinges 100x58x1.90 mm</t>
        </is>
      </c>
      <c r="C1340" s="13" t="inlineStr">
        <is>
          <t>10 Nos</t>
        </is>
      </c>
      <c r="D1340" s="15" t="n">
        <v>1</v>
      </c>
      <c r="E1340" s="16" t="n">
        <v>85</v>
      </c>
      <c r="F1340" s="16">
        <f>D1340*E1340</f>
        <v/>
      </c>
    </row>
    <row r="1341">
      <c r="A1341" s="13" t="inlineStr">
        <is>
          <t>0683</t>
        </is>
      </c>
      <c r="B1341" s="14" t="inlineStr">
        <is>
          <t>Oxidised mild steel screws 40 mm</t>
        </is>
      </c>
      <c r="C1341" s="13" t="inlineStr">
        <is>
          <t>100 Nos</t>
        </is>
      </c>
      <c r="D1341" s="15" t="n">
        <v>0.8</v>
      </c>
      <c r="E1341" s="16" t="n">
        <v>62</v>
      </c>
      <c r="F1341" s="16">
        <f>D1341*E1341</f>
        <v/>
      </c>
    </row>
    <row r="1342">
      <c r="A1342" s="13" t="inlineStr">
        <is>
          <t>9977</t>
        </is>
      </c>
      <c r="B1342" s="14" t="inlineStr">
        <is>
          <t>Carriage of materials</t>
        </is>
      </c>
      <c r="C1342" s="13" t="inlineStr">
        <is>
          <t>L.S.</t>
        </is>
      </c>
      <c r="D1342" s="15" t="n">
        <v>2.73</v>
      </c>
      <c r="E1342" s="16" t="n">
        <v>2</v>
      </c>
      <c r="F1342" s="16">
        <f>D1342*E1342</f>
        <v/>
      </c>
    </row>
    <row r="1343">
      <c r="A1343" s="13" t="inlineStr">
        <is>
          <t>0112</t>
        </is>
      </c>
      <c r="B1343" s="14" t="inlineStr">
        <is>
          <t>Carpenter 2nd class</t>
        </is>
      </c>
      <c r="C1343" s="13" t="inlineStr">
        <is>
          <t>day</t>
        </is>
      </c>
      <c r="D1343" s="15" t="n">
        <v>0.14</v>
      </c>
      <c r="E1343" s="16" t="n">
        <v>679</v>
      </c>
      <c r="F1343" s="16">
        <f>D1343*E1343</f>
        <v/>
      </c>
    </row>
    <row r="1344">
      <c r="A1344" s="13" t="inlineStr">
        <is>
          <t>0114</t>
        </is>
      </c>
      <c r="B1344" s="14" t="inlineStr">
        <is>
          <t>Beldar</t>
        </is>
      </c>
      <c r="C1344" s="13" t="inlineStr">
        <is>
          <t>day</t>
        </is>
      </c>
      <c r="D1344" s="15" t="n">
        <v>0.09</v>
      </c>
      <c r="E1344" s="16" t="n">
        <v>558</v>
      </c>
      <c r="F1344" s="16">
        <f>D1344*E1344</f>
        <v/>
      </c>
    </row>
    <row r="1345">
      <c r="A1345" s="17" t="inlineStr">
        <is>
          <t>Resource Total (Material + Labour + Machinery, as printed)</t>
        </is>
      </c>
      <c r="B1345" s="18" t="n"/>
      <c r="C1345" s="18" t="n"/>
      <c r="D1345" s="18" t="n"/>
      <c r="E1345" s="18" t="n"/>
      <c r="F1345" s="19">
        <f>SUM(F1340:F1344)</f>
        <v/>
      </c>
    </row>
    <row r="1346">
      <c r="A1346" s="20" t="inlineStr">
        <is>
          <t>SAY (Rs.) — final DAR rate</t>
        </is>
      </c>
      <c r="B1346" s="21" t="n"/>
      <c r="C1346" s="21" t="n"/>
      <c r="D1346" s="21" t="n"/>
      <c r="E1346" s="21" t="n"/>
      <c r="F1346" s="22" t="n">
        <v>38.2</v>
      </c>
    </row>
    <row r="1348" ht="18" customHeight="1">
      <c r="A1348" s="9" t="inlineStr">
        <is>
          <t>9.57.3</t>
        </is>
      </c>
      <c r="B1348" s="10" t="inlineStr">
        <is>
          <t>75x47x1.70 mm</t>
        </is>
      </c>
      <c r="C1348" s="11" t="n"/>
      <c r="D1348" s="11" t="n"/>
      <c r="E1348" s="11" t="n"/>
      <c r="F1348" s="11" t="n"/>
    </row>
    <row r="1349">
      <c r="A1349" s="12" t="inlineStr">
        <is>
          <t>Rate basis: per nos  (source: cost for 10 nos)</t>
        </is>
      </c>
    </row>
    <row r="1350">
      <c r="A1350" s="5" t="inlineStr">
        <is>
          <t>Code</t>
        </is>
      </c>
      <c r="B1350" s="5" t="inlineStr">
        <is>
          <t>Description</t>
        </is>
      </c>
      <c r="C1350" s="5" t="inlineStr">
        <is>
          <t>Unit</t>
        </is>
      </c>
      <c r="D1350" s="5" t="inlineStr">
        <is>
          <t>Quantity</t>
        </is>
      </c>
      <c r="E1350" s="5" t="inlineStr">
        <is>
          <t>Rate (Rs.)</t>
        </is>
      </c>
      <c r="F1350" s="5" t="inlineStr">
        <is>
          <t>Amount (Rs.)</t>
        </is>
      </c>
    </row>
    <row r="1351">
      <c r="A1351" s="13" t="inlineStr">
        <is>
          <t>0644</t>
        </is>
      </c>
      <c r="B1351" s="14" t="inlineStr">
        <is>
          <t>Oxidised mild steel butt hinges 75x47x1.70 mm</t>
        </is>
      </c>
      <c r="C1351" s="13" t="inlineStr">
        <is>
          <t>10 Nos</t>
        </is>
      </c>
      <c r="D1351" s="15" t="n">
        <v>1</v>
      </c>
      <c r="E1351" s="16" t="n">
        <v>63</v>
      </c>
      <c r="F1351" s="16">
        <f>D1351*E1351</f>
        <v/>
      </c>
    </row>
    <row r="1352">
      <c r="A1352" s="13" t="inlineStr">
        <is>
          <t>0684</t>
        </is>
      </c>
      <c r="B1352" s="14" t="inlineStr">
        <is>
          <t>Oxidised mild steel screws 30 mm</t>
        </is>
      </c>
      <c r="C1352" s="13" t="inlineStr">
        <is>
          <t>100 Nos</t>
        </is>
      </c>
      <c r="D1352" s="15" t="n">
        <v>0.6</v>
      </c>
      <c r="E1352" s="16" t="n">
        <v>49</v>
      </c>
      <c r="F1352" s="16">
        <f>D1352*E1352</f>
        <v/>
      </c>
    </row>
    <row r="1353">
      <c r="A1353" s="13" t="inlineStr">
        <is>
          <t>9977</t>
        </is>
      </c>
      <c r="B1353" s="14" t="inlineStr">
        <is>
          <t>Carriage of materials</t>
        </is>
      </c>
      <c r="C1353" s="13" t="inlineStr">
        <is>
          <t>L.S.</t>
        </is>
      </c>
      <c r="D1353" s="15" t="n">
        <v>1.82</v>
      </c>
      <c r="E1353" s="16" t="n">
        <v>2</v>
      </c>
      <c r="F1353" s="16">
        <f>D1353*E1353</f>
        <v/>
      </c>
    </row>
    <row r="1354">
      <c r="A1354" s="13" t="inlineStr">
        <is>
          <t>0112</t>
        </is>
      </c>
      <c r="B1354" s="14" t="inlineStr">
        <is>
          <t>Carpenter 2nd class</t>
        </is>
      </c>
      <c r="C1354" s="13" t="inlineStr">
        <is>
          <t>day</t>
        </is>
      </c>
      <c r="D1354" s="15" t="n">
        <v>0.14</v>
      </c>
      <c r="E1354" s="16" t="n">
        <v>679</v>
      </c>
      <c r="F1354" s="16">
        <f>D1354*E1354</f>
        <v/>
      </c>
    </row>
    <row r="1355">
      <c r="A1355" s="13" t="inlineStr">
        <is>
          <t>0114</t>
        </is>
      </c>
      <c r="B1355" s="14" t="inlineStr">
        <is>
          <t>Beldar</t>
        </is>
      </c>
      <c r="C1355" s="13" t="inlineStr">
        <is>
          <t>day</t>
        </is>
      </c>
      <c r="D1355" s="15" t="n">
        <v>0.09</v>
      </c>
      <c r="E1355" s="16" t="n">
        <v>558</v>
      </c>
      <c r="F1355" s="16">
        <f>D1355*E1355</f>
        <v/>
      </c>
    </row>
    <row r="1356">
      <c r="A1356" s="17" t="inlineStr">
        <is>
          <t>Resource Total (Material + Labour + Machinery, as printed)</t>
        </is>
      </c>
      <c r="B1356" s="18" t="n"/>
      <c r="C1356" s="18" t="n"/>
      <c r="D1356" s="18" t="n"/>
      <c r="E1356" s="18" t="n"/>
      <c r="F1356" s="19">
        <f>SUM(F1351:F1355)</f>
        <v/>
      </c>
    </row>
    <row r="1357">
      <c r="A1357" s="20" t="inlineStr">
        <is>
          <t>SAY (Rs.) — final DAR rate</t>
        </is>
      </c>
      <c r="B1357" s="21" t="n"/>
      <c r="C1357" s="21" t="n"/>
      <c r="D1357" s="21" t="n"/>
      <c r="E1357" s="21" t="n"/>
      <c r="F1357" s="22" t="n">
        <v>32.3</v>
      </c>
    </row>
    <row r="1359" ht="18" customHeight="1">
      <c r="A1359" s="9" t="inlineStr">
        <is>
          <t>9.57.4</t>
        </is>
      </c>
      <c r="B1359" s="10" t="inlineStr">
        <is>
          <t>50x37x1.50 mm</t>
        </is>
      </c>
      <c r="C1359" s="11" t="n"/>
      <c r="D1359" s="11" t="n"/>
      <c r="E1359" s="11" t="n"/>
      <c r="F1359" s="11" t="n"/>
    </row>
    <row r="1360">
      <c r="A1360" s="12" t="inlineStr">
        <is>
          <t>Rate basis: per nos  (source: cost for 10 nos)</t>
        </is>
      </c>
    </row>
    <row r="1361">
      <c r="A1361" s="5" t="inlineStr">
        <is>
          <t>Code</t>
        </is>
      </c>
      <c r="B1361" s="5" t="inlineStr">
        <is>
          <t>Description</t>
        </is>
      </c>
      <c r="C1361" s="5" t="inlineStr">
        <is>
          <t>Unit</t>
        </is>
      </c>
      <c r="D1361" s="5" t="inlineStr">
        <is>
          <t>Quantity</t>
        </is>
      </c>
      <c r="E1361" s="5" t="inlineStr">
        <is>
          <t>Rate (Rs.)</t>
        </is>
      </c>
      <c r="F1361" s="5" t="inlineStr">
        <is>
          <t>Amount (Rs.)</t>
        </is>
      </c>
    </row>
    <row r="1362">
      <c r="A1362" s="13" t="inlineStr">
        <is>
          <t>0645</t>
        </is>
      </c>
      <c r="B1362" s="14" t="inlineStr">
        <is>
          <t>Oxidised mild steel butt hinges 50x37x1.50 mm</t>
        </is>
      </c>
      <c r="C1362" s="13" t="inlineStr">
        <is>
          <t>10 Nos</t>
        </is>
      </c>
      <c r="D1362" s="15" t="n">
        <v>1</v>
      </c>
      <c r="E1362" s="16" t="n">
        <v>53</v>
      </c>
      <c r="F1362" s="16">
        <f>D1362*E1362</f>
        <v/>
      </c>
    </row>
    <row r="1363">
      <c r="A1363" s="13" t="inlineStr">
        <is>
          <t>0686</t>
        </is>
      </c>
      <c r="B1363" s="14" t="inlineStr">
        <is>
          <t>Oxidised mild steel screws 20 mm</t>
        </is>
      </c>
      <c r="C1363" s="13" t="inlineStr">
        <is>
          <t>100 Nos</t>
        </is>
      </c>
      <c r="D1363" s="15" t="n">
        <v>0.4</v>
      </c>
      <c r="E1363" s="16" t="n">
        <v>32</v>
      </c>
      <c r="F1363" s="16">
        <f>D1363*E1363</f>
        <v/>
      </c>
    </row>
    <row r="1364">
      <c r="A1364" s="13" t="inlineStr">
        <is>
          <t>9977</t>
        </is>
      </c>
      <c r="B1364" s="14" t="inlineStr">
        <is>
          <t>Carriage of materials</t>
        </is>
      </c>
      <c r="C1364" s="13" t="inlineStr">
        <is>
          <t>L.S.</t>
        </is>
      </c>
      <c r="D1364" s="15" t="n">
        <v>0.91</v>
      </c>
      <c r="E1364" s="16" t="n">
        <v>2</v>
      </c>
      <c r="F1364" s="16">
        <f>D1364*E1364</f>
        <v/>
      </c>
    </row>
    <row r="1365">
      <c r="A1365" s="13" t="inlineStr">
        <is>
          <t>0112</t>
        </is>
      </c>
      <c r="B1365" s="14" t="inlineStr">
        <is>
          <t>Carpenter 2nd class</t>
        </is>
      </c>
      <c r="C1365" s="13" t="inlineStr">
        <is>
          <t>day</t>
        </is>
      </c>
      <c r="D1365" s="15" t="n">
        <v>0.08</v>
      </c>
      <c r="E1365" s="16" t="n">
        <v>679</v>
      </c>
      <c r="F1365" s="16">
        <f>D1365*E1365</f>
        <v/>
      </c>
    </row>
    <row r="1366">
      <c r="A1366" s="17" t="inlineStr">
        <is>
          <t>Resource Total (Material + Labour + Machinery, as printed)</t>
        </is>
      </c>
      <c r="B1366" s="18" t="n"/>
      <c r="C1366" s="18" t="n"/>
      <c r="D1366" s="18" t="n"/>
      <c r="E1366" s="18" t="n"/>
      <c r="F1366" s="19">
        <f>SUM(F1362:F1365)</f>
        <v/>
      </c>
    </row>
    <row r="1367">
      <c r="A1367" s="20" t="inlineStr">
        <is>
          <t>SAY (Rs.) — final DAR rate</t>
        </is>
      </c>
      <c r="B1367" s="21" t="n"/>
      <c r="C1367" s="21" t="n"/>
      <c r="D1367" s="21" t="n"/>
      <c r="E1367" s="21" t="n"/>
      <c r="F1367" s="22" t="n">
        <v>16.3</v>
      </c>
    </row>
    <row r="1369" ht="18" customHeight="1">
      <c r="A1369" s="9" t="inlineStr">
        <is>
          <t>9.58.1</t>
        </is>
      </c>
      <c r="B1369" s="10" t="inlineStr">
        <is>
          <t>150x125x27x2.80 mm</t>
        </is>
      </c>
      <c r="C1369" s="11" t="n"/>
      <c r="D1369" s="11" t="n"/>
      <c r="E1369" s="11" t="n"/>
      <c r="F1369" s="11" t="n"/>
    </row>
    <row r="1370">
      <c r="A1370" s="12" t="inlineStr">
        <is>
          <t>Rate basis: per nos  (source: cost for 10 nos)</t>
        </is>
      </c>
    </row>
    <row r="1371">
      <c r="A1371" s="5" t="inlineStr">
        <is>
          <t>Code</t>
        </is>
      </c>
      <c r="B1371" s="5" t="inlineStr">
        <is>
          <t>Description</t>
        </is>
      </c>
      <c r="C1371" s="5" t="inlineStr">
        <is>
          <t>Unit</t>
        </is>
      </c>
      <c r="D1371" s="5" t="inlineStr">
        <is>
          <t>Quantity</t>
        </is>
      </c>
      <c r="E1371" s="5" t="inlineStr">
        <is>
          <t>Rate (Rs.)</t>
        </is>
      </c>
      <c r="F1371" s="5" t="inlineStr">
        <is>
          <t>Amount (Rs.)</t>
        </is>
      </c>
    </row>
    <row r="1372">
      <c r="A1372" s="13" t="inlineStr">
        <is>
          <t>0646</t>
        </is>
      </c>
      <c r="B1372" s="14" t="inlineStr">
        <is>
          <t>Oxidised mild steel parliamentary hinges 150x125x27x2.8 mm</t>
        </is>
      </c>
      <c r="C1372" s="13" t="inlineStr">
        <is>
          <t>10 Nos</t>
        </is>
      </c>
      <c r="D1372" s="15" t="n">
        <v>1</v>
      </c>
      <c r="E1372" s="16" t="n">
        <v>334</v>
      </c>
      <c r="F1372" s="16">
        <f>D1372*E1372</f>
        <v/>
      </c>
    </row>
    <row r="1373">
      <c r="A1373" s="13" t="inlineStr">
        <is>
          <t>0683</t>
        </is>
      </c>
      <c r="B1373" s="14" t="inlineStr">
        <is>
          <t>Oxidised mild steel screws 40 mm</t>
        </is>
      </c>
      <c r="C1373" s="13" t="inlineStr">
        <is>
          <t>100 Nos</t>
        </is>
      </c>
      <c r="D1373" s="15" t="n">
        <v>0.8</v>
      </c>
      <c r="E1373" s="16" t="n">
        <v>62</v>
      </c>
      <c r="F1373" s="16">
        <f>D1373*E1373</f>
        <v/>
      </c>
    </row>
    <row r="1374">
      <c r="A1374" s="13" t="inlineStr">
        <is>
          <t>9977</t>
        </is>
      </c>
      <c r="B1374" s="14" t="inlineStr">
        <is>
          <t>Carriage of materials</t>
        </is>
      </c>
      <c r="C1374" s="13" t="inlineStr">
        <is>
          <t>L.S.</t>
        </is>
      </c>
      <c r="D1374" s="15" t="n">
        <v>2.73</v>
      </c>
      <c r="E1374" s="16" t="n">
        <v>2</v>
      </c>
      <c r="F1374" s="16">
        <f>D1374*E1374</f>
        <v/>
      </c>
    </row>
    <row r="1375">
      <c r="A1375" s="13" t="inlineStr">
        <is>
          <t>0112</t>
        </is>
      </c>
      <c r="B1375" s="14" t="inlineStr">
        <is>
          <t>Carpenter 2nd class</t>
        </is>
      </c>
      <c r="C1375" s="13" t="inlineStr">
        <is>
          <t>day</t>
        </is>
      </c>
      <c r="D1375" s="15" t="n">
        <v>0.14</v>
      </c>
      <c r="E1375" s="16" t="n">
        <v>679</v>
      </c>
      <c r="F1375" s="16">
        <f>D1375*E1375</f>
        <v/>
      </c>
    </row>
    <row r="1376">
      <c r="A1376" s="13" t="inlineStr">
        <is>
          <t>0114</t>
        </is>
      </c>
      <c r="B1376" s="14" t="inlineStr">
        <is>
          <t>Beldar</t>
        </is>
      </c>
      <c r="C1376" s="13" t="inlineStr">
        <is>
          <t>day</t>
        </is>
      </c>
      <c r="D1376" s="15" t="n">
        <v>0.14</v>
      </c>
      <c r="E1376" s="16" t="n">
        <v>558</v>
      </c>
      <c r="F1376" s="16">
        <f>D1376*E1376</f>
        <v/>
      </c>
    </row>
    <row r="1377">
      <c r="A1377" s="17" t="inlineStr">
        <is>
          <t>Resource Total (Material + Labour + Machinery, as printed)</t>
        </is>
      </c>
      <c r="B1377" s="18" t="n"/>
      <c r="C1377" s="18" t="n"/>
      <c r="D1377" s="18" t="n"/>
      <c r="E1377" s="18" t="n"/>
      <c r="F1377" s="19">
        <f>SUM(F1372:F1376)</f>
        <v/>
      </c>
    </row>
    <row r="1378">
      <c r="A1378" s="20" t="inlineStr">
        <is>
          <t>SAY (Rs.) — final DAR rate</t>
        </is>
      </c>
      <c r="B1378" s="21" t="n"/>
      <c r="C1378" s="21" t="n"/>
      <c r="D1378" s="21" t="n"/>
      <c r="E1378" s="21" t="n"/>
      <c r="F1378" s="22" t="n">
        <v>75.2</v>
      </c>
    </row>
    <row r="1380" ht="18" customHeight="1">
      <c r="A1380" s="9" t="inlineStr">
        <is>
          <t>9.58.2</t>
        </is>
      </c>
      <c r="B1380" s="10" t="inlineStr">
        <is>
          <t>125x125x27x2.80 mm</t>
        </is>
      </c>
      <c r="C1380" s="11" t="n"/>
      <c r="D1380" s="11" t="n"/>
      <c r="E1380" s="11" t="n"/>
      <c r="F1380" s="11" t="n"/>
    </row>
    <row r="1381">
      <c r="A1381" s="12" t="inlineStr">
        <is>
          <t>Rate basis: per nos  (source: cost for 10 nos)</t>
        </is>
      </c>
    </row>
    <row r="1382">
      <c r="A1382" s="5" t="inlineStr">
        <is>
          <t>Code</t>
        </is>
      </c>
      <c r="B1382" s="5" t="inlineStr">
        <is>
          <t>Description</t>
        </is>
      </c>
      <c r="C1382" s="5" t="inlineStr">
        <is>
          <t>Unit</t>
        </is>
      </c>
      <c r="D1382" s="5" t="inlineStr">
        <is>
          <t>Quantity</t>
        </is>
      </c>
      <c r="E1382" s="5" t="inlineStr">
        <is>
          <t>Rate (Rs.)</t>
        </is>
      </c>
      <c r="F1382" s="5" t="inlineStr">
        <is>
          <t>Amount (Rs.)</t>
        </is>
      </c>
    </row>
    <row r="1383">
      <c r="A1383" s="13" t="inlineStr">
        <is>
          <t>0647</t>
        </is>
      </c>
      <c r="B1383" s="14" t="inlineStr">
        <is>
          <t>Oxidised mild steel parliamentary hinges 125x125x27x2.8 mm</t>
        </is>
      </c>
      <c r="C1383" s="13" t="inlineStr">
        <is>
          <t>10 Nos</t>
        </is>
      </c>
      <c r="D1383" s="15" t="n">
        <v>1</v>
      </c>
      <c r="E1383" s="16" t="n">
        <v>309</v>
      </c>
      <c r="F1383" s="16">
        <f>D1383*E1383</f>
        <v/>
      </c>
    </row>
    <row r="1384">
      <c r="A1384" s="13" t="inlineStr">
        <is>
          <t>0683</t>
        </is>
      </c>
      <c r="B1384" s="14" t="inlineStr">
        <is>
          <t>Oxidised mild steel screws 40 mm</t>
        </is>
      </c>
      <c r="C1384" s="13" t="inlineStr">
        <is>
          <t>100 Nos</t>
        </is>
      </c>
      <c r="D1384" s="15" t="n">
        <v>0.8</v>
      </c>
      <c r="E1384" s="16" t="n">
        <v>62</v>
      </c>
      <c r="F1384" s="16">
        <f>D1384*E1384</f>
        <v/>
      </c>
    </row>
    <row r="1385">
      <c r="A1385" s="13" t="inlineStr">
        <is>
          <t>9977</t>
        </is>
      </c>
      <c r="B1385" s="14" t="inlineStr">
        <is>
          <t>Carriage of materials</t>
        </is>
      </c>
      <c r="C1385" s="13" t="inlineStr">
        <is>
          <t>L.S.</t>
        </is>
      </c>
      <c r="D1385" s="15" t="n">
        <v>2.73</v>
      </c>
      <c r="E1385" s="16" t="n">
        <v>2</v>
      </c>
      <c r="F1385" s="16">
        <f>D1385*E1385</f>
        <v/>
      </c>
    </row>
    <row r="1386">
      <c r="A1386" s="13" t="inlineStr">
        <is>
          <t>0112</t>
        </is>
      </c>
      <c r="B1386" s="14" t="inlineStr">
        <is>
          <t>Carpenter 2nd class</t>
        </is>
      </c>
      <c r="C1386" s="13" t="inlineStr">
        <is>
          <t>day</t>
        </is>
      </c>
      <c r="D1386" s="15" t="n">
        <v>0.14</v>
      </c>
      <c r="E1386" s="16" t="n">
        <v>679</v>
      </c>
      <c r="F1386" s="16">
        <f>D1386*E1386</f>
        <v/>
      </c>
    </row>
    <row r="1387">
      <c r="A1387" s="13" t="inlineStr">
        <is>
          <t>0114</t>
        </is>
      </c>
      <c r="B1387" s="14" t="inlineStr">
        <is>
          <t>Beldar</t>
        </is>
      </c>
      <c r="C1387" s="13" t="inlineStr">
        <is>
          <t>day</t>
        </is>
      </c>
      <c r="D1387" s="15" t="n">
        <v>0.14</v>
      </c>
      <c r="E1387" s="16" t="n">
        <v>558</v>
      </c>
      <c r="F1387" s="16">
        <f>D1387*E1387</f>
        <v/>
      </c>
    </row>
    <row r="1388">
      <c r="A1388" s="17" t="inlineStr">
        <is>
          <t>Resource Total (Material + Labour + Machinery, as printed)</t>
        </is>
      </c>
      <c r="B1388" s="18" t="n"/>
      <c r="C1388" s="18" t="n"/>
      <c r="D1388" s="18" t="n"/>
      <c r="E1388" s="18" t="n"/>
      <c r="F1388" s="19">
        <f>SUM(F1383:F1387)</f>
        <v/>
      </c>
    </row>
    <row r="1389">
      <c r="A1389" s="20" t="inlineStr">
        <is>
          <t>SAY (Rs.) — final DAR rate</t>
        </is>
      </c>
      <c r="B1389" s="21" t="n"/>
      <c r="C1389" s="21" t="n"/>
      <c r="D1389" s="21" t="n"/>
      <c r="E1389" s="21" t="n"/>
      <c r="F1389" s="22" t="n">
        <v>71.90000000000001</v>
      </c>
    </row>
    <row r="1391" ht="18" customHeight="1">
      <c r="A1391" s="9" t="inlineStr">
        <is>
          <t>9.58.3</t>
        </is>
      </c>
      <c r="B1391" s="10" t="inlineStr">
        <is>
          <t>100x125x27x2.80 mm</t>
        </is>
      </c>
      <c r="C1391" s="11" t="n"/>
      <c r="D1391" s="11" t="n"/>
      <c r="E1391" s="11" t="n"/>
      <c r="F1391" s="11" t="n"/>
    </row>
    <row r="1392">
      <c r="A1392" s="12" t="inlineStr">
        <is>
          <t>Rate basis: per nos  (source: cost for 10 nos)</t>
        </is>
      </c>
    </row>
    <row r="1393">
      <c r="A1393" s="5" t="inlineStr">
        <is>
          <t>Code</t>
        </is>
      </c>
      <c r="B1393" s="5" t="inlineStr">
        <is>
          <t>Description</t>
        </is>
      </c>
      <c r="C1393" s="5" t="inlineStr">
        <is>
          <t>Unit</t>
        </is>
      </c>
      <c r="D1393" s="5" t="inlineStr">
        <is>
          <t>Quantity</t>
        </is>
      </c>
      <c r="E1393" s="5" t="inlineStr">
        <is>
          <t>Rate (Rs.)</t>
        </is>
      </c>
      <c r="F1393" s="5" t="inlineStr">
        <is>
          <t>Amount (Rs.)</t>
        </is>
      </c>
    </row>
    <row r="1394">
      <c r="A1394" s="13" t="inlineStr">
        <is>
          <t>0648</t>
        </is>
      </c>
      <c r="B1394" s="14" t="inlineStr">
        <is>
          <t>Oxidised mild steel parliamentary hinges 100x125x27x2.8 mm</t>
        </is>
      </c>
      <c r="C1394" s="13" t="inlineStr">
        <is>
          <t>10 Nos</t>
        </is>
      </c>
      <c r="D1394" s="15" t="n">
        <v>1</v>
      </c>
      <c r="E1394" s="16" t="n">
        <v>231</v>
      </c>
      <c r="F1394" s="16">
        <f>D1394*E1394</f>
        <v/>
      </c>
    </row>
    <row r="1395">
      <c r="A1395" s="13" t="inlineStr">
        <is>
          <t>0683</t>
        </is>
      </c>
      <c r="B1395" s="14" t="inlineStr">
        <is>
          <t>Oxidised mild steel screws 40 mm</t>
        </is>
      </c>
      <c r="C1395" s="13" t="inlineStr">
        <is>
          <t>100 Nos</t>
        </is>
      </c>
      <c r="D1395" s="15" t="n">
        <v>0.8</v>
      </c>
      <c r="E1395" s="16" t="n">
        <v>62</v>
      </c>
      <c r="F1395" s="16">
        <f>D1395*E1395</f>
        <v/>
      </c>
    </row>
    <row r="1396">
      <c r="A1396" s="13" t="inlineStr">
        <is>
          <t>9977</t>
        </is>
      </c>
      <c r="B1396" s="14" t="inlineStr">
        <is>
          <t>Carriage of materials</t>
        </is>
      </c>
      <c r="C1396" s="13" t="inlineStr">
        <is>
          <t>L.S.</t>
        </is>
      </c>
      <c r="D1396" s="15" t="n">
        <v>2.73</v>
      </c>
      <c r="E1396" s="16" t="n">
        <v>2</v>
      </c>
      <c r="F1396" s="16">
        <f>D1396*E1396</f>
        <v/>
      </c>
    </row>
    <row r="1397">
      <c r="A1397" s="13" t="inlineStr">
        <is>
          <t>0112</t>
        </is>
      </c>
      <c r="B1397" s="14" t="inlineStr">
        <is>
          <t>Carpenter 2nd class</t>
        </is>
      </c>
      <c r="C1397" s="13" t="inlineStr">
        <is>
          <t>day</t>
        </is>
      </c>
      <c r="D1397" s="15" t="n">
        <v>0.14</v>
      </c>
      <c r="E1397" s="16" t="n">
        <v>679</v>
      </c>
      <c r="F1397" s="16">
        <f>D1397*E1397</f>
        <v/>
      </c>
    </row>
    <row r="1398">
      <c r="A1398" s="13" t="inlineStr">
        <is>
          <t>0114</t>
        </is>
      </c>
      <c r="B1398" s="14" t="inlineStr">
        <is>
          <t>Beldar</t>
        </is>
      </c>
      <c r="C1398" s="13" t="inlineStr">
        <is>
          <t>day</t>
        </is>
      </c>
      <c r="D1398" s="15" t="n">
        <v>0.14</v>
      </c>
      <c r="E1398" s="16" t="n">
        <v>558</v>
      </c>
      <c r="F1398" s="16">
        <f>D1398*E1398</f>
        <v/>
      </c>
    </row>
    <row r="1399">
      <c r="A1399" s="17" t="inlineStr">
        <is>
          <t>Resource Total (Material + Labour + Machinery, as printed)</t>
        </is>
      </c>
      <c r="B1399" s="18" t="n"/>
      <c r="C1399" s="18" t="n"/>
      <c r="D1399" s="18" t="n"/>
      <c r="E1399" s="18" t="n"/>
      <c r="F1399" s="19">
        <f>SUM(F1394:F1398)</f>
        <v/>
      </c>
    </row>
    <row r="1400">
      <c r="A1400" s="20" t="inlineStr">
        <is>
          <t>SAY (Rs.) — final DAR rate</t>
        </is>
      </c>
      <c r="B1400" s="21" t="n"/>
      <c r="C1400" s="21" t="n"/>
      <c r="D1400" s="21" t="n"/>
      <c r="E1400" s="21" t="n"/>
      <c r="F1400" s="22" t="n">
        <v>61.45</v>
      </c>
    </row>
    <row r="1402" ht="18" customHeight="1">
      <c r="A1402" s="9" t="inlineStr">
        <is>
          <t>9.58.4</t>
        </is>
      </c>
      <c r="B1402" s="10" t="inlineStr">
        <is>
          <t>75x100x20x2.24 mm</t>
        </is>
      </c>
      <c r="C1402" s="11" t="n"/>
      <c r="D1402" s="11" t="n"/>
      <c r="E1402" s="11" t="n"/>
      <c r="F1402" s="11" t="n"/>
    </row>
    <row r="1403">
      <c r="A1403" s="12" t="inlineStr">
        <is>
          <t>Rate basis: per nos  (source: cost for 10 nos)</t>
        </is>
      </c>
    </row>
    <row r="1404">
      <c r="A1404" s="5" t="inlineStr">
        <is>
          <t>Code</t>
        </is>
      </c>
      <c r="B1404" s="5" t="inlineStr">
        <is>
          <t>Description</t>
        </is>
      </c>
      <c r="C1404" s="5" t="inlineStr">
        <is>
          <t>Unit</t>
        </is>
      </c>
      <c r="D1404" s="5" t="inlineStr">
        <is>
          <t>Quantity</t>
        </is>
      </c>
      <c r="E1404" s="5" t="inlineStr">
        <is>
          <t>Rate (Rs.)</t>
        </is>
      </c>
      <c r="F1404" s="5" t="inlineStr">
        <is>
          <t>Amount (Rs.)</t>
        </is>
      </c>
    </row>
    <row r="1405">
      <c r="A1405" s="13" t="inlineStr">
        <is>
          <t>0649</t>
        </is>
      </c>
      <c r="B1405" s="14" t="inlineStr">
        <is>
          <t>Oxidised mild steel parliamentary hinges 75x100x20x2.24 mm</t>
        </is>
      </c>
      <c r="C1405" s="13" t="inlineStr">
        <is>
          <t>10 Nos</t>
        </is>
      </c>
      <c r="D1405" s="15" t="n">
        <v>1</v>
      </c>
      <c r="E1405" s="16" t="n">
        <v>196</v>
      </c>
      <c r="F1405" s="16">
        <f>D1405*E1405</f>
        <v/>
      </c>
    </row>
    <row r="1406">
      <c r="A1406" s="13" t="inlineStr">
        <is>
          <t>0684</t>
        </is>
      </c>
      <c r="B1406" s="14" t="inlineStr">
        <is>
          <t>Oxidised mild steel screws 30 mm</t>
        </is>
      </c>
      <c r="C1406" s="13" t="inlineStr">
        <is>
          <t>100 Nos</t>
        </is>
      </c>
      <c r="D1406" s="15" t="n">
        <v>0.6</v>
      </c>
      <c r="E1406" s="16" t="n">
        <v>49</v>
      </c>
      <c r="F1406" s="16">
        <f>D1406*E1406</f>
        <v/>
      </c>
    </row>
    <row r="1407">
      <c r="A1407" s="13" t="inlineStr">
        <is>
          <t>9977</t>
        </is>
      </c>
      <c r="B1407" s="14" t="inlineStr">
        <is>
          <t>Carriage of materials</t>
        </is>
      </c>
      <c r="C1407" s="13" t="inlineStr">
        <is>
          <t>L.S.</t>
        </is>
      </c>
      <c r="D1407" s="15" t="n">
        <v>2.73</v>
      </c>
      <c r="E1407" s="16" t="n">
        <v>2</v>
      </c>
      <c r="F1407" s="16">
        <f>D1407*E1407</f>
        <v/>
      </c>
    </row>
    <row r="1408">
      <c r="A1408" s="13" t="inlineStr">
        <is>
          <t>0112</t>
        </is>
      </c>
      <c r="B1408" s="14" t="inlineStr">
        <is>
          <t>Carpenter 2nd class</t>
        </is>
      </c>
      <c r="C1408" s="13" t="inlineStr">
        <is>
          <t>day</t>
        </is>
      </c>
      <c r="D1408" s="15" t="n">
        <v>0.14</v>
      </c>
      <c r="E1408" s="16" t="n">
        <v>679</v>
      </c>
      <c r="F1408" s="16">
        <f>D1408*E1408</f>
        <v/>
      </c>
    </row>
    <row r="1409">
      <c r="A1409" s="13" t="inlineStr">
        <is>
          <t>0114</t>
        </is>
      </c>
      <c r="B1409" s="14" t="inlineStr">
        <is>
          <t>Beldar</t>
        </is>
      </c>
      <c r="C1409" s="13" t="inlineStr">
        <is>
          <t>day</t>
        </is>
      </c>
      <c r="D1409" s="15" t="n">
        <v>0.14</v>
      </c>
      <c r="E1409" s="16" t="n">
        <v>558</v>
      </c>
      <c r="F1409" s="16">
        <f>D1409*E1409</f>
        <v/>
      </c>
    </row>
    <row r="1410">
      <c r="A1410" s="17" t="inlineStr">
        <is>
          <t>Resource Total (Material + Labour + Machinery, as printed)</t>
        </is>
      </c>
      <c r="B1410" s="18" t="n"/>
      <c r="C1410" s="18" t="n"/>
      <c r="D1410" s="18" t="n"/>
      <c r="E1410" s="18" t="n"/>
      <c r="F1410" s="19">
        <f>SUM(F1405:F1409)</f>
        <v/>
      </c>
    </row>
    <row r="1411">
      <c r="A1411" s="20" t="inlineStr">
        <is>
          <t>SAY (Rs.) — final DAR rate</t>
        </is>
      </c>
      <c r="B1411" s="21" t="n"/>
      <c r="C1411" s="21" t="n"/>
      <c r="D1411" s="21" t="n"/>
      <c r="E1411" s="21" t="n"/>
      <c r="F1411" s="22" t="n">
        <v>54.05</v>
      </c>
    </row>
    <row r="1413" ht="18" customHeight="1">
      <c r="A1413" s="9" t="inlineStr">
        <is>
          <t>9.59.1</t>
        </is>
      </c>
      <c r="B1413" s="10" t="inlineStr">
        <is>
          <t>150 mm</t>
        </is>
      </c>
      <c r="C1413" s="11" t="n"/>
      <c r="D1413" s="11" t="n"/>
      <c r="E1413" s="11" t="n"/>
      <c r="F1413" s="11" t="n"/>
    </row>
    <row r="1414">
      <c r="A1414" s="12" t="inlineStr">
        <is>
          <t>Rate basis: per nos  (source: cost for 10 nos)</t>
        </is>
      </c>
    </row>
    <row r="1415">
      <c r="A1415" s="5" t="inlineStr">
        <is>
          <t>Code</t>
        </is>
      </c>
      <c r="B1415" s="5" t="inlineStr">
        <is>
          <t>Description</t>
        </is>
      </c>
      <c r="C1415" s="5" t="inlineStr">
        <is>
          <t>Unit</t>
        </is>
      </c>
      <c r="D1415" s="5" t="inlineStr">
        <is>
          <t>Quantity</t>
        </is>
      </c>
      <c r="E1415" s="5" t="inlineStr">
        <is>
          <t>Rate (Rs.)</t>
        </is>
      </c>
      <c r="F1415" s="5" t="inlineStr">
        <is>
          <t>Amount (Rs.)</t>
        </is>
      </c>
    </row>
    <row r="1416">
      <c r="A1416" s="13" t="inlineStr">
        <is>
          <t>0650</t>
        </is>
      </c>
      <c r="B1416" s="14" t="inlineStr">
        <is>
          <t>Oxidised mild steel single acting spring hinges 150 mm</t>
        </is>
      </c>
      <c r="C1416" s="13" t="inlineStr">
        <is>
          <t>each</t>
        </is>
      </c>
      <c r="D1416" s="15" t="n">
        <v>10</v>
      </c>
      <c r="E1416" s="16" t="n">
        <v>138</v>
      </c>
      <c r="F1416" s="16">
        <f>D1416*E1416</f>
        <v/>
      </c>
    </row>
    <row r="1417">
      <c r="A1417" s="13" t="inlineStr">
        <is>
          <t>0682</t>
        </is>
      </c>
      <c r="B1417" s="14" t="inlineStr">
        <is>
          <t>Oxidised mild steel screws 50 mm</t>
        </is>
      </c>
      <c r="C1417" s="13" t="inlineStr">
        <is>
          <t>100 Nos</t>
        </is>
      </c>
      <c r="D1417" s="15" t="n">
        <v>0.8</v>
      </c>
      <c r="E1417" s="16" t="n">
        <v>76</v>
      </c>
      <c r="F1417" s="16">
        <f>D1417*E1417</f>
        <v/>
      </c>
    </row>
    <row r="1418">
      <c r="A1418" s="13" t="inlineStr">
        <is>
          <t>9977</t>
        </is>
      </c>
      <c r="B1418" s="14" t="inlineStr">
        <is>
          <t>Carriage of materials</t>
        </is>
      </c>
      <c r="C1418" s="13" t="inlineStr">
        <is>
          <t>L.S.</t>
        </is>
      </c>
      <c r="D1418" s="15" t="n">
        <v>2.73</v>
      </c>
      <c r="E1418" s="16" t="n">
        <v>2</v>
      </c>
      <c r="F1418" s="16">
        <f>D1418*E1418</f>
        <v/>
      </c>
    </row>
    <row r="1419">
      <c r="A1419" s="13" t="inlineStr">
        <is>
          <t>0112</t>
        </is>
      </c>
      <c r="B1419" s="14" t="inlineStr">
        <is>
          <t>Carpenter 2nd class</t>
        </is>
      </c>
      <c r="C1419" s="13" t="inlineStr">
        <is>
          <t>day</t>
        </is>
      </c>
      <c r="D1419" s="15" t="n">
        <v>0.4</v>
      </c>
      <c r="E1419" s="16" t="n">
        <v>679</v>
      </c>
      <c r="F1419" s="16">
        <f>D1419*E1419</f>
        <v/>
      </c>
    </row>
    <row r="1420">
      <c r="A1420" s="13" t="inlineStr">
        <is>
          <t>0114</t>
        </is>
      </c>
      <c r="B1420" s="14" t="inlineStr">
        <is>
          <t>Beldar</t>
        </is>
      </c>
      <c r="C1420" s="13" t="inlineStr">
        <is>
          <t>day</t>
        </is>
      </c>
      <c r="D1420" s="15" t="n">
        <v>0.2</v>
      </c>
      <c r="E1420" s="16" t="n">
        <v>558</v>
      </c>
      <c r="F1420" s="16">
        <f>D1420*E1420</f>
        <v/>
      </c>
    </row>
    <row r="1421">
      <c r="A1421" s="17" t="inlineStr">
        <is>
          <t>Resource Total (Material + Labour + Machinery, as printed)</t>
        </is>
      </c>
      <c r="B1421" s="18" t="n"/>
      <c r="C1421" s="18" t="n"/>
      <c r="D1421" s="18" t="n"/>
      <c r="E1421" s="18" t="n"/>
      <c r="F1421" s="19">
        <f>SUM(F1416:F1420)</f>
        <v/>
      </c>
    </row>
    <row r="1422">
      <c r="A1422" s="20" t="inlineStr">
        <is>
          <t>SAY (Rs.) — final DAR rate</t>
        </is>
      </c>
      <c r="B1422" s="21" t="n"/>
      <c r="C1422" s="21" t="n"/>
      <c r="D1422" s="21" t="n"/>
      <c r="E1422" s="21" t="n"/>
      <c r="F1422" s="22" t="n">
        <v>244.75</v>
      </c>
    </row>
    <row r="1424" ht="18" customHeight="1">
      <c r="A1424" s="9" t="inlineStr">
        <is>
          <t>9.59.2</t>
        </is>
      </c>
      <c r="B1424" s="10" t="inlineStr">
        <is>
          <t>125 mm</t>
        </is>
      </c>
      <c r="C1424" s="11" t="n"/>
      <c r="D1424" s="11" t="n"/>
      <c r="E1424" s="11" t="n"/>
      <c r="F1424" s="11" t="n"/>
    </row>
    <row r="1425">
      <c r="A1425" s="12" t="inlineStr">
        <is>
          <t>Rate basis: per nos  (source: cost for 10 nos)</t>
        </is>
      </c>
    </row>
    <row r="1426">
      <c r="A1426" s="5" t="inlineStr">
        <is>
          <t>Code</t>
        </is>
      </c>
      <c r="B1426" s="5" t="inlineStr">
        <is>
          <t>Description</t>
        </is>
      </c>
      <c r="C1426" s="5" t="inlineStr">
        <is>
          <t>Unit</t>
        </is>
      </c>
      <c r="D1426" s="5" t="inlineStr">
        <is>
          <t>Quantity</t>
        </is>
      </c>
      <c r="E1426" s="5" t="inlineStr">
        <is>
          <t>Rate (Rs.)</t>
        </is>
      </c>
      <c r="F1426" s="5" t="inlineStr">
        <is>
          <t>Amount (Rs.)</t>
        </is>
      </c>
    </row>
    <row r="1427">
      <c r="A1427" s="13" t="inlineStr">
        <is>
          <t>0651</t>
        </is>
      </c>
      <c r="B1427" s="14" t="inlineStr">
        <is>
          <t>Oxidised mild steel single acting spring hinges 125 mm</t>
        </is>
      </c>
      <c r="C1427" s="13" t="inlineStr">
        <is>
          <t>each</t>
        </is>
      </c>
      <c r="D1427" s="15" t="n">
        <v>10</v>
      </c>
      <c r="E1427" s="16" t="n">
        <v>118</v>
      </c>
      <c r="F1427" s="16">
        <f>D1427*E1427</f>
        <v/>
      </c>
    </row>
    <row r="1428">
      <c r="A1428" s="13" t="inlineStr">
        <is>
          <t>0682</t>
        </is>
      </c>
      <c r="B1428" s="14" t="inlineStr">
        <is>
          <t>Oxidised mild steel screws 50 mm</t>
        </is>
      </c>
      <c r="C1428" s="13" t="inlineStr">
        <is>
          <t>100 Nos</t>
        </is>
      </c>
      <c r="D1428" s="15" t="n">
        <v>0.8</v>
      </c>
      <c r="E1428" s="16" t="n">
        <v>76</v>
      </c>
      <c r="F1428" s="16">
        <f>D1428*E1428</f>
        <v/>
      </c>
    </row>
    <row r="1429">
      <c r="A1429" s="13" t="inlineStr">
        <is>
          <t>9977</t>
        </is>
      </c>
      <c r="B1429" s="14" t="inlineStr">
        <is>
          <t>Carriage of materials</t>
        </is>
      </c>
      <c r="C1429" s="13" t="inlineStr">
        <is>
          <t>L.S.</t>
        </is>
      </c>
      <c r="D1429" s="15" t="n">
        <v>2.73</v>
      </c>
      <c r="E1429" s="16" t="n">
        <v>2</v>
      </c>
      <c r="F1429" s="16">
        <f>D1429*E1429</f>
        <v/>
      </c>
    </row>
    <row r="1430">
      <c r="A1430" s="13" t="inlineStr">
        <is>
          <t>0112</t>
        </is>
      </c>
      <c r="B1430" s="14" t="inlineStr">
        <is>
          <t>Carpenter 2nd class</t>
        </is>
      </c>
      <c r="C1430" s="13" t="inlineStr">
        <is>
          <t>day</t>
        </is>
      </c>
      <c r="D1430" s="15" t="n">
        <v>0.4</v>
      </c>
      <c r="E1430" s="16" t="n">
        <v>679</v>
      </c>
      <c r="F1430" s="16">
        <f>D1430*E1430</f>
        <v/>
      </c>
    </row>
    <row r="1431">
      <c r="A1431" s="13" t="inlineStr">
        <is>
          <t>0114</t>
        </is>
      </c>
      <c r="B1431" s="14" t="inlineStr">
        <is>
          <t>Beldar</t>
        </is>
      </c>
      <c r="C1431" s="13" t="inlineStr">
        <is>
          <t>day</t>
        </is>
      </c>
      <c r="D1431" s="15" t="n">
        <v>0.2</v>
      </c>
      <c r="E1431" s="16" t="n">
        <v>558</v>
      </c>
      <c r="F1431" s="16">
        <f>D1431*E1431</f>
        <v/>
      </c>
    </row>
    <row r="1432">
      <c r="A1432" s="17" t="inlineStr">
        <is>
          <t>Resource Total (Material + Labour + Machinery, as printed)</t>
        </is>
      </c>
      <c r="B1432" s="18" t="n"/>
      <c r="C1432" s="18" t="n"/>
      <c r="D1432" s="18" t="n"/>
      <c r="E1432" s="18" t="n"/>
      <c r="F1432" s="19">
        <f>SUM(F1427:F1431)</f>
        <v/>
      </c>
    </row>
    <row r="1433">
      <c r="A1433" s="20" t="inlineStr">
        <is>
          <t>SAY (Rs.) — final DAR rate</t>
        </is>
      </c>
      <c r="B1433" s="21" t="n"/>
      <c r="C1433" s="21" t="n"/>
      <c r="D1433" s="21" t="n"/>
      <c r="E1433" s="21" t="n"/>
      <c r="F1433" s="22" t="n">
        <v>218</v>
      </c>
    </row>
    <row r="1435" ht="18" customHeight="1">
      <c r="A1435" s="9" t="inlineStr">
        <is>
          <t>9.59.3</t>
        </is>
      </c>
      <c r="B1435" s="10" t="inlineStr">
        <is>
          <t>100 mm</t>
        </is>
      </c>
      <c r="C1435" s="11" t="n"/>
      <c r="D1435" s="11" t="n"/>
      <c r="E1435" s="11" t="n"/>
      <c r="F1435" s="11" t="n"/>
    </row>
    <row r="1436">
      <c r="A1436" s="12" t="inlineStr">
        <is>
          <t>Rate basis: per nos  (source: cost for 10 nos)</t>
        </is>
      </c>
    </row>
    <row r="1437">
      <c r="A1437" s="5" t="inlineStr">
        <is>
          <t>Code</t>
        </is>
      </c>
      <c r="B1437" s="5" t="inlineStr">
        <is>
          <t>Description</t>
        </is>
      </c>
      <c r="C1437" s="5" t="inlineStr">
        <is>
          <t>Unit</t>
        </is>
      </c>
      <c r="D1437" s="5" t="inlineStr">
        <is>
          <t>Quantity</t>
        </is>
      </c>
      <c r="E1437" s="5" t="inlineStr">
        <is>
          <t>Rate (Rs.)</t>
        </is>
      </c>
      <c r="F1437" s="5" t="inlineStr">
        <is>
          <t>Amount (Rs.)</t>
        </is>
      </c>
    </row>
    <row r="1438">
      <c r="A1438" s="13" t="inlineStr">
        <is>
          <t>0652</t>
        </is>
      </c>
      <c r="B1438" s="14" t="inlineStr">
        <is>
          <t>Oxidised mild steel single acting spring hinges 100 mm</t>
        </is>
      </c>
      <c r="C1438" s="13" t="inlineStr">
        <is>
          <t>each</t>
        </is>
      </c>
      <c r="D1438" s="15" t="n">
        <v>10</v>
      </c>
      <c r="E1438" s="16" t="n">
        <v>98</v>
      </c>
      <c r="F1438" s="16">
        <f>D1438*E1438</f>
        <v/>
      </c>
    </row>
    <row r="1439">
      <c r="A1439" s="13" t="inlineStr">
        <is>
          <t>0683</t>
        </is>
      </c>
      <c r="B1439" s="14" t="inlineStr">
        <is>
          <t>Oxidised mild steel screws 40 mm</t>
        </is>
      </c>
      <c r="C1439" s="13" t="inlineStr">
        <is>
          <t>100 Nos</t>
        </is>
      </c>
      <c r="D1439" s="15" t="n">
        <v>0.8</v>
      </c>
      <c r="E1439" s="16" t="n">
        <v>62</v>
      </c>
      <c r="F1439" s="16">
        <f>D1439*E1439</f>
        <v/>
      </c>
    </row>
    <row r="1440">
      <c r="A1440" s="13" t="inlineStr">
        <is>
          <t>9977</t>
        </is>
      </c>
      <c r="B1440" s="14" t="inlineStr">
        <is>
          <t>Carriage of materials</t>
        </is>
      </c>
      <c r="C1440" s="13" t="inlineStr">
        <is>
          <t>L.S.</t>
        </is>
      </c>
      <c r="D1440" s="15" t="n">
        <v>2.73</v>
      </c>
      <c r="E1440" s="16" t="n">
        <v>2</v>
      </c>
      <c r="F1440" s="16">
        <f>D1440*E1440</f>
        <v/>
      </c>
    </row>
    <row r="1441">
      <c r="A1441" s="13" t="inlineStr">
        <is>
          <t>0112</t>
        </is>
      </c>
      <c r="B1441" s="14" t="inlineStr">
        <is>
          <t>Carpenter 2nd class</t>
        </is>
      </c>
      <c r="C1441" s="13" t="inlineStr">
        <is>
          <t>day</t>
        </is>
      </c>
      <c r="D1441" s="15" t="n">
        <v>0.4</v>
      </c>
      <c r="E1441" s="16" t="n">
        <v>679</v>
      </c>
      <c r="F1441" s="16">
        <f>D1441*E1441</f>
        <v/>
      </c>
    </row>
    <row r="1442">
      <c r="A1442" s="13" t="inlineStr">
        <is>
          <t>0114</t>
        </is>
      </c>
      <c r="B1442" s="14" t="inlineStr">
        <is>
          <t>Beldar</t>
        </is>
      </c>
      <c r="C1442" s="13" t="inlineStr">
        <is>
          <t>day</t>
        </is>
      </c>
      <c r="D1442" s="15" t="n">
        <v>0.2</v>
      </c>
      <c r="E1442" s="16" t="n">
        <v>558</v>
      </c>
      <c r="F1442" s="16">
        <f>D1442*E1442</f>
        <v/>
      </c>
    </row>
    <row r="1443">
      <c r="A1443" s="17" t="inlineStr">
        <is>
          <t>Resource Total (Material + Labour + Machinery, as printed)</t>
        </is>
      </c>
      <c r="B1443" s="18" t="n"/>
      <c r="C1443" s="18" t="n"/>
      <c r="D1443" s="18" t="n"/>
      <c r="E1443" s="18" t="n"/>
      <c r="F1443" s="19">
        <f>SUM(F1438:F1442)</f>
        <v/>
      </c>
    </row>
    <row r="1444">
      <c r="A1444" s="20" t="inlineStr">
        <is>
          <t>SAY (Rs.) — final DAR rate</t>
        </is>
      </c>
      <c r="B1444" s="21" t="n"/>
      <c r="C1444" s="21" t="n"/>
      <c r="D1444" s="21" t="n"/>
      <c r="E1444" s="21" t="n"/>
      <c r="F1444" s="22" t="n">
        <v>189.75</v>
      </c>
    </row>
    <row r="1446" ht="18" customHeight="1">
      <c r="A1446" s="9" t="inlineStr">
        <is>
          <t>9.60.1</t>
        </is>
      </c>
      <c r="B1446" s="10" t="inlineStr">
        <is>
          <t>150 mm</t>
        </is>
      </c>
      <c r="C1446" s="11" t="n"/>
      <c r="D1446" s="11" t="n"/>
      <c r="E1446" s="11" t="n"/>
      <c r="F1446" s="11" t="n"/>
    </row>
    <row r="1447">
      <c r="A1447" s="12" t="inlineStr">
        <is>
          <t>Rate basis: per nos  (source: cost for 10 nos)</t>
        </is>
      </c>
    </row>
    <row r="1448">
      <c r="A1448" s="5" t="inlineStr">
        <is>
          <t>Code</t>
        </is>
      </c>
      <c r="B1448" s="5" t="inlineStr">
        <is>
          <t>Description</t>
        </is>
      </c>
      <c r="C1448" s="5" t="inlineStr">
        <is>
          <t>Unit</t>
        </is>
      </c>
      <c r="D1448" s="5" t="inlineStr">
        <is>
          <t>Quantity</t>
        </is>
      </c>
      <c r="E1448" s="5" t="inlineStr">
        <is>
          <t>Rate (Rs.)</t>
        </is>
      </c>
      <c r="F1448" s="5" t="inlineStr">
        <is>
          <t>Amount (Rs.)</t>
        </is>
      </c>
    </row>
    <row r="1449">
      <c r="A1449" s="13" t="inlineStr">
        <is>
          <t>0653</t>
        </is>
      </c>
      <c r="B1449" s="14" t="inlineStr">
        <is>
          <t>Oxidised mild steel double acting spring hinges 150 mm</t>
        </is>
      </c>
      <c r="C1449" s="13" t="inlineStr">
        <is>
          <t>each</t>
        </is>
      </c>
      <c r="D1449" s="15" t="n">
        <v>10</v>
      </c>
      <c r="E1449" s="16" t="n">
        <v>157</v>
      </c>
      <c r="F1449" s="16">
        <f>D1449*E1449</f>
        <v/>
      </c>
    </row>
    <row r="1450">
      <c r="A1450" s="13" t="inlineStr">
        <is>
          <t>0682</t>
        </is>
      </c>
      <c r="B1450" s="14" t="inlineStr">
        <is>
          <t>Oxidised mild steel screws 50 mm</t>
        </is>
      </c>
      <c r="C1450" s="13" t="inlineStr">
        <is>
          <t>100 Nos</t>
        </is>
      </c>
      <c r="D1450" s="15" t="n">
        <v>0.8</v>
      </c>
      <c r="E1450" s="16" t="n">
        <v>76</v>
      </c>
      <c r="F1450" s="16">
        <f>D1450*E1450</f>
        <v/>
      </c>
    </row>
    <row r="1451">
      <c r="A1451" s="13" t="inlineStr">
        <is>
          <t>9977</t>
        </is>
      </c>
      <c r="B1451" s="14" t="inlineStr">
        <is>
          <t>Carriage of materials</t>
        </is>
      </c>
      <c r="C1451" s="13" t="inlineStr">
        <is>
          <t>L.S.</t>
        </is>
      </c>
      <c r="D1451" s="15" t="n">
        <v>2.73</v>
      </c>
      <c r="E1451" s="16" t="n">
        <v>2</v>
      </c>
      <c r="F1451" s="16">
        <f>D1451*E1451</f>
        <v/>
      </c>
    </row>
    <row r="1452">
      <c r="A1452" s="13" t="inlineStr">
        <is>
          <t>0112</t>
        </is>
      </c>
      <c r="B1452" s="14" t="inlineStr">
        <is>
          <t>Carpenter 2nd class</t>
        </is>
      </c>
      <c r="C1452" s="13" t="inlineStr">
        <is>
          <t>day</t>
        </is>
      </c>
      <c r="D1452" s="15" t="n">
        <v>0.4</v>
      </c>
      <c r="E1452" s="16" t="n">
        <v>679</v>
      </c>
      <c r="F1452" s="16">
        <f>D1452*E1452</f>
        <v/>
      </c>
    </row>
    <row r="1453">
      <c r="A1453" s="13" t="inlineStr">
        <is>
          <t>0114</t>
        </is>
      </c>
      <c r="B1453" s="14" t="inlineStr">
        <is>
          <t>Beldar</t>
        </is>
      </c>
      <c r="C1453" s="13" t="inlineStr">
        <is>
          <t>day</t>
        </is>
      </c>
      <c r="D1453" s="15" t="n">
        <v>0.2</v>
      </c>
      <c r="E1453" s="16" t="n">
        <v>558</v>
      </c>
      <c r="F1453" s="16">
        <f>D1453*E1453</f>
        <v/>
      </c>
    </row>
    <row r="1454">
      <c r="A1454" s="17" t="inlineStr">
        <is>
          <t>Resource Total (Material + Labour + Machinery, as printed)</t>
        </is>
      </c>
      <c r="B1454" s="18" t="n"/>
      <c r="C1454" s="18" t="n"/>
      <c r="D1454" s="18" t="n"/>
      <c r="E1454" s="18" t="n"/>
      <c r="F1454" s="19">
        <f>SUM(F1449:F1453)</f>
        <v/>
      </c>
    </row>
    <row r="1455">
      <c r="A1455" s="20" t="inlineStr">
        <is>
          <t>SAY (Rs.) — final DAR rate</t>
        </is>
      </c>
      <c r="B1455" s="21" t="n"/>
      <c r="C1455" s="21" t="n"/>
      <c r="D1455" s="21" t="n"/>
      <c r="E1455" s="21" t="n"/>
      <c r="F1455" s="22" t="n">
        <v>270.2</v>
      </c>
    </row>
    <row r="1457" ht="18" customHeight="1">
      <c r="A1457" s="9" t="inlineStr">
        <is>
          <t>9.60.2</t>
        </is>
      </c>
      <c r="B1457" s="10" t="inlineStr">
        <is>
          <t>125 mm</t>
        </is>
      </c>
      <c r="C1457" s="11" t="n"/>
      <c r="D1457" s="11" t="n"/>
      <c r="E1457" s="11" t="n"/>
      <c r="F1457" s="11" t="n"/>
    </row>
    <row r="1458">
      <c r="A1458" s="12" t="inlineStr">
        <is>
          <t>Rate basis: per nos  (source: cost for 10 nos)</t>
        </is>
      </c>
    </row>
    <row r="1459">
      <c r="A1459" s="5" t="inlineStr">
        <is>
          <t>Code</t>
        </is>
      </c>
      <c r="B1459" s="5" t="inlineStr">
        <is>
          <t>Description</t>
        </is>
      </c>
      <c r="C1459" s="5" t="inlineStr">
        <is>
          <t>Unit</t>
        </is>
      </c>
      <c r="D1459" s="5" t="inlineStr">
        <is>
          <t>Quantity</t>
        </is>
      </c>
      <c r="E1459" s="5" t="inlineStr">
        <is>
          <t>Rate (Rs.)</t>
        </is>
      </c>
      <c r="F1459" s="5" t="inlineStr">
        <is>
          <t>Amount (Rs.)</t>
        </is>
      </c>
    </row>
    <row r="1460">
      <c r="A1460" s="13" t="inlineStr">
        <is>
          <t>0654</t>
        </is>
      </c>
      <c r="B1460" s="14" t="inlineStr">
        <is>
          <t>Oxidised mild steel double acting spring hinges 125 mm</t>
        </is>
      </c>
      <c r="C1460" s="13" t="inlineStr">
        <is>
          <t>each</t>
        </is>
      </c>
      <c r="D1460" s="15" t="n">
        <v>10</v>
      </c>
      <c r="E1460" s="16" t="n">
        <v>135</v>
      </c>
      <c r="F1460" s="16">
        <f>D1460*E1460</f>
        <v/>
      </c>
    </row>
    <row r="1461">
      <c r="A1461" s="13" t="inlineStr">
        <is>
          <t>0682</t>
        </is>
      </c>
      <c r="B1461" s="14" t="inlineStr">
        <is>
          <t>Oxidised mild steel screws 50 mm</t>
        </is>
      </c>
      <c r="C1461" s="13" t="inlineStr">
        <is>
          <t>100 Nos</t>
        </is>
      </c>
      <c r="D1461" s="15" t="n">
        <v>0.8</v>
      </c>
      <c r="E1461" s="16" t="n">
        <v>76</v>
      </c>
      <c r="F1461" s="16">
        <f>D1461*E1461</f>
        <v/>
      </c>
    </row>
    <row r="1462">
      <c r="A1462" s="13" t="inlineStr">
        <is>
          <t>9977</t>
        </is>
      </c>
      <c r="B1462" s="14" t="inlineStr">
        <is>
          <t>Carriage of materials</t>
        </is>
      </c>
      <c r="C1462" s="13" t="inlineStr">
        <is>
          <t>L.S.</t>
        </is>
      </c>
      <c r="D1462" s="15" t="n">
        <v>2.73</v>
      </c>
      <c r="E1462" s="16" t="n">
        <v>2</v>
      </c>
      <c r="F1462" s="16">
        <f>D1462*E1462</f>
        <v/>
      </c>
    </row>
    <row r="1463">
      <c r="A1463" s="13" t="inlineStr">
        <is>
          <t>0112</t>
        </is>
      </c>
      <c r="B1463" s="14" t="inlineStr">
        <is>
          <t>Carpenter 2nd class</t>
        </is>
      </c>
      <c r="C1463" s="13" t="inlineStr">
        <is>
          <t>day</t>
        </is>
      </c>
      <c r="D1463" s="15" t="n">
        <v>0.4</v>
      </c>
      <c r="E1463" s="16" t="n">
        <v>679</v>
      </c>
      <c r="F1463" s="16">
        <f>D1463*E1463</f>
        <v/>
      </c>
    </row>
    <row r="1464">
      <c r="A1464" s="13" t="inlineStr">
        <is>
          <t>0114</t>
        </is>
      </c>
      <c r="B1464" s="14" t="inlineStr">
        <is>
          <t>Beldar</t>
        </is>
      </c>
      <c r="C1464" s="13" t="inlineStr">
        <is>
          <t>day</t>
        </is>
      </c>
      <c r="D1464" s="15" t="n">
        <v>0.2</v>
      </c>
      <c r="E1464" s="16" t="n">
        <v>558</v>
      </c>
      <c r="F1464" s="16">
        <f>D1464*E1464</f>
        <v/>
      </c>
    </row>
    <row r="1465">
      <c r="A1465" s="17" t="inlineStr">
        <is>
          <t>Resource Total (Material + Labour + Machinery, as printed)</t>
        </is>
      </c>
      <c r="B1465" s="18" t="n"/>
      <c r="C1465" s="18" t="n"/>
      <c r="D1465" s="18" t="n"/>
      <c r="E1465" s="18" t="n"/>
      <c r="F1465" s="19">
        <f>SUM(F1460:F1464)</f>
        <v/>
      </c>
    </row>
    <row r="1466">
      <c r="A1466" s="20" t="inlineStr">
        <is>
          <t>SAY (Rs.) — final DAR rate</t>
        </is>
      </c>
      <c r="B1466" s="21" t="n"/>
      <c r="C1466" s="21" t="n"/>
      <c r="D1466" s="21" t="n"/>
      <c r="E1466" s="21" t="n"/>
      <c r="F1466" s="22" t="n">
        <v>235.65</v>
      </c>
    </row>
    <row r="1468" ht="18" customHeight="1">
      <c r="A1468" s="9" t="inlineStr">
        <is>
          <t>9.60.3</t>
        </is>
      </c>
      <c r="B1468" s="10" t="inlineStr">
        <is>
          <t>100 mm</t>
        </is>
      </c>
      <c r="C1468" s="11" t="n"/>
      <c r="D1468" s="11" t="n"/>
      <c r="E1468" s="11" t="n"/>
      <c r="F1468" s="11" t="n"/>
    </row>
    <row r="1469">
      <c r="A1469" s="12" t="inlineStr">
        <is>
          <t>Rate basis: per nos  (source: cost for 10 nos)</t>
        </is>
      </c>
    </row>
    <row r="1470">
      <c r="A1470" s="5" t="inlineStr">
        <is>
          <t>Code</t>
        </is>
      </c>
      <c r="B1470" s="5" t="inlineStr">
        <is>
          <t>Description</t>
        </is>
      </c>
      <c r="C1470" s="5" t="inlineStr">
        <is>
          <t>Unit</t>
        </is>
      </c>
      <c r="D1470" s="5" t="inlineStr">
        <is>
          <t>Quantity</t>
        </is>
      </c>
      <c r="E1470" s="5" t="inlineStr">
        <is>
          <t>Rate (Rs.)</t>
        </is>
      </c>
      <c r="F1470" s="5" t="inlineStr">
        <is>
          <t>Amount (Rs.)</t>
        </is>
      </c>
    </row>
    <row r="1471">
      <c r="A1471" s="13" t="inlineStr">
        <is>
          <t>0655</t>
        </is>
      </c>
      <c r="B1471" s="14" t="inlineStr">
        <is>
          <t>Oxidised mild steel double acting spring hinges 100 mm</t>
        </is>
      </c>
      <c r="C1471" s="13" t="inlineStr">
        <is>
          <t>each</t>
        </is>
      </c>
      <c r="D1471" s="15" t="n">
        <v>10</v>
      </c>
      <c r="E1471" s="16" t="n">
        <v>118</v>
      </c>
      <c r="F1471" s="16">
        <f>D1471*E1471</f>
        <v/>
      </c>
    </row>
    <row r="1472">
      <c r="A1472" s="13" t="inlineStr">
        <is>
          <t>0683</t>
        </is>
      </c>
      <c r="B1472" s="14" t="inlineStr">
        <is>
          <t>Oxidised mild steel screws 40 mm</t>
        </is>
      </c>
      <c r="C1472" s="13" t="inlineStr">
        <is>
          <t>100 Nos</t>
        </is>
      </c>
      <c r="D1472" s="15" t="n">
        <v>0.8</v>
      </c>
      <c r="E1472" s="16" t="n">
        <v>62</v>
      </c>
      <c r="F1472" s="16">
        <f>D1472*E1472</f>
        <v/>
      </c>
    </row>
    <row r="1473">
      <c r="A1473" s="13" t="inlineStr">
        <is>
          <t>9977</t>
        </is>
      </c>
      <c r="B1473" s="14" t="inlineStr">
        <is>
          <t>Carriage of materials</t>
        </is>
      </c>
      <c r="C1473" s="13" t="inlineStr">
        <is>
          <t>L.S.</t>
        </is>
      </c>
      <c r="D1473" s="15" t="n">
        <v>2.73</v>
      </c>
      <c r="E1473" s="16" t="n">
        <v>2</v>
      </c>
      <c r="F1473" s="16">
        <f>D1473*E1473</f>
        <v/>
      </c>
    </row>
    <row r="1474">
      <c r="A1474" s="13" t="inlineStr">
        <is>
          <t>0112</t>
        </is>
      </c>
      <c r="B1474" s="14" t="inlineStr">
        <is>
          <t>Carpenter 2nd class</t>
        </is>
      </c>
      <c r="C1474" s="13" t="inlineStr">
        <is>
          <t>day</t>
        </is>
      </c>
      <c r="D1474" s="15" t="n">
        <v>0.4</v>
      </c>
      <c r="E1474" s="16" t="n">
        <v>679</v>
      </c>
      <c r="F1474" s="16">
        <f>D1474*E1474</f>
        <v/>
      </c>
    </row>
    <row r="1475">
      <c r="A1475" s="13" t="inlineStr">
        <is>
          <t>0114</t>
        </is>
      </c>
      <c r="B1475" s="14" t="inlineStr">
        <is>
          <t>Beldar</t>
        </is>
      </c>
      <c r="C1475" s="13" t="inlineStr">
        <is>
          <t>day</t>
        </is>
      </c>
      <c r="D1475" s="15" t="n">
        <v>0.2</v>
      </c>
      <c r="E1475" s="16" t="n">
        <v>558</v>
      </c>
      <c r="F1475" s="16">
        <f>D1475*E1475</f>
        <v/>
      </c>
    </row>
    <row r="1476">
      <c r="A1476" s="17" t="inlineStr">
        <is>
          <t>Resource Total (Material + Labour + Machinery, as printed)</t>
        </is>
      </c>
      <c r="B1476" s="18" t="n"/>
      <c r="C1476" s="18" t="n"/>
      <c r="D1476" s="18" t="n"/>
      <c r="E1476" s="18" t="n"/>
      <c r="F1476" s="19">
        <f>SUM(F1471:F1475)</f>
        <v/>
      </c>
    </row>
    <row r="1477">
      <c r="A1477" s="20" t="inlineStr">
        <is>
          <t>SAY (Rs.) — final DAR rate</t>
        </is>
      </c>
      <c r="B1477" s="21" t="n"/>
      <c r="C1477" s="21" t="n"/>
      <c r="D1477" s="21" t="n"/>
      <c r="E1477" s="21" t="n"/>
      <c r="F1477" s="22" t="n">
        <v>216.5</v>
      </c>
    </row>
    <row r="1479" ht="18" customHeight="1">
      <c r="A1479" s="9" t="inlineStr">
        <is>
          <t>9.61.1</t>
        </is>
      </c>
      <c r="B1479" s="10" t="inlineStr">
        <is>
          <t>Overall width 35 mm</t>
        </is>
      </c>
      <c r="C1479" s="11" t="n"/>
      <c r="D1479" s="11" t="n"/>
      <c r="E1479" s="11" t="n"/>
      <c r="F1479" s="11" t="n"/>
    </row>
    <row r="1480">
      <c r="A1480" s="12" t="inlineStr">
        <is>
          <t>Rate basis: per meter  (source: cost for 1 meter)</t>
        </is>
      </c>
    </row>
    <row r="1481">
      <c r="A1481" s="5" t="inlineStr">
        <is>
          <t>Code</t>
        </is>
      </c>
      <c r="B1481" s="5" t="inlineStr">
        <is>
          <t>Description</t>
        </is>
      </c>
      <c r="C1481" s="5" t="inlineStr">
        <is>
          <t>Unit</t>
        </is>
      </c>
      <c r="D1481" s="5" t="inlineStr">
        <is>
          <t>Quantity</t>
        </is>
      </c>
      <c r="E1481" s="5" t="inlineStr">
        <is>
          <t>Rate (Rs.)</t>
        </is>
      </c>
      <c r="F1481" s="5" t="inlineStr">
        <is>
          <t>Amount (Rs.)</t>
        </is>
      </c>
    </row>
    <row r="1482">
      <c r="A1482" s="13" t="inlineStr">
        <is>
          <t>0656</t>
        </is>
      </c>
      <c r="B1482" s="14" t="inlineStr">
        <is>
          <t>Nickel plated mild steel piono hinges 1 mm thick 35 mm wide</t>
        </is>
      </c>
      <c r="C1482" s="13" t="inlineStr">
        <is>
          <t>metre</t>
        </is>
      </c>
      <c r="D1482" s="15" t="n">
        <v>1</v>
      </c>
      <c r="E1482" s="16" t="n">
        <v>44</v>
      </c>
      <c r="F1482" s="16">
        <f>D1482*E1482</f>
        <v/>
      </c>
    </row>
    <row r="1483">
      <c r="A1483" s="13" t="inlineStr">
        <is>
          <t>0686</t>
        </is>
      </c>
      <c r="B1483" s="14" t="inlineStr">
        <is>
          <t>Oxidised mild steel screws 20 mm</t>
        </is>
      </c>
      <c r="C1483" s="13" t="inlineStr">
        <is>
          <t>100 Nos</t>
        </is>
      </c>
      <c r="D1483" s="15" t="n">
        <v>0.3</v>
      </c>
      <c r="E1483" s="16" t="n">
        <v>32</v>
      </c>
      <c r="F1483" s="16">
        <f>D1483*E1483</f>
        <v/>
      </c>
    </row>
    <row r="1484">
      <c r="A1484" s="13" t="inlineStr">
        <is>
          <t>9977</t>
        </is>
      </c>
      <c r="B1484" s="14" t="inlineStr">
        <is>
          <t>Carriage of materials</t>
        </is>
      </c>
      <c r="C1484" s="13" t="inlineStr">
        <is>
          <t>L.S.</t>
        </is>
      </c>
      <c r="D1484" s="15" t="n">
        <v>1.82</v>
      </c>
      <c r="E1484" s="16" t="n">
        <v>2</v>
      </c>
      <c r="F1484" s="16">
        <f>D1484*E1484</f>
        <v/>
      </c>
    </row>
    <row r="1485">
      <c r="A1485" s="13" t="inlineStr">
        <is>
          <t>0112</t>
        </is>
      </c>
      <c r="B1485" s="14" t="inlineStr">
        <is>
          <t>Carpenter 2nd class</t>
        </is>
      </c>
      <c r="C1485" s="13" t="inlineStr">
        <is>
          <t>day</t>
        </is>
      </c>
      <c r="D1485" s="15" t="n">
        <v>0.14</v>
      </c>
      <c r="E1485" s="16" t="n">
        <v>679</v>
      </c>
      <c r="F1485" s="16">
        <f>D1485*E1485</f>
        <v/>
      </c>
    </row>
    <row r="1486">
      <c r="A1486" s="13" t="inlineStr">
        <is>
          <t>0114</t>
        </is>
      </c>
      <c r="B1486" s="14" t="inlineStr">
        <is>
          <t>Beldar</t>
        </is>
      </c>
      <c r="C1486" s="13" t="inlineStr">
        <is>
          <t>day</t>
        </is>
      </c>
      <c r="D1486" s="15" t="n">
        <v>0.09</v>
      </c>
      <c r="E1486" s="16" t="n">
        <v>558</v>
      </c>
      <c r="F1486" s="16">
        <f>D1486*E1486</f>
        <v/>
      </c>
    </row>
    <row r="1487">
      <c r="A1487" s="17" t="inlineStr">
        <is>
          <t>Resource Total (Material + Labour + Machinery, as printed)</t>
        </is>
      </c>
      <c r="B1487" s="18" t="n"/>
      <c r="C1487" s="18" t="n"/>
      <c r="D1487" s="18" t="n"/>
      <c r="E1487" s="18" t="n"/>
      <c r="F1487" s="19">
        <f>SUM(F1482:F1486)</f>
        <v/>
      </c>
    </row>
    <row r="1488">
      <c r="A1488" s="20" t="inlineStr">
        <is>
          <t>SAY (Rs.) — final DAR rate</t>
        </is>
      </c>
      <c r="B1488" s="21" t="n"/>
      <c r="C1488" s="21" t="n"/>
      <c r="D1488" s="21" t="n"/>
      <c r="E1488" s="21" t="n"/>
      <c r="F1488" s="22" t="n">
        <v>270.95</v>
      </c>
    </row>
    <row r="1490" ht="18" customHeight="1">
      <c r="A1490" s="9" t="inlineStr">
        <is>
          <t>9.61.2</t>
        </is>
      </c>
      <c r="B1490" s="10" t="inlineStr">
        <is>
          <t>Overall width 50 mm</t>
        </is>
      </c>
      <c r="C1490" s="11" t="n"/>
      <c r="D1490" s="11" t="n"/>
      <c r="E1490" s="11" t="n"/>
      <c r="F1490" s="11" t="n"/>
    </row>
    <row r="1491">
      <c r="A1491" s="12" t="inlineStr">
        <is>
          <t>Rate basis: per meter  (source: cost for 1 meter)</t>
        </is>
      </c>
    </row>
    <row r="1492">
      <c r="A1492" s="5" t="inlineStr">
        <is>
          <t>Code</t>
        </is>
      </c>
      <c r="B1492" s="5" t="inlineStr">
        <is>
          <t>Description</t>
        </is>
      </c>
      <c r="C1492" s="5" t="inlineStr">
        <is>
          <t>Unit</t>
        </is>
      </c>
      <c r="D1492" s="5" t="inlineStr">
        <is>
          <t>Quantity</t>
        </is>
      </c>
      <c r="E1492" s="5" t="inlineStr">
        <is>
          <t>Rate (Rs.)</t>
        </is>
      </c>
      <c r="F1492" s="5" t="inlineStr">
        <is>
          <t>Amount (Rs.)</t>
        </is>
      </c>
    </row>
    <row r="1493">
      <c r="A1493" s="13" t="inlineStr">
        <is>
          <t>7485</t>
        </is>
      </c>
      <c r="B1493" s="14" t="inlineStr">
        <is>
          <t>Oxidised M. S. hinges finished with nickel plating 50 mm (Over all width)</t>
        </is>
      </c>
      <c r="C1493" s="13" t="inlineStr">
        <is>
          <t>metre</t>
        </is>
      </c>
      <c r="D1493" s="15" t="n">
        <v>1</v>
      </c>
      <c r="E1493" s="16" t="n">
        <v>40</v>
      </c>
      <c r="F1493" s="16">
        <f>D1493*E1493</f>
        <v/>
      </c>
    </row>
    <row r="1494">
      <c r="A1494" s="13" t="inlineStr">
        <is>
          <t>0686</t>
        </is>
      </c>
      <c r="B1494" s="14" t="inlineStr">
        <is>
          <t>Oxidised mild steel screws 20 mm</t>
        </is>
      </c>
      <c r="C1494" s="13" t="inlineStr">
        <is>
          <t>100 Nos</t>
        </is>
      </c>
      <c r="D1494" s="15" t="n">
        <v>0.3</v>
      </c>
      <c r="E1494" s="16" t="n">
        <v>32</v>
      </c>
      <c r="F1494" s="16">
        <f>D1494*E1494</f>
        <v/>
      </c>
    </row>
    <row r="1495">
      <c r="A1495" s="13" t="inlineStr">
        <is>
          <t>9977</t>
        </is>
      </c>
      <c r="B1495" s="14" t="inlineStr">
        <is>
          <t>Carriage of materials</t>
        </is>
      </c>
      <c r="C1495" s="13" t="inlineStr">
        <is>
          <t>L.S.</t>
        </is>
      </c>
      <c r="D1495" s="15" t="n">
        <v>1.82</v>
      </c>
      <c r="E1495" s="16" t="n">
        <v>2</v>
      </c>
      <c r="F1495" s="16">
        <f>D1495*E1495</f>
        <v/>
      </c>
    </row>
    <row r="1496">
      <c r="A1496" s="13" t="inlineStr">
        <is>
          <t>0112</t>
        </is>
      </c>
      <c r="B1496" s="14" t="inlineStr">
        <is>
          <t>Carpenter 2nd class</t>
        </is>
      </c>
      <c r="C1496" s="13" t="inlineStr">
        <is>
          <t>day</t>
        </is>
      </c>
      <c r="D1496" s="15" t="n">
        <v>0.14</v>
      </c>
      <c r="E1496" s="16" t="n">
        <v>679</v>
      </c>
      <c r="F1496" s="16">
        <f>D1496*E1496</f>
        <v/>
      </c>
    </row>
    <row r="1497">
      <c r="A1497" s="13" t="inlineStr">
        <is>
          <t>0114</t>
        </is>
      </c>
      <c r="B1497" s="14" t="inlineStr">
        <is>
          <t>Beldar</t>
        </is>
      </c>
      <c r="C1497" s="13" t="inlineStr">
        <is>
          <t>day</t>
        </is>
      </c>
      <c r="D1497" s="15" t="n">
        <v>0.09</v>
      </c>
      <c r="E1497" s="16" t="n">
        <v>558</v>
      </c>
      <c r="F1497" s="16">
        <f>D1497*E1497</f>
        <v/>
      </c>
    </row>
    <row r="1498">
      <c r="A1498" s="17" t="inlineStr">
        <is>
          <t>Resource Total (Material + Labour + Machinery, as printed)</t>
        </is>
      </c>
      <c r="B1498" s="18" t="n"/>
      <c r="C1498" s="18" t="n"/>
      <c r="D1498" s="18" t="n"/>
      <c r="E1498" s="18" t="n"/>
      <c r="F1498" s="19">
        <f>SUM(F1493:F1497)</f>
        <v/>
      </c>
    </row>
    <row r="1499">
      <c r="A1499" s="20" t="inlineStr">
        <is>
          <t>SAY (Rs.) — final DAR rate</t>
        </is>
      </c>
      <c r="B1499" s="21" t="n"/>
      <c r="C1499" s="21" t="n"/>
      <c r="D1499" s="21" t="n"/>
      <c r="E1499" s="21" t="n"/>
      <c r="F1499" s="22" t="n">
        <v>265.6</v>
      </c>
    </row>
    <row r="1501" ht="18" customHeight="1">
      <c r="A1501" s="9" t="inlineStr">
        <is>
          <t>9.61.3</t>
        </is>
      </c>
      <c r="B1501" s="10" t="inlineStr">
        <is>
          <t>Overall width 65 mm</t>
        </is>
      </c>
      <c r="C1501" s="11" t="n"/>
      <c r="D1501" s="11" t="n"/>
      <c r="E1501" s="11" t="n"/>
      <c r="F1501" s="11" t="n"/>
    </row>
    <row r="1502">
      <c r="A1502" s="12" t="inlineStr">
        <is>
          <t>Rate basis: per meter  (source: cost for 1 meter)</t>
        </is>
      </c>
    </row>
    <row r="1503">
      <c r="A1503" s="5" t="inlineStr">
        <is>
          <t>Code</t>
        </is>
      </c>
      <c r="B1503" s="5" t="inlineStr">
        <is>
          <t>Description</t>
        </is>
      </c>
      <c r="C1503" s="5" t="inlineStr">
        <is>
          <t>Unit</t>
        </is>
      </c>
      <c r="D1503" s="5" t="inlineStr">
        <is>
          <t>Quantity</t>
        </is>
      </c>
      <c r="E1503" s="5" t="inlineStr">
        <is>
          <t>Rate (Rs.)</t>
        </is>
      </c>
      <c r="F1503" s="5" t="inlineStr">
        <is>
          <t>Amount (Rs.)</t>
        </is>
      </c>
    </row>
    <row r="1504">
      <c r="A1504" s="13" t="inlineStr">
        <is>
          <t>7486</t>
        </is>
      </c>
      <c r="B1504" s="14" t="inlineStr">
        <is>
          <t>Oxidised M. S. hinges finished with nickel plating 65 mm (Over all width)</t>
        </is>
      </c>
      <c r="C1504" s="13" t="inlineStr">
        <is>
          <t>metre</t>
        </is>
      </c>
      <c r="D1504" s="15" t="n">
        <v>1</v>
      </c>
      <c r="E1504" s="16" t="n">
        <v>52</v>
      </c>
      <c r="F1504" s="16">
        <f>D1504*E1504</f>
        <v/>
      </c>
    </row>
    <row r="1505">
      <c r="A1505" s="13" t="inlineStr">
        <is>
          <t>0686</t>
        </is>
      </c>
      <c r="B1505" s="14" t="inlineStr">
        <is>
          <t>Oxidised mild steel screws 20 mm</t>
        </is>
      </c>
      <c r="C1505" s="13" t="inlineStr">
        <is>
          <t>100 Nos</t>
        </is>
      </c>
      <c r="D1505" s="15" t="n">
        <v>0.3</v>
      </c>
      <c r="E1505" s="16" t="n">
        <v>32</v>
      </c>
      <c r="F1505" s="16">
        <f>D1505*E1505</f>
        <v/>
      </c>
    </row>
    <row r="1506">
      <c r="A1506" s="13" t="inlineStr">
        <is>
          <t>9977</t>
        </is>
      </c>
      <c r="B1506" s="14" t="inlineStr">
        <is>
          <t>Carriage of materials</t>
        </is>
      </c>
      <c r="C1506" s="13" t="inlineStr">
        <is>
          <t>L.S.</t>
        </is>
      </c>
      <c r="D1506" s="15" t="n">
        <v>1.82</v>
      </c>
      <c r="E1506" s="16" t="n">
        <v>2</v>
      </c>
      <c r="F1506" s="16">
        <f>D1506*E1506</f>
        <v/>
      </c>
    </row>
    <row r="1507">
      <c r="A1507" s="13" t="inlineStr">
        <is>
          <t>0112</t>
        </is>
      </c>
      <c r="B1507" s="14" t="inlineStr">
        <is>
          <t>Carpenter 2nd class</t>
        </is>
      </c>
      <c r="C1507" s="13" t="inlineStr">
        <is>
          <t>day</t>
        </is>
      </c>
      <c r="D1507" s="15" t="n">
        <v>0.14</v>
      </c>
      <c r="E1507" s="16" t="n">
        <v>679</v>
      </c>
      <c r="F1507" s="16">
        <f>D1507*E1507</f>
        <v/>
      </c>
    </row>
    <row r="1508">
      <c r="A1508" s="13" t="inlineStr">
        <is>
          <t>0114</t>
        </is>
      </c>
      <c r="B1508" s="14" t="inlineStr">
        <is>
          <t>Beldar</t>
        </is>
      </c>
      <c r="C1508" s="13" t="inlineStr">
        <is>
          <t>day</t>
        </is>
      </c>
      <c r="D1508" s="15" t="n">
        <v>0.09</v>
      </c>
      <c r="E1508" s="16" t="n">
        <v>558</v>
      </c>
      <c r="F1508" s="16">
        <f>D1508*E1508</f>
        <v/>
      </c>
    </row>
    <row r="1509">
      <c r="A1509" s="17" t="inlineStr">
        <is>
          <t>Resource Total (Material + Labour + Machinery, as printed)</t>
        </is>
      </c>
      <c r="B1509" s="18" t="n"/>
      <c r="C1509" s="18" t="n"/>
      <c r="D1509" s="18" t="n"/>
      <c r="E1509" s="18" t="n"/>
      <c r="F1509" s="19">
        <f>SUM(F1504:F1508)</f>
        <v/>
      </c>
    </row>
    <row r="1510">
      <c r="A1510" s="20" t="inlineStr">
        <is>
          <t>SAY (Rs.) — final DAR rate</t>
        </is>
      </c>
      <c r="B1510" s="21" t="n"/>
      <c r="C1510" s="21" t="n"/>
      <c r="D1510" s="21" t="n"/>
      <c r="E1510" s="21" t="n"/>
      <c r="F1510" s="22" t="n">
        <v>281.65</v>
      </c>
    </row>
    <row r="1512" ht="18" customHeight="1">
      <c r="A1512" s="9" t="inlineStr">
        <is>
          <t>9.62.1</t>
        </is>
      </c>
      <c r="B1512" s="10" t="inlineStr">
        <is>
          <t>300x16 mm</t>
        </is>
      </c>
      <c r="C1512" s="11" t="n"/>
      <c r="D1512" s="11" t="n"/>
      <c r="E1512" s="11" t="n"/>
      <c r="F1512" s="11" t="n"/>
    </row>
    <row r="1513">
      <c r="A1513" s="12" t="inlineStr">
        <is>
          <t>Rate basis: per nos  (source: cost for 10 nos)</t>
        </is>
      </c>
    </row>
    <row r="1514">
      <c r="A1514" s="5" t="inlineStr">
        <is>
          <t>Code</t>
        </is>
      </c>
      <c r="B1514" s="5" t="inlineStr">
        <is>
          <t>Description</t>
        </is>
      </c>
      <c r="C1514" s="5" t="inlineStr">
        <is>
          <t>Unit</t>
        </is>
      </c>
      <c r="D1514" s="5" t="inlineStr">
        <is>
          <t>Quantity</t>
        </is>
      </c>
      <c r="E1514" s="5" t="inlineStr">
        <is>
          <t>Rate (Rs.)</t>
        </is>
      </c>
      <c r="F1514" s="5" t="inlineStr">
        <is>
          <t>Amount (Rs.)</t>
        </is>
      </c>
    </row>
    <row r="1515">
      <c r="A1515" s="13" t="inlineStr">
        <is>
          <t>0660</t>
        </is>
      </c>
      <c r="B1515" s="14" t="inlineStr">
        <is>
          <t>Oxidised mild steel sliding door bolt 300x16 mm</t>
        </is>
      </c>
      <c r="C1515" s="13" t="inlineStr">
        <is>
          <t>each</t>
        </is>
      </c>
      <c r="D1515" s="15" t="n">
        <v>10</v>
      </c>
      <c r="E1515" s="16" t="n">
        <v>93</v>
      </c>
      <c r="F1515" s="16">
        <f>D1515*E1515</f>
        <v/>
      </c>
    </row>
    <row r="1516">
      <c r="A1516" s="13" t="inlineStr">
        <is>
          <t>7040</t>
        </is>
      </c>
      <c r="B1516" s="14" t="inlineStr">
        <is>
          <t>Oxidised mild steel screws 35 mm</t>
        </is>
      </c>
      <c r="C1516" s="13" t="inlineStr">
        <is>
          <t>100 Nos</t>
        </is>
      </c>
      <c r="D1516" s="15" t="n">
        <v>1.2</v>
      </c>
      <c r="E1516" s="16" t="n">
        <v>48</v>
      </c>
      <c r="F1516" s="16">
        <f>D1516*E1516</f>
        <v/>
      </c>
    </row>
    <row r="1517">
      <c r="A1517" s="13" t="inlineStr">
        <is>
          <t>0641</t>
        </is>
      </c>
      <c r="B1517" s="14" t="inlineStr">
        <is>
          <t>Bright finished or black enamelled mild steel bolts and nuts 50x6 mm</t>
        </is>
      </c>
      <c r="C1517" s="13" t="inlineStr">
        <is>
          <t>each</t>
        </is>
      </c>
      <c r="D1517" s="15" t="n">
        <v>40</v>
      </c>
      <c r="E1517" s="16" t="n">
        <v>5</v>
      </c>
      <c r="F1517" s="16">
        <f>D1517*E1517</f>
        <v/>
      </c>
    </row>
    <row r="1518">
      <c r="A1518" s="13" t="inlineStr">
        <is>
          <t>9988</t>
        </is>
      </c>
      <c r="B1518" s="14" t="inlineStr">
        <is>
          <t>Carriage of materials &amp; sundries</t>
        </is>
      </c>
      <c r="C1518" s="13" t="inlineStr">
        <is>
          <t>L.S.</t>
        </is>
      </c>
      <c r="D1518" s="15" t="n">
        <v>6.37</v>
      </c>
      <c r="E1518" s="16" t="n">
        <v>2</v>
      </c>
      <c r="F1518" s="16">
        <f>D1518*E1518</f>
        <v/>
      </c>
    </row>
    <row r="1519">
      <c r="A1519" s="13" t="inlineStr">
        <is>
          <t>0112</t>
        </is>
      </c>
      <c r="B1519" s="14" t="inlineStr">
        <is>
          <t>Carpenter 2nd class</t>
        </is>
      </c>
      <c r="C1519" s="13" t="inlineStr">
        <is>
          <t>day</t>
        </is>
      </c>
      <c r="D1519" s="15" t="n">
        <v>0.25</v>
      </c>
      <c r="E1519" s="16" t="n">
        <v>679</v>
      </c>
      <c r="F1519" s="16">
        <f>D1519*E1519</f>
        <v/>
      </c>
    </row>
    <row r="1520">
      <c r="A1520" s="17" t="inlineStr">
        <is>
          <t>Resource Total (Material + Labour + Machinery, as printed)</t>
        </is>
      </c>
      <c r="B1520" s="18" t="n"/>
      <c r="C1520" s="18" t="n"/>
      <c r="D1520" s="18" t="n"/>
      <c r="E1520" s="18" t="n"/>
      <c r="F1520" s="19">
        <f>SUM(F1515:F1519)</f>
        <v/>
      </c>
    </row>
    <row r="1521">
      <c r="A1521" s="20" t="inlineStr">
        <is>
          <t>SAY (Rs.) — final DAR rate</t>
        </is>
      </c>
      <c r="B1521" s="21" t="n"/>
      <c r="C1521" s="21" t="n"/>
      <c r="D1521" s="21" t="n"/>
      <c r="E1521" s="21" t="n"/>
      <c r="F1521" s="22" t="n">
        <v>183.3</v>
      </c>
    </row>
    <row r="1523" ht="18" customHeight="1">
      <c r="A1523" s="9" t="inlineStr">
        <is>
          <t>9.62.2</t>
        </is>
      </c>
      <c r="B1523" s="10" t="inlineStr">
        <is>
          <t>250x16 mm</t>
        </is>
      </c>
      <c r="C1523" s="11" t="n"/>
      <c r="D1523" s="11" t="n"/>
      <c r="E1523" s="11" t="n"/>
      <c r="F1523" s="11" t="n"/>
    </row>
    <row r="1524">
      <c r="A1524" s="12" t="inlineStr">
        <is>
          <t>Rate basis: per nos  (source: cost for 10 nos)</t>
        </is>
      </c>
    </row>
    <row r="1525">
      <c r="A1525" s="5" t="inlineStr">
        <is>
          <t>Code</t>
        </is>
      </c>
      <c r="B1525" s="5" t="inlineStr">
        <is>
          <t>Description</t>
        </is>
      </c>
      <c r="C1525" s="5" t="inlineStr">
        <is>
          <t>Unit</t>
        </is>
      </c>
      <c r="D1525" s="5" t="inlineStr">
        <is>
          <t>Quantity</t>
        </is>
      </c>
      <c r="E1525" s="5" t="inlineStr">
        <is>
          <t>Rate (Rs.)</t>
        </is>
      </c>
      <c r="F1525" s="5" t="inlineStr">
        <is>
          <t>Amount (Rs.)</t>
        </is>
      </c>
    </row>
    <row r="1526">
      <c r="A1526" s="13" t="inlineStr">
        <is>
          <t>0661</t>
        </is>
      </c>
      <c r="B1526" s="14" t="inlineStr">
        <is>
          <t>Oxidised mild steel sliding door bolt 250x16 mm</t>
        </is>
      </c>
      <c r="C1526" s="13" t="inlineStr">
        <is>
          <t>each</t>
        </is>
      </c>
      <c r="D1526" s="15" t="n">
        <v>10</v>
      </c>
      <c r="E1526" s="16" t="n">
        <v>84</v>
      </c>
      <c r="F1526" s="16">
        <f>D1526*E1526</f>
        <v/>
      </c>
    </row>
    <row r="1527">
      <c r="A1527" s="13" t="inlineStr">
        <is>
          <t>7040</t>
        </is>
      </c>
      <c r="B1527" s="14" t="inlineStr">
        <is>
          <t>Oxidised mild steel screws 35 mm</t>
        </is>
      </c>
      <c r="C1527" s="13" t="inlineStr">
        <is>
          <t>100 Nos</t>
        </is>
      </c>
      <c r="D1527" s="15" t="n">
        <v>1</v>
      </c>
      <c r="E1527" s="16" t="n">
        <v>48</v>
      </c>
      <c r="F1527" s="16">
        <f>D1527*E1527</f>
        <v/>
      </c>
    </row>
    <row r="1528">
      <c r="A1528" s="13" t="inlineStr">
        <is>
          <t>0641</t>
        </is>
      </c>
      <c r="B1528" s="14" t="inlineStr">
        <is>
          <t>Bright finished or black enamelled mild steel bolts and nuts 50x6 mm</t>
        </is>
      </c>
      <c r="C1528" s="13" t="inlineStr">
        <is>
          <t>each</t>
        </is>
      </c>
      <c r="D1528" s="15" t="n">
        <v>40</v>
      </c>
      <c r="E1528" s="16" t="n">
        <v>5</v>
      </c>
      <c r="F1528" s="16">
        <f>D1528*E1528</f>
        <v/>
      </c>
    </row>
    <row r="1529">
      <c r="A1529" s="13" t="inlineStr">
        <is>
          <t>9988</t>
        </is>
      </c>
      <c r="B1529" s="14" t="inlineStr">
        <is>
          <t>Carriage of materials &amp; sundries</t>
        </is>
      </c>
      <c r="C1529" s="13" t="inlineStr">
        <is>
          <t>L.S.</t>
        </is>
      </c>
      <c r="D1529" s="15" t="n">
        <v>6.37</v>
      </c>
      <c r="E1529" s="16" t="n">
        <v>2</v>
      </c>
      <c r="F1529" s="16">
        <f>D1529*E1529</f>
        <v/>
      </c>
    </row>
    <row r="1530">
      <c r="A1530" s="13" t="inlineStr">
        <is>
          <t>0112</t>
        </is>
      </c>
      <c r="B1530" s="14" t="inlineStr">
        <is>
          <t>Carpenter 2nd class</t>
        </is>
      </c>
      <c r="C1530" s="13" t="inlineStr">
        <is>
          <t>Day</t>
        </is>
      </c>
      <c r="D1530" s="15" t="n">
        <v>0.25</v>
      </c>
      <c r="E1530" s="16" t="n">
        <v>679</v>
      </c>
      <c r="F1530" s="16">
        <f>D1530*E1530</f>
        <v/>
      </c>
    </row>
    <row r="1531">
      <c r="A1531" s="17" t="inlineStr">
        <is>
          <t>Resource Total (Material + Labour + Machinery, as printed)</t>
        </is>
      </c>
      <c r="B1531" s="18" t="n"/>
      <c r="C1531" s="18" t="n"/>
      <c r="D1531" s="18" t="n"/>
      <c r="E1531" s="18" t="n"/>
      <c r="F1531" s="19">
        <f>SUM(F1526:F1530)</f>
        <v/>
      </c>
    </row>
    <row r="1532">
      <c r="A1532" s="20" t="inlineStr">
        <is>
          <t>SAY (Rs.) — final DAR rate</t>
        </is>
      </c>
      <c r="B1532" s="21" t="n"/>
      <c r="C1532" s="21" t="n"/>
      <c r="D1532" s="21" t="n"/>
      <c r="E1532" s="21" t="n"/>
      <c r="F1532" s="22" t="n">
        <v>170</v>
      </c>
    </row>
    <row r="1534" ht="18" customHeight="1">
      <c r="A1534" s="9" t="inlineStr">
        <is>
          <t>9.63.1</t>
        </is>
      </c>
      <c r="B1534" s="10" t="inlineStr">
        <is>
          <t>250x10 mm</t>
        </is>
      </c>
      <c r="C1534" s="11" t="n"/>
      <c r="D1534" s="11" t="n"/>
      <c r="E1534" s="11" t="n"/>
      <c r="F1534" s="11" t="n"/>
    </row>
    <row r="1535">
      <c r="A1535" s="12" t="inlineStr">
        <is>
          <t>Rate basis: per nos  (source: cost for 10 nos)</t>
        </is>
      </c>
    </row>
    <row r="1536">
      <c r="A1536" s="5" t="inlineStr">
        <is>
          <t>Code</t>
        </is>
      </c>
      <c r="B1536" s="5" t="inlineStr">
        <is>
          <t>Description</t>
        </is>
      </c>
      <c r="C1536" s="5" t="inlineStr">
        <is>
          <t>Unit</t>
        </is>
      </c>
      <c r="D1536" s="5" t="inlineStr">
        <is>
          <t>Quantity</t>
        </is>
      </c>
      <c r="E1536" s="5" t="inlineStr">
        <is>
          <t>Rate (Rs.)</t>
        </is>
      </c>
      <c r="F1536" s="5" t="inlineStr">
        <is>
          <t>Amount (Rs.)</t>
        </is>
      </c>
    </row>
    <row r="1537">
      <c r="A1537" s="13" t="inlineStr">
        <is>
          <t>0664</t>
        </is>
      </c>
      <c r="B1537" s="14" t="inlineStr">
        <is>
          <t>Oxidised mild steel tower bolt (barrel type) 250x10 mm</t>
        </is>
      </c>
      <c r="C1537" s="13" t="inlineStr">
        <is>
          <t>each</t>
        </is>
      </c>
      <c r="D1537" s="15" t="n">
        <v>10</v>
      </c>
      <c r="E1537" s="16" t="n">
        <v>43</v>
      </c>
      <c r="F1537" s="16">
        <f>D1537*E1537</f>
        <v/>
      </c>
    </row>
    <row r="1538">
      <c r="A1538" s="13" t="inlineStr">
        <is>
          <t>0684</t>
        </is>
      </c>
      <c r="B1538" s="14" t="inlineStr">
        <is>
          <t>Oxidised mild steel screws 30 mm</t>
        </is>
      </c>
      <c r="C1538" s="13" t="inlineStr">
        <is>
          <t>100 Nos</t>
        </is>
      </c>
      <c r="D1538" s="15" t="n">
        <v>1</v>
      </c>
      <c r="E1538" s="16" t="n">
        <v>49</v>
      </c>
      <c r="F1538" s="16">
        <f>D1538*E1538</f>
        <v/>
      </c>
    </row>
    <row r="1539">
      <c r="A1539" s="13" t="inlineStr">
        <is>
          <t>9977</t>
        </is>
      </c>
      <c r="B1539" s="14" t="inlineStr">
        <is>
          <t>Carriage of material</t>
        </is>
      </c>
      <c r="C1539" s="13" t="inlineStr">
        <is>
          <t>L.S.</t>
        </is>
      </c>
      <c r="D1539" s="15" t="n">
        <v>3.64</v>
      </c>
      <c r="E1539" s="16" t="n">
        <v>2</v>
      </c>
      <c r="F1539" s="16">
        <f>D1539*E1539</f>
        <v/>
      </c>
    </row>
    <row r="1540">
      <c r="A1540" s="13" t="inlineStr">
        <is>
          <t>0112</t>
        </is>
      </c>
      <c r="B1540" s="14" t="inlineStr">
        <is>
          <t>Carpenter 2nd class</t>
        </is>
      </c>
      <c r="C1540" s="13" t="inlineStr">
        <is>
          <t>day</t>
        </is>
      </c>
      <c r="D1540" s="15" t="n">
        <v>0.1</v>
      </c>
      <c r="E1540" s="16" t="n">
        <v>679</v>
      </c>
      <c r="F1540" s="16">
        <f>D1540*E1540</f>
        <v/>
      </c>
    </row>
    <row r="1541">
      <c r="A1541" s="17" t="inlineStr">
        <is>
          <t>Resource Total (Material + Labour + Machinery, as printed)</t>
        </is>
      </c>
      <c r="B1541" s="18" t="n"/>
      <c r="C1541" s="18" t="n"/>
      <c r="D1541" s="18" t="n"/>
      <c r="E1541" s="18" t="n"/>
      <c r="F1541" s="19">
        <f>SUM(F1537:F1540)</f>
        <v/>
      </c>
    </row>
    <row r="1542">
      <c r="A1542" s="20" t="inlineStr">
        <is>
          <t>SAY (Rs.) — final DAR rate</t>
        </is>
      </c>
      <c r="B1542" s="21" t="n"/>
      <c r="C1542" s="21" t="n"/>
      <c r="D1542" s="21" t="n"/>
      <c r="E1542" s="21" t="n"/>
      <c r="F1542" s="22" t="n">
        <v>74.15000000000001</v>
      </c>
    </row>
    <row r="1544" ht="18" customHeight="1">
      <c r="A1544" s="9" t="inlineStr">
        <is>
          <t>9.63.2</t>
        </is>
      </c>
      <c r="B1544" s="10" t="inlineStr">
        <is>
          <t>200x10 mm</t>
        </is>
      </c>
      <c r="C1544" s="11" t="n"/>
      <c r="D1544" s="11" t="n"/>
      <c r="E1544" s="11" t="n"/>
      <c r="F1544" s="11" t="n"/>
    </row>
    <row r="1545">
      <c r="A1545" s="12" t="inlineStr">
        <is>
          <t>Rate basis: per nos  (source: cost for 10 nos)</t>
        </is>
      </c>
    </row>
    <row r="1546">
      <c r="A1546" s="5" t="inlineStr">
        <is>
          <t>Code</t>
        </is>
      </c>
      <c r="B1546" s="5" t="inlineStr">
        <is>
          <t>Description</t>
        </is>
      </c>
      <c r="C1546" s="5" t="inlineStr">
        <is>
          <t>Unit</t>
        </is>
      </c>
      <c r="D1546" s="5" t="inlineStr">
        <is>
          <t>Quantity</t>
        </is>
      </c>
      <c r="E1546" s="5" t="inlineStr">
        <is>
          <t>Rate (Rs.)</t>
        </is>
      </c>
      <c r="F1546" s="5" t="inlineStr">
        <is>
          <t>Amount (Rs.)</t>
        </is>
      </c>
    </row>
    <row r="1547">
      <c r="A1547" s="13" t="inlineStr">
        <is>
          <t>0665</t>
        </is>
      </c>
      <c r="B1547" s="14" t="inlineStr">
        <is>
          <t>Oxidised mild steel tower bolt (barrel type) 200x10 mm</t>
        </is>
      </c>
      <c r="C1547" s="13" t="inlineStr">
        <is>
          <t>each</t>
        </is>
      </c>
      <c r="D1547" s="15" t="n">
        <v>10</v>
      </c>
      <c r="E1547" s="16" t="n">
        <v>34</v>
      </c>
      <c r="F1547" s="16">
        <f>D1547*E1547</f>
        <v/>
      </c>
    </row>
    <row r="1548">
      <c r="A1548" s="13" t="inlineStr">
        <is>
          <t>0684</t>
        </is>
      </c>
      <c r="B1548" s="14" t="inlineStr">
        <is>
          <t>Oxidised mild steel screws 30 mm</t>
        </is>
      </c>
      <c r="C1548" s="13" t="inlineStr">
        <is>
          <t>100 Nos</t>
        </is>
      </c>
      <c r="D1548" s="15" t="n">
        <v>0.8</v>
      </c>
      <c r="E1548" s="16" t="n">
        <v>49</v>
      </c>
      <c r="F1548" s="16">
        <f>D1548*E1548</f>
        <v/>
      </c>
    </row>
    <row r="1549">
      <c r="A1549" s="13" t="inlineStr">
        <is>
          <t>9977</t>
        </is>
      </c>
      <c r="B1549" s="14" t="inlineStr">
        <is>
          <t>Carriage of material</t>
        </is>
      </c>
      <c r="C1549" s="13" t="inlineStr">
        <is>
          <t>L.S.</t>
        </is>
      </c>
      <c r="D1549" s="15" t="n">
        <v>2.73</v>
      </c>
      <c r="E1549" s="16" t="n">
        <v>2</v>
      </c>
      <c r="F1549" s="16">
        <f>D1549*E1549</f>
        <v/>
      </c>
    </row>
    <row r="1550">
      <c r="A1550" s="13" t="inlineStr">
        <is>
          <t>0112</t>
        </is>
      </c>
      <c r="B1550" s="14" t="inlineStr">
        <is>
          <t>Carpenter 2nd class</t>
        </is>
      </c>
      <c r="C1550" s="13" t="inlineStr">
        <is>
          <t>day</t>
        </is>
      </c>
      <c r="D1550" s="15" t="n">
        <v>0.1</v>
      </c>
      <c r="E1550" s="16" t="n">
        <v>679</v>
      </c>
      <c r="F1550" s="16">
        <f>D1550*E1550</f>
        <v/>
      </c>
    </row>
    <row r="1551">
      <c r="A1551" s="17" t="inlineStr">
        <is>
          <t>Resource Total (Material + Labour + Machinery, as printed)</t>
        </is>
      </c>
      <c r="B1551" s="18" t="n"/>
      <c r="C1551" s="18" t="n"/>
      <c r="D1551" s="18" t="n"/>
      <c r="E1551" s="18" t="n"/>
      <c r="F1551" s="19">
        <f>SUM(F1547:F1550)</f>
        <v/>
      </c>
    </row>
    <row r="1552">
      <c r="A1552" s="20" t="inlineStr">
        <is>
          <t>SAY (Rs.) — final DAR rate</t>
        </is>
      </c>
      <c r="B1552" s="21" t="n"/>
      <c r="C1552" s="21" t="n"/>
      <c r="D1552" s="21" t="n"/>
      <c r="E1552" s="21" t="n"/>
      <c r="F1552" s="22" t="n">
        <v>60.55</v>
      </c>
    </row>
    <row r="1554" ht="18" customHeight="1">
      <c r="A1554" s="9" t="inlineStr">
        <is>
          <t>9.63.3</t>
        </is>
      </c>
      <c r="B1554" s="10" t="inlineStr">
        <is>
          <t>150x10 mm</t>
        </is>
      </c>
      <c r="C1554" s="11" t="n"/>
      <c r="D1554" s="11" t="n"/>
      <c r="E1554" s="11" t="n"/>
      <c r="F1554" s="11" t="n"/>
    </row>
    <row r="1555">
      <c r="A1555" s="12" t="inlineStr">
        <is>
          <t>Rate basis: per nos  (source: cost for 10 nos)</t>
        </is>
      </c>
    </row>
    <row r="1556">
      <c r="A1556" s="5" t="inlineStr">
        <is>
          <t>Code</t>
        </is>
      </c>
      <c r="B1556" s="5" t="inlineStr">
        <is>
          <t>Description</t>
        </is>
      </c>
      <c r="C1556" s="5" t="inlineStr">
        <is>
          <t>Unit</t>
        </is>
      </c>
      <c r="D1556" s="5" t="inlineStr">
        <is>
          <t>Quantity</t>
        </is>
      </c>
      <c r="E1556" s="5" t="inlineStr">
        <is>
          <t>Rate (Rs.)</t>
        </is>
      </c>
      <c r="F1556" s="5" t="inlineStr">
        <is>
          <t>Amount (Rs.)</t>
        </is>
      </c>
    </row>
    <row r="1557">
      <c r="A1557" s="13" t="inlineStr">
        <is>
          <t>0666</t>
        </is>
      </c>
      <c r="B1557" s="14" t="inlineStr">
        <is>
          <t>Oxidised mild steel tower bolt (barrel type) 150x10 mm</t>
        </is>
      </c>
      <c r="C1557" s="13" t="inlineStr">
        <is>
          <t>each</t>
        </is>
      </c>
      <c r="D1557" s="15" t="n">
        <v>10</v>
      </c>
      <c r="E1557" s="16" t="n">
        <v>29</v>
      </c>
      <c r="F1557" s="16">
        <f>D1557*E1557</f>
        <v/>
      </c>
    </row>
    <row r="1558">
      <c r="A1558" s="13" t="inlineStr">
        <is>
          <t>0684</t>
        </is>
      </c>
      <c r="B1558" s="14" t="inlineStr">
        <is>
          <t>Oxidised mild steel screws 30 mm</t>
        </is>
      </c>
      <c r="C1558" s="13" t="inlineStr">
        <is>
          <t>100 Nos</t>
        </is>
      </c>
      <c r="D1558" s="15" t="n">
        <v>0.6</v>
      </c>
      <c r="E1558" s="16" t="n">
        <v>49</v>
      </c>
      <c r="F1558" s="16">
        <f>D1558*E1558</f>
        <v/>
      </c>
    </row>
    <row r="1559">
      <c r="A1559" s="13" t="inlineStr">
        <is>
          <t>9977</t>
        </is>
      </c>
      <c r="B1559" s="14" t="inlineStr">
        <is>
          <t>Carriage of material</t>
        </is>
      </c>
      <c r="C1559" s="13" t="inlineStr">
        <is>
          <t>L.S.</t>
        </is>
      </c>
      <c r="D1559" s="15" t="n">
        <v>2.73</v>
      </c>
      <c r="E1559" s="16" t="n">
        <v>2</v>
      </c>
      <c r="F1559" s="16">
        <f>D1559*E1559</f>
        <v/>
      </c>
    </row>
    <row r="1560">
      <c r="A1560" s="13" t="inlineStr">
        <is>
          <t>0112</t>
        </is>
      </c>
      <c r="B1560" s="14" t="inlineStr">
        <is>
          <t>Carpenter 2nd class</t>
        </is>
      </c>
      <c r="C1560" s="13" t="inlineStr">
        <is>
          <t>day</t>
        </is>
      </c>
      <c r="D1560" s="15" t="n">
        <v>0.1</v>
      </c>
      <c r="E1560" s="16" t="n">
        <v>679</v>
      </c>
      <c r="F1560" s="16">
        <f>D1560*E1560</f>
        <v/>
      </c>
    </row>
    <row r="1561">
      <c r="A1561" s="17" t="inlineStr">
        <is>
          <t>Resource Total (Material + Labour + Machinery, as printed)</t>
        </is>
      </c>
      <c r="B1561" s="18" t="n"/>
      <c r="C1561" s="18" t="n"/>
      <c r="D1561" s="18" t="n"/>
      <c r="E1561" s="18" t="n"/>
      <c r="F1561" s="19">
        <f>SUM(F1557:F1560)</f>
        <v/>
      </c>
    </row>
    <row r="1562">
      <c r="A1562" s="20" t="inlineStr">
        <is>
          <t>SAY (Rs.) — final DAR rate</t>
        </is>
      </c>
      <c r="B1562" s="21" t="n"/>
      <c r="C1562" s="21" t="n"/>
      <c r="D1562" s="21" t="n"/>
      <c r="E1562" s="21" t="n"/>
      <c r="F1562" s="22" t="n">
        <v>52.55</v>
      </c>
    </row>
    <row r="1564" ht="18" customHeight="1">
      <c r="A1564" s="9" t="inlineStr">
        <is>
          <t>9.63.4</t>
        </is>
      </c>
      <c r="B1564" s="10" t="inlineStr">
        <is>
          <t>100x10 mm</t>
        </is>
      </c>
      <c r="C1564" s="11" t="n"/>
      <c r="D1564" s="11" t="n"/>
      <c r="E1564" s="11" t="n"/>
      <c r="F1564" s="11" t="n"/>
    </row>
    <row r="1565">
      <c r="A1565" s="12" t="inlineStr">
        <is>
          <t>Rate basis: per nos  (source: cost for 10 nos)</t>
        </is>
      </c>
    </row>
    <row r="1566">
      <c r="A1566" s="5" t="inlineStr">
        <is>
          <t>Code</t>
        </is>
      </c>
      <c r="B1566" s="5" t="inlineStr">
        <is>
          <t>Description</t>
        </is>
      </c>
      <c r="C1566" s="5" t="inlineStr">
        <is>
          <t>Unit</t>
        </is>
      </c>
      <c r="D1566" s="5" t="inlineStr">
        <is>
          <t>Quantity</t>
        </is>
      </c>
      <c r="E1566" s="5" t="inlineStr">
        <is>
          <t>Rate (Rs.)</t>
        </is>
      </c>
      <c r="F1566" s="5" t="inlineStr">
        <is>
          <t>Amount (Rs.)</t>
        </is>
      </c>
    </row>
    <row r="1567">
      <c r="A1567" s="13" t="inlineStr">
        <is>
          <t>0667</t>
        </is>
      </c>
      <c r="B1567" s="14" t="inlineStr">
        <is>
          <t>Oxidised mild steel tower bolt (barrel type) 100x10 mm</t>
        </is>
      </c>
      <c r="C1567" s="13" t="inlineStr">
        <is>
          <t>each</t>
        </is>
      </c>
      <c r="D1567" s="15" t="n">
        <v>10</v>
      </c>
      <c r="E1567" s="16" t="n">
        <v>20</v>
      </c>
      <c r="F1567" s="16">
        <f>D1567*E1567</f>
        <v/>
      </c>
    </row>
    <row r="1568">
      <c r="A1568" s="13" t="inlineStr">
        <is>
          <t>0684</t>
        </is>
      </c>
      <c r="B1568" s="14" t="inlineStr">
        <is>
          <t>Oxidised mild steel screws 30 mm</t>
        </is>
      </c>
      <c r="C1568" s="13" t="inlineStr">
        <is>
          <t>100 Nos</t>
        </is>
      </c>
      <c r="D1568" s="15" t="n">
        <v>0.6</v>
      </c>
      <c r="E1568" s="16" t="n">
        <v>49</v>
      </c>
      <c r="F1568" s="16">
        <f>D1568*E1568</f>
        <v/>
      </c>
    </row>
    <row r="1569">
      <c r="A1569" s="13" t="inlineStr">
        <is>
          <t>9977</t>
        </is>
      </c>
      <c r="B1569" s="14" t="inlineStr">
        <is>
          <t>Carriage of material</t>
        </is>
      </c>
      <c r="C1569" s="13" t="inlineStr">
        <is>
          <t>L.S.</t>
        </is>
      </c>
      <c r="D1569" s="15" t="n">
        <v>2.73</v>
      </c>
      <c r="E1569" s="16" t="n">
        <v>2</v>
      </c>
      <c r="F1569" s="16">
        <f>D1569*E1569</f>
        <v/>
      </c>
    </row>
    <row r="1570">
      <c r="A1570" s="13" t="inlineStr">
        <is>
          <t>0112</t>
        </is>
      </c>
      <c r="B1570" s="14" t="inlineStr">
        <is>
          <t>Carpenter 2nd class</t>
        </is>
      </c>
      <c r="C1570" s="13" t="inlineStr">
        <is>
          <t>day</t>
        </is>
      </c>
      <c r="D1570" s="15" t="n">
        <v>0.08</v>
      </c>
      <c r="E1570" s="16" t="n">
        <v>679</v>
      </c>
      <c r="F1570" s="16">
        <f>D1570*E1570</f>
        <v/>
      </c>
    </row>
    <row r="1571">
      <c r="A1571" s="17" t="inlineStr">
        <is>
          <t>Resource Total (Material + Labour + Machinery, as printed)</t>
        </is>
      </c>
      <c r="B1571" s="18" t="n"/>
      <c r="C1571" s="18" t="n"/>
      <c r="D1571" s="18" t="n"/>
      <c r="E1571" s="18" t="n"/>
      <c r="F1571" s="19">
        <f>SUM(F1567:F1570)</f>
        <v/>
      </c>
    </row>
    <row r="1572">
      <c r="A1572" s="20" t="inlineStr">
        <is>
          <t>SAY (Rs.) — final DAR rate</t>
        </is>
      </c>
      <c r="B1572" s="21" t="n"/>
      <c r="C1572" s="21" t="n"/>
      <c r="D1572" s="21" t="n"/>
      <c r="E1572" s="21" t="n"/>
      <c r="F1572" s="22" t="n">
        <v>38.7</v>
      </c>
    </row>
    <row r="1574" ht="28" customHeight="1">
      <c r="A1574" s="9" t="inlineStr">
        <is>
          <t>9.64</t>
        </is>
      </c>
      <c r="B1574" s="10" t="inlineStr">
        <is>
          <t>Providing and fixing ISI marked 85x42 mm oxidised M.S. pull bolt lock conforming to IS : 7534 with necessary screws bolts, nut and washers e</t>
        </is>
      </c>
      <c r="C1574" s="11" t="n"/>
      <c r="D1574" s="11" t="n"/>
      <c r="E1574" s="11" t="n"/>
      <c r="F1574" s="11" t="n"/>
    </row>
    <row r="1575">
      <c r="A1575" s="12" t="inlineStr">
        <is>
          <t>Rate basis: per nos  (source: cost for 10 nos)</t>
        </is>
      </c>
    </row>
    <row r="1576">
      <c r="A1576" s="5" t="inlineStr">
        <is>
          <t>Code</t>
        </is>
      </c>
      <c r="B1576" s="5" t="inlineStr">
        <is>
          <t>Description</t>
        </is>
      </c>
      <c r="C1576" s="5" t="inlineStr">
        <is>
          <t>Unit</t>
        </is>
      </c>
      <c r="D1576" s="5" t="inlineStr">
        <is>
          <t>Quantity</t>
        </is>
      </c>
      <c r="E1576" s="5" t="inlineStr">
        <is>
          <t>Rate (Rs.)</t>
        </is>
      </c>
      <c r="F1576" s="5" t="inlineStr">
        <is>
          <t>Amount (Rs.)</t>
        </is>
      </c>
    </row>
    <row r="1577">
      <c r="A1577" s="13" t="inlineStr">
        <is>
          <t>2449</t>
        </is>
      </c>
      <c r="B1577" s="14" t="inlineStr">
        <is>
          <t>Oxidised mild steel pull bolt lock (locking bolt) of size 85 mm x 42 mm with screws,bolts,nuts and washers complete</t>
        </is>
      </c>
      <c r="C1577" s="13" t="inlineStr">
        <is>
          <t>each</t>
        </is>
      </c>
      <c r="D1577" s="15" t="n">
        <v>10</v>
      </c>
      <c r="E1577" s="16" t="n">
        <v>60</v>
      </c>
      <c r="F1577" s="16">
        <f>D1577*E1577</f>
        <v/>
      </c>
    </row>
    <row r="1578">
      <c r="A1578" s="13" t="inlineStr">
        <is>
          <t>9988</t>
        </is>
      </c>
      <c r="B1578" s="14" t="inlineStr">
        <is>
          <t>Carriage of materials &amp; sundries</t>
        </is>
      </c>
      <c r="C1578" s="13" t="inlineStr">
        <is>
          <t>L.S.</t>
        </is>
      </c>
      <c r="D1578" s="15" t="n">
        <v>6.37</v>
      </c>
      <c r="E1578" s="16" t="n">
        <v>2</v>
      </c>
      <c r="F1578" s="16">
        <f>D1578*E1578</f>
        <v/>
      </c>
    </row>
    <row r="1579">
      <c r="A1579" s="13" t="inlineStr">
        <is>
          <t>0112</t>
        </is>
      </c>
      <c r="B1579" s="14" t="inlineStr">
        <is>
          <t>Carpenter 2nd class</t>
        </is>
      </c>
      <c r="C1579" s="13" t="inlineStr">
        <is>
          <t>day</t>
        </is>
      </c>
      <c r="D1579" s="15" t="n">
        <v>0.25</v>
      </c>
      <c r="E1579" s="16" t="n">
        <v>679</v>
      </c>
      <c r="F1579" s="16">
        <f>D1579*E1579</f>
        <v/>
      </c>
    </row>
    <row r="1580">
      <c r="A1580" s="17" t="inlineStr">
        <is>
          <t>Resource Total (Material + Labour + Machinery, as printed)</t>
        </is>
      </c>
      <c r="B1580" s="18" t="n"/>
      <c r="C1580" s="18" t="n"/>
      <c r="D1580" s="18" t="n"/>
      <c r="E1580" s="18" t="n"/>
      <c r="F1580" s="19">
        <f>SUM(F1577:F1579)</f>
        <v/>
      </c>
    </row>
    <row r="1581">
      <c r="A1581" s="20" t="inlineStr">
        <is>
          <t>SAY (Rs.) — final DAR rate</t>
        </is>
      </c>
      <c r="B1581" s="21" t="n"/>
      <c r="C1581" s="21" t="n"/>
      <c r="D1581" s="21" t="n"/>
      <c r="E1581" s="21" t="n"/>
      <c r="F1581" s="22" t="n">
        <v>104.7</v>
      </c>
    </row>
    <row r="1583" ht="18" customHeight="1">
      <c r="A1583" s="9" t="inlineStr">
        <is>
          <t>9.65.1</t>
        </is>
      </c>
      <c r="B1583" s="10" t="inlineStr">
        <is>
          <t>300x20x6 mm</t>
        </is>
      </c>
      <c r="C1583" s="11" t="n"/>
      <c r="D1583" s="11" t="n"/>
      <c r="E1583" s="11" t="n"/>
      <c r="F1583" s="11" t="n"/>
    </row>
    <row r="1584">
      <c r="A1584" s="12" t="inlineStr">
        <is>
          <t>Rate basis: per nos  (source: cost for 10 nos)</t>
        </is>
      </c>
    </row>
    <row r="1585">
      <c r="A1585" s="5" t="inlineStr">
        <is>
          <t>Code</t>
        </is>
      </c>
      <c r="B1585" s="5" t="inlineStr">
        <is>
          <t>Description</t>
        </is>
      </c>
      <c r="C1585" s="5" t="inlineStr">
        <is>
          <t>Unit</t>
        </is>
      </c>
      <c r="D1585" s="5" t="inlineStr">
        <is>
          <t>Quantity</t>
        </is>
      </c>
      <c r="E1585" s="5" t="inlineStr">
        <is>
          <t>Rate (Rs.)</t>
        </is>
      </c>
      <c r="F1585" s="5" t="inlineStr">
        <is>
          <t>Amount (Rs.)</t>
        </is>
      </c>
    </row>
    <row r="1586">
      <c r="A1586" s="13" t="inlineStr">
        <is>
          <t>0662</t>
        </is>
      </c>
      <c r="B1586" s="14" t="inlineStr">
        <is>
          <t>Oxidised mild steel door latch 300x20x6 mm</t>
        </is>
      </c>
      <c r="C1586" s="13" t="inlineStr">
        <is>
          <t>each</t>
        </is>
      </c>
      <c r="D1586" s="15" t="n">
        <v>10</v>
      </c>
      <c r="E1586" s="16" t="n">
        <v>49</v>
      </c>
      <c r="F1586" s="16">
        <f>D1586*E1586</f>
        <v/>
      </c>
    </row>
    <row r="1587">
      <c r="A1587" s="13" t="inlineStr">
        <is>
          <t>0685</t>
        </is>
      </c>
      <c r="B1587" s="14" t="inlineStr">
        <is>
          <t>Oxidised mild steel screws 25 mm</t>
        </is>
      </c>
      <c r="C1587" s="13" t="inlineStr">
        <is>
          <t>100 Nos</t>
        </is>
      </c>
      <c r="D1587" s="15" t="n">
        <v>0.9</v>
      </c>
      <c r="E1587" s="16" t="n">
        <v>36</v>
      </c>
      <c r="F1587" s="16">
        <f>D1587*E1587</f>
        <v/>
      </c>
    </row>
    <row r="1588">
      <c r="A1588" s="13" t="inlineStr">
        <is>
          <t>9977</t>
        </is>
      </c>
      <c r="B1588" s="14" t="inlineStr">
        <is>
          <t>Carriage of materials</t>
        </is>
      </c>
      <c r="C1588" s="13" t="inlineStr">
        <is>
          <t>L.S.</t>
        </is>
      </c>
      <c r="D1588" s="15" t="n">
        <v>3.64</v>
      </c>
      <c r="E1588" s="16" t="n">
        <v>2</v>
      </c>
      <c r="F1588" s="16">
        <f>D1588*E1588</f>
        <v/>
      </c>
    </row>
    <row r="1589">
      <c r="A1589" s="13" t="inlineStr">
        <is>
          <t>0112</t>
        </is>
      </c>
      <c r="B1589" s="14" t="inlineStr">
        <is>
          <t>Carpenter 2nd class</t>
        </is>
      </c>
      <c r="C1589" s="13" t="inlineStr">
        <is>
          <t>day</t>
        </is>
      </c>
      <c r="D1589" s="15" t="n">
        <v>0.12</v>
      </c>
      <c r="E1589" s="16" t="n">
        <v>679</v>
      </c>
      <c r="F1589" s="16">
        <f>D1589*E1589</f>
        <v/>
      </c>
    </row>
    <row r="1590">
      <c r="A1590" s="17" t="inlineStr">
        <is>
          <t>Resource Total (Material + Labour + Machinery, as printed)</t>
        </is>
      </c>
      <c r="B1590" s="18" t="n"/>
      <c r="C1590" s="18" t="n"/>
      <c r="D1590" s="18" t="n"/>
      <c r="E1590" s="18" t="n"/>
      <c r="F1590" s="19">
        <f>SUM(F1586:F1589)</f>
        <v/>
      </c>
    </row>
    <row r="1591">
      <c r="A1591" s="20" t="inlineStr">
        <is>
          <t>SAY (Rs.) — final DAR rate</t>
        </is>
      </c>
      <c r="B1591" s="21" t="n"/>
      <c r="C1591" s="21" t="n"/>
      <c r="D1591" s="21" t="n"/>
      <c r="E1591" s="21" t="n"/>
      <c r="F1591" s="22" t="n">
        <v>81.75</v>
      </c>
    </row>
    <row r="1593" ht="18" customHeight="1">
      <c r="A1593" s="9" t="inlineStr">
        <is>
          <t>9.65.2</t>
        </is>
      </c>
      <c r="B1593" s="10" t="inlineStr">
        <is>
          <t>250x20x6 mm</t>
        </is>
      </c>
      <c r="C1593" s="11" t="n"/>
      <c r="D1593" s="11" t="n"/>
      <c r="E1593" s="11" t="n"/>
      <c r="F1593" s="11" t="n"/>
    </row>
    <row r="1594">
      <c r="A1594" s="12" t="inlineStr">
        <is>
          <t>Rate basis: per nos  (source: cost for 10 nos)</t>
        </is>
      </c>
    </row>
    <row r="1595">
      <c r="A1595" s="5" t="inlineStr">
        <is>
          <t>Code</t>
        </is>
      </c>
      <c r="B1595" s="5" t="inlineStr">
        <is>
          <t>Description</t>
        </is>
      </c>
      <c r="C1595" s="5" t="inlineStr">
        <is>
          <t>Unit</t>
        </is>
      </c>
      <c r="D1595" s="5" t="inlineStr">
        <is>
          <t>Quantity</t>
        </is>
      </c>
      <c r="E1595" s="5" t="inlineStr">
        <is>
          <t>Rate (Rs.)</t>
        </is>
      </c>
      <c r="F1595" s="5" t="inlineStr">
        <is>
          <t>Amount (Rs.)</t>
        </is>
      </c>
    </row>
    <row r="1596">
      <c r="A1596" s="13" t="inlineStr">
        <is>
          <t>0663</t>
        </is>
      </c>
      <c r="B1596" s="14" t="inlineStr">
        <is>
          <t>Oxidised mild steel door latch 250x20x6 mm</t>
        </is>
      </c>
      <c r="C1596" s="13" t="inlineStr">
        <is>
          <t>each</t>
        </is>
      </c>
      <c r="D1596" s="15" t="n">
        <v>10</v>
      </c>
      <c r="E1596" s="16" t="n">
        <v>39</v>
      </c>
      <c r="F1596" s="16">
        <f>D1596*E1596</f>
        <v/>
      </c>
    </row>
    <row r="1597">
      <c r="A1597" s="13" t="inlineStr">
        <is>
          <t>0685</t>
        </is>
      </c>
      <c r="B1597" s="14" t="inlineStr">
        <is>
          <t>Oxidised mild steel screws 25 mm</t>
        </is>
      </c>
      <c r="C1597" s="13" t="inlineStr">
        <is>
          <t>100 Nos</t>
        </is>
      </c>
      <c r="D1597" s="15" t="n">
        <v>0.9</v>
      </c>
      <c r="E1597" s="16" t="n">
        <v>36</v>
      </c>
      <c r="F1597" s="16">
        <f>D1597*E1597</f>
        <v/>
      </c>
    </row>
    <row r="1598">
      <c r="A1598" s="13" t="inlineStr">
        <is>
          <t>9977</t>
        </is>
      </c>
      <c r="B1598" s="14" t="inlineStr">
        <is>
          <t>Carriage of materials</t>
        </is>
      </c>
      <c r="C1598" s="13" t="inlineStr">
        <is>
          <t>L.S.</t>
        </is>
      </c>
      <c r="D1598" s="15" t="n">
        <v>3.64</v>
      </c>
      <c r="E1598" s="16" t="n">
        <v>2</v>
      </c>
      <c r="F1598" s="16">
        <f>D1598*E1598</f>
        <v/>
      </c>
    </row>
    <row r="1599">
      <c r="A1599" s="13" t="inlineStr">
        <is>
          <t>0112</t>
        </is>
      </c>
      <c r="B1599" s="14" t="inlineStr">
        <is>
          <t>Carpenter 2nd class</t>
        </is>
      </c>
      <c r="C1599" s="13" t="inlineStr">
        <is>
          <t>day</t>
        </is>
      </c>
      <c r="D1599" s="15" t="n">
        <v>0.12</v>
      </c>
      <c r="E1599" s="16" t="n">
        <v>679</v>
      </c>
      <c r="F1599" s="16">
        <f>D1599*E1599</f>
        <v/>
      </c>
    </row>
    <row r="1600">
      <c r="A1600" s="17" t="inlineStr">
        <is>
          <t>Resource Total (Material + Labour + Machinery, as printed)</t>
        </is>
      </c>
      <c r="B1600" s="18" t="n"/>
      <c r="C1600" s="18" t="n"/>
      <c r="D1600" s="18" t="n"/>
      <c r="E1600" s="18" t="n"/>
      <c r="F1600" s="19">
        <f>SUM(F1596:F1599)</f>
        <v/>
      </c>
    </row>
    <row r="1601">
      <c r="A1601" s="20" t="inlineStr">
        <is>
          <t>SAY (Rs.) — final DAR rate</t>
        </is>
      </c>
      <c r="B1601" s="21" t="n"/>
      <c r="C1601" s="21" t="n"/>
      <c r="D1601" s="21" t="n"/>
      <c r="E1601" s="21" t="n"/>
      <c r="F1601" s="22" t="n">
        <v>68.40000000000001</v>
      </c>
    </row>
    <row r="1603" ht="18" customHeight="1">
      <c r="A1603" s="9" t="inlineStr">
        <is>
          <t>9.66.1</t>
        </is>
      </c>
      <c r="B1603" s="10" t="inlineStr">
        <is>
          <t>125 mm</t>
        </is>
      </c>
      <c r="C1603" s="11" t="n"/>
      <c r="D1603" s="11" t="n"/>
      <c r="E1603" s="11" t="n"/>
      <c r="F1603" s="11" t="n"/>
    </row>
    <row r="1604">
      <c r="A1604" s="12" t="inlineStr">
        <is>
          <t>Rate basis: per nos  (source: cost for 10 nos)</t>
        </is>
      </c>
    </row>
    <row r="1605">
      <c r="A1605" s="5" t="inlineStr">
        <is>
          <t>Code</t>
        </is>
      </c>
      <c r="B1605" s="5" t="inlineStr">
        <is>
          <t>Description</t>
        </is>
      </c>
      <c r="C1605" s="5" t="inlineStr">
        <is>
          <t>Unit</t>
        </is>
      </c>
      <c r="D1605" s="5" t="inlineStr">
        <is>
          <t>Quantity</t>
        </is>
      </c>
      <c r="E1605" s="5" t="inlineStr">
        <is>
          <t>Rate (Rs.)</t>
        </is>
      </c>
      <c r="F1605" s="5" t="inlineStr">
        <is>
          <t>Amount (Rs.)</t>
        </is>
      </c>
    </row>
    <row r="1606">
      <c r="A1606" s="13" t="inlineStr">
        <is>
          <t>0668</t>
        </is>
      </c>
      <c r="B1606" s="14" t="inlineStr">
        <is>
          <t>Oxidised mild steel handles 125 mm</t>
        </is>
      </c>
      <c r="C1606" s="13" t="inlineStr">
        <is>
          <t>each</t>
        </is>
      </c>
      <c r="D1606" s="15" t="n">
        <v>10</v>
      </c>
      <c r="E1606" s="16" t="n">
        <v>20</v>
      </c>
      <c r="F1606" s="16">
        <f>D1606*E1606</f>
        <v/>
      </c>
    </row>
    <row r="1607">
      <c r="A1607" s="13" t="inlineStr">
        <is>
          <t>0685</t>
        </is>
      </c>
      <c r="B1607" s="14" t="inlineStr">
        <is>
          <t>Oxidised mild steel screws 25 mm</t>
        </is>
      </c>
      <c r="C1607" s="13" t="inlineStr">
        <is>
          <t>100 Nos</t>
        </is>
      </c>
      <c r="D1607" s="15" t="n">
        <v>0.4</v>
      </c>
      <c r="E1607" s="16" t="n">
        <v>36</v>
      </c>
      <c r="F1607" s="16">
        <f>D1607*E1607</f>
        <v/>
      </c>
    </row>
    <row r="1608">
      <c r="A1608" s="13" t="inlineStr">
        <is>
          <t>9977</t>
        </is>
      </c>
      <c r="B1608" s="14" t="inlineStr">
        <is>
          <t>Carriage of materials</t>
        </is>
      </c>
      <c r="C1608" s="13" t="inlineStr">
        <is>
          <t>L.S.</t>
        </is>
      </c>
      <c r="D1608" s="15" t="n">
        <v>2.73</v>
      </c>
      <c r="E1608" s="16" t="n">
        <v>2</v>
      </c>
      <c r="F1608" s="16">
        <f>D1608*E1608</f>
        <v/>
      </c>
    </row>
    <row r="1609">
      <c r="A1609" s="13" t="inlineStr">
        <is>
          <t>0112</t>
        </is>
      </c>
      <c r="B1609" s="14" t="inlineStr">
        <is>
          <t>Carpenter 2nd class</t>
        </is>
      </c>
      <c r="C1609" s="13" t="inlineStr">
        <is>
          <t>day</t>
        </is>
      </c>
      <c r="D1609" s="15" t="n">
        <v>0.06</v>
      </c>
      <c r="E1609" s="16" t="n">
        <v>679</v>
      </c>
      <c r="F1609" s="16">
        <f>D1609*E1609</f>
        <v/>
      </c>
    </row>
    <row r="1610">
      <c r="A1610" s="17" t="inlineStr">
        <is>
          <t>Resource Total (Material + Labour + Machinery, as printed)</t>
        </is>
      </c>
      <c r="B1610" s="18" t="n"/>
      <c r="C1610" s="18" t="n"/>
      <c r="D1610" s="18" t="n"/>
      <c r="E1610" s="18" t="n"/>
      <c r="F1610" s="19">
        <f>SUM(F1606:F1609)</f>
        <v/>
      </c>
    </row>
    <row r="1611">
      <c r="A1611" s="20" t="inlineStr">
        <is>
          <t>SAY (Rs.) — final DAR rate</t>
        </is>
      </c>
      <c r="B1611" s="21" t="n"/>
      <c r="C1611" s="21" t="n"/>
      <c r="D1611" s="21" t="n"/>
      <c r="E1611" s="21" t="n"/>
      <c r="F1611" s="22" t="n">
        <v>34.85</v>
      </c>
    </row>
    <row r="1613" ht="18" customHeight="1">
      <c r="A1613" s="9" t="inlineStr">
        <is>
          <t>9.66.2</t>
        </is>
      </c>
      <c r="B1613" s="10" t="inlineStr">
        <is>
          <t>100 mm</t>
        </is>
      </c>
      <c r="C1613" s="11" t="n"/>
      <c r="D1613" s="11" t="n"/>
      <c r="E1613" s="11" t="n"/>
      <c r="F1613" s="11" t="n"/>
    </row>
    <row r="1614">
      <c r="A1614" s="12" t="inlineStr">
        <is>
          <t>Rate basis: per nos  (source: cost for 10 nos)</t>
        </is>
      </c>
    </row>
    <row r="1615">
      <c r="A1615" s="5" t="inlineStr">
        <is>
          <t>Code</t>
        </is>
      </c>
      <c r="B1615" s="5" t="inlineStr">
        <is>
          <t>Description</t>
        </is>
      </c>
      <c r="C1615" s="5" t="inlineStr">
        <is>
          <t>Unit</t>
        </is>
      </c>
      <c r="D1615" s="5" t="inlineStr">
        <is>
          <t>Quantity</t>
        </is>
      </c>
      <c r="E1615" s="5" t="inlineStr">
        <is>
          <t>Rate (Rs.)</t>
        </is>
      </c>
      <c r="F1615" s="5" t="inlineStr">
        <is>
          <t>Amount (Rs.)</t>
        </is>
      </c>
    </row>
    <row r="1616">
      <c r="A1616" s="13" t="inlineStr">
        <is>
          <t>0669</t>
        </is>
      </c>
      <c r="B1616" s="14" t="inlineStr">
        <is>
          <t>Oxidised mild steel handles 100 mm</t>
        </is>
      </c>
      <c r="C1616" s="13" t="inlineStr">
        <is>
          <t>each</t>
        </is>
      </c>
      <c r="D1616" s="15" t="n">
        <v>10</v>
      </c>
      <c r="E1616" s="16" t="n">
        <v>15</v>
      </c>
      <c r="F1616" s="16">
        <f>D1616*E1616</f>
        <v/>
      </c>
    </row>
    <row r="1617">
      <c r="A1617" s="13" t="inlineStr">
        <is>
          <t>0685</t>
        </is>
      </c>
      <c r="B1617" s="14" t="inlineStr">
        <is>
          <t>Oxidised mild steel screws 25 mm</t>
        </is>
      </c>
      <c r="C1617" s="13" t="inlineStr">
        <is>
          <t>100 Nos</t>
        </is>
      </c>
      <c r="D1617" s="15" t="n">
        <v>0.4</v>
      </c>
      <c r="E1617" s="16" t="n">
        <v>36</v>
      </c>
      <c r="F1617" s="16">
        <f>D1617*E1617</f>
        <v/>
      </c>
    </row>
    <row r="1618">
      <c r="A1618" s="13" t="inlineStr">
        <is>
          <t>9977</t>
        </is>
      </c>
      <c r="B1618" s="14" t="inlineStr">
        <is>
          <t>Carriage of materials</t>
        </is>
      </c>
      <c r="C1618" s="13" t="inlineStr">
        <is>
          <t>L.S.</t>
        </is>
      </c>
      <c r="D1618" s="15" t="n">
        <v>1.82</v>
      </c>
      <c r="E1618" s="16" t="n">
        <v>2</v>
      </c>
      <c r="F1618" s="16">
        <f>D1618*E1618</f>
        <v/>
      </c>
    </row>
    <row r="1619">
      <c r="A1619" s="13" t="inlineStr">
        <is>
          <t>0112</t>
        </is>
      </c>
      <c r="B1619" s="14" t="inlineStr">
        <is>
          <t>Carpenter 2nd class</t>
        </is>
      </c>
      <c r="C1619" s="13" t="inlineStr">
        <is>
          <t>day</t>
        </is>
      </c>
      <c r="D1619" s="15" t="n">
        <v>0.06</v>
      </c>
      <c r="E1619" s="16" t="n">
        <v>679</v>
      </c>
      <c r="F1619" s="16">
        <f>D1619*E1619</f>
        <v/>
      </c>
    </row>
    <row r="1620">
      <c r="A1620" s="17" t="inlineStr">
        <is>
          <t>Resource Total (Material + Labour + Machinery, as printed)</t>
        </is>
      </c>
      <c r="B1620" s="18" t="n"/>
      <c r="C1620" s="18" t="n"/>
      <c r="D1620" s="18" t="n"/>
      <c r="E1620" s="18" t="n"/>
      <c r="F1620" s="19">
        <f>SUM(F1616:F1619)</f>
        <v/>
      </c>
    </row>
    <row r="1621">
      <c r="A1621" s="20" t="inlineStr">
        <is>
          <t>SAY (Rs.) — final DAR rate</t>
        </is>
      </c>
      <c r="B1621" s="21" t="n"/>
      <c r="C1621" s="21" t="n"/>
      <c r="D1621" s="21" t="n"/>
      <c r="E1621" s="21" t="n"/>
      <c r="F1621" s="22" t="n">
        <v>27.95</v>
      </c>
    </row>
    <row r="1623" ht="18" customHeight="1">
      <c r="A1623" s="9" t="inlineStr">
        <is>
          <t>9.66.3</t>
        </is>
      </c>
      <c r="B1623" s="10" t="inlineStr">
        <is>
          <t>75 mm</t>
        </is>
      </c>
      <c r="C1623" s="11" t="n"/>
      <c r="D1623" s="11" t="n"/>
      <c r="E1623" s="11" t="n"/>
      <c r="F1623" s="11" t="n"/>
    </row>
    <row r="1624">
      <c r="A1624" s="12" t="inlineStr">
        <is>
          <t>Rate basis: per nos  (source: cost for 10 nos)</t>
        </is>
      </c>
    </row>
    <row r="1625">
      <c r="A1625" s="5" t="inlineStr">
        <is>
          <t>Code</t>
        </is>
      </c>
      <c r="B1625" s="5" t="inlineStr">
        <is>
          <t>Description</t>
        </is>
      </c>
      <c r="C1625" s="5" t="inlineStr">
        <is>
          <t>Unit</t>
        </is>
      </c>
      <c r="D1625" s="5" t="inlineStr">
        <is>
          <t>Quantity</t>
        </is>
      </c>
      <c r="E1625" s="5" t="inlineStr">
        <is>
          <t>Rate (Rs.)</t>
        </is>
      </c>
      <c r="F1625" s="5" t="inlineStr">
        <is>
          <t>Amount (Rs.)</t>
        </is>
      </c>
    </row>
    <row r="1626">
      <c r="A1626" s="13" t="inlineStr">
        <is>
          <t>0670</t>
        </is>
      </c>
      <c r="B1626" s="14" t="inlineStr">
        <is>
          <t>Oxidised mild steel handles75 mm</t>
        </is>
      </c>
      <c r="C1626" s="13" t="inlineStr">
        <is>
          <t>each</t>
        </is>
      </c>
      <c r="D1626" s="15" t="n">
        <v>10</v>
      </c>
      <c r="E1626" s="16" t="n">
        <v>12</v>
      </c>
      <c r="F1626" s="16">
        <f>D1626*E1626</f>
        <v/>
      </c>
    </row>
    <row r="1627">
      <c r="A1627" s="13" t="inlineStr">
        <is>
          <t>0685</t>
        </is>
      </c>
      <c r="B1627" s="14" t="inlineStr">
        <is>
          <t>Oxidised mild steel screws 25 mm</t>
        </is>
      </c>
      <c r="C1627" s="13" t="inlineStr">
        <is>
          <t>100 Nos</t>
        </is>
      </c>
      <c r="D1627" s="15" t="n">
        <v>0.4</v>
      </c>
      <c r="E1627" s="16" t="n">
        <v>36</v>
      </c>
      <c r="F1627" s="16">
        <f>D1627*E1627</f>
        <v/>
      </c>
    </row>
    <row r="1628">
      <c r="A1628" s="13" t="inlineStr">
        <is>
          <t>9977</t>
        </is>
      </c>
      <c r="B1628" s="14" t="inlineStr">
        <is>
          <t>Carriage of materials</t>
        </is>
      </c>
      <c r="C1628" s="13" t="inlineStr">
        <is>
          <t>L.S.</t>
        </is>
      </c>
      <c r="D1628" s="15" t="n">
        <v>1.82</v>
      </c>
      <c r="E1628" s="16" t="n">
        <v>2</v>
      </c>
      <c r="F1628" s="16">
        <f>D1628*E1628</f>
        <v/>
      </c>
    </row>
    <row r="1629">
      <c r="A1629" s="13" t="inlineStr">
        <is>
          <t>0112</t>
        </is>
      </c>
      <c r="B1629" s="14" t="inlineStr">
        <is>
          <t>Carpenter 2nd class</t>
        </is>
      </c>
      <c r="C1629" s="13" t="inlineStr">
        <is>
          <t>day</t>
        </is>
      </c>
      <c r="D1629" s="15" t="n">
        <v>0.06</v>
      </c>
      <c r="E1629" s="16" t="n">
        <v>679</v>
      </c>
      <c r="F1629" s="16">
        <f>D1629*E1629</f>
        <v/>
      </c>
    </row>
    <row r="1630">
      <c r="A1630" s="17" t="inlineStr">
        <is>
          <t>Resource Total (Material + Labour + Machinery, as printed)</t>
        </is>
      </c>
      <c r="B1630" s="18" t="n"/>
      <c r="C1630" s="18" t="n"/>
      <c r="D1630" s="18" t="n"/>
      <c r="E1630" s="18" t="n"/>
      <c r="F1630" s="19">
        <f>SUM(F1626:F1629)</f>
        <v/>
      </c>
    </row>
    <row r="1631">
      <c r="A1631" s="20" t="inlineStr">
        <is>
          <t>SAY (Rs.) — final DAR rate</t>
        </is>
      </c>
      <c r="B1631" s="21" t="n"/>
      <c r="C1631" s="21" t="n"/>
      <c r="D1631" s="21" t="n"/>
      <c r="E1631" s="21" t="n"/>
      <c r="F1631" s="22" t="n">
        <v>23.9</v>
      </c>
    </row>
    <row r="1633" ht="18" customHeight="1">
      <c r="A1633" s="9" t="inlineStr">
        <is>
          <t>9.67.1</t>
        </is>
      </c>
      <c r="B1633" s="10" t="inlineStr">
        <is>
          <t>150 mm</t>
        </is>
      </c>
      <c r="C1633" s="11" t="n"/>
      <c r="D1633" s="11" t="n"/>
      <c r="E1633" s="11" t="n"/>
      <c r="F1633" s="11" t="n"/>
    </row>
    <row r="1634">
      <c r="A1634" s="12" t="inlineStr">
        <is>
          <t>Rate basis: per nos  (source: cost for 10 nos)</t>
        </is>
      </c>
    </row>
    <row r="1635">
      <c r="A1635" s="5" t="inlineStr">
        <is>
          <t>Code</t>
        </is>
      </c>
      <c r="B1635" s="5" t="inlineStr">
        <is>
          <t>Description</t>
        </is>
      </c>
      <c r="C1635" s="5" t="inlineStr">
        <is>
          <t>Unit</t>
        </is>
      </c>
      <c r="D1635" s="5" t="inlineStr">
        <is>
          <t>Quantity</t>
        </is>
      </c>
      <c r="E1635" s="5" t="inlineStr">
        <is>
          <t>Rate (Rs.)</t>
        </is>
      </c>
      <c r="F1635" s="5" t="inlineStr">
        <is>
          <t>Amount (Rs.)</t>
        </is>
      </c>
    </row>
    <row r="1636">
      <c r="A1636" s="13" t="inlineStr">
        <is>
          <t>0679</t>
        </is>
      </c>
      <c r="B1636" s="14" t="inlineStr">
        <is>
          <t>Oxidised mild steel hasps and staples (safety type) 150 mm</t>
        </is>
      </c>
      <c r="C1636" s="13" t="inlineStr">
        <is>
          <t>10 Nos</t>
        </is>
      </c>
      <c r="D1636" s="15" t="n">
        <v>1</v>
      </c>
      <c r="E1636" s="16" t="n">
        <v>128</v>
      </c>
      <c r="F1636" s="16">
        <f>D1636*E1636</f>
        <v/>
      </c>
    </row>
    <row r="1637">
      <c r="A1637" s="13" t="inlineStr">
        <is>
          <t>0685</t>
        </is>
      </c>
      <c r="B1637" s="14" t="inlineStr">
        <is>
          <t>Oxidised mild steel screws 25 mm</t>
        </is>
      </c>
      <c r="C1637" s="13" t="inlineStr">
        <is>
          <t>100 Nos</t>
        </is>
      </c>
      <c r="D1637" s="15" t="n">
        <v>0.8</v>
      </c>
      <c r="E1637" s="16" t="n">
        <v>36</v>
      </c>
      <c r="F1637" s="16">
        <f>D1637*E1637</f>
        <v/>
      </c>
    </row>
    <row r="1638">
      <c r="A1638" s="13" t="inlineStr">
        <is>
          <t>9977</t>
        </is>
      </c>
      <c r="B1638" s="14" t="inlineStr">
        <is>
          <t>Carriage of materials</t>
        </is>
      </c>
      <c r="C1638" s="13" t="inlineStr">
        <is>
          <t>L.S.</t>
        </is>
      </c>
      <c r="D1638" s="15" t="n">
        <v>1.82</v>
      </c>
      <c r="E1638" s="16" t="n">
        <v>2</v>
      </c>
      <c r="F1638" s="16">
        <f>D1638*E1638</f>
        <v/>
      </c>
    </row>
    <row r="1639">
      <c r="A1639" s="13" t="inlineStr">
        <is>
          <t>0112</t>
        </is>
      </c>
      <c r="B1639" s="14" t="inlineStr">
        <is>
          <t>Carpenter 2nd class</t>
        </is>
      </c>
      <c r="C1639" s="13" t="inlineStr">
        <is>
          <t>day</t>
        </is>
      </c>
      <c r="D1639" s="15" t="n">
        <v>0.08</v>
      </c>
      <c r="E1639" s="16" t="n">
        <v>679</v>
      </c>
      <c r="F1639" s="16">
        <f>D1639*E1639</f>
        <v/>
      </c>
    </row>
    <row r="1640">
      <c r="A1640" s="17" t="inlineStr">
        <is>
          <t>Resource Total (Material + Labour + Machinery, as printed)</t>
        </is>
      </c>
      <c r="B1640" s="18" t="n"/>
      <c r="C1640" s="18" t="n"/>
      <c r="D1640" s="18" t="n"/>
      <c r="E1640" s="18" t="n"/>
      <c r="F1640" s="19">
        <f>SUM(F1636:F1639)</f>
        <v/>
      </c>
    </row>
    <row r="1641">
      <c r="A1641" s="20" t="inlineStr">
        <is>
          <t>SAY (Rs.) — final DAR rate</t>
        </is>
      </c>
      <c r="B1641" s="21" t="n"/>
      <c r="C1641" s="21" t="n"/>
      <c r="D1641" s="21" t="n"/>
      <c r="E1641" s="21" t="n"/>
      <c r="F1641" s="22" t="n">
        <v>28.75</v>
      </c>
    </row>
    <row r="1643" ht="18" customHeight="1">
      <c r="A1643" s="9" t="inlineStr">
        <is>
          <t>9.67.2</t>
        </is>
      </c>
      <c r="B1643" s="10" t="inlineStr">
        <is>
          <t>115 mm</t>
        </is>
      </c>
      <c r="C1643" s="11" t="n"/>
      <c r="D1643" s="11" t="n"/>
      <c r="E1643" s="11" t="n"/>
      <c r="F1643" s="11" t="n"/>
    </row>
    <row r="1644">
      <c r="A1644" s="12" t="inlineStr">
        <is>
          <t>Rate basis: per nos  (source: cost for 10 nos)</t>
        </is>
      </c>
    </row>
    <row r="1645">
      <c r="A1645" s="5" t="inlineStr">
        <is>
          <t>Code</t>
        </is>
      </c>
      <c r="B1645" s="5" t="inlineStr">
        <is>
          <t>Description</t>
        </is>
      </c>
      <c r="C1645" s="5" t="inlineStr">
        <is>
          <t>Unit</t>
        </is>
      </c>
      <c r="D1645" s="5" t="inlineStr">
        <is>
          <t>Quantity</t>
        </is>
      </c>
      <c r="E1645" s="5" t="inlineStr">
        <is>
          <t>Rate (Rs.)</t>
        </is>
      </c>
      <c r="F1645" s="5" t="inlineStr">
        <is>
          <t>Amount (Rs.)</t>
        </is>
      </c>
    </row>
    <row r="1646">
      <c r="A1646" s="13" t="inlineStr">
        <is>
          <t>0680</t>
        </is>
      </c>
      <c r="B1646" s="14" t="inlineStr">
        <is>
          <t>Oxidised mild steel hasps and staples (safety type) 115 mm</t>
        </is>
      </c>
      <c r="C1646" s="13" t="inlineStr">
        <is>
          <t>10 Nos</t>
        </is>
      </c>
      <c r="D1646" s="15" t="n">
        <v>1</v>
      </c>
      <c r="E1646" s="16" t="n">
        <v>108</v>
      </c>
      <c r="F1646" s="16">
        <f>D1646*E1646</f>
        <v/>
      </c>
    </row>
    <row r="1647">
      <c r="A1647" s="13" t="inlineStr">
        <is>
          <t>0685</t>
        </is>
      </c>
      <c r="B1647" s="14" t="inlineStr">
        <is>
          <t>Oxidised mild steel screws 25 mm</t>
        </is>
      </c>
      <c r="C1647" s="13" t="inlineStr">
        <is>
          <t>100 Nos</t>
        </is>
      </c>
      <c r="D1647" s="15" t="n">
        <v>0.7</v>
      </c>
      <c r="E1647" s="16" t="n">
        <v>36</v>
      </c>
      <c r="F1647" s="16">
        <f>D1647*E1647</f>
        <v/>
      </c>
    </row>
    <row r="1648">
      <c r="A1648" s="13" t="inlineStr">
        <is>
          <t>9977</t>
        </is>
      </c>
      <c r="B1648" s="14" t="inlineStr">
        <is>
          <t>Carriage of materials</t>
        </is>
      </c>
      <c r="C1648" s="13" t="inlineStr">
        <is>
          <t>L.S.</t>
        </is>
      </c>
      <c r="D1648" s="15" t="n">
        <v>1.82</v>
      </c>
      <c r="E1648" s="16" t="n">
        <v>2</v>
      </c>
      <c r="F1648" s="16">
        <f>D1648*E1648</f>
        <v/>
      </c>
    </row>
    <row r="1649">
      <c r="A1649" s="13" t="inlineStr">
        <is>
          <t>0112</t>
        </is>
      </c>
      <c r="B1649" s="14" t="inlineStr">
        <is>
          <t>Carpenter 2nd class</t>
        </is>
      </c>
      <c r="C1649" s="13" t="inlineStr">
        <is>
          <t>day</t>
        </is>
      </c>
      <c r="D1649" s="15" t="n">
        <v>0.08</v>
      </c>
      <c r="E1649" s="16" t="n">
        <v>679</v>
      </c>
      <c r="F1649" s="16">
        <f>D1649*E1649</f>
        <v/>
      </c>
    </row>
    <row r="1650">
      <c r="A1650" s="17" t="inlineStr">
        <is>
          <t>Resource Total (Material + Labour + Machinery, as printed)</t>
        </is>
      </c>
      <c r="B1650" s="18" t="n"/>
      <c r="C1650" s="18" t="n"/>
      <c r="D1650" s="18" t="n"/>
      <c r="E1650" s="18" t="n"/>
      <c r="F1650" s="19">
        <f>SUM(F1646:F1649)</f>
        <v/>
      </c>
    </row>
    <row r="1651">
      <c r="A1651" s="20" t="inlineStr">
        <is>
          <t>SAY (Rs.) — final DAR rate</t>
        </is>
      </c>
      <c r="B1651" s="21" t="n"/>
      <c r="C1651" s="21" t="n"/>
      <c r="D1651" s="21" t="n"/>
      <c r="E1651" s="21" t="n"/>
      <c r="F1651" s="22" t="n">
        <v>25.6</v>
      </c>
    </row>
    <row r="1653" ht="18" customHeight="1">
      <c r="A1653" s="9" t="inlineStr">
        <is>
          <t>9.67.3</t>
        </is>
      </c>
      <c r="B1653" s="10" t="inlineStr">
        <is>
          <t>90 mm</t>
        </is>
      </c>
      <c r="C1653" s="11" t="n"/>
      <c r="D1653" s="11" t="n"/>
      <c r="E1653" s="11" t="n"/>
      <c r="F1653" s="11" t="n"/>
    </row>
    <row r="1654">
      <c r="A1654" s="12" t="inlineStr">
        <is>
          <t>Rate basis: per nos  (source: cost for 10 nos)</t>
        </is>
      </c>
    </row>
    <row r="1655">
      <c r="A1655" s="5" t="inlineStr">
        <is>
          <t>Code</t>
        </is>
      </c>
      <c r="B1655" s="5" t="inlineStr">
        <is>
          <t>Description</t>
        </is>
      </c>
      <c r="C1655" s="5" t="inlineStr">
        <is>
          <t>Unit</t>
        </is>
      </c>
      <c r="D1655" s="5" t="inlineStr">
        <is>
          <t>Quantity</t>
        </is>
      </c>
      <c r="E1655" s="5" t="inlineStr">
        <is>
          <t>Rate (Rs.)</t>
        </is>
      </c>
      <c r="F1655" s="5" t="inlineStr">
        <is>
          <t>Amount (Rs.)</t>
        </is>
      </c>
    </row>
    <row r="1656">
      <c r="A1656" s="13" t="inlineStr">
        <is>
          <t>0681</t>
        </is>
      </c>
      <c r="B1656" s="14" t="inlineStr">
        <is>
          <t>Oxidised mild steel hasps and staples (safety type) 90 mm</t>
        </is>
      </c>
      <c r="C1656" s="13" t="inlineStr">
        <is>
          <t>10 Nos</t>
        </is>
      </c>
      <c r="D1656" s="15" t="n">
        <v>1</v>
      </c>
      <c r="E1656" s="16" t="n">
        <v>79</v>
      </c>
      <c r="F1656" s="16">
        <f>D1656*E1656</f>
        <v/>
      </c>
    </row>
    <row r="1657">
      <c r="A1657" s="13" t="inlineStr">
        <is>
          <t>0685</t>
        </is>
      </c>
      <c r="B1657" s="14" t="inlineStr">
        <is>
          <t>Oxidised mild steel screws 25 mm</t>
        </is>
      </c>
      <c r="C1657" s="13" t="inlineStr">
        <is>
          <t>100 Nos</t>
        </is>
      </c>
      <c r="D1657" s="15" t="n">
        <v>0.7</v>
      </c>
      <c r="E1657" s="16" t="n">
        <v>36</v>
      </c>
      <c r="F1657" s="16">
        <f>D1657*E1657</f>
        <v/>
      </c>
    </row>
    <row r="1658">
      <c r="A1658" s="13" t="inlineStr">
        <is>
          <t>9977</t>
        </is>
      </c>
      <c r="B1658" s="14" t="inlineStr">
        <is>
          <t>Carriage of materials</t>
        </is>
      </c>
      <c r="C1658" s="13" t="inlineStr">
        <is>
          <t>L.S.</t>
        </is>
      </c>
      <c r="D1658" s="15" t="n">
        <v>1.82</v>
      </c>
      <c r="E1658" s="16" t="n">
        <v>2</v>
      </c>
      <c r="F1658" s="16">
        <f>D1658*E1658</f>
        <v/>
      </c>
    </row>
    <row r="1659">
      <c r="A1659" s="13" t="inlineStr">
        <is>
          <t>0112</t>
        </is>
      </c>
      <c r="B1659" s="14" t="inlineStr">
        <is>
          <t>Carpenter 2nd class</t>
        </is>
      </c>
      <c r="C1659" s="13" t="inlineStr">
        <is>
          <t>day</t>
        </is>
      </c>
      <c r="D1659" s="15" t="n">
        <v>0.08</v>
      </c>
      <c r="E1659" s="16" t="n">
        <v>679</v>
      </c>
      <c r="F1659" s="16">
        <f>D1659*E1659</f>
        <v/>
      </c>
    </row>
    <row r="1660">
      <c r="A1660" s="17" t="inlineStr">
        <is>
          <t>Resource Total (Material + Labour + Machinery, as printed)</t>
        </is>
      </c>
      <c r="B1660" s="18" t="n"/>
      <c r="C1660" s="18" t="n"/>
      <c r="D1660" s="18" t="n"/>
      <c r="E1660" s="18" t="n"/>
      <c r="F1660" s="19">
        <f>SUM(F1656:F1659)</f>
        <v/>
      </c>
    </row>
    <row r="1661">
      <c r="A1661" s="20" t="inlineStr">
        <is>
          <t>SAY (Rs.) — final DAR rate</t>
        </is>
      </c>
      <c r="B1661" s="21" t="n"/>
      <c r="C1661" s="21" t="n"/>
      <c r="D1661" s="21" t="n"/>
      <c r="E1661" s="21" t="n"/>
      <c r="F1661" s="22" t="n">
        <v>21.7</v>
      </c>
    </row>
    <row r="1663" ht="18" customHeight="1">
      <c r="A1663" s="9" t="inlineStr">
        <is>
          <t>9.68.1</t>
        </is>
      </c>
      <c r="B1663" s="10" t="inlineStr">
        <is>
          <t>300 mm weighing not less than 200 gms</t>
        </is>
      </c>
      <c r="C1663" s="11" t="n"/>
      <c r="D1663" s="11" t="n"/>
      <c r="E1663" s="11" t="n"/>
      <c r="F1663" s="11" t="n"/>
    </row>
    <row r="1664">
      <c r="A1664" s="12" t="inlineStr">
        <is>
          <t>Rate basis: per nos  (source: cost for 10 nos)</t>
        </is>
      </c>
    </row>
    <row r="1665">
      <c r="A1665" s="5" t="inlineStr">
        <is>
          <t>Code</t>
        </is>
      </c>
      <c r="B1665" s="5" t="inlineStr">
        <is>
          <t>Description</t>
        </is>
      </c>
      <c r="C1665" s="5" t="inlineStr">
        <is>
          <t>Unit</t>
        </is>
      </c>
      <c r="D1665" s="5" t="inlineStr">
        <is>
          <t>Quantity</t>
        </is>
      </c>
      <c r="E1665" s="5" t="inlineStr">
        <is>
          <t>Rate (Rs.)</t>
        </is>
      </c>
      <c r="F1665" s="5" t="inlineStr">
        <is>
          <t>Amount (Rs.)</t>
        </is>
      </c>
    </row>
    <row r="1666">
      <c r="A1666" s="13" t="inlineStr">
        <is>
          <t>7063</t>
        </is>
      </c>
      <c r="B1666" s="14" t="inlineStr">
        <is>
          <t>Oxidised M.S.casement stay (straight peg type) 300 mm not less than 0.33 kg</t>
        </is>
      </c>
      <c r="C1666" s="13" t="inlineStr">
        <is>
          <t>each</t>
        </is>
      </c>
      <c r="D1666" s="15" t="n">
        <v>10</v>
      </c>
      <c r="E1666" s="16" t="n">
        <v>35</v>
      </c>
      <c r="F1666" s="16">
        <f>D1666*E1666</f>
        <v/>
      </c>
    </row>
    <row r="1667">
      <c r="A1667" s="13" t="inlineStr">
        <is>
          <t>0684</t>
        </is>
      </c>
      <c r="B1667" s="14" t="inlineStr">
        <is>
          <t>Oxidised mild steel screws 30 mm</t>
        </is>
      </c>
      <c r="C1667" s="13" t="inlineStr">
        <is>
          <t>100 Nos</t>
        </is>
      </c>
      <c r="D1667" s="15" t="n">
        <v>0.4</v>
      </c>
      <c r="E1667" s="16" t="n">
        <v>49</v>
      </c>
      <c r="F1667" s="16">
        <f>D1667*E1667</f>
        <v/>
      </c>
    </row>
    <row r="1668">
      <c r="A1668" s="13" t="inlineStr">
        <is>
          <t>9977</t>
        </is>
      </c>
      <c r="B1668" s="14" t="inlineStr">
        <is>
          <t>Carriage of materials</t>
        </is>
      </c>
      <c r="C1668" s="13" t="inlineStr">
        <is>
          <t>L.S.</t>
        </is>
      </c>
      <c r="D1668" s="15" t="n">
        <v>0.91</v>
      </c>
      <c r="E1668" s="16" t="n">
        <v>2</v>
      </c>
      <c r="F1668" s="16">
        <f>D1668*E1668</f>
        <v/>
      </c>
    </row>
    <row r="1669">
      <c r="A1669" s="13" t="inlineStr">
        <is>
          <t>0112</t>
        </is>
      </c>
      <c r="B1669" s="14" t="inlineStr">
        <is>
          <t>Carpenter 2nd class</t>
        </is>
      </c>
      <c r="C1669" s="13" t="inlineStr">
        <is>
          <t>day</t>
        </is>
      </c>
      <c r="D1669" s="15" t="n">
        <v>0.1</v>
      </c>
      <c r="E1669" s="16" t="n">
        <v>679</v>
      </c>
      <c r="F1669" s="16">
        <f>D1669*E1669</f>
        <v/>
      </c>
    </row>
    <row r="1670">
      <c r="A1670" s="17" t="inlineStr">
        <is>
          <t>Resource Total (Material + Labour + Machinery, as printed)</t>
        </is>
      </c>
      <c r="B1670" s="18" t="n"/>
      <c r="C1670" s="18" t="n"/>
      <c r="D1670" s="18" t="n"/>
      <c r="E1670" s="18" t="n"/>
      <c r="F1670" s="19">
        <f>SUM(F1666:F1669)</f>
        <v/>
      </c>
    </row>
    <row r="1671">
      <c r="A1671" s="20" t="inlineStr">
        <is>
          <t>SAY (Rs.) — final DAR rate</t>
        </is>
      </c>
      <c r="B1671" s="21" t="n"/>
      <c r="C1671" s="21" t="n"/>
      <c r="D1671" s="21" t="n"/>
      <c r="E1671" s="21" t="n"/>
      <c r="F1671" s="22" t="n">
        <v>58.8</v>
      </c>
    </row>
    <row r="1673" ht="18" customHeight="1">
      <c r="A1673" s="9" t="inlineStr">
        <is>
          <t>9.68.2</t>
        </is>
      </c>
      <c r="B1673" s="10" t="inlineStr">
        <is>
          <t>250 mm weighing not less than 150 gms</t>
        </is>
      </c>
      <c r="C1673" s="11" t="n"/>
      <c r="D1673" s="11" t="n"/>
      <c r="E1673" s="11" t="n"/>
      <c r="F1673" s="11" t="n"/>
    </row>
    <row r="1674">
      <c r="A1674" s="12" t="inlineStr">
        <is>
          <t>Rate basis: per nos  (source: cost for 10 nos)</t>
        </is>
      </c>
    </row>
    <row r="1675">
      <c r="A1675" s="5" t="inlineStr">
        <is>
          <t>Code</t>
        </is>
      </c>
      <c r="B1675" s="5" t="inlineStr">
        <is>
          <t>Description</t>
        </is>
      </c>
      <c r="C1675" s="5" t="inlineStr">
        <is>
          <t>Unit</t>
        </is>
      </c>
      <c r="D1675" s="5" t="inlineStr">
        <is>
          <t>Quantity</t>
        </is>
      </c>
      <c r="E1675" s="5" t="inlineStr">
        <is>
          <t>Rate (Rs.)</t>
        </is>
      </c>
      <c r="F1675" s="5" t="inlineStr">
        <is>
          <t>Amount (Rs.)</t>
        </is>
      </c>
    </row>
    <row r="1676">
      <c r="A1676" s="13" t="inlineStr">
        <is>
          <t>7064</t>
        </is>
      </c>
      <c r="B1676" s="14" t="inlineStr">
        <is>
          <t>Oxidised M.S.casement stay (straight peg type) 250 mm not less than 0.28 kg</t>
        </is>
      </c>
      <c r="C1676" s="13" t="inlineStr">
        <is>
          <t>each</t>
        </is>
      </c>
      <c r="D1676" s="15" t="n">
        <v>10</v>
      </c>
      <c r="E1676" s="16" t="n">
        <v>30</v>
      </c>
      <c r="F1676" s="16">
        <f>D1676*E1676</f>
        <v/>
      </c>
    </row>
    <row r="1677">
      <c r="A1677" s="13" t="inlineStr">
        <is>
          <t>0685</t>
        </is>
      </c>
      <c r="B1677" s="14" t="inlineStr">
        <is>
          <t>Oxidised mild steel screws 25 mm</t>
        </is>
      </c>
      <c r="C1677" s="13" t="inlineStr">
        <is>
          <t>100 Nos</t>
        </is>
      </c>
      <c r="D1677" s="15" t="n">
        <v>0.4</v>
      </c>
      <c r="E1677" s="16" t="n">
        <v>36</v>
      </c>
      <c r="F1677" s="16">
        <f>D1677*E1677</f>
        <v/>
      </c>
    </row>
    <row r="1678">
      <c r="A1678" s="13" t="inlineStr">
        <is>
          <t>9977</t>
        </is>
      </c>
      <c r="B1678" s="14" t="inlineStr">
        <is>
          <t>Carriage of materials</t>
        </is>
      </c>
      <c r="C1678" s="13" t="inlineStr">
        <is>
          <t>L.S.</t>
        </is>
      </c>
      <c r="D1678" s="15" t="n">
        <v>0.91</v>
      </c>
      <c r="E1678" s="16" t="n">
        <v>2</v>
      </c>
      <c r="F1678" s="16">
        <f>D1678*E1678</f>
        <v/>
      </c>
    </row>
    <row r="1679">
      <c r="A1679" s="13" t="inlineStr">
        <is>
          <t>0112</t>
        </is>
      </c>
      <c r="B1679" s="14" t="inlineStr">
        <is>
          <t>Carpenter 2nd class</t>
        </is>
      </c>
      <c r="C1679" s="13" t="inlineStr">
        <is>
          <t>day</t>
        </is>
      </c>
      <c r="D1679" s="15" t="n">
        <v>0.1</v>
      </c>
      <c r="E1679" s="16" t="n">
        <v>679</v>
      </c>
      <c r="F1679" s="16">
        <f>D1679*E1679</f>
        <v/>
      </c>
    </row>
    <row r="1680">
      <c r="A1680" s="17" t="inlineStr">
        <is>
          <t>Resource Total (Material + Labour + Machinery, as printed)</t>
        </is>
      </c>
      <c r="B1680" s="18" t="n"/>
      <c r="C1680" s="18" t="n"/>
      <c r="D1680" s="18" t="n"/>
      <c r="E1680" s="18" t="n"/>
      <c r="F1680" s="19">
        <f>SUM(F1676:F1679)</f>
        <v/>
      </c>
    </row>
    <row r="1681">
      <c r="A1681" s="20" t="inlineStr">
        <is>
          <t>SAY (Rs.) — final DAR rate</t>
        </is>
      </c>
      <c r="B1681" s="21" t="n"/>
      <c r="C1681" s="21" t="n"/>
      <c r="D1681" s="21" t="n"/>
      <c r="E1681" s="21" t="n"/>
      <c r="F1681" s="22" t="n">
        <v>51.4</v>
      </c>
    </row>
    <row r="1683" ht="18" customHeight="1">
      <c r="A1683" s="9" t="inlineStr">
        <is>
          <t>9.68.3</t>
        </is>
      </c>
      <c r="B1683" s="10" t="inlineStr">
        <is>
          <t>200 mm weighing not less than 120 gms</t>
        </is>
      </c>
      <c r="C1683" s="11" t="n"/>
      <c r="D1683" s="11" t="n"/>
      <c r="E1683" s="11" t="n"/>
      <c r="F1683" s="11" t="n"/>
    </row>
    <row r="1684">
      <c r="A1684" s="12" t="inlineStr">
        <is>
          <t>Rate basis: per nos  (source: cost for 10 nos)</t>
        </is>
      </c>
    </row>
    <row r="1685">
      <c r="A1685" s="5" t="inlineStr">
        <is>
          <t>Code</t>
        </is>
      </c>
      <c r="B1685" s="5" t="inlineStr">
        <is>
          <t>Description</t>
        </is>
      </c>
      <c r="C1685" s="5" t="inlineStr">
        <is>
          <t>Unit</t>
        </is>
      </c>
      <c r="D1685" s="5" t="inlineStr">
        <is>
          <t>Quantity</t>
        </is>
      </c>
      <c r="E1685" s="5" t="inlineStr">
        <is>
          <t>Rate (Rs.)</t>
        </is>
      </c>
      <c r="F1685" s="5" t="inlineStr">
        <is>
          <t>Amount (Rs.)</t>
        </is>
      </c>
    </row>
    <row r="1686">
      <c r="A1686" s="13" t="inlineStr">
        <is>
          <t>7065</t>
        </is>
      </c>
      <c r="B1686" s="14" t="inlineStr">
        <is>
          <t>Oxidised M.S.casement stay (straight peg type) 200 mm not less than 0.24 kg</t>
        </is>
      </c>
      <c r="C1686" s="13" t="inlineStr">
        <is>
          <t>each</t>
        </is>
      </c>
      <c r="D1686" s="15" t="n">
        <v>10</v>
      </c>
      <c r="E1686" s="16" t="n">
        <v>25</v>
      </c>
      <c r="F1686" s="16">
        <f>D1686*E1686</f>
        <v/>
      </c>
    </row>
    <row r="1687">
      <c r="A1687" s="13" t="inlineStr">
        <is>
          <t>0685</t>
        </is>
      </c>
      <c r="B1687" s="14" t="inlineStr">
        <is>
          <t>Oxidised mild steel screws 25 mm</t>
        </is>
      </c>
      <c r="C1687" s="13" t="inlineStr">
        <is>
          <t>100 Nos</t>
        </is>
      </c>
      <c r="D1687" s="15" t="n">
        <v>0.4</v>
      </c>
      <c r="E1687" s="16" t="n">
        <v>36</v>
      </c>
      <c r="F1687" s="16">
        <f>D1687*E1687</f>
        <v/>
      </c>
    </row>
    <row r="1688">
      <c r="A1688" s="13" t="inlineStr">
        <is>
          <t>9977</t>
        </is>
      </c>
      <c r="B1688" s="14" t="inlineStr">
        <is>
          <t>Carriage of materials</t>
        </is>
      </c>
      <c r="C1688" s="13" t="inlineStr">
        <is>
          <t>L.S.</t>
        </is>
      </c>
      <c r="D1688" s="15" t="n">
        <v>0.91</v>
      </c>
      <c r="E1688" s="16" t="n">
        <v>2</v>
      </c>
      <c r="F1688" s="16">
        <f>D1688*E1688</f>
        <v/>
      </c>
    </row>
    <row r="1689">
      <c r="A1689" s="13" t="inlineStr">
        <is>
          <t>0112</t>
        </is>
      </c>
      <c r="B1689" s="14" t="inlineStr">
        <is>
          <t>Carpenter 2nd class</t>
        </is>
      </c>
      <c r="C1689" s="13" t="inlineStr">
        <is>
          <t>day</t>
        </is>
      </c>
      <c r="D1689" s="15" t="n">
        <v>0.1</v>
      </c>
      <c r="E1689" s="16" t="n">
        <v>679</v>
      </c>
      <c r="F1689" s="16">
        <f>D1689*E1689</f>
        <v/>
      </c>
    </row>
    <row r="1690">
      <c r="A1690" s="17" t="inlineStr">
        <is>
          <t>Resource Total (Material + Labour + Machinery, as printed)</t>
        </is>
      </c>
      <c r="B1690" s="18" t="n"/>
      <c r="C1690" s="18" t="n"/>
      <c r="D1690" s="18" t="n"/>
      <c r="E1690" s="18" t="n"/>
      <c r="F1690" s="19">
        <f>SUM(F1686:F1689)</f>
        <v/>
      </c>
    </row>
    <row r="1691">
      <c r="A1691" s="20" t="inlineStr">
        <is>
          <t>SAY (Rs.) — final DAR rate</t>
        </is>
      </c>
      <c r="B1691" s="21" t="n"/>
      <c r="C1691" s="21" t="n"/>
      <c r="D1691" s="21" t="n"/>
      <c r="E1691" s="21" t="n"/>
      <c r="F1691" s="22" t="n">
        <v>44.7</v>
      </c>
    </row>
    <row r="1693" ht="28" customHeight="1">
      <c r="A1693" s="9" t="inlineStr">
        <is>
          <t>9.69</t>
        </is>
      </c>
      <c r="B1693" s="10" t="inlineStr">
        <is>
          <t>Providing and fixing oxidised M.S. Safety chain with necessary fixtures for doors, (weighting not less than 450 gms)</t>
        </is>
      </c>
      <c r="C1693" s="11" t="n"/>
      <c r="D1693" s="11" t="n"/>
      <c r="E1693" s="11" t="n"/>
      <c r="F1693" s="11" t="n"/>
    </row>
    <row r="1694">
      <c r="A1694" s="12" t="inlineStr">
        <is>
          <t>Rate basis: per nos  (source: cost for 10 nos)</t>
        </is>
      </c>
    </row>
    <row r="1695">
      <c r="A1695" s="5" t="inlineStr">
        <is>
          <t>Code</t>
        </is>
      </c>
      <c r="B1695" s="5" t="inlineStr">
        <is>
          <t>Description</t>
        </is>
      </c>
      <c r="C1695" s="5" t="inlineStr">
        <is>
          <t>Unit</t>
        </is>
      </c>
      <c r="D1695" s="5" t="inlineStr">
        <is>
          <t>Quantity</t>
        </is>
      </c>
      <c r="E1695" s="5" t="inlineStr">
        <is>
          <t>Rate (Rs.)</t>
        </is>
      </c>
      <c r="F1695" s="5" t="inlineStr">
        <is>
          <t>Amount (Rs.)</t>
        </is>
      </c>
    </row>
    <row r="1696">
      <c r="A1696" s="13" t="inlineStr">
        <is>
          <t>7184</t>
        </is>
      </c>
      <c r="B1696" s="14" t="inlineStr">
        <is>
          <t>Oxidised M.S. safety chain (weighing not less than 450 gms) for door</t>
        </is>
      </c>
      <c r="C1696" s="13" t="inlineStr">
        <is>
          <t>each</t>
        </is>
      </c>
      <c r="D1696" s="15" t="n">
        <v>10</v>
      </c>
      <c r="E1696" s="16" t="n">
        <v>57</v>
      </c>
      <c r="F1696" s="16">
        <f>D1696*E1696</f>
        <v/>
      </c>
    </row>
    <row r="1697">
      <c r="A1697" s="13" t="inlineStr">
        <is>
          <t>0685</t>
        </is>
      </c>
      <c r="B1697" s="14" t="inlineStr">
        <is>
          <t>Oxidised mild steel screws 25 mm</t>
        </is>
      </c>
      <c r="C1697" s="13" t="inlineStr">
        <is>
          <t>100 Nos</t>
        </is>
      </c>
      <c r="D1697" s="15" t="n">
        <v>0.6</v>
      </c>
      <c r="E1697" s="16" t="n">
        <v>36</v>
      </c>
      <c r="F1697" s="16">
        <f>D1697*E1697</f>
        <v/>
      </c>
    </row>
    <row r="1698">
      <c r="A1698" s="13" t="inlineStr">
        <is>
          <t>9977</t>
        </is>
      </c>
      <c r="B1698" s="14" t="inlineStr">
        <is>
          <t>Carriage of materials</t>
        </is>
      </c>
      <c r="C1698" s="13" t="inlineStr">
        <is>
          <t>L.S.</t>
        </is>
      </c>
      <c r="D1698" s="15" t="n">
        <v>0.91</v>
      </c>
      <c r="E1698" s="16" t="n">
        <v>2</v>
      </c>
      <c r="F1698" s="16">
        <f>D1698*E1698</f>
        <v/>
      </c>
    </row>
    <row r="1699">
      <c r="A1699" s="13" t="inlineStr">
        <is>
          <t>0112</t>
        </is>
      </c>
      <c r="B1699" s="14" t="inlineStr">
        <is>
          <t>Carpenter 2nd class</t>
        </is>
      </c>
      <c r="C1699" s="13" t="inlineStr">
        <is>
          <t>day</t>
        </is>
      </c>
      <c r="D1699" s="15" t="n">
        <v>0.1</v>
      </c>
      <c r="E1699" s="16" t="n">
        <v>679</v>
      </c>
      <c r="F1699" s="16">
        <f>D1699*E1699</f>
        <v/>
      </c>
    </row>
    <row r="1700">
      <c r="A1700" s="17" t="inlineStr">
        <is>
          <t>Resource Total (Material + Labour + Machinery, as printed)</t>
        </is>
      </c>
      <c r="B1700" s="18" t="n"/>
      <c r="C1700" s="18" t="n"/>
      <c r="D1700" s="18" t="n"/>
      <c r="E1700" s="18" t="n"/>
      <c r="F1700" s="19">
        <f>SUM(F1696:F1699)</f>
        <v/>
      </c>
    </row>
    <row r="1701">
      <c r="A1701" s="20" t="inlineStr">
        <is>
          <t>SAY (Rs.) — final DAR rate</t>
        </is>
      </c>
      <c r="B1701" s="21" t="n"/>
      <c r="C1701" s="21" t="n"/>
      <c r="D1701" s="21" t="n"/>
      <c r="E1701" s="21" t="n"/>
      <c r="F1701" s="22" t="n">
        <v>88.5</v>
      </c>
    </row>
    <row r="1703" ht="18" customHeight="1">
      <c r="A1703" s="9" t="inlineStr">
        <is>
          <t>9.70.1</t>
        </is>
      </c>
      <c r="B1703" s="10" t="inlineStr">
        <is>
          <t>125x64x1.90 mm</t>
        </is>
      </c>
      <c r="C1703" s="11" t="n"/>
      <c r="D1703" s="11" t="n"/>
      <c r="E1703" s="11" t="n"/>
      <c r="F1703" s="11" t="n"/>
    </row>
    <row r="1704">
      <c r="A1704" s="12" t="inlineStr">
        <is>
          <t>Rate basis: per nos  (source: cost for 10 nos)</t>
        </is>
      </c>
    </row>
    <row r="1705">
      <c r="A1705" s="5" t="inlineStr">
        <is>
          <t>Code</t>
        </is>
      </c>
      <c r="B1705" s="5" t="inlineStr">
        <is>
          <t>Description</t>
        </is>
      </c>
      <c r="C1705" s="5" t="inlineStr">
        <is>
          <t>Unit</t>
        </is>
      </c>
      <c r="D1705" s="5" t="inlineStr">
        <is>
          <t>Quantity</t>
        </is>
      </c>
      <c r="E1705" s="5" t="inlineStr">
        <is>
          <t>Rate (Rs.)</t>
        </is>
      </c>
      <c r="F1705" s="5" t="inlineStr">
        <is>
          <t>Amount (Rs.)</t>
        </is>
      </c>
    </row>
    <row r="1706">
      <c r="A1706" s="13" t="inlineStr">
        <is>
          <t>8215</t>
        </is>
      </c>
      <c r="B1706" s="14" t="inlineStr">
        <is>
          <t>Stainless steel butt hinges 125x64x 1.9 mm IS : 12817 marked</t>
        </is>
      </c>
      <c r="C1706" s="13" t="inlineStr">
        <is>
          <t>10 Nos</t>
        </is>
      </c>
      <c r="D1706" s="15" t="n">
        <v>1</v>
      </c>
      <c r="E1706" s="16" t="n">
        <v>265</v>
      </c>
      <c r="F1706" s="16">
        <f>D1706*E1706</f>
        <v/>
      </c>
    </row>
    <row r="1707">
      <c r="A1707" s="13" t="inlineStr">
        <is>
          <t>8210</t>
        </is>
      </c>
      <c r="B1707" s="14" t="inlineStr">
        <is>
          <t>Stainless steel screws 50 mm</t>
        </is>
      </c>
      <c r="C1707" s="13" t="inlineStr">
        <is>
          <t>100 Nos</t>
        </is>
      </c>
      <c r="D1707" s="15" t="n">
        <v>0.8</v>
      </c>
      <c r="E1707" s="16" t="n">
        <v>270</v>
      </c>
      <c r="F1707" s="16">
        <f>D1707*E1707</f>
        <v/>
      </c>
    </row>
    <row r="1708">
      <c r="A1708" s="13" t="inlineStr">
        <is>
          <t>9977</t>
        </is>
      </c>
      <c r="B1708" s="14" t="inlineStr">
        <is>
          <t>Carriage of materials</t>
        </is>
      </c>
      <c r="C1708" s="13" t="inlineStr">
        <is>
          <t>L.S.</t>
        </is>
      </c>
      <c r="D1708" s="15" t="n">
        <v>2.73</v>
      </c>
      <c r="E1708" s="16" t="n">
        <v>2</v>
      </c>
      <c r="F1708" s="16">
        <f>D1708*E1708</f>
        <v/>
      </c>
    </row>
    <row r="1709">
      <c r="A1709" s="13" t="inlineStr">
        <is>
          <t>0112</t>
        </is>
      </c>
      <c r="B1709" s="14" t="inlineStr">
        <is>
          <t>Carpenter 2nd class</t>
        </is>
      </c>
      <c r="C1709" s="13" t="inlineStr">
        <is>
          <t>day</t>
        </is>
      </c>
      <c r="D1709" s="15" t="n">
        <v>0.14</v>
      </c>
      <c r="E1709" s="16" t="n">
        <v>679</v>
      </c>
      <c r="F1709" s="16">
        <f>D1709*E1709</f>
        <v/>
      </c>
    </row>
    <row r="1710">
      <c r="A1710" s="13" t="inlineStr">
        <is>
          <t>0114</t>
        </is>
      </c>
      <c r="B1710" s="14" t="inlineStr">
        <is>
          <t>Beldar</t>
        </is>
      </c>
      <c r="C1710" s="13" t="inlineStr">
        <is>
          <t>day</t>
        </is>
      </c>
      <c r="D1710" s="15" t="n">
        <v>0.09</v>
      </c>
      <c r="E1710" s="16" t="n">
        <v>558</v>
      </c>
      <c r="F1710" s="16">
        <f>D1710*E1710</f>
        <v/>
      </c>
    </row>
    <row r="1711">
      <c r="A1711" s="17" t="inlineStr">
        <is>
          <t>Resource Total (Material + Labour + Machinery, as printed)</t>
        </is>
      </c>
      <c r="B1711" s="18" t="n"/>
      <c r="C1711" s="18" t="n"/>
      <c r="D1711" s="18" t="n"/>
      <c r="E1711" s="18" t="n"/>
      <c r="F1711" s="19">
        <f>SUM(F1706:F1710)</f>
        <v/>
      </c>
    </row>
    <row r="1712">
      <c r="A1712" s="20" t="inlineStr">
        <is>
          <t>SAY (Rs.) — final DAR rate</t>
        </is>
      </c>
      <c r="B1712" s="21" t="n"/>
      <c r="C1712" s="21" t="n"/>
      <c r="D1712" s="21" t="n"/>
      <c r="E1712" s="21" t="n"/>
      <c r="F1712" s="22" t="n">
        <v>84.5</v>
      </c>
    </row>
    <row r="1714" ht="18" customHeight="1">
      <c r="A1714" s="9" t="inlineStr">
        <is>
          <t>9.70.2</t>
        </is>
      </c>
      <c r="B1714" s="10" t="inlineStr">
        <is>
          <t>100X58X1.90 mm</t>
        </is>
      </c>
      <c r="C1714" s="11" t="n"/>
      <c r="D1714" s="11" t="n"/>
      <c r="E1714" s="11" t="n"/>
      <c r="F1714" s="11" t="n"/>
    </row>
    <row r="1715">
      <c r="A1715" s="12" t="inlineStr">
        <is>
          <t>Rate basis: per nos  (source: cost for 10 nos)</t>
        </is>
      </c>
    </row>
    <row r="1716">
      <c r="A1716" s="5" t="inlineStr">
        <is>
          <t>Code</t>
        </is>
      </c>
      <c r="B1716" s="5" t="inlineStr">
        <is>
          <t>Description</t>
        </is>
      </c>
      <c r="C1716" s="5" t="inlineStr">
        <is>
          <t>Unit</t>
        </is>
      </c>
      <c r="D1716" s="5" t="inlineStr">
        <is>
          <t>Quantity</t>
        </is>
      </c>
      <c r="E1716" s="5" t="inlineStr">
        <is>
          <t>Rate (Rs.)</t>
        </is>
      </c>
      <c r="F1716" s="5" t="inlineStr">
        <is>
          <t>Amount (Rs.)</t>
        </is>
      </c>
    </row>
    <row r="1717">
      <c r="A1717" s="13" t="inlineStr">
        <is>
          <t>8216</t>
        </is>
      </c>
      <c r="B1717" s="14" t="inlineStr">
        <is>
          <t>Stainless steel butt hinges 100x58x1.9 mm IS : 12817 marked</t>
        </is>
      </c>
      <c r="C1717" s="13" t="inlineStr">
        <is>
          <t>10 Nos</t>
        </is>
      </c>
      <c r="D1717" s="15" t="n">
        <v>1</v>
      </c>
      <c r="E1717" s="16" t="n">
        <v>235</v>
      </c>
      <c r="F1717" s="16">
        <f>D1717*E1717</f>
        <v/>
      </c>
    </row>
    <row r="1718">
      <c r="A1718" s="13" t="inlineStr">
        <is>
          <t>8211</t>
        </is>
      </c>
      <c r="B1718" s="14" t="inlineStr">
        <is>
          <t>Stainless steel screws 40 mm</t>
        </is>
      </c>
      <c r="C1718" s="13" t="inlineStr">
        <is>
          <t>100 Nos</t>
        </is>
      </c>
      <c r="D1718" s="15" t="n">
        <v>0.8</v>
      </c>
      <c r="E1718" s="16" t="n">
        <v>215</v>
      </c>
      <c r="F1718" s="16">
        <f>D1718*E1718</f>
        <v/>
      </c>
    </row>
    <row r="1719">
      <c r="A1719" s="13" t="inlineStr">
        <is>
          <t>9977</t>
        </is>
      </c>
      <c r="B1719" s="14" t="inlineStr">
        <is>
          <t>Carriage of materials</t>
        </is>
      </c>
      <c r="C1719" s="13" t="inlineStr">
        <is>
          <t>L.S.</t>
        </is>
      </c>
      <c r="D1719" s="15" t="n">
        <v>2.73</v>
      </c>
      <c r="E1719" s="16" t="n">
        <v>2</v>
      </c>
      <c r="F1719" s="16">
        <f>D1719*E1719</f>
        <v/>
      </c>
    </row>
    <row r="1720">
      <c r="A1720" s="13" t="inlineStr">
        <is>
          <t>0112</t>
        </is>
      </c>
      <c r="B1720" s="14" t="inlineStr">
        <is>
          <t>Carpenter 2nd class</t>
        </is>
      </c>
      <c r="C1720" s="13" t="inlineStr">
        <is>
          <t>day</t>
        </is>
      </c>
      <c r="D1720" s="15" t="n">
        <v>0.14</v>
      </c>
      <c r="E1720" s="16" t="n">
        <v>679</v>
      </c>
      <c r="F1720" s="16">
        <f>D1720*E1720</f>
        <v/>
      </c>
    </row>
    <row r="1721">
      <c r="A1721" s="13" t="inlineStr">
        <is>
          <t>0114</t>
        </is>
      </c>
      <c r="B1721" s="14" t="inlineStr">
        <is>
          <t>Beldar</t>
        </is>
      </c>
      <c r="C1721" s="13" t="inlineStr">
        <is>
          <t>day</t>
        </is>
      </c>
      <c r="D1721" s="15" t="n">
        <v>0.09</v>
      </c>
      <c r="E1721" s="16" t="n">
        <v>558</v>
      </c>
      <c r="F1721" s="16">
        <f>D1721*E1721</f>
        <v/>
      </c>
    </row>
    <row r="1722">
      <c r="A1722" s="17" t="inlineStr">
        <is>
          <t>Resource Total (Material + Labour + Machinery, as printed)</t>
        </is>
      </c>
      <c r="B1722" s="18" t="n"/>
      <c r="C1722" s="18" t="n"/>
      <c r="D1722" s="18" t="n"/>
      <c r="E1722" s="18" t="n"/>
      <c r="F1722" s="19">
        <f>SUM(F1717:F1721)</f>
        <v/>
      </c>
    </row>
    <row r="1723">
      <c r="A1723" s="20" t="inlineStr">
        <is>
          <t>SAY (Rs.) — final DAR rate</t>
        </is>
      </c>
      <c r="B1723" s="21" t="n"/>
      <c r="C1723" s="21" t="n"/>
      <c r="D1723" s="21" t="n"/>
      <c r="E1723" s="21" t="n"/>
      <c r="F1723" s="22" t="n">
        <v>74.59999999999999</v>
      </c>
    </row>
    <row r="1725" ht="18" customHeight="1">
      <c r="A1725" s="9" t="inlineStr">
        <is>
          <t>9.70.3</t>
        </is>
      </c>
      <c r="B1725" s="10" t="inlineStr">
        <is>
          <t>75x47x1.80 mm</t>
        </is>
      </c>
      <c r="C1725" s="11" t="n"/>
      <c r="D1725" s="11" t="n"/>
      <c r="E1725" s="11" t="n"/>
      <c r="F1725" s="11" t="n"/>
    </row>
    <row r="1726">
      <c r="A1726" s="12" t="inlineStr">
        <is>
          <t>Rate basis: per nos  (source: cost for 10 nos)</t>
        </is>
      </c>
    </row>
    <row r="1727">
      <c r="A1727" s="5" t="inlineStr">
        <is>
          <t>Code</t>
        </is>
      </c>
      <c r="B1727" s="5" t="inlineStr">
        <is>
          <t>Description</t>
        </is>
      </c>
      <c r="C1727" s="5" t="inlineStr">
        <is>
          <t>Unit</t>
        </is>
      </c>
      <c r="D1727" s="5" t="inlineStr">
        <is>
          <t>Quantity</t>
        </is>
      </c>
      <c r="E1727" s="5" t="inlineStr">
        <is>
          <t>Rate (Rs.)</t>
        </is>
      </c>
      <c r="F1727" s="5" t="inlineStr">
        <is>
          <t>Amount (Rs.)</t>
        </is>
      </c>
    </row>
    <row r="1728">
      <c r="A1728" s="13" t="inlineStr">
        <is>
          <t>8217</t>
        </is>
      </c>
      <c r="B1728" s="14" t="inlineStr">
        <is>
          <t>Stainless steel butt hinges 75x47x1.8 mm IS : 12817 marked</t>
        </is>
      </c>
      <c r="C1728" s="13" t="inlineStr">
        <is>
          <t>10 Nos</t>
        </is>
      </c>
      <c r="D1728" s="15" t="n">
        <v>1</v>
      </c>
      <c r="E1728" s="16" t="n">
        <v>160</v>
      </c>
      <c r="F1728" s="16">
        <f>D1728*E1728</f>
        <v/>
      </c>
    </row>
    <row r="1729">
      <c r="A1729" s="13" t="inlineStr">
        <is>
          <t>8212</t>
        </is>
      </c>
      <c r="B1729" s="14" t="inlineStr">
        <is>
          <t>Stainless steel screws 30 mm</t>
        </is>
      </c>
      <c r="C1729" s="13" t="inlineStr">
        <is>
          <t>100 Nos</t>
        </is>
      </c>
      <c r="D1729" s="15" t="n">
        <v>0.6</v>
      </c>
      <c r="E1729" s="16" t="n">
        <v>190</v>
      </c>
      <c r="F1729" s="16">
        <f>D1729*E1729</f>
        <v/>
      </c>
    </row>
    <row r="1730">
      <c r="A1730" s="13" t="inlineStr">
        <is>
          <t>9977</t>
        </is>
      </c>
      <c r="B1730" s="14" t="inlineStr">
        <is>
          <t>Carriage of materials</t>
        </is>
      </c>
      <c r="C1730" s="13" t="inlineStr">
        <is>
          <t>L.S.</t>
        </is>
      </c>
      <c r="D1730" s="15" t="n">
        <v>1.82</v>
      </c>
      <c r="E1730" s="16" t="n">
        <v>2</v>
      </c>
      <c r="F1730" s="16">
        <f>D1730*E1730</f>
        <v/>
      </c>
    </row>
    <row r="1731">
      <c r="A1731" s="13" t="inlineStr">
        <is>
          <t>0112</t>
        </is>
      </c>
      <c r="B1731" s="14" t="inlineStr">
        <is>
          <t>Carpenter 2nd class</t>
        </is>
      </c>
      <c r="C1731" s="13" t="inlineStr">
        <is>
          <t>day</t>
        </is>
      </c>
      <c r="D1731" s="15" t="n">
        <v>0.14</v>
      </c>
      <c r="E1731" s="16" t="n">
        <v>679</v>
      </c>
      <c r="F1731" s="16">
        <f>D1731*E1731</f>
        <v/>
      </c>
    </row>
    <row r="1732">
      <c r="A1732" s="13" t="inlineStr">
        <is>
          <t>0114</t>
        </is>
      </c>
      <c r="B1732" s="14" t="inlineStr">
        <is>
          <t>Beldar</t>
        </is>
      </c>
      <c r="C1732" s="13" t="inlineStr">
        <is>
          <t>day</t>
        </is>
      </c>
      <c r="D1732" s="15" t="n">
        <v>0.09</v>
      </c>
      <c r="E1732" s="16" t="n">
        <v>558</v>
      </c>
      <c r="F1732" s="16">
        <f>D1732*E1732</f>
        <v/>
      </c>
    </row>
    <row r="1733">
      <c r="A1733" s="17" t="inlineStr">
        <is>
          <t>Resource Total (Material + Labour + Machinery, as printed)</t>
        </is>
      </c>
      <c r="B1733" s="18" t="n"/>
      <c r="C1733" s="18" t="n"/>
      <c r="D1733" s="18" t="n"/>
      <c r="E1733" s="18" t="n"/>
      <c r="F1733" s="19">
        <f>SUM(F1728:F1732)</f>
        <v/>
      </c>
    </row>
    <row r="1734">
      <c r="A1734" s="20" t="inlineStr">
        <is>
          <t>SAY (Rs.) — final DAR rate</t>
        </is>
      </c>
      <c r="B1734" s="21" t="n"/>
      <c r="C1734" s="21" t="n"/>
      <c r="D1734" s="21" t="n"/>
      <c r="E1734" s="21" t="n"/>
      <c r="F1734" s="22" t="n">
        <v>56.6</v>
      </c>
    </row>
    <row r="1736" ht="18" customHeight="1">
      <c r="A1736" s="9" t="inlineStr">
        <is>
          <t>9.70.4</t>
        </is>
      </c>
      <c r="B1736" s="10" t="inlineStr">
        <is>
          <t>50x37x1.50 mm</t>
        </is>
      </c>
      <c r="C1736" s="11" t="n"/>
      <c r="D1736" s="11" t="n"/>
      <c r="E1736" s="11" t="n"/>
      <c r="F1736" s="11" t="n"/>
    </row>
    <row r="1737">
      <c r="A1737" s="12" t="inlineStr">
        <is>
          <t>Rate basis: per nos  (source: cost for 10 nos)</t>
        </is>
      </c>
    </row>
    <row r="1738">
      <c r="A1738" s="5" t="inlineStr">
        <is>
          <t>Code</t>
        </is>
      </c>
      <c r="B1738" s="5" t="inlineStr">
        <is>
          <t>Description</t>
        </is>
      </c>
      <c r="C1738" s="5" t="inlineStr">
        <is>
          <t>Unit</t>
        </is>
      </c>
      <c r="D1738" s="5" t="inlineStr">
        <is>
          <t>Quantity</t>
        </is>
      </c>
      <c r="E1738" s="5" t="inlineStr">
        <is>
          <t>Rate (Rs.)</t>
        </is>
      </c>
      <c r="F1738" s="5" t="inlineStr">
        <is>
          <t>Amount (Rs.)</t>
        </is>
      </c>
    </row>
    <row r="1739">
      <c r="A1739" s="13" t="inlineStr">
        <is>
          <t>8218</t>
        </is>
      </c>
      <c r="B1739" s="14" t="inlineStr">
        <is>
          <t>Stainless steel butt hinges 50x37x1.5 mm IS : 12817 marked</t>
        </is>
      </c>
      <c r="C1739" s="13" t="inlineStr">
        <is>
          <t>10 Nos</t>
        </is>
      </c>
      <c r="D1739" s="15" t="n">
        <v>1</v>
      </c>
      <c r="E1739" s="16" t="n">
        <v>135</v>
      </c>
      <c r="F1739" s="16">
        <f>D1739*E1739</f>
        <v/>
      </c>
    </row>
    <row r="1740">
      <c r="A1740" s="13" t="inlineStr">
        <is>
          <t>8214</t>
        </is>
      </c>
      <c r="B1740" s="14" t="inlineStr">
        <is>
          <t>Stainless steel screws 20 mm</t>
        </is>
      </c>
      <c r="C1740" s="13" t="inlineStr">
        <is>
          <t>100 Nos</t>
        </is>
      </c>
      <c r="D1740" s="15" t="n">
        <v>0.4</v>
      </c>
      <c r="E1740" s="16" t="n">
        <v>125</v>
      </c>
      <c r="F1740" s="16">
        <f>D1740*E1740</f>
        <v/>
      </c>
    </row>
    <row r="1741">
      <c r="A1741" s="13" t="inlineStr">
        <is>
          <t>9977</t>
        </is>
      </c>
      <c r="B1741" s="14" t="inlineStr">
        <is>
          <t>Carriage of materials</t>
        </is>
      </c>
      <c r="C1741" s="13" t="inlineStr">
        <is>
          <t>L.S.</t>
        </is>
      </c>
      <c r="D1741" s="15" t="n">
        <v>0.91</v>
      </c>
      <c r="E1741" s="16" t="n">
        <v>2</v>
      </c>
      <c r="F1741" s="16">
        <f>D1741*E1741</f>
        <v/>
      </c>
    </row>
    <row r="1742">
      <c r="A1742" s="13" t="inlineStr">
        <is>
          <t>0112</t>
        </is>
      </c>
      <c r="B1742" s="14" t="inlineStr">
        <is>
          <t>Carpenter 2nd class</t>
        </is>
      </c>
      <c r="C1742" s="13" t="inlineStr">
        <is>
          <t>day</t>
        </is>
      </c>
      <c r="D1742" s="15" t="n">
        <v>0.08</v>
      </c>
      <c r="E1742" s="16" t="n">
        <v>679</v>
      </c>
      <c r="F1742" s="16">
        <f>D1742*E1742</f>
        <v/>
      </c>
    </row>
    <row r="1743">
      <c r="A1743" s="17" t="inlineStr">
        <is>
          <t>Resource Total (Material + Labour + Machinery, as printed)</t>
        </is>
      </c>
      <c r="B1743" s="18" t="n"/>
      <c r="C1743" s="18" t="n"/>
      <c r="D1743" s="18" t="n"/>
      <c r="E1743" s="18" t="n"/>
      <c r="F1743" s="19">
        <f>SUM(F1739:F1742)</f>
        <v/>
      </c>
    </row>
    <row r="1744">
      <c r="A1744" s="20" t="inlineStr">
        <is>
          <t>SAY (Rs.) — final DAR rate</t>
        </is>
      </c>
      <c r="B1744" s="21" t="n"/>
      <c r="C1744" s="21" t="n"/>
      <c r="D1744" s="21" t="n"/>
      <c r="E1744" s="21" t="n"/>
      <c r="F1744" s="22" t="n">
        <v>32.25</v>
      </c>
    </row>
    <row r="1746" ht="18" customHeight="1">
      <c r="A1746" s="9" t="inlineStr">
        <is>
          <t>9.71.1</t>
        </is>
      </c>
      <c r="B1746" s="10" t="inlineStr">
        <is>
          <t>125x64x2.50 mm</t>
        </is>
      </c>
      <c r="C1746" s="11" t="n"/>
      <c r="D1746" s="11" t="n"/>
      <c r="E1746" s="11" t="n"/>
      <c r="F1746" s="11" t="n"/>
    </row>
    <row r="1747">
      <c r="A1747" s="12" t="inlineStr">
        <is>
          <t>Rate basis: per nos  (source: cost for 10 nos)</t>
        </is>
      </c>
    </row>
    <row r="1748">
      <c r="A1748" s="5" t="inlineStr">
        <is>
          <t>Code</t>
        </is>
      </c>
      <c r="B1748" s="5" t="inlineStr">
        <is>
          <t>Description</t>
        </is>
      </c>
      <c r="C1748" s="5" t="inlineStr">
        <is>
          <t>Unit</t>
        </is>
      </c>
      <c r="D1748" s="5" t="inlineStr">
        <is>
          <t>Quantity</t>
        </is>
      </c>
      <c r="E1748" s="5" t="inlineStr">
        <is>
          <t>Rate (Rs.)</t>
        </is>
      </c>
      <c r="F1748" s="5" t="inlineStr">
        <is>
          <t>Amount (Rs.)</t>
        </is>
      </c>
    </row>
    <row r="1749">
      <c r="A1749" s="13" t="inlineStr">
        <is>
          <t>8219</t>
        </is>
      </c>
      <c r="B1749" s="14" t="inlineStr">
        <is>
          <t>Stainless steel butt hinges (heavy weight) 125x64x2.5 mm IS : 12817 marked</t>
        </is>
      </c>
      <c r="C1749" s="13" t="inlineStr">
        <is>
          <t>10 Nos</t>
        </is>
      </c>
      <c r="D1749" s="15" t="n">
        <v>1</v>
      </c>
      <c r="E1749" s="16" t="n">
        <v>350</v>
      </c>
      <c r="F1749" s="16">
        <f>D1749*E1749</f>
        <v/>
      </c>
    </row>
    <row r="1750">
      <c r="A1750" s="13" t="inlineStr">
        <is>
          <t>8210</t>
        </is>
      </c>
      <c r="B1750" s="14" t="inlineStr">
        <is>
          <t>Stainless steel screws 50 mm</t>
        </is>
      </c>
      <c r="C1750" s="13" t="inlineStr">
        <is>
          <t>100 Nos</t>
        </is>
      </c>
      <c r="D1750" s="15" t="n">
        <v>0.8</v>
      </c>
      <c r="E1750" s="16" t="n">
        <v>270</v>
      </c>
      <c r="F1750" s="16">
        <f>D1750*E1750</f>
        <v/>
      </c>
    </row>
    <row r="1751">
      <c r="A1751" s="13" t="inlineStr">
        <is>
          <t>9977</t>
        </is>
      </c>
      <c r="B1751" s="14" t="inlineStr">
        <is>
          <t>Carriage of materials</t>
        </is>
      </c>
      <c r="C1751" s="13" t="inlineStr">
        <is>
          <t>L.S.</t>
        </is>
      </c>
      <c r="D1751" s="15" t="n">
        <v>2.73</v>
      </c>
      <c r="E1751" s="16" t="n">
        <v>2</v>
      </c>
      <c r="F1751" s="16">
        <f>D1751*E1751</f>
        <v/>
      </c>
    </row>
    <row r="1752">
      <c r="A1752" s="13" t="inlineStr">
        <is>
          <t>0112</t>
        </is>
      </c>
      <c r="B1752" s="14" t="inlineStr">
        <is>
          <t>Carpenter 2nd class</t>
        </is>
      </c>
      <c r="C1752" s="13" t="inlineStr">
        <is>
          <t>day</t>
        </is>
      </c>
      <c r="D1752" s="15" t="n">
        <v>0.14</v>
      </c>
      <c r="E1752" s="16" t="n">
        <v>679</v>
      </c>
      <c r="F1752" s="16">
        <f>D1752*E1752</f>
        <v/>
      </c>
    </row>
    <row r="1753">
      <c r="A1753" s="13" t="inlineStr">
        <is>
          <t>0114</t>
        </is>
      </c>
      <c r="B1753" s="14" t="inlineStr">
        <is>
          <t>Beldar</t>
        </is>
      </c>
      <c r="C1753" s="13" t="inlineStr">
        <is>
          <t>day</t>
        </is>
      </c>
      <c r="D1753" s="15" t="n">
        <v>0.09</v>
      </c>
      <c r="E1753" s="16" t="n">
        <v>558</v>
      </c>
      <c r="F1753" s="16">
        <f>D1753*E1753</f>
        <v/>
      </c>
    </row>
    <row r="1754">
      <c r="A1754" s="17" t="inlineStr">
        <is>
          <t>Resource Total (Material + Labour + Machinery, as printed)</t>
        </is>
      </c>
      <c r="B1754" s="18" t="n"/>
      <c r="C1754" s="18" t="n"/>
      <c r="D1754" s="18" t="n"/>
      <c r="E1754" s="18" t="n"/>
      <c r="F1754" s="19">
        <f>SUM(F1749:F1753)</f>
        <v/>
      </c>
    </row>
    <row r="1755">
      <c r="A1755" s="20" t="inlineStr">
        <is>
          <t>SAY (Rs.) — final DAR rate</t>
        </is>
      </c>
      <c r="B1755" s="21" t="n"/>
      <c r="C1755" s="21" t="n"/>
      <c r="D1755" s="21" t="n"/>
      <c r="E1755" s="21" t="n"/>
      <c r="F1755" s="22" t="n">
        <v>95.90000000000001</v>
      </c>
    </row>
    <row r="1757" ht="18" customHeight="1">
      <c r="A1757" s="9" t="inlineStr">
        <is>
          <t>9.71.2</t>
        </is>
      </c>
      <c r="B1757" s="10" t="inlineStr">
        <is>
          <t>100x60x2.50 mm</t>
        </is>
      </c>
      <c r="C1757" s="11" t="n"/>
      <c r="D1757" s="11" t="n"/>
      <c r="E1757" s="11" t="n"/>
      <c r="F1757" s="11" t="n"/>
    </row>
    <row r="1758">
      <c r="A1758" s="12" t="inlineStr">
        <is>
          <t>Rate basis: per nos  (source: cost for 10 nos)</t>
        </is>
      </c>
    </row>
    <row r="1759">
      <c r="A1759" s="5" t="inlineStr">
        <is>
          <t>Code</t>
        </is>
      </c>
      <c r="B1759" s="5" t="inlineStr">
        <is>
          <t>Description</t>
        </is>
      </c>
      <c r="C1759" s="5" t="inlineStr">
        <is>
          <t>Unit</t>
        </is>
      </c>
      <c r="D1759" s="5" t="inlineStr">
        <is>
          <t>Quantity</t>
        </is>
      </c>
      <c r="E1759" s="5" t="inlineStr">
        <is>
          <t>Rate (Rs.)</t>
        </is>
      </c>
      <c r="F1759" s="5" t="inlineStr">
        <is>
          <t>Amount (Rs.)</t>
        </is>
      </c>
    </row>
    <row r="1760">
      <c r="A1760" s="13" t="inlineStr">
        <is>
          <t>8220</t>
        </is>
      </c>
      <c r="B1760" s="14" t="inlineStr">
        <is>
          <t>Stainless steel butt hinges (heavy weight) 100x60x2.5 mm IS : 12817 marked</t>
        </is>
      </c>
      <c r="C1760" s="13" t="inlineStr">
        <is>
          <t>10 Nos</t>
        </is>
      </c>
      <c r="D1760" s="15" t="n">
        <v>1</v>
      </c>
      <c r="E1760" s="16" t="n">
        <v>255</v>
      </c>
      <c r="F1760" s="16">
        <f>D1760*E1760</f>
        <v/>
      </c>
    </row>
    <row r="1761">
      <c r="A1761" s="13" t="inlineStr">
        <is>
          <t>8211</t>
        </is>
      </c>
      <c r="B1761" s="14" t="inlineStr">
        <is>
          <t>Stainless steel screws 40 mm</t>
        </is>
      </c>
      <c r="C1761" s="13" t="inlineStr">
        <is>
          <t>100 Nos</t>
        </is>
      </c>
      <c r="D1761" s="15" t="n">
        <v>0.8</v>
      </c>
      <c r="E1761" s="16" t="n">
        <v>215</v>
      </c>
      <c r="F1761" s="16">
        <f>D1761*E1761</f>
        <v/>
      </c>
    </row>
    <row r="1762">
      <c r="A1762" s="13" t="inlineStr">
        <is>
          <t>9977</t>
        </is>
      </c>
      <c r="B1762" s="14" t="inlineStr">
        <is>
          <t>Carriage of materials</t>
        </is>
      </c>
      <c r="C1762" s="13" t="inlineStr">
        <is>
          <t>L.S.</t>
        </is>
      </c>
      <c r="D1762" s="15" t="n">
        <v>2.73</v>
      </c>
      <c r="E1762" s="16" t="n">
        <v>2</v>
      </c>
      <c r="F1762" s="16">
        <f>D1762*E1762</f>
        <v/>
      </c>
    </row>
    <row r="1763">
      <c r="A1763" s="13" t="inlineStr">
        <is>
          <t>0112</t>
        </is>
      </c>
      <c r="B1763" s="14" t="inlineStr">
        <is>
          <t>Carpenter 2nd class</t>
        </is>
      </c>
      <c r="C1763" s="13" t="inlineStr">
        <is>
          <t>day</t>
        </is>
      </c>
      <c r="D1763" s="15" t="n">
        <v>0.14</v>
      </c>
      <c r="E1763" s="16" t="n">
        <v>679</v>
      </c>
      <c r="F1763" s="16">
        <f>D1763*E1763</f>
        <v/>
      </c>
    </row>
    <row r="1764">
      <c r="A1764" s="13" t="inlineStr">
        <is>
          <t>0114</t>
        </is>
      </c>
      <c r="B1764" s="14" t="inlineStr">
        <is>
          <t>Beldar</t>
        </is>
      </c>
      <c r="C1764" s="13" t="inlineStr">
        <is>
          <t>day</t>
        </is>
      </c>
      <c r="D1764" s="15" t="n">
        <v>0.09</v>
      </c>
      <c r="E1764" s="16" t="n">
        <v>558</v>
      </c>
      <c r="F1764" s="16">
        <f>D1764*E1764</f>
        <v/>
      </c>
    </row>
    <row r="1765">
      <c r="A1765" s="17" t="inlineStr">
        <is>
          <t>Resource Total (Material + Labour + Machinery, as printed)</t>
        </is>
      </c>
      <c r="B1765" s="18" t="n"/>
      <c r="C1765" s="18" t="n"/>
      <c r="D1765" s="18" t="n"/>
      <c r="E1765" s="18" t="n"/>
      <c r="F1765" s="19">
        <f>SUM(F1760:F1764)</f>
        <v/>
      </c>
    </row>
    <row r="1766">
      <c r="A1766" s="20" t="inlineStr">
        <is>
          <t>SAY (Rs.) — final DAR rate</t>
        </is>
      </c>
      <c r="B1766" s="21" t="n"/>
      <c r="C1766" s="21" t="n"/>
      <c r="D1766" s="21" t="n"/>
      <c r="E1766" s="21" t="n"/>
      <c r="F1766" s="22" t="n">
        <v>77.3</v>
      </c>
    </row>
    <row r="1768" ht="18" customHeight="1">
      <c r="A1768" s="9" t="inlineStr">
        <is>
          <t>9.71.3</t>
        </is>
      </c>
      <c r="B1768" s="10" t="inlineStr">
        <is>
          <t>75x50x2.50 mm</t>
        </is>
      </c>
      <c r="C1768" s="11" t="n"/>
      <c r="D1768" s="11" t="n"/>
      <c r="E1768" s="11" t="n"/>
      <c r="F1768" s="11" t="n"/>
    </row>
    <row r="1769">
      <c r="A1769" s="12" t="inlineStr">
        <is>
          <t>Rate basis: per nos  (source: cost for 10 nos)</t>
        </is>
      </c>
    </row>
    <row r="1770">
      <c r="A1770" s="5" t="inlineStr">
        <is>
          <t>Code</t>
        </is>
      </c>
      <c r="B1770" s="5" t="inlineStr">
        <is>
          <t>Description</t>
        </is>
      </c>
      <c r="C1770" s="5" t="inlineStr">
        <is>
          <t>Unit</t>
        </is>
      </c>
      <c r="D1770" s="5" t="inlineStr">
        <is>
          <t>Quantity</t>
        </is>
      </c>
      <c r="E1770" s="5" t="inlineStr">
        <is>
          <t>Rate (Rs.)</t>
        </is>
      </c>
      <c r="F1770" s="5" t="inlineStr">
        <is>
          <t>Amount (Rs.)</t>
        </is>
      </c>
    </row>
    <row r="1771">
      <c r="A1771" s="13" t="inlineStr">
        <is>
          <t>8221</t>
        </is>
      </c>
      <c r="B1771" s="14" t="inlineStr">
        <is>
          <t>Stainless steel butt hinges (heavy weight) 75x50x2.5 mm IS : 12817 marked</t>
        </is>
      </c>
      <c r="C1771" s="13" t="inlineStr">
        <is>
          <t>10 Nos</t>
        </is>
      </c>
      <c r="D1771" s="15" t="n">
        <v>1</v>
      </c>
      <c r="E1771" s="16" t="n">
        <v>205</v>
      </c>
      <c r="F1771" s="16">
        <f>D1771*E1771</f>
        <v/>
      </c>
    </row>
    <row r="1772">
      <c r="A1772" s="13" t="inlineStr">
        <is>
          <t>8212</t>
        </is>
      </c>
      <c r="B1772" s="14" t="inlineStr">
        <is>
          <t>Stainless steel screws 30 mm</t>
        </is>
      </c>
      <c r="C1772" s="13" t="inlineStr">
        <is>
          <t>100 Nos</t>
        </is>
      </c>
      <c r="D1772" s="15" t="n">
        <v>0.6</v>
      </c>
      <c r="E1772" s="16" t="n">
        <v>190</v>
      </c>
      <c r="F1772" s="16">
        <f>D1772*E1772</f>
        <v/>
      </c>
    </row>
    <row r="1773">
      <c r="A1773" s="13" t="inlineStr">
        <is>
          <t>9977</t>
        </is>
      </c>
      <c r="B1773" s="14" t="inlineStr">
        <is>
          <t>Carriage of materials</t>
        </is>
      </c>
      <c r="C1773" s="13" t="inlineStr">
        <is>
          <t>L.S.</t>
        </is>
      </c>
      <c r="D1773" s="15" t="n">
        <v>1.82</v>
      </c>
      <c r="E1773" s="16" t="n">
        <v>2</v>
      </c>
      <c r="F1773" s="16">
        <f>D1773*E1773</f>
        <v/>
      </c>
    </row>
    <row r="1774">
      <c r="A1774" s="13" t="inlineStr">
        <is>
          <t>0112</t>
        </is>
      </c>
      <c r="B1774" s="14" t="inlineStr">
        <is>
          <t>Carpenter 2nd class</t>
        </is>
      </c>
      <c r="C1774" s="13" t="inlineStr">
        <is>
          <t>day</t>
        </is>
      </c>
      <c r="D1774" s="15" t="n">
        <v>0.14</v>
      </c>
      <c r="E1774" s="16" t="n">
        <v>679</v>
      </c>
      <c r="F1774" s="16">
        <f>D1774*E1774</f>
        <v/>
      </c>
    </row>
    <row r="1775">
      <c r="A1775" s="13" t="inlineStr">
        <is>
          <t>0114</t>
        </is>
      </c>
      <c r="B1775" s="14" t="inlineStr">
        <is>
          <t>Beldar</t>
        </is>
      </c>
      <c r="C1775" s="13" t="inlineStr">
        <is>
          <t>day</t>
        </is>
      </c>
      <c r="D1775" s="15" t="n">
        <v>0.09</v>
      </c>
      <c r="E1775" s="16" t="n">
        <v>558</v>
      </c>
      <c r="F1775" s="16">
        <f>D1775*E1775</f>
        <v/>
      </c>
    </row>
    <row r="1776">
      <c r="A1776" s="17" t="inlineStr">
        <is>
          <t>Resource Total (Material + Labour + Machinery, as printed)</t>
        </is>
      </c>
      <c r="B1776" s="18" t="n"/>
      <c r="C1776" s="18" t="n"/>
      <c r="D1776" s="18" t="n"/>
      <c r="E1776" s="18" t="n"/>
      <c r="F1776" s="19">
        <f>SUM(F1771:F1775)</f>
        <v/>
      </c>
    </row>
    <row r="1777">
      <c r="A1777" s="20" t="inlineStr">
        <is>
          <t>SAY (Rs.) — final DAR rate</t>
        </is>
      </c>
      <c r="B1777" s="21" t="n"/>
      <c r="C1777" s="21" t="n"/>
      <c r="D1777" s="21" t="n"/>
      <c r="E1777" s="21" t="n"/>
      <c r="F1777" s="22" t="n">
        <v>62.6</v>
      </c>
    </row>
    <row r="1779" ht="18" customHeight="1">
      <c r="A1779" s="9" t="inlineStr">
        <is>
          <t>9.72.1</t>
        </is>
      </c>
      <c r="B1779" s="10" t="inlineStr">
        <is>
          <t>125x85x5.5 mm (heavy type)</t>
        </is>
      </c>
      <c r="C1779" s="11" t="n"/>
      <c r="D1779" s="11" t="n"/>
      <c r="E1779" s="11" t="n"/>
      <c r="F1779" s="11" t="n"/>
    </row>
    <row r="1780">
      <c r="A1780" s="12" t="inlineStr">
        <is>
          <t>Rate basis: per nos  (source: cost for 10 nos)</t>
        </is>
      </c>
    </row>
    <row r="1781">
      <c r="A1781" s="5" t="inlineStr">
        <is>
          <t>Code</t>
        </is>
      </c>
      <c r="B1781" s="5" t="inlineStr">
        <is>
          <t>Description</t>
        </is>
      </c>
      <c r="C1781" s="5" t="inlineStr">
        <is>
          <t>Unit</t>
        </is>
      </c>
      <c r="D1781" s="5" t="inlineStr">
        <is>
          <t>Quantity</t>
        </is>
      </c>
      <c r="E1781" s="5" t="inlineStr">
        <is>
          <t>Rate (Rs.)</t>
        </is>
      </c>
      <c r="F1781" s="5" t="inlineStr">
        <is>
          <t>Amount (Rs.)</t>
        </is>
      </c>
    </row>
    <row r="1782">
      <c r="A1782" s="13" t="inlineStr">
        <is>
          <t>0382</t>
        </is>
      </c>
      <c r="B1782" s="14" t="inlineStr">
        <is>
          <t>Brass butt hinges (heavy type) : 125x85x5.5 mm (0.70kg)</t>
        </is>
      </c>
      <c r="C1782" s="13" t="inlineStr">
        <is>
          <t>10 Nos</t>
        </is>
      </c>
      <c r="D1782" s="15" t="n">
        <v>1</v>
      </c>
      <c r="E1782" s="16" t="n">
        <v>1309</v>
      </c>
      <c r="F1782" s="16">
        <f>D1782*E1782</f>
        <v/>
      </c>
    </row>
    <row r="1783">
      <c r="A1783" s="13" t="inlineStr">
        <is>
          <t>0449</t>
        </is>
      </c>
      <c r="B1783" s="14" t="inlineStr">
        <is>
          <t>Brass screws 50 mm</t>
        </is>
      </c>
      <c r="C1783" s="13" t="inlineStr">
        <is>
          <t>100 Nos</t>
        </is>
      </c>
      <c r="D1783" s="15" t="n">
        <v>1</v>
      </c>
      <c r="E1783" s="16" t="n">
        <v>220</v>
      </c>
      <c r="F1783" s="16">
        <f>D1783*E1783</f>
        <v/>
      </c>
    </row>
    <row r="1784">
      <c r="A1784" s="13" t="inlineStr">
        <is>
          <t>9977</t>
        </is>
      </c>
      <c r="B1784" s="14" t="inlineStr">
        <is>
          <t>Carriage of material</t>
        </is>
      </c>
      <c r="C1784" s="13" t="inlineStr">
        <is>
          <t>L.S.</t>
        </is>
      </c>
      <c r="D1784" s="15" t="n">
        <v>3.64</v>
      </c>
      <c r="E1784" s="16" t="n">
        <v>2</v>
      </c>
      <c r="F1784" s="16">
        <f>D1784*E1784</f>
        <v/>
      </c>
    </row>
    <row r="1785">
      <c r="A1785" s="13" t="inlineStr">
        <is>
          <t>0111</t>
        </is>
      </c>
      <c r="B1785" s="14" t="inlineStr">
        <is>
          <t>Carpenter 1st class</t>
        </is>
      </c>
      <c r="C1785" s="13" t="inlineStr">
        <is>
          <t>day</t>
        </is>
      </c>
      <c r="D1785" s="15" t="n">
        <v>0.14</v>
      </c>
      <c r="E1785" s="16" t="n">
        <v>738</v>
      </c>
      <c r="F1785" s="16">
        <f>D1785*E1785</f>
        <v/>
      </c>
    </row>
    <row r="1786">
      <c r="A1786" s="13" t="inlineStr">
        <is>
          <t>0114</t>
        </is>
      </c>
      <c r="B1786" s="14" t="inlineStr">
        <is>
          <t>Beldar</t>
        </is>
      </c>
      <c r="C1786" s="13" t="inlineStr">
        <is>
          <t>day</t>
        </is>
      </c>
      <c r="D1786" s="15" t="n">
        <v>0.1</v>
      </c>
      <c r="E1786" s="16" t="n">
        <v>558</v>
      </c>
      <c r="F1786" s="16">
        <f>D1786*E1786</f>
        <v/>
      </c>
    </row>
    <row r="1787">
      <c r="A1787" s="17" t="inlineStr">
        <is>
          <t>Resource Total (Material + Labour + Machinery, as printed)</t>
        </is>
      </c>
      <c r="B1787" s="18" t="n"/>
      <c r="C1787" s="18" t="n"/>
      <c r="D1787" s="18" t="n"/>
      <c r="E1787" s="18" t="n"/>
      <c r="F1787" s="19">
        <f>SUM(F1782:F1786)</f>
        <v/>
      </c>
    </row>
    <row r="1788">
      <c r="A1788" s="20" t="inlineStr">
        <is>
          <t>SAY (Rs.) — final DAR rate</t>
        </is>
      </c>
      <c r="B1788" s="21" t="n"/>
      <c r="C1788" s="21" t="n"/>
      <c r="D1788" s="21" t="n"/>
      <c r="E1788" s="21" t="n"/>
      <c r="F1788" s="22" t="n">
        <v>226.85</v>
      </c>
    </row>
    <row r="1790" ht="18" customHeight="1">
      <c r="A1790" s="9" t="inlineStr">
        <is>
          <t>9.72.2</t>
        </is>
      </c>
      <c r="B1790" s="10" t="inlineStr">
        <is>
          <t>125x70x4 mm (ordinary type)</t>
        </is>
      </c>
      <c r="C1790" s="11" t="n"/>
      <c r="D1790" s="11" t="n"/>
      <c r="E1790" s="11" t="n"/>
      <c r="F1790" s="11" t="n"/>
    </row>
    <row r="1791">
      <c r="A1791" s="12" t="inlineStr">
        <is>
          <t>Rate basis: per nos  (source: cost for 10 nos)</t>
        </is>
      </c>
    </row>
    <row r="1792">
      <c r="A1792" s="5" t="inlineStr">
        <is>
          <t>Code</t>
        </is>
      </c>
      <c r="B1792" s="5" t="inlineStr">
        <is>
          <t>Description</t>
        </is>
      </c>
      <c r="C1792" s="5" t="inlineStr">
        <is>
          <t>Unit</t>
        </is>
      </c>
      <c r="D1792" s="5" t="inlineStr">
        <is>
          <t>Quantity</t>
        </is>
      </c>
      <c r="E1792" s="5" t="inlineStr">
        <is>
          <t>Rate (Rs.)</t>
        </is>
      </c>
      <c r="F1792" s="5" t="inlineStr">
        <is>
          <t>Amount (Rs.)</t>
        </is>
      </c>
    </row>
    <row r="1793">
      <c r="A1793" s="13" t="inlineStr">
        <is>
          <t>0378</t>
        </is>
      </c>
      <c r="B1793" s="14" t="inlineStr">
        <is>
          <t>Brass butt hinges (light/ordinary type) : 125x70x4 mm</t>
        </is>
      </c>
      <c r="C1793" s="13" t="inlineStr">
        <is>
          <t>10 Nos</t>
        </is>
      </c>
      <c r="D1793" s="15" t="n">
        <v>1</v>
      </c>
      <c r="E1793" s="16" t="n">
        <v>775</v>
      </c>
      <c r="F1793" s="16">
        <f>D1793*E1793</f>
        <v/>
      </c>
    </row>
    <row r="1794">
      <c r="A1794" s="13" t="inlineStr">
        <is>
          <t>0449</t>
        </is>
      </c>
      <c r="B1794" s="14" t="inlineStr">
        <is>
          <t>Brass screws 50 mm</t>
        </is>
      </c>
      <c r="C1794" s="13" t="inlineStr">
        <is>
          <t>100 Nos</t>
        </is>
      </c>
      <c r="D1794" s="15" t="n">
        <v>1</v>
      </c>
      <c r="E1794" s="16" t="n">
        <v>220</v>
      </c>
      <c r="F1794" s="16">
        <f>D1794*E1794</f>
        <v/>
      </c>
    </row>
    <row r="1795">
      <c r="A1795" s="13" t="inlineStr">
        <is>
          <t>9977</t>
        </is>
      </c>
      <c r="B1795" s="14" t="inlineStr">
        <is>
          <t>Carriage of material</t>
        </is>
      </c>
      <c r="C1795" s="13" t="inlineStr">
        <is>
          <t>L.S.</t>
        </is>
      </c>
      <c r="D1795" s="15" t="n">
        <v>3.64</v>
      </c>
      <c r="E1795" s="16" t="n">
        <v>2</v>
      </c>
      <c r="F1795" s="16">
        <f>D1795*E1795</f>
        <v/>
      </c>
    </row>
    <row r="1796">
      <c r="A1796" s="13" t="inlineStr">
        <is>
          <t>0111</t>
        </is>
      </c>
      <c r="B1796" s="14" t="inlineStr">
        <is>
          <t>Carpenter 1st class</t>
        </is>
      </c>
      <c r="C1796" s="13" t="inlineStr">
        <is>
          <t>day</t>
        </is>
      </c>
      <c r="D1796" s="15" t="n">
        <v>0.14</v>
      </c>
      <c r="E1796" s="16" t="n">
        <v>738</v>
      </c>
      <c r="F1796" s="16">
        <f>D1796*E1796</f>
        <v/>
      </c>
    </row>
    <row r="1797">
      <c r="A1797" s="13" t="inlineStr">
        <is>
          <t>0114</t>
        </is>
      </c>
      <c r="B1797" s="14" t="inlineStr">
        <is>
          <t>Beldar</t>
        </is>
      </c>
      <c r="C1797" s="13" t="inlineStr">
        <is>
          <t>day</t>
        </is>
      </c>
      <c r="D1797" s="15" t="n">
        <v>0.1</v>
      </c>
      <c r="E1797" s="16" t="n">
        <v>558</v>
      </c>
      <c r="F1797" s="16">
        <f>D1797*E1797</f>
        <v/>
      </c>
    </row>
    <row r="1798">
      <c r="A1798" s="17" t="inlineStr">
        <is>
          <t>Resource Total (Material + Labour + Machinery, as printed)</t>
        </is>
      </c>
      <c r="B1798" s="18" t="n"/>
      <c r="C1798" s="18" t="n"/>
      <c r="D1798" s="18" t="n"/>
      <c r="E1798" s="18" t="n"/>
      <c r="F1798" s="19">
        <f>SUM(F1793:F1797)</f>
        <v/>
      </c>
    </row>
    <row r="1799">
      <c r="A1799" s="20" t="inlineStr">
        <is>
          <t>SAY (Rs.) — final DAR rate</t>
        </is>
      </c>
      <c r="B1799" s="21" t="n"/>
      <c r="C1799" s="21" t="n"/>
      <c r="D1799" s="21" t="n"/>
      <c r="E1799" s="21" t="n"/>
      <c r="F1799" s="22" t="n">
        <v>155.4</v>
      </c>
    </row>
    <row r="1801" ht="18" customHeight="1">
      <c r="A1801" s="9" t="inlineStr">
        <is>
          <t>9.72.3</t>
        </is>
      </c>
      <c r="B1801" s="10" t="inlineStr">
        <is>
          <t>100x85x5.5 mm (heavy type)</t>
        </is>
      </c>
      <c r="C1801" s="11" t="n"/>
      <c r="D1801" s="11" t="n"/>
      <c r="E1801" s="11" t="n"/>
      <c r="F1801" s="11" t="n"/>
    </row>
    <row r="1802">
      <c r="A1802" s="12" t="inlineStr">
        <is>
          <t>Rate basis: per nos  (source: cost for 10 nos)</t>
        </is>
      </c>
    </row>
    <row r="1803">
      <c r="A1803" s="5" t="inlineStr">
        <is>
          <t>Code</t>
        </is>
      </c>
      <c r="B1803" s="5" t="inlineStr">
        <is>
          <t>Description</t>
        </is>
      </c>
      <c r="C1803" s="5" t="inlineStr">
        <is>
          <t>Unit</t>
        </is>
      </c>
      <c r="D1803" s="5" t="inlineStr">
        <is>
          <t>Quantity</t>
        </is>
      </c>
      <c r="E1803" s="5" t="inlineStr">
        <is>
          <t>Rate (Rs.)</t>
        </is>
      </c>
      <c r="F1803" s="5" t="inlineStr">
        <is>
          <t>Amount (Rs.)</t>
        </is>
      </c>
    </row>
    <row r="1804">
      <c r="A1804" s="13" t="inlineStr">
        <is>
          <t>0383</t>
        </is>
      </c>
      <c r="B1804" s="14" t="inlineStr">
        <is>
          <t>Brass butt hinges (heavy type) : 100x85x5.5 mm (0.56 kg)</t>
        </is>
      </c>
      <c r="C1804" s="13" t="inlineStr">
        <is>
          <t>10 Nos</t>
        </is>
      </c>
      <c r="D1804" s="15" t="n">
        <v>1</v>
      </c>
      <c r="E1804" s="16" t="n">
        <v>997</v>
      </c>
      <c r="F1804" s="16">
        <f>D1804*E1804</f>
        <v/>
      </c>
    </row>
    <row r="1805">
      <c r="A1805" s="13" t="inlineStr">
        <is>
          <t>0450</t>
        </is>
      </c>
      <c r="B1805" s="14" t="inlineStr">
        <is>
          <t>Brass screws 40 mm</t>
        </is>
      </c>
      <c r="C1805" s="13" t="inlineStr">
        <is>
          <t>100 Nos</t>
        </is>
      </c>
      <c r="D1805" s="15" t="n">
        <v>0.8</v>
      </c>
      <c r="E1805" s="16" t="n">
        <v>170</v>
      </c>
      <c r="F1805" s="16">
        <f>D1805*E1805</f>
        <v/>
      </c>
    </row>
    <row r="1806">
      <c r="A1806" s="13" t="inlineStr">
        <is>
          <t>9977</t>
        </is>
      </c>
      <c r="B1806" s="14" t="inlineStr">
        <is>
          <t>Carriage of material</t>
        </is>
      </c>
      <c r="C1806" s="13" t="inlineStr">
        <is>
          <t>L.S.</t>
        </is>
      </c>
      <c r="D1806" s="15" t="n">
        <v>2.73</v>
      </c>
      <c r="E1806" s="16" t="n">
        <v>2</v>
      </c>
      <c r="F1806" s="16">
        <f>D1806*E1806</f>
        <v/>
      </c>
    </row>
    <row r="1807">
      <c r="A1807" s="13" t="inlineStr">
        <is>
          <t>0111</t>
        </is>
      </c>
      <c r="B1807" s="14" t="inlineStr">
        <is>
          <t>Carpenter 1st class</t>
        </is>
      </c>
      <c r="C1807" s="13" t="inlineStr">
        <is>
          <t>day</t>
        </is>
      </c>
      <c r="D1807" s="15" t="n">
        <v>0.14</v>
      </c>
      <c r="E1807" s="16" t="n">
        <v>738</v>
      </c>
      <c r="F1807" s="16">
        <f>D1807*E1807</f>
        <v/>
      </c>
    </row>
    <row r="1808">
      <c r="A1808" s="13" t="inlineStr">
        <is>
          <t>0114</t>
        </is>
      </c>
      <c r="B1808" s="14" t="inlineStr">
        <is>
          <t>Beldar</t>
        </is>
      </c>
      <c r="C1808" s="13" t="inlineStr">
        <is>
          <t>day</t>
        </is>
      </c>
      <c r="D1808" s="15" t="n">
        <v>0.1</v>
      </c>
      <c r="E1808" s="16" t="n">
        <v>558</v>
      </c>
      <c r="F1808" s="16">
        <f>D1808*E1808</f>
        <v/>
      </c>
    </row>
    <row r="1809">
      <c r="A1809" s="17" t="inlineStr">
        <is>
          <t>Resource Total (Material + Labour + Machinery, as printed)</t>
        </is>
      </c>
      <c r="B1809" s="18" t="n"/>
      <c r="C1809" s="18" t="n"/>
      <c r="D1809" s="18" t="n"/>
      <c r="E1809" s="18" t="n"/>
      <c r="F1809" s="19">
        <f>SUM(F1804:F1808)</f>
        <v/>
      </c>
    </row>
    <row r="1810">
      <c r="A1810" s="20" t="inlineStr">
        <is>
          <t>SAY (Rs.) — final DAR rate</t>
        </is>
      </c>
      <c r="B1810" s="21" t="n"/>
      <c r="C1810" s="21" t="n"/>
      <c r="D1810" s="21" t="n"/>
      <c r="E1810" s="21" t="n"/>
      <c r="F1810" s="22" t="n">
        <v>173.6</v>
      </c>
    </row>
    <row r="1812" ht="18" customHeight="1">
      <c r="A1812" s="9" t="inlineStr">
        <is>
          <t>9.72.4</t>
        </is>
      </c>
      <c r="B1812" s="10" t="inlineStr">
        <is>
          <t>100x70x4 mm (ordinary type)</t>
        </is>
      </c>
      <c r="C1812" s="11" t="n"/>
      <c r="D1812" s="11" t="n"/>
      <c r="E1812" s="11" t="n"/>
      <c r="F1812" s="11" t="n"/>
    </row>
    <row r="1813">
      <c r="A1813" s="12" t="inlineStr">
        <is>
          <t>Rate basis: per nos  (source: cost for 10 nos)</t>
        </is>
      </c>
    </row>
    <row r="1814">
      <c r="A1814" s="5" t="inlineStr">
        <is>
          <t>Code</t>
        </is>
      </c>
      <c r="B1814" s="5" t="inlineStr">
        <is>
          <t>Description</t>
        </is>
      </c>
      <c r="C1814" s="5" t="inlineStr">
        <is>
          <t>Unit</t>
        </is>
      </c>
      <c r="D1814" s="5" t="inlineStr">
        <is>
          <t>Quantity</t>
        </is>
      </c>
      <c r="E1814" s="5" t="inlineStr">
        <is>
          <t>Rate (Rs.)</t>
        </is>
      </c>
      <c r="F1814" s="5" t="inlineStr">
        <is>
          <t>Amount (Rs.)</t>
        </is>
      </c>
    </row>
    <row r="1815">
      <c r="A1815" s="13" t="inlineStr">
        <is>
          <t>0379</t>
        </is>
      </c>
      <c r="B1815" s="14" t="inlineStr">
        <is>
          <t>Brass butt hinges (light/ordinary type) : 100x70x4 mm</t>
        </is>
      </c>
      <c r="C1815" s="13" t="inlineStr">
        <is>
          <t>10 Nos</t>
        </is>
      </c>
      <c r="D1815" s="15" t="n">
        <v>1</v>
      </c>
      <c r="E1815" s="16" t="n">
        <v>625</v>
      </c>
      <c r="F1815" s="16">
        <f>D1815*E1815</f>
        <v/>
      </c>
    </row>
    <row r="1816">
      <c r="A1816" s="13" t="inlineStr">
        <is>
          <t>0450</t>
        </is>
      </c>
      <c r="B1816" s="14" t="inlineStr">
        <is>
          <t>Brass screws 40 mm</t>
        </is>
      </c>
      <c r="C1816" s="13" t="inlineStr">
        <is>
          <t>100 Nos</t>
        </is>
      </c>
      <c r="D1816" s="15" t="n">
        <v>0.8</v>
      </c>
      <c r="E1816" s="16" t="n">
        <v>170</v>
      </c>
      <c r="F1816" s="16">
        <f>D1816*E1816</f>
        <v/>
      </c>
    </row>
    <row r="1817">
      <c r="A1817" s="13" t="inlineStr">
        <is>
          <t>9977</t>
        </is>
      </c>
      <c r="B1817" s="14" t="inlineStr">
        <is>
          <t>Carriage of material</t>
        </is>
      </c>
      <c r="C1817" s="13" t="inlineStr">
        <is>
          <t>L.S.</t>
        </is>
      </c>
      <c r="D1817" s="15" t="n">
        <v>2.73</v>
      </c>
      <c r="E1817" s="16" t="n">
        <v>2</v>
      </c>
      <c r="F1817" s="16">
        <f>D1817*E1817</f>
        <v/>
      </c>
    </row>
    <row r="1818">
      <c r="A1818" s="13" t="inlineStr">
        <is>
          <t>0111</t>
        </is>
      </c>
      <c r="B1818" s="14" t="inlineStr">
        <is>
          <t>Carpenter 1st class</t>
        </is>
      </c>
      <c r="C1818" s="13" t="inlineStr">
        <is>
          <t>day</t>
        </is>
      </c>
      <c r="D1818" s="15" t="n">
        <v>0.14</v>
      </c>
      <c r="E1818" s="16" t="n">
        <v>738</v>
      </c>
      <c r="F1818" s="16">
        <f>D1818*E1818</f>
        <v/>
      </c>
    </row>
    <row r="1819">
      <c r="A1819" s="13" t="inlineStr">
        <is>
          <t>0114</t>
        </is>
      </c>
      <c r="B1819" s="14" t="inlineStr">
        <is>
          <t>Beldar</t>
        </is>
      </c>
      <c r="C1819" s="13" t="inlineStr">
        <is>
          <t>day</t>
        </is>
      </c>
      <c r="D1819" s="15" t="n">
        <v>0.1</v>
      </c>
      <c r="E1819" s="16" t="n">
        <v>558</v>
      </c>
      <c r="F1819" s="16">
        <f>D1819*E1819</f>
        <v/>
      </c>
    </row>
    <row r="1820">
      <c r="A1820" s="17" t="inlineStr">
        <is>
          <t>Resource Total (Material + Labour + Machinery, as printed)</t>
        </is>
      </c>
      <c r="B1820" s="18" t="n"/>
      <c r="C1820" s="18" t="n"/>
      <c r="D1820" s="18" t="n"/>
      <c r="E1820" s="18" t="n"/>
      <c r="F1820" s="19">
        <f>SUM(F1815:F1819)</f>
        <v/>
      </c>
    </row>
    <row r="1821">
      <c r="A1821" s="20" t="inlineStr">
        <is>
          <t>SAY (Rs.) — final DAR rate</t>
        </is>
      </c>
      <c r="B1821" s="21" t="n"/>
      <c r="C1821" s="21" t="n"/>
      <c r="D1821" s="21" t="n"/>
      <c r="E1821" s="21" t="n"/>
      <c r="F1821" s="22" t="n">
        <v>123.85</v>
      </c>
    </row>
    <row r="1823" ht="18" customHeight="1">
      <c r="A1823" s="9" t="inlineStr">
        <is>
          <t>9.72.5</t>
        </is>
      </c>
      <c r="B1823" s="10" t="inlineStr">
        <is>
          <t>75x65x4 mm (heavy type)</t>
        </is>
      </c>
      <c r="C1823" s="11" t="n"/>
      <c r="D1823" s="11" t="n"/>
      <c r="E1823" s="11" t="n"/>
      <c r="F1823" s="11" t="n"/>
    </row>
    <row r="1824">
      <c r="A1824" s="12" t="inlineStr">
        <is>
          <t>Rate basis: per nos  (source: cost for 10 nos)</t>
        </is>
      </c>
    </row>
    <row r="1825">
      <c r="A1825" s="5" t="inlineStr">
        <is>
          <t>Code</t>
        </is>
      </c>
      <c r="B1825" s="5" t="inlineStr">
        <is>
          <t>Description</t>
        </is>
      </c>
      <c r="C1825" s="5" t="inlineStr">
        <is>
          <t>Unit</t>
        </is>
      </c>
      <c r="D1825" s="5" t="inlineStr">
        <is>
          <t>Quantity</t>
        </is>
      </c>
      <c r="E1825" s="5" t="inlineStr">
        <is>
          <t>Rate (Rs.)</t>
        </is>
      </c>
      <c r="F1825" s="5" t="inlineStr">
        <is>
          <t>Amount (Rs.)</t>
        </is>
      </c>
    </row>
    <row r="1826">
      <c r="A1826" s="13" t="inlineStr">
        <is>
          <t>0384</t>
        </is>
      </c>
      <c r="B1826" s="14" t="inlineStr">
        <is>
          <t>Brass butt hinges (heavy type) : 75x65x4.0 mm(0.20 kg)</t>
        </is>
      </c>
      <c r="C1826" s="13" t="inlineStr">
        <is>
          <t>10 Nos</t>
        </is>
      </c>
      <c r="D1826" s="15" t="n">
        <v>1</v>
      </c>
      <c r="E1826" s="16" t="n">
        <v>838</v>
      </c>
      <c r="F1826" s="16">
        <f>D1826*E1826</f>
        <v/>
      </c>
    </row>
    <row r="1827">
      <c r="A1827" s="13" t="inlineStr">
        <is>
          <t>0451</t>
        </is>
      </c>
      <c r="B1827" s="14" t="inlineStr">
        <is>
          <t>Brass screws 30 mm</t>
        </is>
      </c>
      <c r="C1827" s="13" t="inlineStr">
        <is>
          <t>100 Nos</t>
        </is>
      </c>
      <c r="D1827" s="15" t="n">
        <v>0.6</v>
      </c>
      <c r="E1827" s="16" t="n">
        <v>140</v>
      </c>
      <c r="F1827" s="16">
        <f>D1827*E1827</f>
        <v/>
      </c>
    </row>
    <row r="1828">
      <c r="A1828" s="13" t="inlineStr">
        <is>
          <t>9977</t>
        </is>
      </c>
      <c r="B1828" s="14" t="inlineStr">
        <is>
          <t>Carriage of material</t>
        </is>
      </c>
      <c r="C1828" s="13" t="inlineStr">
        <is>
          <t>L.S.</t>
        </is>
      </c>
      <c r="D1828" s="15" t="n">
        <v>2.73</v>
      </c>
      <c r="E1828" s="16" t="n">
        <v>2</v>
      </c>
      <c r="F1828" s="16">
        <f>D1828*E1828</f>
        <v/>
      </c>
    </row>
    <row r="1829">
      <c r="A1829" s="13" t="inlineStr">
        <is>
          <t>0111</t>
        </is>
      </c>
      <c r="B1829" s="14" t="inlineStr">
        <is>
          <t>Carpenter 1st class</t>
        </is>
      </c>
      <c r="C1829" s="13" t="inlineStr">
        <is>
          <t>day</t>
        </is>
      </c>
      <c r="D1829" s="15" t="n">
        <v>0.14</v>
      </c>
      <c r="E1829" s="16" t="n">
        <v>738</v>
      </c>
      <c r="F1829" s="16">
        <f>D1829*E1829</f>
        <v/>
      </c>
    </row>
    <row r="1830">
      <c r="A1830" s="13" t="inlineStr">
        <is>
          <t>0114</t>
        </is>
      </c>
      <c r="B1830" s="14" t="inlineStr">
        <is>
          <t>Beldar</t>
        </is>
      </c>
      <c r="C1830" s="13" t="inlineStr">
        <is>
          <t>day</t>
        </is>
      </c>
      <c r="D1830" s="15" t="n">
        <v>0.1</v>
      </c>
      <c r="E1830" s="16" t="n">
        <v>558</v>
      </c>
      <c r="F1830" s="16">
        <f>D1830*E1830</f>
        <v/>
      </c>
    </row>
    <row r="1831">
      <c r="A1831" s="17" t="inlineStr">
        <is>
          <t>Resource Total (Material + Labour + Machinery, as printed)</t>
        </is>
      </c>
      <c r="B1831" s="18" t="n"/>
      <c r="C1831" s="18" t="n"/>
      <c r="D1831" s="18" t="n"/>
      <c r="E1831" s="18" t="n"/>
      <c r="F1831" s="19">
        <f>SUM(F1826:F1830)</f>
        <v/>
      </c>
    </row>
    <row r="1832">
      <c r="A1832" s="20" t="inlineStr">
        <is>
          <t>SAY (Rs.) — final DAR rate</t>
        </is>
      </c>
      <c r="B1832" s="21" t="n"/>
      <c r="C1832" s="21" t="n"/>
      <c r="D1832" s="21" t="n"/>
      <c r="E1832" s="21" t="n"/>
      <c r="F1832" s="22" t="n">
        <v>145.4</v>
      </c>
    </row>
    <row r="1834" ht="18" customHeight="1">
      <c r="A1834" s="9" t="inlineStr">
        <is>
          <t>9.72.6</t>
        </is>
      </c>
      <c r="B1834" s="10" t="inlineStr">
        <is>
          <t>75x40x2.5 mm (ordinary type)</t>
        </is>
      </c>
      <c r="C1834" s="11" t="n"/>
      <c r="D1834" s="11" t="n"/>
      <c r="E1834" s="11" t="n"/>
      <c r="F1834" s="11" t="n"/>
    </row>
    <row r="1835">
      <c r="A1835" s="12" t="inlineStr">
        <is>
          <t>Rate basis: per nos  (source: cost for 10 nos)</t>
        </is>
      </c>
    </row>
    <row r="1836">
      <c r="A1836" s="5" t="inlineStr">
        <is>
          <t>Code</t>
        </is>
      </c>
      <c r="B1836" s="5" t="inlineStr">
        <is>
          <t>Description</t>
        </is>
      </c>
      <c r="C1836" s="5" t="inlineStr">
        <is>
          <t>Unit</t>
        </is>
      </c>
      <c r="D1836" s="5" t="inlineStr">
        <is>
          <t>Quantity</t>
        </is>
      </c>
      <c r="E1836" s="5" t="inlineStr">
        <is>
          <t>Rate (Rs.)</t>
        </is>
      </c>
      <c r="F1836" s="5" t="inlineStr">
        <is>
          <t>Amount (Rs.)</t>
        </is>
      </c>
    </row>
    <row r="1837">
      <c r="A1837" s="13" t="inlineStr">
        <is>
          <t>0380</t>
        </is>
      </c>
      <c r="B1837" s="14" t="inlineStr">
        <is>
          <t>Brass butt hinges (light/ordinary type) : 75x40x2.5 mm</t>
        </is>
      </c>
      <c r="C1837" s="13" t="inlineStr">
        <is>
          <t>10 Nos</t>
        </is>
      </c>
      <c r="D1837" s="15" t="n">
        <v>1</v>
      </c>
      <c r="E1837" s="16" t="n">
        <v>380</v>
      </c>
      <c r="F1837" s="16">
        <f>D1837*E1837</f>
        <v/>
      </c>
    </row>
    <row r="1838">
      <c r="A1838" s="13" t="inlineStr">
        <is>
          <t>0451</t>
        </is>
      </c>
      <c r="B1838" s="14" t="inlineStr">
        <is>
          <t>Brass screws 30 mm</t>
        </is>
      </c>
      <c r="C1838" s="13" t="inlineStr">
        <is>
          <t>100 Nos</t>
        </is>
      </c>
      <c r="D1838" s="15" t="n">
        <v>0.6</v>
      </c>
      <c r="E1838" s="16" t="n">
        <v>140</v>
      </c>
      <c r="F1838" s="16">
        <f>D1838*E1838</f>
        <v/>
      </c>
    </row>
    <row r="1839">
      <c r="A1839" s="13" t="inlineStr">
        <is>
          <t>9977</t>
        </is>
      </c>
      <c r="B1839" s="14" t="inlineStr">
        <is>
          <t>Carriage of material</t>
        </is>
      </c>
      <c r="C1839" s="13" t="inlineStr">
        <is>
          <t>L.S.</t>
        </is>
      </c>
      <c r="D1839" s="15" t="n">
        <v>2.73</v>
      </c>
      <c r="E1839" s="16" t="n">
        <v>2</v>
      </c>
      <c r="F1839" s="16">
        <f>D1839*E1839</f>
        <v/>
      </c>
    </row>
    <row r="1840">
      <c r="A1840" s="13" t="inlineStr">
        <is>
          <t>0111</t>
        </is>
      </c>
      <c r="B1840" s="14" t="inlineStr">
        <is>
          <t>Carpenter 1st class</t>
        </is>
      </c>
      <c r="C1840" s="13" t="inlineStr">
        <is>
          <t>day</t>
        </is>
      </c>
      <c r="D1840" s="15" t="n">
        <v>0.14</v>
      </c>
      <c r="E1840" s="16" t="n">
        <v>738</v>
      </c>
      <c r="F1840" s="16">
        <f>D1840*E1840</f>
        <v/>
      </c>
    </row>
    <row r="1841">
      <c r="A1841" s="13" t="inlineStr">
        <is>
          <t>0114</t>
        </is>
      </c>
      <c r="B1841" s="14" t="inlineStr">
        <is>
          <t>Beldar</t>
        </is>
      </c>
      <c r="C1841" s="13" t="inlineStr">
        <is>
          <t>day</t>
        </is>
      </c>
      <c r="D1841" s="15" t="n">
        <v>0.1</v>
      </c>
      <c r="E1841" s="16" t="n">
        <v>558</v>
      </c>
      <c r="F1841" s="16">
        <f>D1841*E1841</f>
        <v/>
      </c>
    </row>
    <row r="1842">
      <c r="A1842" s="17" t="inlineStr">
        <is>
          <t>Resource Total (Material + Labour + Machinery, as printed)</t>
        </is>
      </c>
      <c r="B1842" s="18" t="n"/>
      <c r="C1842" s="18" t="n"/>
      <c r="D1842" s="18" t="n"/>
      <c r="E1842" s="18" t="n"/>
      <c r="F1842" s="19">
        <f>SUM(F1837:F1841)</f>
        <v/>
      </c>
    </row>
    <row r="1843">
      <c r="A1843" s="20" t="inlineStr">
        <is>
          <t>SAY (Rs.) — final DAR rate</t>
        </is>
      </c>
      <c r="B1843" s="21" t="n"/>
      <c r="C1843" s="21" t="n"/>
      <c r="D1843" s="21" t="n"/>
      <c r="E1843" s="21" t="n"/>
      <c r="F1843" s="22" t="n">
        <v>84.09999999999999</v>
      </c>
    </row>
    <row r="1845" ht="18" customHeight="1">
      <c r="A1845" s="9" t="inlineStr">
        <is>
          <t>9.72.7</t>
        </is>
      </c>
      <c r="B1845" s="10" t="inlineStr">
        <is>
          <t>50x40x2.5 mm (ordinary type)</t>
        </is>
      </c>
      <c r="C1845" s="11" t="n"/>
      <c r="D1845" s="11" t="n"/>
      <c r="E1845" s="11" t="n"/>
      <c r="F1845" s="11" t="n"/>
    </row>
    <row r="1846">
      <c r="A1846" s="12" t="inlineStr">
        <is>
          <t>Rate basis: per nos  (source: cost for 10 nos)</t>
        </is>
      </c>
    </row>
    <row r="1847">
      <c r="A1847" s="5" t="inlineStr">
        <is>
          <t>Code</t>
        </is>
      </c>
      <c r="B1847" s="5" t="inlineStr">
        <is>
          <t>Description</t>
        </is>
      </c>
      <c r="C1847" s="5" t="inlineStr">
        <is>
          <t>Unit</t>
        </is>
      </c>
      <c r="D1847" s="5" t="inlineStr">
        <is>
          <t>Quantity</t>
        </is>
      </c>
      <c r="E1847" s="5" t="inlineStr">
        <is>
          <t>Rate (Rs.)</t>
        </is>
      </c>
      <c r="F1847" s="5" t="inlineStr">
        <is>
          <t>Amount (Rs.)</t>
        </is>
      </c>
    </row>
    <row r="1848">
      <c r="A1848" s="13" t="inlineStr">
        <is>
          <t>0381</t>
        </is>
      </c>
      <c r="B1848" s="14" t="inlineStr">
        <is>
          <t>Brass butt hinges (light/ordinary type) : 50x40x2.5 mm</t>
        </is>
      </c>
      <c r="C1848" s="13" t="inlineStr">
        <is>
          <t>10 Nos</t>
        </is>
      </c>
      <c r="D1848" s="15" t="n">
        <v>1</v>
      </c>
      <c r="E1848" s="16" t="n">
        <v>155</v>
      </c>
      <c r="F1848" s="16">
        <f>D1848*E1848</f>
        <v/>
      </c>
    </row>
    <row r="1849">
      <c r="A1849" s="13" t="inlineStr">
        <is>
          <t>0453</t>
        </is>
      </c>
      <c r="B1849" s="14" t="inlineStr">
        <is>
          <t>Brass screws 20 mm</t>
        </is>
      </c>
      <c r="C1849" s="13" t="inlineStr">
        <is>
          <t>100 Nos</t>
        </is>
      </c>
      <c r="D1849" s="15" t="n">
        <v>0.4</v>
      </c>
      <c r="E1849" s="16" t="n">
        <v>95</v>
      </c>
      <c r="F1849" s="16">
        <f>D1849*E1849</f>
        <v/>
      </c>
    </row>
    <row r="1850">
      <c r="A1850" s="13" t="inlineStr">
        <is>
          <t>9977</t>
        </is>
      </c>
      <c r="B1850" s="14" t="inlineStr">
        <is>
          <t>Carriage of material</t>
        </is>
      </c>
      <c r="C1850" s="13" t="inlineStr">
        <is>
          <t>L.S.</t>
        </is>
      </c>
      <c r="D1850" s="15" t="n">
        <v>1.82</v>
      </c>
      <c r="E1850" s="16" t="n">
        <v>2</v>
      </c>
      <c r="F1850" s="16">
        <f>D1850*E1850</f>
        <v/>
      </c>
    </row>
    <row r="1851">
      <c r="A1851" s="13" t="inlineStr">
        <is>
          <t>0111</t>
        </is>
      </c>
      <c r="B1851" s="14" t="inlineStr">
        <is>
          <t>Carpenter 1st class</t>
        </is>
      </c>
      <c r="C1851" s="13" t="inlineStr">
        <is>
          <t>day</t>
        </is>
      </c>
      <c r="D1851" s="15" t="n">
        <v>0.08</v>
      </c>
      <c r="E1851" s="16" t="n">
        <v>738</v>
      </c>
      <c r="F1851" s="16">
        <f>D1851*E1851</f>
        <v/>
      </c>
    </row>
    <row r="1852">
      <c r="A1852" s="17" t="inlineStr">
        <is>
          <t>Resource Total (Material + Labour + Machinery, as printed)</t>
        </is>
      </c>
      <c r="B1852" s="18" t="n"/>
      <c r="C1852" s="18" t="n"/>
      <c r="D1852" s="18" t="n"/>
      <c r="E1852" s="18" t="n"/>
      <c r="F1852" s="19">
        <f>SUM(F1848:F1851)</f>
        <v/>
      </c>
    </row>
    <row r="1853">
      <c r="A1853" s="20" t="inlineStr">
        <is>
          <t>SAY (Rs.) — final DAR rate</t>
        </is>
      </c>
      <c r="B1853" s="21" t="n"/>
      <c r="C1853" s="21" t="n"/>
      <c r="D1853" s="21" t="n"/>
      <c r="E1853" s="21" t="n"/>
      <c r="F1853" s="22" t="n">
        <v>34.2</v>
      </c>
    </row>
    <row r="1855" ht="18" customHeight="1">
      <c r="A1855" s="9" t="inlineStr">
        <is>
          <t>9.73.1</t>
        </is>
      </c>
      <c r="B1855" s="10" t="inlineStr">
        <is>
          <t>150x125x27x5 mm</t>
        </is>
      </c>
      <c r="C1855" s="11" t="n"/>
      <c r="D1855" s="11" t="n"/>
      <c r="E1855" s="11" t="n"/>
      <c r="F1855" s="11" t="n"/>
    </row>
    <row r="1856">
      <c r="A1856" s="12" t="inlineStr">
        <is>
          <t>Rate basis: per nos  (source: cost for 10 nos)</t>
        </is>
      </c>
    </row>
    <row r="1857">
      <c r="A1857" s="5" t="inlineStr">
        <is>
          <t>Code</t>
        </is>
      </c>
      <c r="B1857" s="5" t="inlineStr">
        <is>
          <t>Description</t>
        </is>
      </c>
      <c r="C1857" s="5" t="inlineStr">
        <is>
          <t>Unit</t>
        </is>
      </c>
      <c r="D1857" s="5" t="inlineStr">
        <is>
          <t>Quantity</t>
        </is>
      </c>
      <c r="E1857" s="5" t="inlineStr">
        <is>
          <t>Rate (Rs.)</t>
        </is>
      </c>
      <c r="F1857" s="5" t="inlineStr">
        <is>
          <t>Amount (Rs.)</t>
        </is>
      </c>
    </row>
    <row r="1858">
      <c r="A1858" s="13" t="inlineStr">
        <is>
          <t>0385</t>
        </is>
      </c>
      <c r="B1858" s="14" t="inlineStr">
        <is>
          <t>Brass parliamentary hinges 150x125x27x5 mm</t>
        </is>
      </c>
      <c r="C1858" s="13" t="inlineStr">
        <is>
          <t>10 Nos</t>
        </is>
      </c>
      <c r="D1858" s="15" t="n">
        <v>1</v>
      </c>
      <c r="E1858" s="16" t="n">
        <v>2610</v>
      </c>
      <c r="F1858" s="16">
        <f>D1858*E1858</f>
        <v/>
      </c>
    </row>
    <row r="1859">
      <c r="A1859" s="13" t="inlineStr">
        <is>
          <t>0450</t>
        </is>
      </c>
      <c r="B1859" s="14" t="inlineStr">
        <is>
          <t>Brass screws 40 mm</t>
        </is>
      </c>
      <c r="C1859" s="13" t="inlineStr">
        <is>
          <t>100 Nos</t>
        </is>
      </c>
      <c r="D1859" s="15" t="n">
        <v>0.8</v>
      </c>
      <c r="E1859" s="16" t="n">
        <v>170</v>
      </c>
      <c r="F1859" s="16">
        <f>D1859*E1859</f>
        <v/>
      </c>
    </row>
    <row r="1860">
      <c r="A1860" s="13" t="inlineStr">
        <is>
          <t>9977</t>
        </is>
      </c>
      <c r="B1860" s="14" t="inlineStr">
        <is>
          <t>Carriage of materials</t>
        </is>
      </c>
      <c r="C1860" s="13" t="inlineStr">
        <is>
          <t>L.S.</t>
        </is>
      </c>
      <c r="D1860" s="15" t="n">
        <v>2.73</v>
      </c>
      <c r="E1860" s="16" t="n">
        <v>2</v>
      </c>
      <c r="F1860" s="16">
        <f>D1860*E1860</f>
        <v/>
      </c>
    </row>
    <row r="1861">
      <c r="A1861" s="13" t="inlineStr">
        <is>
          <t>0111</t>
        </is>
      </c>
      <c r="B1861" s="14" t="inlineStr">
        <is>
          <t>Carpenter 1st class</t>
        </is>
      </c>
      <c r="C1861" s="13" t="inlineStr">
        <is>
          <t>day</t>
        </is>
      </c>
      <c r="D1861" s="15" t="n">
        <v>0.14</v>
      </c>
      <c r="E1861" s="16" t="n">
        <v>738</v>
      </c>
      <c r="F1861" s="16">
        <f>D1861*E1861</f>
        <v/>
      </c>
    </row>
    <row r="1862">
      <c r="A1862" s="13" t="inlineStr">
        <is>
          <t>0114</t>
        </is>
      </c>
      <c r="B1862" s="14" t="inlineStr">
        <is>
          <t>Beldar</t>
        </is>
      </c>
      <c r="C1862" s="13" t="inlineStr">
        <is>
          <t>day</t>
        </is>
      </c>
      <c r="D1862" s="15" t="n">
        <v>0.14</v>
      </c>
      <c r="E1862" s="16" t="n">
        <v>558</v>
      </c>
      <c r="F1862" s="16">
        <f>D1862*E1862</f>
        <v/>
      </c>
    </row>
    <row r="1863">
      <c r="A1863" s="17" t="inlineStr">
        <is>
          <t>Resource Total (Material + Labour + Machinery, as printed)</t>
        </is>
      </c>
      <c r="B1863" s="18" t="n"/>
      <c r="C1863" s="18" t="n"/>
      <c r="D1863" s="18" t="n"/>
      <c r="E1863" s="18" t="n"/>
      <c r="F1863" s="19">
        <f>SUM(F1858:F1862)</f>
        <v/>
      </c>
    </row>
    <row r="1864">
      <c r="A1864" s="20" t="inlineStr">
        <is>
          <t>SAY (Rs.) — final DAR rate</t>
        </is>
      </c>
      <c r="B1864" s="21" t="n"/>
      <c r="C1864" s="21" t="n"/>
      <c r="D1864" s="21" t="n"/>
      <c r="E1864" s="21" t="n"/>
      <c r="F1864" s="22" t="n">
        <v>392.4</v>
      </c>
    </row>
    <row r="1866" ht="18" customHeight="1">
      <c r="A1866" s="9" t="inlineStr">
        <is>
          <t>9.73.2</t>
        </is>
      </c>
      <c r="B1866" s="10" t="inlineStr">
        <is>
          <t>125x125x27x5 mm</t>
        </is>
      </c>
      <c r="C1866" s="11" t="n"/>
      <c r="D1866" s="11" t="n"/>
      <c r="E1866" s="11" t="n"/>
      <c r="F1866" s="11" t="n"/>
    </row>
    <row r="1867">
      <c r="A1867" s="12" t="inlineStr">
        <is>
          <t>Rate basis: per nos  (source: cost for 10 nos)</t>
        </is>
      </c>
    </row>
    <row r="1868">
      <c r="A1868" s="5" t="inlineStr">
        <is>
          <t>Code</t>
        </is>
      </c>
      <c r="B1868" s="5" t="inlineStr">
        <is>
          <t>Description</t>
        </is>
      </c>
      <c r="C1868" s="5" t="inlineStr">
        <is>
          <t>Unit</t>
        </is>
      </c>
      <c r="D1868" s="5" t="inlineStr">
        <is>
          <t>Quantity</t>
        </is>
      </c>
      <c r="E1868" s="5" t="inlineStr">
        <is>
          <t>Rate (Rs.)</t>
        </is>
      </c>
      <c r="F1868" s="5" t="inlineStr">
        <is>
          <t>Amount (Rs.)</t>
        </is>
      </c>
    </row>
    <row r="1869">
      <c r="A1869" s="13" t="inlineStr">
        <is>
          <t>0386</t>
        </is>
      </c>
      <c r="B1869" s="14" t="inlineStr">
        <is>
          <t>Brass parliamentary hinges 125x125x27x5 mm</t>
        </is>
      </c>
      <c r="C1869" s="13" t="inlineStr">
        <is>
          <t>10 Nos</t>
        </is>
      </c>
      <c r="D1869" s="15" t="n">
        <v>1</v>
      </c>
      <c r="E1869" s="16" t="n">
        <v>2300</v>
      </c>
      <c r="F1869" s="16">
        <f>D1869*E1869</f>
        <v/>
      </c>
    </row>
    <row r="1870">
      <c r="A1870" s="13" t="inlineStr">
        <is>
          <t>0450</t>
        </is>
      </c>
      <c r="B1870" s="14" t="inlineStr">
        <is>
          <t>Brass screws 40 mm</t>
        </is>
      </c>
      <c r="C1870" s="13" t="inlineStr">
        <is>
          <t>100 Nos</t>
        </is>
      </c>
      <c r="D1870" s="15" t="n">
        <v>0.8</v>
      </c>
      <c r="E1870" s="16" t="n">
        <v>170</v>
      </c>
      <c r="F1870" s="16">
        <f>D1870*E1870</f>
        <v/>
      </c>
    </row>
    <row r="1871">
      <c r="A1871" s="13" t="inlineStr">
        <is>
          <t>9977</t>
        </is>
      </c>
      <c r="B1871" s="14" t="inlineStr">
        <is>
          <t>Carriage of materials</t>
        </is>
      </c>
      <c r="C1871" s="13" t="inlineStr">
        <is>
          <t>L.S.</t>
        </is>
      </c>
      <c r="D1871" s="15" t="n">
        <v>2.73</v>
      </c>
      <c r="E1871" s="16" t="n">
        <v>2</v>
      </c>
      <c r="F1871" s="16">
        <f>D1871*E1871</f>
        <v/>
      </c>
    </row>
    <row r="1872">
      <c r="A1872" s="13" t="inlineStr">
        <is>
          <t>0111</t>
        </is>
      </c>
      <c r="B1872" s="14" t="inlineStr">
        <is>
          <t>Carpenter 1st class</t>
        </is>
      </c>
      <c r="C1872" s="13" t="inlineStr">
        <is>
          <t>day</t>
        </is>
      </c>
      <c r="D1872" s="15" t="n">
        <v>0.14</v>
      </c>
      <c r="E1872" s="16" t="n">
        <v>738</v>
      </c>
      <c r="F1872" s="16">
        <f>D1872*E1872</f>
        <v/>
      </c>
    </row>
    <row r="1873">
      <c r="A1873" s="13" t="inlineStr">
        <is>
          <t>0114</t>
        </is>
      </c>
      <c r="B1873" s="14" t="inlineStr">
        <is>
          <t>Beldar</t>
        </is>
      </c>
      <c r="C1873" s="13" t="inlineStr">
        <is>
          <t>day</t>
        </is>
      </c>
      <c r="D1873" s="15" t="n">
        <v>0.14</v>
      </c>
      <c r="E1873" s="16" t="n">
        <v>558</v>
      </c>
      <c r="F1873" s="16">
        <f>D1873*E1873</f>
        <v/>
      </c>
    </row>
    <row r="1874">
      <c r="A1874" s="17" t="inlineStr">
        <is>
          <t>Resource Total (Material + Labour + Machinery, as printed)</t>
        </is>
      </c>
      <c r="B1874" s="18" t="n"/>
      <c r="C1874" s="18" t="n"/>
      <c r="D1874" s="18" t="n"/>
      <c r="E1874" s="18" t="n"/>
      <c r="F1874" s="19">
        <f>SUM(F1869:F1873)</f>
        <v/>
      </c>
    </row>
    <row r="1875">
      <c r="A1875" s="20" t="inlineStr">
        <is>
          <t>SAY (Rs.) — final DAR rate</t>
        </is>
      </c>
      <c r="B1875" s="21" t="n"/>
      <c r="C1875" s="21" t="n"/>
      <c r="D1875" s="21" t="n"/>
      <c r="E1875" s="21" t="n"/>
      <c r="F1875" s="22" t="n">
        <v>350.95</v>
      </c>
    </row>
    <row r="1877" ht="18" customHeight="1">
      <c r="A1877" s="9" t="inlineStr">
        <is>
          <t>9.73.3</t>
        </is>
      </c>
      <c r="B1877" s="10" t="inlineStr">
        <is>
          <t>100x125x27x5 mm</t>
        </is>
      </c>
      <c r="C1877" s="11" t="n"/>
      <c r="D1877" s="11" t="n"/>
      <c r="E1877" s="11" t="n"/>
      <c r="F1877" s="11" t="n"/>
    </row>
    <row r="1878">
      <c r="A1878" s="12" t="inlineStr">
        <is>
          <t>Rate basis: per nos  (source: cost for 10 nos)</t>
        </is>
      </c>
    </row>
    <row r="1879">
      <c r="A1879" s="5" t="inlineStr">
        <is>
          <t>Code</t>
        </is>
      </c>
      <c r="B1879" s="5" t="inlineStr">
        <is>
          <t>Description</t>
        </is>
      </c>
      <c r="C1879" s="5" t="inlineStr">
        <is>
          <t>Unit</t>
        </is>
      </c>
      <c r="D1879" s="5" t="inlineStr">
        <is>
          <t>Quantity</t>
        </is>
      </c>
      <c r="E1879" s="5" t="inlineStr">
        <is>
          <t>Rate (Rs.)</t>
        </is>
      </c>
      <c r="F1879" s="5" t="inlineStr">
        <is>
          <t>Amount (Rs.)</t>
        </is>
      </c>
    </row>
    <row r="1880">
      <c r="A1880" s="13" t="inlineStr">
        <is>
          <t>0387</t>
        </is>
      </c>
      <c r="B1880" s="14" t="inlineStr">
        <is>
          <t>Brass parliamentary hinges 100x125x27x5 mm</t>
        </is>
      </c>
      <c r="C1880" s="13" t="inlineStr">
        <is>
          <t>10 Nos</t>
        </is>
      </c>
      <c r="D1880" s="15" t="n">
        <v>1</v>
      </c>
      <c r="E1880" s="16" t="n">
        <v>2090</v>
      </c>
      <c r="F1880" s="16">
        <f>D1880*E1880</f>
        <v/>
      </c>
    </row>
    <row r="1881">
      <c r="A1881" s="13" t="inlineStr">
        <is>
          <t>0450</t>
        </is>
      </c>
      <c r="B1881" s="14" t="inlineStr">
        <is>
          <t>Brass screws 40 mm</t>
        </is>
      </c>
      <c r="C1881" s="13" t="inlineStr">
        <is>
          <t>100 Nos</t>
        </is>
      </c>
      <c r="D1881" s="15" t="n">
        <v>0.8</v>
      </c>
      <c r="E1881" s="16" t="n">
        <v>170</v>
      </c>
      <c r="F1881" s="16">
        <f>D1881*E1881</f>
        <v/>
      </c>
    </row>
    <row r="1882">
      <c r="A1882" s="13" t="inlineStr">
        <is>
          <t>9977</t>
        </is>
      </c>
      <c r="B1882" s="14" t="inlineStr">
        <is>
          <t>Carriage of materials</t>
        </is>
      </c>
      <c r="C1882" s="13" t="inlineStr">
        <is>
          <t>L.S.</t>
        </is>
      </c>
      <c r="D1882" s="15" t="n">
        <v>2.73</v>
      </c>
      <c r="E1882" s="16" t="n">
        <v>2</v>
      </c>
      <c r="F1882" s="16">
        <f>D1882*E1882</f>
        <v/>
      </c>
    </row>
    <row r="1883">
      <c r="A1883" s="13" t="inlineStr">
        <is>
          <t>0111</t>
        </is>
      </c>
      <c r="B1883" s="14" t="inlineStr">
        <is>
          <t>Carpenter 1st class</t>
        </is>
      </c>
      <c r="C1883" s="13" t="inlineStr">
        <is>
          <t>day</t>
        </is>
      </c>
      <c r="D1883" s="15" t="n">
        <v>0.14</v>
      </c>
      <c r="E1883" s="16" t="n">
        <v>738</v>
      </c>
      <c r="F1883" s="16">
        <f>D1883*E1883</f>
        <v/>
      </c>
    </row>
    <row r="1884">
      <c r="A1884" s="13" t="inlineStr">
        <is>
          <t>0114</t>
        </is>
      </c>
      <c r="B1884" s="14" t="inlineStr">
        <is>
          <t>Beldar</t>
        </is>
      </c>
      <c r="C1884" s="13" t="inlineStr">
        <is>
          <t>day</t>
        </is>
      </c>
      <c r="D1884" s="15" t="n">
        <v>0.14</v>
      </c>
      <c r="E1884" s="16" t="n">
        <v>558</v>
      </c>
      <c r="F1884" s="16">
        <f>D1884*E1884</f>
        <v/>
      </c>
    </row>
    <row r="1885">
      <c r="A1885" s="17" t="inlineStr">
        <is>
          <t>Resource Total (Material + Labour + Machinery, as printed)</t>
        </is>
      </c>
      <c r="B1885" s="18" t="n"/>
      <c r="C1885" s="18" t="n"/>
      <c r="D1885" s="18" t="n"/>
      <c r="E1885" s="18" t="n"/>
      <c r="F1885" s="19">
        <f>SUM(F1880:F1884)</f>
        <v/>
      </c>
    </row>
    <row r="1886">
      <c r="A1886" s="20" t="inlineStr">
        <is>
          <t>SAY (Rs.) — final DAR rate</t>
        </is>
      </c>
      <c r="B1886" s="21" t="n"/>
      <c r="C1886" s="21" t="n"/>
      <c r="D1886" s="21" t="n"/>
      <c r="E1886" s="21" t="n"/>
      <c r="F1886" s="22" t="n">
        <v>322.85</v>
      </c>
    </row>
    <row r="1888" ht="18" customHeight="1">
      <c r="A1888" s="9" t="inlineStr">
        <is>
          <t>9.73.4</t>
        </is>
      </c>
      <c r="B1888" s="10" t="inlineStr">
        <is>
          <t>75x100x20x3.2 mm</t>
        </is>
      </c>
      <c r="C1888" s="11" t="n"/>
      <c r="D1888" s="11" t="n"/>
      <c r="E1888" s="11" t="n"/>
      <c r="F1888" s="11" t="n"/>
    </row>
    <row r="1889">
      <c r="A1889" s="12" t="inlineStr">
        <is>
          <t>Rate basis: per nos  (source: cost for 10 nos)</t>
        </is>
      </c>
    </row>
    <row r="1890">
      <c r="A1890" s="5" t="inlineStr">
        <is>
          <t>Code</t>
        </is>
      </c>
      <c r="B1890" s="5" t="inlineStr">
        <is>
          <t>Description</t>
        </is>
      </c>
      <c r="C1890" s="5" t="inlineStr">
        <is>
          <t>Unit</t>
        </is>
      </c>
      <c r="D1890" s="5" t="inlineStr">
        <is>
          <t>Quantity</t>
        </is>
      </c>
      <c r="E1890" s="5" t="inlineStr">
        <is>
          <t>Rate (Rs.)</t>
        </is>
      </c>
      <c r="F1890" s="5" t="inlineStr">
        <is>
          <t>Amount (Rs.)</t>
        </is>
      </c>
    </row>
    <row r="1891">
      <c r="A1891" s="13" t="inlineStr">
        <is>
          <t>0388</t>
        </is>
      </c>
      <c r="B1891" s="14" t="inlineStr">
        <is>
          <t>Brass parliamentary hinges 75x100x20x3.2 mm</t>
        </is>
      </c>
      <c r="C1891" s="13" t="inlineStr">
        <is>
          <t>10 Nos</t>
        </is>
      </c>
      <c r="D1891" s="15" t="n">
        <v>1</v>
      </c>
      <c r="E1891" s="16" t="n">
        <v>1870</v>
      </c>
      <c r="F1891" s="16">
        <f>D1891*E1891</f>
        <v/>
      </c>
    </row>
    <row r="1892">
      <c r="A1892" s="13" t="inlineStr">
        <is>
          <t>0451</t>
        </is>
      </c>
      <c r="B1892" s="14" t="inlineStr">
        <is>
          <t>Brass screws 30 mm</t>
        </is>
      </c>
      <c r="C1892" s="13" t="inlineStr">
        <is>
          <t>100 Nos</t>
        </is>
      </c>
      <c r="D1892" s="15" t="n">
        <v>0.6</v>
      </c>
      <c r="E1892" s="16" t="n">
        <v>140</v>
      </c>
      <c r="F1892" s="16">
        <f>D1892*E1892</f>
        <v/>
      </c>
    </row>
    <row r="1893">
      <c r="A1893" s="13" t="inlineStr">
        <is>
          <t>9977</t>
        </is>
      </c>
      <c r="B1893" s="14" t="inlineStr">
        <is>
          <t>Carriage of materials</t>
        </is>
      </c>
      <c r="C1893" s="13" t="inlineStr">
        <is>
          <t>L.S.</t>
        </is>
      </c>
      <c r="D1893" s="15" t="n">
        <v>2.73</v>
      </c>
      <c r="E1893" s="16" t="n">
        <v>2</v>
      </c>
      <c r="F1893" s="16">
        <f>D1893*E1893</f>
        <v/>
      </c>
    </row>
    <row r="1894">
      <c r="A1894" s="13" t="inlineStr">
        <is>
          <t>0111</t>
        </is>
      </c>
      <c r="B1894" s="14" t="inlineStr">
        <is>
          <t>Carpenter 1st class</t>
        </is>
      </c>
      <c r="C1894" s="13" t="inlineStr">
        <is>
          <t>day</t>
        </is>
      </c>
      <c r="D1894" s="15" t="n">
        <v>0.14</v>
      </c>
      <c r="E1894" s="16" t="n">
        <v>738</v>
      </c>
      <c r="F1894" s="16">
        <f>D1894*E1894</f>
        <v/>
      </c>
    </row>
    <row r="1895">
      <c r="A1895" s="13" t="inlineStr">
        <is>
          <t>0114</t>
        </is>
      </c>
      <c r="B1895" s="14" t="inlineStr">
        <is>
          <t>Beldar</t>
        </is>
      </c>
      <c r="C1895" s="13" t="inlineStr">
        <is>
          <t>day</t>
        </is>
      </c>
      <c r="D1895" s="15" t="n">
        <v>0.14</v>
      </c>
      <c r="E1895" s="16" t="n">
        <v>558</v>
      </c>
      <c r="F1895" s="16">
        <f>D1895*E1895</f>
        <v/>
      </c>
    </row>
    <row r="1896">
      <c r="A1896" s="17" t="inlineStr">
        <is>
          <t>Resource Total (Material + Labour + Machinery, as printed)</t>
        </is>
      </c>
      <c r="B1896" s="18" t="n"/>
      <c r="C1896" s="18" t="n"/>
      <c r="D1896" s="18" t="n"/>
      <c r="E1896" s="18" t="n"/>
      <c r="F1896" s="19">
        <f>SUM(F1891:F1895)</f>
        <v/>
      </c>
    </row>
    <row r="1897">
      <c r="A1897" s="20" t="inlineStr">
        <is>
          <t>SAY (Rs.) — final DAR rate</t>
        </is>
      </c>
      <c r="B1897" s="21" t="n"/>
      <c r="C1897" s="21" t="n"/>
      <c r="D1897" s="21" t="n"/>
      <c r="E1897" s="21" t="n"/>
      <c r="F1897" s="22" t="n">
        <v>286.45</v>
      </c>
    </row>
    <row r="1899" ht="18" customHeight="1">
      <c r="A1899" s="9" t="inlineStr">
        <is>
          <t>9.74.1</t>
        </is>
      </c>
      <c r="B1899" s="10" t="inlineStr">
        <is>
          <t>250x10 mm</t>
        </is>
      </c>
      <c r="C1899" s="11" t="n"/>
      <c r="D1899" s="11" t="n"/>
      <c r="E1899" s="11" t="n"/>
      <c r="F1899" s="11" t="n"/>
    </row>
    <row r="1900">
      <c r="A1900" s="12" t="inlineStr">
        <is>
          <t>Rate basis: per nos  (source: cost for 10 nos)</t>
        </is>
      </c>
    </row>
    <row r="1901">
      <c r="A1901" s="5" t="inlineStr">
        <is>
          <t>Code</t>
        </is>
      </c>
      <c r="B1901" s="5" t="inlineStr">
        <is>
          <t>Description</t>
        </is>
      </c>
      <c r="C1901" s="5" t="inlineStr">
        <is>
          <t>Unit</t>
        </is>
      </c>
      <c r="D1901" s="5" t="inlineStr">
        <is>
          <t>Quantity</t>
        </is>
      </c>
      <c r="E1901" s="5" t="inlineStr">
        <is>
          <t>Rate (Rs.)</t>
        </is>
      </c>
      <c r="F1901" s="5" t="inlineStr">
        <is>
          <t>Amount (Rs.)</t>
        </is>
      </c>
    </row>
    <row r="1902">
      <c r="A1902" s="13" t="inlineStr">
        <is>
          <t>0400</t>
        </is>
      </c>
      <c r="B1902" s="14" t="inlineStr">
        <is>
          <t>Brass tower bolt (barrel type) 250x10 mm</t>
        </is>
      </c>
      <c r="C1902" s="13" t="inlineStr">
        <is>
          <t>each</t>
        </is>
      </c>
      <c r="D1902" s="15" t="n">
        <v>10</v>
      </c>
      <c r="E1902" s="16" t="n">
        <v>257</v>
      </c>
      <c r="F1902" s="16">
        <f>D1902*E1902</f>
        <v/>
      </c>
    </row>
    <row r="1903">
      <c r="A1903" s="13" t="inlineStr">
        <is>
          <t>0451</t>
        </is>
      </c>
      <c r="B1903" s="14" t="inlineStr">
        <is>
          <t>Brass screws 30 mm</t>
        </is>
      </c>
      <c r="C1903" s="13" t="inlineStr">
        <is>
          <t>100 Nos</t>
        </is>
      </c>
      <c r="D1903" s="15" t="n">
        <v>1</v>
      </c>
      <c r="E1903" s="16" t="n">
        <v>140</v>
      </c>
      <c r="F1903" s="16">
        <f>D1903*E1903</f>
        <v/>
      </c>
    </row>
    <row r="1904">
      <c r="A1904" s="13" t="inlineStr">
        <is>
          <t>9977</t>
        </is>
      </c>
      <c r="B1904" s="14" t="inlineStr">
        <is>
          <t>Carriage of materials</t>
        </is>
      </c>
      <c r="C1904" s="13" t="inlineStr">
        <is>
          <t>L.S.</t>
        </is>
      </c>
      <c r="D1904" s="15" t="n">
        <v>4.55</v>
      </c>
      <c r="E1904" s="16" t="n">
        <v>2</v>
      </c>
      <c r="F1904" s="16">
        <f>D1904*E1904</f>
        <v/>
      </c>
    </row>
    <row r="1905">
      <c r="A1905" s="13" t="inlineStr">
        <is>
          <t>0111</t>
        </is>
      </c>
      <c r="B1905" s="14" t="inlineStr">
        <is>
          <t>Carpenter 1st class</t>
        </is>
      </c>
      <c r="C1905" s="13" t="inlineStr">
        <is>
          <t>day</t>
        </is>
      </c>
      <c r="D1905" s="15" t="n">
        <v>0.1</v>
      </c>
      <c r="E1905" s="16" t="n">
        <v>738</v>
      </c>
      <c r="F1905" s="16">
        <f>D1905*E1905</f>
        <v/>
      </c>
    </row>
    <row r="1906">
      <c r="A1906" s="17" t="inlineStr">
        <is>
          <t>Resource Total (Material + Labour + Machinery, as printed)</t>
        </is>
      </c>
      <c r="B1906" s="18" t="n"/>
      <c r="C1906" s="18" t="n"/>
      <c r="D1906" s="18" t="n"/>
      <c r="E1906" s="18" t="n"/>
      <c r="F1906" s="19">
        <f>SUM(F1902:F1905)</f>
        <v/>
      </c>
    </row>
    <row r="1907">
      <c r="A1907" s="20" t="inlineStr">
        <is>
          <t>SAY (Rs.) — final DAR rate</t>
        </is>
      </c>
      <c r="B1907" s="21" t="n"/>
      <c r="C1907" s="21" t="n"/>
      <c r="D1907" s="21" t="n"/>
      <c r="E1907" s="21" t="n"/>
      <c r="F1907" s="22" t="n">
        <v>373.65</v>
      </c>
    </row>
    <row r="1909" ht="18" customHeight="1">
      <c r="A1909" s="9" t="inlineStr">
        <is>
          <t>9.74.2</t>
        </is>
      </c>
      <c r="B1909" s="10" t="inlineStr">
        <is>
          <t>200x10 mm</t>
        </is>
      </c>
      <c r="C1909" s="11" t="n"/>
      <c r="D1909" s="11" t="n"/>
      <c r="E1909" s="11" t="n"/>
      <c r="F1909" s="11" t="n"/>
    </row>
    <row r="1910">
      <c r="A1910" s="12" t="inlineStr">
        <is>
          <t>Rate basis: per nos  (source: cost for 10 nos)</t>
        </is>
      </c>
    </row>
    <row r="1911">
      <c r="A1911" s="5" t="inlineStr">
        <is>
          <t>Code</t>
        </is>
      </c>
      <c r="B1911" s="5" t="inlineStr">
        <is>
          <t>Description</t>
        </is>
      </c>
      <c r="C1911" s="5" t="inlineStr">
        <is>
          <t>Unit</t>
        </is>
      </c>
      <c r="D1911" s="5" t="inlineStr">
        <is>
          <t>Quantity</t>
        </is>
      </c>
      <c r="E1911" s="5" t="inlineStr">
        <is>
          <t>Rate (Rs.)</t>
        </is>
      </c>
      <c r="F1911" s="5" t="inlineStr">
        <is>
          <t>Amount (Rs.)</t>
        </is>
      </c>
    </row>
    <row r="1912">
      <c r="A1912" s="13" t="inlineStr">
        <is>
          <t>0401</t>
        </is>
      </c>
      <c r="B1912" s="14" t="inlineStr">
        <is>
          <t>Brass tower bolt (barrel type) 200x10 mm</t>
        </is>
      </c>
      <c r="C1912" s="13" t="inlineStr">
        <is>
          <t>each</t>
        </is>
      </c>
      <c r="D1912" s="15" t="n">
        <v>10</v>
      </c>
      <c r="E1912" s="16" t="n">
        <v>205</v>
      </c>
      <c r="F1912" s="16">
        <f>D1912*E1912</f>
        <v/>
      </c>
    </row>
    <row r="1913">
      <c r="A1913" s="13" t="inlineStr">
        <is>
          <t>0451</t>
        </is>
      </c>
      <c r="B1913" s="14" t="inlineStr">
        <is>
          <t>Brass screws 30 mm</t>
        </is>
      </c>
      <c r="C1913" s="13" t="inlineStr">
        <is>
          <t>100 Nos</t>
        </is>
      </c>
      <c r="D1913" s="15" t="n">
        <v>0.8</v>
      </c>
      <c r="E1913" s="16" t="n">
        <v>140</v>
      </c>
      <c r="F1913" s="16">
        <f>D1913*E1913</f>
        <v/>
      </c>
    </row>
    <row r="1914">
      <c r="A1914" s="13" t="inlineStr">
        <is>
          <t>9977</t>
        </is>
      </c>
      <c r="B1914" s="14" t="inlineStr">
        <is>
          <t>Carriage of materials</t>
        </is>
      </c>
      <c r="C1914" s="13" t="inlineStr">
        <is>
          <t>L.S.</t>
        </is>
      </c>
      <c r="D1914" s="15" t="n">
        <v>2.73</v>
      </c>
      <c r="E1914" s="16" t="n">
        <v>2</v>
      </c>
      <c r="F1914" s="16">
        <f>D1914*E1914</f>
        <v/>
      </c>
    </row>
    <row r="1915">
      <c r="A1915" s="13" t="inlineStr">
        <is>
          <t>0111</t>
        </is>
      </c>
      <c r="B1915" s="14" t="inlineStr">
        <is>
          <t>Carpenter 1st class</t>
        </is>
      </c>
      <c r="C1915" s="13" t="inlineStr">
        <is>
          <t>day</t>
        </is>
      </c>
      <c r="D1915" s="15" t="n">
        <v>0.1</v>
      </c>
      <c r="E1915" s="16" t="n">
        <v>738</v>
      </c>
      <c r="F1915" s="16">
        <f>D1915*E1915</f>
        <v/>
      </c>
    </row>
    <row r="1916">
      <c r="A1916" s="17" t="inlineStr">
        <is>
          <t>Resource Total (Material + Labour + Machinery, as printed)</t>
        </is>
      </c>
      <c r="B1916" s="18" t="n"/>
      <c r="C1916" s="18" t="n"/>
      <c r="D1916" s="18" t="n"/>
      <c r="E1916" s="18" t="n"/>
      <c r="F1916" s="19">
        <f>SUM(F1912:F1915)</f>
        <v/>
      </c>
    </row>
    <row r="1917">
      <c r="A1917" s="20" t="inlineStr">
        <is>
          <t>SAY (Rs.) — final DAR rate</t>
        </is>
      </c>
      <c r="B1917" s="21" t="n"/>
      <c r="C1917" s="21" t="n"/>
      <c r="D1917" s="21" t="n"/>
      <c r="E1917" s="21" t="n"/>
      <c r="F1917" s="22" t="n">
        <v>299.85</v>
      </c>
    </row>
    <row r="1919" ht="18" customHeight="1">
      <c r="A1919" s="9" t="inlineStr">
        <is>
          <t>9.74.3</t>
        </is>
      </c>
      <c r="B1919" s="10" t="inlineStr">
        <is>
          <t>150x10 mm</t>
        </is>
      </c>
      <c r="C1919" s="11" t="n"/>
      <c r="D1919" s="11" t="n"/>
      <c r="E1919" s="11" t="n"/>
      <c r="F1919" s="11" t="n"/>
    </row>
    <row r="1920">
      <c r="A1920" s="12" t="inlineStr">
        <is>
          <t>Rate basis: per nos  (source: cost for 10 nos)</t>
        </is>
      </c>
    </row>
    <row r="1921">
      <c r="A1921" s="5" t="inlineStr">
        <is>
          <t>Code</t>
        </is>
      </c>
      <c r="B1921" s="5" t="inlineStr">
        <is>
          <t>Description</t>
        </is>
      </c>
      <c r="C1921" s="5" t="inlineStr">
        <is>
          <t>Unit</t>
        </is>
      </c>
      <c r="D1921" s="5" t="inlineStr">
        <is>
          <t>Quantity</t>
        </is>
      </c>
      <c r="E1921" s="5" t="inlineStr">
        <is>
          <t>Rate (Rs.)</t>
        </is>
      </c>
      <c r="F1921" s="5" t="inlineStr">
        <is>
          <t>Amount (Rs.)</t>
        </is>
      </c>
    </row>
    <row r="1922">
      <c r="A1922" s="13" t="inlineStr">
        <is>
          <t>0402</t>
        </is>
      </c>
      <c r="B1922" s="14" t="inlineStr">
        <is>
          <t>Brass tower bolt (barrel type) 150x10 mm</t>
        </is>
      </c>
      <c r="C1922" s="13" t="inlineStr">
        <is>
          <t>each</t>
        </is>
      </c>
      <c r="D1922" s="15" t="n">
        <v>10</v>
      </c>
      <c r="E1922" s="16" t="n">
        <v>154</v>
      </c>
      <c r="F1922" s="16">
        <f>D1922*E1922</f>
        <v/>
      </c>
    </row>
    <row r="1923">
      <c r="A1923" s="13" t="inlineStr">
        <is>
          <t>0451</t>
        </is>
      </c>
      <c r="B1923" s="14" t="inlineStr">
        <is>
          <t>Brass screws 30 mm</t>
        </is>
      </c>
      <c r="C1923" s="13" t="inlineStr">
        <is>
          <t>100 Nos</t>
        </is>
      </c>
      <c r="D1923" s="15" t="n">
        <v>0.8</v>
      </c>
      <c r="E1923" s="16" t="n">
        <v>140</v>
      </c>
      <c r="F1923" s="16">
        <f>D1923*E1923</f>
        <v/>
      </c>
    </row>
    <row r="1924">
      <c r="A1924" s="13" t="inlineStr">
        <is>
          <t>9977</t>
        </is>
      </c>
      <c r="B1924" s="14" t="inlineStr">
        <is>
          <t>Carriage of materials</t>
        </is>
      </c>
      <c r="C1924" s="13" t="inlineStr">
        <is>
          <t>L.S.</t>
        </is>
      </c>
      <c r="D1924" s="15" t="n">
        <v>2.73</v>
      </c>
      <c r="E1924" s="16" t="n">
        <v>2</v>
      </c>
      <c r="F1924" s="16">
        <f>D1924*E1924</f>
        <v/>
      </c>
    </row>
    <row r="1925">
      <c r="A1925" s="13" t="inlineStr">
        <is>
          <t>0111</t>
        </is>
      </c>
      <c r="B1925" s="14" t="inlineStr">
        <is>
          <t>Carpenter 1st class</t>
        </is>
      </c>
      <c r="C1925" s="13" t="inlineStr">
        <is>
          <t>day</t>
        </is>
      </c>
      <c r="D1925" s="15" t="n">
        <v>0.1</v>
      </c>
      <c r="E1925" s="16" t="n">
        <v>738</v>
      </c>
      <c r="F1925" s="16">
        <f>D1925*E1925</f>
        <v/>
      </c>
    </row>
    <row r="1926">
      <c r="A1926" s="17" t="inlineStr">
        <is>
          <t>Resource Total (Material + Labour + Machinery, as printed)</t>
        </is>
      </c>
      <c r="B1926" s="18" t="n"/>
      <c r="C1926" s="18" t="n"/>
      <c r="D1926" s="18" t="n"/>
      <c r="E1926" s="18" t="n"/>
      <c r="F1926" s="19">
        <f>SUM(F1922:F1925)</f>
        <v/>
      </c>
    </row>
    <row r="1927">
      <c r="A1927" s="20" t="inlineStr">
        <is>
          <t>SAY (Rs.) — final DAR rate</t>
        </is>
      </c>
      <c r="B1927" s="21" t="n"/>
      <c r="C1927" s="21" t="n"/>
      <c r="D1927" s="21" t="n"/>
      <c r="E1927" s="21" t="n"/>
      <c r="F1927" s="22" t="n">
        <v>231.65</v>
      </c>
    </row>
    <row r="1929" ht="18" customHeight="1">
      <c r="A1929" s="9" t="inlineStr">
        <is>
          <t>9.74.4</t>
        </is>
      </c>
      <c r="B1929" s="10" t="inlineStr">
        <is>
          <t>100x10 mm</t>
        </is>
      </c>
      <c r="C1929" s="11" t="n"/>
      <c r="D1929" s="11" t="n"/>
      <c r="E1929" s="11" t="n"/>
      <c r="F1929" s="11" t="n"/>
    </row>
    <row r="1930">
      <c r="A1930" s="12" t="inlineStr">
        <is>
          <t>Rate basis: per nos  (source: cost for 10 nos)</t>
        </is>
      </c>
    </row>
    <row r="1931">
      <c r="A1931" s="5" t="inlineStr">
        <is>
          <t>Code</t>
        </is>
      </c>
      <c r="B1931" s="5" t="inlineStr">
        <is>
          <t>Description</t>
        </is>
      </c>
      <c r="C1931" s="5" t="inlineStr">
        <is>
          <t>Unit</t>
        </is>
      </c>
      <c r="D1931" s="5" t="inlineStr">
        <is>
          <t>Quantity</t>
        </is>
      </c>
      <c r="E1931" s="5" t="inlineStr">
        <is>
          <t>Rate (Rs.)</t>
        </is>
      </c>
      <c r="F1931" s="5" t="inlineStr">
        <is>
          <t>Amount (Rs.)</t>
        </is>
      </c>
    </row>
    <row r="1932">
      <c r="A1932" s="13" t="inlineStr">
        <is>
          <t>0403</t>
        </is>
      </c>
      <c r="B1932" s="14" t="inlineStr">
        <is>
          <t>Brass tower bolt (barrel type) 100x10 mm</t>
        </is>
      </c>
      <c r="C1932" s="13" t="inlineStr">
        <is>
          <t>each</t>
        </is>
      </c>
      <c r="D1932" s="15" t="n">
        <v>10</v>
      </c>
      <c r="E1932" s="16" t="n">
        <v>103</v>
      </c>
      <c r="F1932" s="16">
        <f>D1932*E1932</f>
        <v/>
      </c>
    </row>
    <row r="1933">
      <c r="A1933" s="13" t="inlineStr">
        <is>
          <t>0451</t>
        </is>
      </c>
      <c r="B1933" s="14" t="inlineStr">
        <is>
          <t>Brass screws 30 mm</t>
        </is>
      </c>
      <c r="C1933" s="13" t="inlineStr">
        <is>
          <t>100 Nos</t>
        </is>
      </c>
      <c r="D1933" s="15" t="n">
        <v>0.6</v>
      </c>
      <c r="E1933" s="16" t="n">
        <v>140</v>
      </c>
      <c r="F1933" s="16">
        <f>D1933*E1933</f>
        <v/>
      </c>
    </row>
    <row r="1934">
      <c r="A1934" s="13" t="inlineStr">
        <is>
          <t>9977</t>
        </is>
      </c>
      <c r="B1934" s="14" t="inlineStr">
        <is>
          <t>Carriage of materials</t>
        </is>
      </c>
      <c r="C1934" s="13" t="inlineStr">
        <is>
          <t>L.S.</t>
        </is>
      </c>
      <c r="D1934" s="15" t="n">
        <v>2.73</v>
      </c>
      <c r="E1934" s="16" t="n">
        <v>2</v>
      </c>
      <c r="F1934" s="16">
        <f>D1934*E1934</f>
        <v/>
      </c>
    </row>
    <row r="1935">
      <c r="A1935" s="13" t="inlineStr">
        <is>
          <t>0111</t>
        </is>
      </c>
      <c r="B1935" s="14" t="inlineStr">
        <is>
          <t>Carpenter 1st class</t>
        </is>
      </c>
      <c r="C1935" s="13" t="inlineStr">
        <is>
          <t>day</t>
        </is>
      </c>
      <c r="D1935" s="15" t="n">
        <v>0.1</v>
      </c>
      <c r="E1935" s="16" t="n">
        <v>738</v>
      </c>
      <c r="F1935" s="16">
        <f>D1935*E1935</f>
        <v/>
      </c>
    </row>
    <row r="1936">
      <c r="A1936" s="17" t="inlineStr">
        <is>
          <t>Resource Total (Material + Labour + Machinery, as printed)</t>
        </is>
      </c>
      <c r="B1936" s="18" t="n"/>
      <c r="C1936" s="18" t="n"/>
      <c r="D1936" s="18" t="n"/>
      <c r="E1936" s="18" t="n"/>
      <c r="F1936" s="19">
        <f>SUM(F1932:F1935)</f>
        <v/>
      </c>
    </row>
    <row r="1937">
      <c r="A1937" s="20" t="inlineStr">
        <is>
          <t>SAY (Rs.) — final DAR rate</t>
        </is>
      </c>
      <c r="B1937" s="21" t="n"/>
      <c r="C1937" s="21" t="n"/>
      <c r="D1937" s="21" t="n"/>
      <c r="E1937" s="21" t="n"/>
      <c r="F1937" s="22" t="n">
        <v>159.65</v>
      </c>
    </row>
    <row r="1939" ht="18" customHeight="1">
      <c r="A1939" s="9" t="inlineStr">
        <is>
          <t>9.75.1</t>
        </is>
      </c>
      <c r="B1939" s="10" t="inlineStr">
        <is>
          <t>300x16x5 mm</t>
        </is>
      </c>
      <c r="C1939" s="11" t="n"/>
      <c r="D1939" s="11" t="n"/>
      <c r="E1939" s="11" t="n"/>
      <c r="F1939" s="11" t="n"/>
    </row>
    <row r="1940">
      <c r="A1940" s="12" t="inlineStr">
        <is>
          <t>Rate basis: per nos  (source: cost for 10 nos)</t>
        </is>
      </c>
    </row>
    <row r="1941">
      <c r="A1941" s="5" t="inlineStr">
        <is>
          <t>Code</t>
        </is>
      </c>
      <c r="B1941" s="5" t="inlineStr">
        <is>
          <t>Description</t>
        </is>
      </c>
      <c r="C1941" s="5" t="inlineStr">
        <is>
          <t>Unit</t>
        </is>
      </c>
      <c r="D1941" s="5" t="inlineStr">
        <is>
          <t>Quantity</t>
        </is>
      </c>
      <c r="E1941" s="5" t="inlineStr">
        <is>
          <t>Rate (Rs.)</t>
        </is>
      </c>
      <c r="F1941" s="5" t="inlineStr">
        <is>
          <t>Amount (Rs.)</t>
        </is>
      </c>
    </row>
    <row r="1942">
      <c r="A1942" s="13" t="inlineStr">
        <is>
          <t>0411</t>
        </is>
      </c>
      <c r="B1942" s="14" t="inlineStr">
        <is>
          <t>Brass door latch 300x16x5 mm (0.380 kg)</t>
        </is>
      </c>
      <c r="C1942" s="13" t="inlineStr">
        <is>
          <t>each</t>
        </is>
      </c>
      <c r="D1942" s="15" t="n">
        <v>10</v>
      </c>
      <c r="E1942" s="16" t="n">
        <v>185</v>
      </c>
      <c r="F1942" s="16">
        <f>D1942*E1942</f>
        <v/>
      </c>
    </row>
    <row r="1943">
      <c r="A1943" s="13" t="inlineStr">
        <is>
          <t>0452</t>
        </is>
      </c>
      <c r="B1943" s="14" t="inlineStr">
        <is>
          <t>Brass screws 25 mm</t>
        </is>
      </c>
      <c r="C1943" s="13" t="inlineStr">
        <is>
          <t>100 Nos</t>
        </is>
      </c>
      <c r="D1943" s="15" t="n">
        <v>0.9</v>
      </c>
      <c r="E1943" s="16" t="n">
        <v>100</v>
      </c>
      <c r="F1943" s="16">
        <f>D1943*E1943</f>
        <v/>
      </c>
    </row>
    <row r="1944">
      <c r="A1944" s="13" t="inlineStr">
        <is>
          <t>9977</t>
        </is>
      </c>
      <c r="B1944" s="14" t="inlineStr">
        <is>
          <t>Carriage of materials</t>
        </is>
      </c>
      <c r="C1944" s="13" t="inlineStr">
        <is>
          <t>L.S.</t>
        </is>
      </c>
      <c r="D1944" s="15" t="n">
        <v>3.64</v>
      </c>
      <c r="E1944" s="16" t="n">
        <v>2</v>
      </c>
      <c r="F1944" s="16">
        <f>D1944*E1944</f>
        <v/>
      </c>
    </row>
    <row r="1945">
      <c r="A1945" s="13" t="inlineStr">
        <is>
          <t>0111</t>
        </is>
      </c>
      <c r="B1945" s="14" t="inlineStr">
        <is>
          <t>Carpenter 1st class</t>
        </is>
      </c>
      <c r="C1945" s="13" t="inlineStr">
        <is>
          <t>day</t>
        </is>
      </c>
      <c r="D1945" s="15" t="n">
        <v>0.12</v>
      </c>
      <c r="E1945" s="16" t="n">
        <v>738</v>
      </c>
      <c r="F1945" s="16">
        <f>D1945*E1945</f>
        <v/>
      </c>
    </row>
    <row r="1946">
      <c r="A1946" s="17" t="inlineStr">
        <is>
          <t>Resource Total (Material + Labour + Machinery, as printed)</t>
        </is>
      </c>
      <c r="B1946" s="18" t="n"/>
      <c r="C1946" s="18" t="n"/>
      <c r="D1946" s="18" t="n"/>
      <c r="E1946" s="18" t="n"/>
      <c r="F1946" s="19">
        <f>SUM(F1942:F1945)</f>
        <v/>
      </c>
    </row>
    <row r="1947">
      <c r="A1947" s="20" t="inlineStr">
        <is>
          <t>SAY (Rs.) — final DAR rate</t>
        </is>
      </c>
      <c r="B1947" s="21" t="n"/>
      <c r="C1947" s="21" t="n"/>
      <c r="D1947" s="21" t="n"/>
      <c r="E1947" s="21" t="n"/>
      <c r="F1947" s="22" t="n">
        <v>272.4</v>
      </c>
    </row>
    <row r="1949" ht="18" customHeight="1">
      <c r="A1949" s="9" t="inlineStr">
        <is>
          <t>9.75.2</t>
        </is>
      </c>
      <c r="B1949" s="10" t="inlineStr">
        <is>
          <t>250x16x5 mm</t>
        </is>
      </c>
      <c r="C1949" s="11" t="n"/>
      <c r="D1949" s="11" t="n"/>
      <c r="E1949" s="11" t="n"/>
      <c r="F1949" s="11" t="n"/>
    </row>
    <row r="1950">
      <c r="A1950" s="12" t="inlineStr">
        <is>
          <t>Rate basis: per nos  (source: cost for 10 nos)</t>
        </is>
      </c>
    </row>
    <row r="1951">
      <c r="A1951" s="5" t="inlineStr">
        <is>
          <t>Code</t>
        </is>
      </c>
      <c r="B1951" s="5" t="inlineStr">
        <is>
          <t>Description</t>
        </is>
      </c>
      <c r="C1951" s="5" t="inlineStr">
        <is>
          <t>Unit</t>
        </is>
      </c>
      <c r="D1951" s="5" t="inlineStr">
        <is>
          <t>Quantity</t>
        </is>
      </c>
      <c r="E1951" s="5" t="inlineStr">
        <is>
          <t>Rate (Rs.)</t>
        </is>
      </c>
      <c r="F1951" s="5" t="inlineStr">
        <is>
          <t>Amount (Rs.)</t>
        </is>
      </c>
    </row>
    <row r="1952">
      <c r="A1952" s="13" t="inlineStr">
        <is>
          <t>0412</t>
        </is>
      </c>
      <c r="B1952" s="14" t="inlineStr">
        <is>
          <t>Brass door latch 250x16x5 mm (0.350 kg)</t>
        </is>
      </c>
      <c r="C1952" s="13" t="inlineStr">
        <is>
          <t>each</t>
        </is>
      </c>
      <c r="D1952" s="15" t="n">
        <v>10</v>
      </c>
      <c r="E1952" s="16" t="n">
        <v>175</v>
      </c>
      <c r="F1952" s="16">
        <f>D1952*E1952</f>
        <v/>
      </c>
    </row>
    <row r="1953">
      <c r="A1953" s="13" t="inlineStr">
        <is>
          <t>0452</t>
        </is>
      </c>
      <c r="B1953" s="14" t="inlineStr">
        <is>
          <t>Brass screws 25 mm</t>
        </is>
      </c>
      <c r="C1953" s="13" t="inlineStr">
        <is>
          <t>100 Nos</t>
        </is>
      </c>
      <c r="D1953" s="15" t="n">
        <v>0.9</v>
      </c>
      <c r="E1953" s="16" t="n">
        <v>100</v>
      </c>
      <c r="F1953" s="16">
        <f>D1953*E1953</f>
        <v/>
      </c>
    </row>
    <row r="1954">
      <c r="A1954" s="13" t="inlineStr">
        <is>
          <t>9977</t>
        </is>
      </c>
      <c r="B1954" s="14" t="inlineStr">
        <is>
          <t>Carriage of materials</t>
        </is>
      </c>
      <c r="C1954" s="13" t="inlineStr">
        <is>
          <t>L.S.</t>
        </is>
      </c>
      <c r="D1954" s="15" t="n">
        <v>3.64</v>
      </c>
      <c r="E1954" s="16" t="n">
        <v>2</v>
      </c>
      <c r="F1954" s="16">
        <f>D1954*E1954</f>
        <v/>
      </c>
    </row>
    <row r="1955">
      <c r="A1955" s="13" t="inlineStr">
        <is>
          <t>0111</t>
        </is>
      </c>
      <c r="B1955" s="14" t="inlineStr">
        <is>
          <t>Carpenter 1st class</t>
        </is>
      </c>
      <c r="C1955" s="13" t="inlineStr">
        <is>
          <t>day</t>
        </is>
      </c>
      <c r="D1955" s="15" t="n">
        <v>0.12</v>
      </c>
      <c r="E1955" s="16" t="n">
        <v>738</v>
      </c>
      <c r="F1955" s="16">
        <f>D1955*E1955</f>
        <v/>
      </c>
    </row>
    <row r="1956">
      <c r="A1956" s="17" t="inlineStr">
        <is>
          <t>Resource Total (Material + Labour + Machinery, as printed)</t>
        </is>
      </c>
      <c r="B1956" s="18" t="n"/>
      <c r="C1956" s="18" t="n"/>
      <c r="D1956" s="18" t="n"/>
      <c r="E1956" s="18" t="n"/>
      <c r="F1956" s="19">
        <f>SUM(F1952:F1955)</f>
        <v/>
      </c>
    </row>
    <row r="1957">
      <c r="A1957" s="20" t="inlineStr">
        <is>
          <t>SAY (Rs.) — final DAR rate</t>
        </is>
      </c>
      <c r="B1957" s="21" t="n"/>
      <c r="C1957" s="21" t="n"/>
      <c r="D1957" s="21" t="n"/>
      <c r="E1957" s="21" t="n"/>
      <c r="F1957" s="22" t="n">
        <v>259</v>
      </c>
    </row>
    <row r="1959" ht="28" customHeight="1">
      <c r="A1959" s="9" t="inlineStr">
        <is>
          <t>9.76</t>
        </is>
      </c>
      <c r="B1959" s="10" t="inlineStr">
        <is>
          <t xml:space="preserve">Providing and fixing bright finished brass 100 mm mortice latch and lock with 6 levers and a pair of lever handles of approved quality with </t>
        </is>
      </c>
      <c r="C1959" s="11" t="n"/>
      <c r="D1959" s="11" t="n"/>
      <c r="E1959" s="11" t="n"/>
      <c r="F1959" s="11" t="n"/>
    </row>
    <row r="1960">
      <c r="A1960" s="12" t="inlineStr">
        <is>
          <t>Rate basis: per nos  (source: cost for 1 nos)</t>
        </is>
      </c>
    </row>
    <row r="1961">
      <c r="A1961" s="5" t="inlineStr">
        <is>
          <t>Code</t>
        </is>
      </c>
      <c r="B1961" s="5" t="inlineStr">
        <is>
          <t>Description</t>
        </is>
      </c>
      <c r="C1961" s="5" t="inlineStr">
        <is>
          <t>Unit</t>
        </is>
      </c>
      <c r="D1961" s="5" t="inlineStr">
        <is>
          <t>Quantity</t>
        </is>
      </c>
      <c r="E1961" s="5" t="inlineStr">
        <is>
          <t>Rate (Rs.)</t>
        </is>
      </c>
      <c r="F1961" s="5" t="inlineStr">
        <is>
          <t>Amount (Rs.)</t>
        </is>
      </c>
    </row>
    <row r="1962">
      <c r="A1962" s="13" t="inlineStr">
        <is>
          <t>0413</t>
        </is>
      </c>
      <c r="B1962" s="14" t="inlineStr">
        <is>
          <t>Brass mortice latch and lock 100x65 mm with 6 levers and a pair of brass lever handles</t>
        </is>
      </c>
      <c r="C1962" s="13" t="inlineStr">
        <is>
          <t>each</t>
        </is>
      </c>
      <c r="D1962" s="15" t="n">
        <v>1</v>
      </c>
      <c r="E1962" s="16" t="n">
        <v>400</v>
      </c>
      <c r="F1962" s="16">
        <f>D1962*E1962</f>
        <v/>
      </c>
    </row>
    <row r="1963">
      <c r="A1963" s="13" t="inlineStr">
        <is>
          <t>0111</t>
        </is>
      </c>
      <c r="B1963" s="14" t="inlineStr">
        <is>
          <t>Carpenter 1st class</t>
        </is>
      </c>
      <c r="C1963" s="13" t="inlineStr">
        <is>
          <t>day</t>
        </is>
      </c>
      <c r="D1963" s="15" t="n">
        <v>0.17</v>
      </c>
      <c r="E1963" s="16" t="n">
        <v>738</v>
      </c>
      <c r="F1963" s="16">
        <f>D1963*E1963</f>
        <v/>
      </c>
    </row>
    <row r="1964">
      <c r="A1964" s="13" t="inlineStr">
        <is>
          <t>9999</t>
        </is>
      </c>
      <c r="B1964" s="14" t="inlineStr">
        <is>
          <t>Sundries (screws, carriage etc.)</t>
        </is>
      </c>
      <c r="C1964" s="13" t="inlineStr">
        <is>
          <t>L.S.</t>
        </is>
      </c>
      <c r="D1964" s="15" t="n">
        <v>3.64</v>
      </c>
      <c r="E1964" s="16" t="n">
        <v>2</v>
      </c>
      <c r="F1964" s="16">
        <f>D1964*E1964</f>
        <v/>
      </c>
    </row>
    <row r="1965">
      <c r="A1965" s="17" t="inlineStr">
        <is>
          <t>Resource Total (Material + Labour + Machinery, as printed)</t>
        </is>
      </c>
      <c r="B1965" s="18" t="n"/>
      <c r="C1965" s="18" t="n"/>
      <c r="D1965" s="18" t="n"/>
      <c r="E1965" s="18" t="n"/>
      <c r="F1965" s="19">
        <f>SUM(F1962:F1964)</f>
        <v/>
      </c>
    </row>
    <row r="1966">
      <c r="A1966" s="20" t="inlineStr">
        <is>
          <t>SAY (Rs.) — final DAR rate</t>
        </is>
      </c>
      <c r="B1966" s="21" t="n"/>
      <c r="C1966" s="21" t="n"/>
      <c r="D1966" s="21" t="n"/>
      <c r="E1966" s="21" t="n"/>
      <c r="F1966" s="22" t="n">
        <v>712.75</v>
      </c>
    </row>
    <row r="1968" ht="28" customHeight="1">
      <c r="A1968" s="9" t="inlineStr">
        <is>
          <t>9.77</t>
        </is>
      </c>
      <c r="B1968" s="10" t="inlineStr">
        <is>
          <t>Providing and fixing bright finished brass 100 mm mortice latch with one dead bolt and a pair of lever handles of approved quality with nece</t>
        </is>
      </c>
      <c r="C1968" s="11" t="n"/>
      <c r="D1968" s="11" t="n"/>
      <c r="E1968" s="11" t="n"/>
      <c r="F1968" s="11" t="n"/>
    </row>
    <row r="1969">
      <c r="A1969" s="12" t="inlineStr">
        <is>
          <t>Rate basis: per nos  (source: cost for 1 nos)</t>
        </is>
      </c>
    </row>
    <row r="1970">
      <c r="A1970" s="5" t="inlineStr">
        <is>
          <t>Code</t>
        </is>
      </c>
      <c r="B1970" s="5" t="inlineStr">
        <is>
          <t>Description</t>
        </is>
      </c>
      <c r="C1970" s="5" t="inlineStr">
        <is>
          <t>Unit</t>
        </is>
      </c>
      <c r="D1970" s="5" t="inlineStr">
        <is>
          <t>Quantity</t>
        </is>
      </c>
      <c r="E1970" s="5" t="inlineStr">
        <is>
          <t>Rate (Rs.)</t>
        </is>
      </c>
      <c r="F1970" s="5" t="inlineStr">
        <is>
          <t>Amount (Rs.)</t>
        </is>
      </c>
    </row>
    <row r="1971">
      <c r="A1971" s="13" t="inlineStr">
        <is>
          <t>0414</t>
        </is>
      </c>
      <c r="B1971" s="14" t="inlineStr">
        <is>
          <t>Brass mortice latch 100x65mm with a pair of brass lever handles</t>
        </is>
      </c>
      <c r="C1971" s="13" t="inlineStr">
        <is>
          <t>each</t>
        </is>
      </c>
      <c r="D1971" s="15" t="n">
        <v>1</v>
      </c>
      <c r="E1971" s="16" t="n">
        <v>310</v>
      </c>
      <c r="F1971" s="16">
        <f>D1971*E1971</f>
        <v/>
      </c>
    </row>
    <row r="1972">
      <c r="A1972" s="13" t="inlineStr">
        <is>
          <t>0111</t>
        </is>
      </c>
      <c r="B1972" s="14" t="inlineStr">
        <is>
          <t>Carpenter 1st class</t>
        </is>
      </c>
      <c r="C1972" s="13" t="inlineStr">
        <is>
          <t>day</t>
        </is>
      </c>
      <c r="D1972" s="15" t="n">
        <v>0.17</v>
      </c>
      <c r="E1972" s="16" t="n">
        <v>738</v>
      </c>
      <c r="F1972" s="16">
        <f>D1972*E1972</f>
        <v/>
      </c>
    </row>
    <row r="1973">
      <c r="A1973" s="13" t="inlineStr">
        <is>
          <t>9999</t>
        </is>
      </c>
      <c r="B1973" s="14" t="inlineStr">
        <is>
          <t>Sundries (screws, carriage etc.)</t>
        </is>
      </c>
      <c r="C1973" s="13" t="inlineStr">
        <is>
          <t>L.S.</t>
        </is>
      </c>
      <c r="D1973" s="15" t="n">
        <v>3.64</v>
      </c>
      <c r="E1973" s="16" t="n">
        <v>2</v>
      </c>
      <c r="F1973" s="16">
        <f>D1973*E1973</f>
        <v/>
      </c>
    </row>
    <row r="1974">
      <c r="A1974" s="17" t="inlineStr">
        <is>
          <t>Resource Total (Material + Labour + Machinery, as printed)</t>
        </is>
      </c>
      <c r="B1974" s="18" t="n"/>
      <c r="C1974" s="18" t="n"/>
      <c r="D1974" s="18" t="n"/>
      <c r="E1974" s="18" t="n"/>
      <c r="F1974" s="19">
        <f>SUM(F1971:F1973)</f>
        <v/>
      </c>
    </row>
    <row r="1975">
      <c r="A1975" s="20" t="inlineStr">
        <is>
          <t>SAY (Rs.) — final DAR rate</t>
        </is>
      </c>
      <c r="B1975" s="21" t="n"/>
      <c r="C1975" s="21" t="n"/>
      <c r="D1975" s="21" t="n"/>
      <c r="E1975" s="21" t="n"/>
      <c r="F1975" s="22" t="n">
        <v>592.35</v>
      </c>
    </row>
    <row r="1977" ht="28" customHeight="1">
      <c r="A1977" s="9" t="inlineStr">
        <is>
          <t>9.78</t>
        </is>
      </c>
      <c r="B1977" s="10" t="inlineStr">
        <is>
          <t>Providing and fixing bright finished brass night latch of approved quality including necessary screws etc. complete.</t>
        </is>
      </c>
      <c r="C1977" s="11" t="n"/>
      <c r="D1977" s="11" t="n"/>
      <c r="E1977" s="11" t="n"/>
      <c r="F1977" s="11" t="n"/>
    </row>
    <row r="1978">
      <c r="A1978" s="12" t="inlineStr">
        <is>
          <t>Rate basis: per nos  (source: cost for 1 nos)</t>
        </is>
      </c>
    </row>
    <row r="1979">
      <c r="A1979" s="5" t="inlineStr">
        <is>
          <t>Code</t>
        </is>
      </c>
      <c r="B1979" s="5" t="inlineStr">
        <is>
          <t>Description</t>
        </is>
      </c>
      <c r="C1979" s="5" t="inlineStr">
        <is>
          <t>Unit</t>
        </is>
      </c>
      <c r="D1979" s="5" t="inlineStr">
        <is>
          <t>Quantity</t>
        </is>
      </c>
      <c r="E1979" s="5" t="inlineStr">
        <is>
          <t>Rate (Rs.)</t>
        </is>
      </c>
      <c r="F1979" s="5" t="inlineStr">
        <is>
          <t>Amount (Rs.)</t>
        </is>
      </c>
    </row>
    <row r="1980">
      <c r="A1980" s="13" t="inlineStr">
        <is>
          <t>0438</t>
        </is>
      </c>
      <c r="B1980" s="14" t="inlineStr">
        <is>
          <t>Brass Night latch</t>
        </is>
      </c>
      <c r="C1980" s="13" t="inlineStr">
        <is>
          <t>each</t>
        </is>
      </c>
      <c r="D1980" s="15" t="n">
        <v>1</v>
      </c>
      <c r="E1980" s="16" t="n">
        <v>610</v>
      </c>
      <c r="F1980" s="16">
        <f>D1980*E1980</f>
        <v/>
      </c>
    </row>
    <row r="1981">
      <c r="A1981" s="13" t="inlineStr">
        <is>
          <t>0111</t>
        </is>
      </c>
      <c r="B1981" s="14" t="inlineStr">
        <is>
          <t>Carpenter 1st class</t>
        </is>
      </c>
      <c r="C1981" s="13" t="inlineStr">
        <is>
          <t>day</t>
        </is>
      </c>
      <c r="D1981" s="15" t="n">
        <v>0.17</v>
      </c>
      <c r="E1981" s="16" t="n">
        <v>738</v>
      </c>
      <c r="F1981" s="16">
        <f>D1981*E1981</f>
        <v/>
      </c>
    </row>
    <row r="1982">
      <c r="A1982" s="13" t="inlineStr">
        <is>
          <t>9999</t>
        </is>
      </c>
      <c r="B1982" s="14" t="inlineStr">
        <is>
          <t>Sundries (screws, carriage etc.)</t>
        </is>
      </c>
      <c r="C1982" s="13" t="inlineStr">
        <is>
          <t>L.S.</t>
        </is>
      </c>
      <c r="D1982" s="15" t="n">
        <v>3.64</v>
      </c>
      <c r="E1982" s="16" t="n">
        <v>2</v>
      </c>
      <c r="F1982" s="16">
        <f>D1982*E1982</f>
        <v/>
      </c>
    </row>
    <row r="1983">
      <c r="A1983" s="17" t="inlineStr">
        <is>
          <t>Resource Total (Material + Labour + Machinery, as printed)</t>
        </is>
      </c>
      <c r="B1983" s="18" t="n"/>
      <c r="C1983" s="18" t="n"/>
      <c r="D1983" s="18" t="n"/>
      <c r="E1983" s="18" t="n"/>
      <c r="F1983" s="19">
        <f>SUM(F1980:F1982)</f>
        <v/>
      </c>
    </row>
    <row r="1984">
      <c r="A1984" s="20" t="inlineStr">
        <is>
          <t>SAY (Rs.) — final DAR rate</t>
        </is>
      </c>
      <c r="B1984" s="21" t="n"/>
      <c r="C1984" s="21" t="n"/>
      <c r="D1984" s="21" t="n"/>
      <c r="E1984" s="21" t="n"/>
      <c r="F1984" s="22" t="n">
        <v>993.75</v>
      </c>
    </row>
    <row r="1986" ht="18" customHeight="1">
      <c r="A1986" s="9" t="inlineStr">
        <is>
          <t>9.79.1</t>
        </is>
      </c>
      <c r="B1986" s="10" t="inlineStr">
        <is>
          <t>40 mm</t>
        </is>
      </c>
      <c r="C1986" s="11" t="n"/>
      <c r="D1986" s="11" t="n"/>
      <c r="E1986" s="11" t="n"/>
      <c r="F1986" s="11" t="n"/>
    </row>
    <row r="1987">
      <c r="A1987" s="12" t="inlineStr">
        <is>
          <t>Rate basis: per nos  (source: cost for 1 nos)</t>
        </is>
      </c>
    </row>
    <row r="1988">
      <c r="A1988" s="5" t="inlineStr">
        <is>
          <t>Code</t>
        </is>
      </c>
      <c r="B1988" s="5" t="inlineStr">
        <is>
          <t>Description</t>
        </is>
      </c>
      <c r="C1988" s="5" t="inlineStr">
        <is>
          <t>Unit</t>
        </is>
      </c>
      <c r="D1988" s="5" t="inlineStr">
        <is>
          <t>Quantity</t>
        </is>
      </c>
      <c r="E1988" s="5" t="inlineStr">
        <is>
          <t>Rate (Rs.)</t>
        </is>
      </c>
      <c r="F1988" s="5" t="inlineStr">
        <is>
          <t>Amount (Rs.)</t>
        </is>
      </c>
    </row>
    <row r="1989">
      <c r="A1989" s="13" t="inlineStr">
        <is>
          <t>2451</t>
        </is>
      </c>
      <c r="B1989" s="14" t="inlineStr">
        <is>
          <t>Brass cupboard lock 6 levers (best make of approved quality) 40 mm size</t>
        </is>
      </c>
      <c r="C1989" s="13" t="inlineStr">
        <is>
          <t>each</t>
        </is>
      </c>
      <c r="D1989" s="15" t="n">
        <v>1</v>
      </c>
      <c r="E1989" s="16" t="n">
        <v>55</v>
      </c>
      <c r="F1989" s="16">
        <f>D1989*E1989</f>
        <v/>
      </c>
    </row>
    <row r="1990">
      <c r="A1990" s="13" t="inlineStr">
        <is>
          <t>0111</t>
        </is>
      </c>
      <c r="B1990" s="14" t="inlineStr">
        <is>
          <t>Carpenter 1st class</t>
        </is>
      </c>
      <c r="C1990" s="13" t="inlineStr">
        <is>
          <t>day</t>
        </is>
      </c>
      <c r="D1990" s="15" t="n">
        <v>0.17</v>
      </c>
      <c r="E1990" s="16" t="n">
        <v>738</v>
      </c>
      <c r="F1990" s="16">
        <f>D1990*E1990</f>
        <v/>
      </c>
    </row>
    <row r="1991">
      <c r="A1991" s="13" t="inlineStr">
        <is>
          <t>9999</t>
        </is>
      </c>
      <c r="B1991" s="14" t="inlineStr">
        <is>
          <t>Sundries &amp; screws</t>
        </is>
      </c>
      <c r="C1991" s="13" t="inlineStr">
        <is>
          <t>L.S.</t>
        </is>
      </c>
      <c r="D1991" s="15" t="n">
        <v>3.64</v>
      </c>
      <c r="E1991" s="16" t="n">
        <v>2</v>
      </c>
      <c r="F1991" s="16">
        <f>D1991*E1991</f>
        <v/>
      </c>
    </row>
    <row r="1992">
      <c r="A1992" s="17" t="inlineStr">
        <is>
          <t>Resource Total (Material + Labour + Machinery, as printed)</t>
        </is>
      </c>
      <c r="B1992" s="18" t="n"/>
      <c r="C1992" s="18" t="n"/>
      <c r="D1992" s="18" t="n"/>
      <c r="E1992" s="18" t="n"/>
      <c r="F1992" s="19">
        <f>SUM(F1989:F1991)</f>
        <v/>
      </c>
    </row>
    <row r="1993">
      <c r="A1993" s="20" t="inlineStr">
        <is>
          <t>SAY (Rs.) — final DAR rate</t>
        </is>
      </c>
      <c r="B1993" s="21" t="n"/>
      <c r="C1993" s="21" t="n"/>
      <c r="D1993" s="21" t="n"/>
      <c r="E1993" s="21" t="n"/>
      <c r="F1993" s="22" t="n">
        <v>251.2</v>
      </c>
    </row>
    <row r="1995" ht="18" customHeight="1">
      <c r="A1995" s="9" t="inlineStr">
        <is>
          <t>9.79.2</t>
        </is>
      </c>
      <c r="B1995" s="10" t="inlineStr">
        <is>
          <t>50 mm</t>
        </is>
      </c>
      <c r="C1995" s="11" t="n"/>
      <c r="D1995" s="11" t="n"/>
      <c r="E1995" s="11" t="n"/>
      <c r="F1995" s="11" t="n"/>
    </row>
    <row r="1996">
      <c r="A1996" s="12" t="inlineStr">
        <is>
          <t>Rate basis: per nos  (source: cost for 1 nos)</t>
        </is>
      </c>
    </row>
    <row r="1997">
      <c r="A1997" s="5" t="inlineStr">
        <is>
          <t>Code</t>
        </is>
      </c>
      <c r="B1997" s="5" t="inlineStr">
        <is>
          <t>Description</t>
        </is>
      </c>
      <c r="C1997" s="5" t="inlineStr">
        <is>
          <t>Unit</t>
        </is>
      </c>
      <c r="D1997" s="5" t="inlineStr">
        <is>
          <t>Quantity</t>
        </is>
      </c>
      <c r="E1997" s="5" t="inlineStr">
        <is>
          <t>Rate (Rs.)</t>
        </is>
      </c>
      <c r="F1997" s="5" t="inlineStr">
        <is>
          <t>Amount (Rs.)</t>
        </is>
      </c>
    </row>
    <row r="1998">
      <c r="A1998" s="13" t="inlineStr">
        <is>
          <t>2452</t>
        </is>
      </c>
      <c r="B1998" s="14" t="inlineStr">
        <is>
          <t>Brass cupboard lock 6 levers (best make of approved quality) 50 mm size</t>
        </is>
      </c>
      <c r="C1998" s="13" t="inlineStr">
        <is>
          <t>each</t>
        </is>
      </c>
      <c r="D1998" s="15" t="n">
        <v>1</v>
      </c>
      <c r="E1998" s="16" t="n">
        <v>85</v>
      </c>
      <c r="F1998" s="16">
        <f>D1998*E1998</f>
        <v/>
      </c>
    </row>
    <row r="1999">
      <c r="A1999" s="13" t="inlineStr">
        <is>
          <t>0111</t>
        </is>
      </c>
      <c r="B1999" s="14" t="inlineStr">
        <is>
          <t>Carpenter 1st class</t>
        </is>
      </c>
      <c r="C1999" s="13" t="inlineStr">
        <is>
          <t>day</t>
        </is>
      </c>
      <c r="D1999" s="15" t="n">
        <v>0.17</v>
      </c>
      <c r="E1999" s="16" t="n">
        <v>738</v>
      </c>
      <c r="F1999" s="16">
        <f>D1999*E1999</f>
        <v/>
      </c>
    </row>
    <row r="2000">
      <c r="A2000" s="13" t="inlineStr">
        <is>
          <t>9999</t>
        </is>
      </c>
      <c r="B2000" s="14" t="inlineStr">
        <is>
          <t>Sundries &amp; screws</t>
        </is>
      </c>
      <c r="C2000" s="13" t="inlineStr">
        <is>
          <t>L.S.</t>
        </is>
      </c>
      <c r="D2000" s="15" t="n">
        <v>3.64</v>
      </c>
      <c r="E2000" s="16" t="n">
        <v>2</v>
      </c>
      <c r="F2000" s="16">
        <f>D2000*E2000</f>
        <v/>
      </c>
    </row>
    <row r="2001">
      <c r="A2001" s="17" t="inlineStr">
        <is>
          <t>Resource Total (Material + Labour + Machinery, as printed)</t>
        </is>
      </c>
      <c r="B2001" s="18" t="n"/>
      <c r="C2001" s="18" t="n"/>
      <c r="D2001" s="18" t="n"/>
      <c r="E2001" s="18" t="n"/>
      <c r="F2001" s="19">
        <f>SUM(F1998:F2000)</f>
        <v/>
      </c>
    </row>
    <row r="2002">
      <c r="A2002" s="20" t="inlineStr">
        <is>
          <t>SAY (Rs.) — final DAR rate</t>
        </is>
      </c>
      <c r="B2002" s="21" t="n"/>
      <c r="C2002" s="21" t="n"/>
      <c r="D2002" s="21" t="n"/>
      <c r="E2002" s="21" t="n"/>
      <c r="F2002" s="22" t="n">
        <v>291.3</v>
      </c>
    </row>
    <row r="2004" ht="18" customHeight="1">
      <c r="A2004" s="9" t="inlineStr">
        <is>
          <t>9.79.3</t>
        </is>
      </c>
      <c r="B2004" s="10" t="inlineStr">
        <is>
          <t>65 mm</t>
        </is>
      </c>
      <c r="C2004" s="11" t="n"/>
      <c r="D2004" s="11" t="n"/>
      <c r="E2004" s="11" t="n"/>
      <c r="F2004" s="11" t="n"/>
    </row>
    <row r="2005">
      <c r="A2005" s="12" t="inlineStr">
        <is>
          <t>Rate basis: per nos  (source: cost for 1 nos)</t>
        </is>
      </c>
    </row>
    <row r="2006">
      <c r="A2006" s="5" t="inlineStr">
        <is>
          <t>Code</t>
        </is>
      </c>
      <c r="B2006" s="5" t="inlineStr">
        <is>
          <t>Description</t>
        </is>
      </c>
      <c r="C2006" s="5" t="inlineStr">
        <is>
          <t>Unit</t>
        </is>
      </c>
      <c r="D2006" s="5" t="inlineStr">
        <is>
          <t>Quantity</t>
        </is>
      </c>
      <c r="E2006" s="5" t="inlineStr">
        <is>
          <t>Rate (Rs.)</t>
        </is>
      </c>
      <c r="F2006" s="5" t="inlineStr">
        <is>
          <t>Amount (Rs.)</t>
        </is>
      </c>
    </row>
    <row r="2007">
      <c r="A2007" s="13" t="inlineStr">
        <is>
          <t>2453</t>
        </is>
      </c>
      <c r="B2007" s="14" t="inlineStr">
        <is>
          <t>Brass cupboard lock 6 levers (best make of approved quality) 65 mm size</t>
        </is>
      </c>
      <c r="C2007" s="13" t="inlineStr">
        <is>
          <t>each</t>
        </is>
      </c>
      <c r="D2007" s="15" t="n">
        <v>1</v>
      </c>
      <c r="E2007" s="16" t="n">
        <v>90</v>
      </c>
      <c r="F2007" s="16">
        <f>D2007*E2007</f>
        <v/>
      </c>
    </row>
    <row r="2008">
      <c r="A2008" s="13" t="inlineStr">
        <is>
          <t>0111</t>
        </is>
      </c>
      <c r="B2008" s="14" t="inlineStr">
        <is>
          <t>Carpenter 1st class</t>
        </is>
      </c>
      <c r="C2008" s="13" t="inlineStr">
        <is>
          <t>day</t>
        </is>
      </c>
      <c r="D2008" s="15" t="n">
        <v>0.17</v>
      </c>
      <c r="E2008" s="16" t="n">
        <v>738</v>
      </c>
      <c r="F2008" s="16">
        <f>D2008*E2008</f>
        <v/>
      </c>
    </row>
    <row r="2009">
      <c r="A2009" s="13" t="inlineStr">
        <is>
          <t>9999</t>
        </is>
      </c>
      <c r="B2009" s="14" t="inlineStr">
        <is>
          <t>Sundries &amp; screws</t>
        </is>
      </c>
      <c r="C2009" s="13" t="inlineStr">
        <is>
          <t>L.S.</t>
        </is>
      </c>
      <c r="D2009" s="15" t="n">
        <v>3.64</v>
      </c>
      <c r="E2009" s="16" t="n">
        <v>2</v>
      </c>
      <c r="F2009" s="16">
        <f>D2009*E2009</f>
        <v/>
      </c>
    </row>
    <row r="2010">
      <c r="A2010" s="17" t="inlineStr">
        <is>
          <t>Resource Total (Material + Labour + Machinery, as printed)</t>
        </is>
      </c>
      <c r="B2010" s="18" t="n"/>
      <c r="C2010" s="18" t="n"/>
      <c r="D2010" s="18" t="n"/>
      <c r="E2010" s="18" t="n"/>
      <c r="F2010" s="19">
        <f>SUM(F2007:F2009)</f>
        <v/>
      </c>
    </row>
    <row r="2011">
      <c r="A2011" s="20" t="inlineStr">
        <is>
          <t>SAY (Rs.) — final DAR rate</t>
        </is>
      </c>
      <c r="B2011" s="21" t="n"/>
      <c r="C2011" s="21" t="n"/>
      <c r="D2011" s="21" t="n"/>
      <c r="E2011" s="21" t="n"/>
      <c r="F2011" s="22" t="n">
        <v>298</v>
      </c>
    </row>
    <row r="2013" ht="18" customHeight="1">
      <c r="A2013" s="9" t="inlineStr">
        <is>
          <t>9.79.4</t>
        </is>
      </c>
      <c r="B2013" s="10" t="inlineStr">
        <is>
          <t>75 mm</t>
        </is>
      </c>
      <c r="C2013" s="11" t="n"/>
      <c r="D2013" s="11" t="n"/>
      <c r="E2013" s="11" t="n"/>
      <c r="F2013" s="11" t="n"/>
    </row>
    <row r="2014">
      <c r="A2014" s="12" t="inlineStr">
        <is>
          <t>Rate basis: per nos  (source: cost for 1 nos)</t>
        </is>
      </c>
    </row>
    <row r="2015">
      <c r="A2015" s="5" t="inlineStr">
        <is>
          <t>Code</t>
        </is>
      </c>
      <c r="B2015" s="5" t="inlineStr">
        <is>
          <t>Description</t>
        </is>
      </c>
      <c r="C2015" s="5" t="inlineStr">
        <is>
          <t>Unit</t>
        </is>
      </c>
      <c r="D2015" s="5" t="inlineStr">
        <is>
          <t>Quantity</t>
        </is>
      </c>
      <c r="E2015" s="5" t="inlineStr">
        <is>
          <t>Rate (Rs.)</t>
        </is>
      </c>
      <c r="F2015" s="5" t="inlineStr">
        <is>
          <t>Amount (Rs.)</t>
        </is>
      </c>
    </row>
    <row r="2016">
      <c r="A2016" s="13" t="inlineStr">
        <is>
          <t>2454</t>
        </is>
      </c>
      <c r="B2016" s="14" t="inlineStr">
        <is>
          <t>Brass cupboard lock 6 levers (best make of approved quality) 75 mm size</t>
        </is>
      </c>
      <c r="C2016" s="13" t="inlineStr">
        <is>
          <t>each</t>
        </is>
      </c>
      <c r="D2016" s="15" t="n">
        <v>1</v>
      </c>
      <c r="E2016" s="16" t="n">
        <v>105</v>
      </c>
      <c r="F2016" s="16">
        <f>D2016*E2016</f>
        <v/>
      </c>
    </row>
    <row r="2017">
      <c r="A2017" s="13" t="inlineStr">
        <is>
          <t>0111</t>
        </is>
      </c>
      <c r="B2017" s="14" t="inlineStr">
        <is>
          <t>Carpenter 1st class</t>
        </is>
      </c>
      <c r="C2017" s="13" t="inlineStr">
        <is>
          <t>day</t>
        </is>
      </c>
      <c r="D2017" s="15" t="n">
        <v>0.17</v>
      </c>
      <c r="E2017" s="16" t="n">
        <v>738</v>
      </c>
      <c r="F2017" s="16">
        <f>D2017*E2017</f>
        <v/>
      </c>
    </row>
    <row r="2018">
      <c r="A2018" s="13" t="inlineStr">
        <is>
          <t>9999</t>
        </is>
      </c>
      <c r="B2018" s="14" t="inlineStr">
        <is>
          <t>Sundries &amp; screws</t>
        </is>
      </c>
      <c r="C2018" s="13" t="inlineStr">
        <is>
          <t>L.S.</t>
        </is>
      </c>
      <c r="D2018" s="15" t="n">
        <v>3.64</v>
      </c>
      <c r="E2018" s="16" t="n">
        <v>2</v>
      </c>
      <c r="F2018" s="16">
        <f>D2018*E2018</f>
        <v/>
      </c>
    </row>
    <row r="2019">
      <c r="A2019" s="17" t="inlineStr">
        <is>
          <t>Resource Total (Material + Labour + Machinery, as printed)</t>
        </is>
      </c>
      <c r="B2019" s="18" t="n"/>
      <c r="C2019" s="18" t="n"/>
      <c r="D2019" s="18" t="n"/>
      <c r="E2019" s="18" t="n"/>
      <c r="F2019" s="19">
        <f>SUM(F2016:F2018)</f>
        <v/>
      </c>
    </row>
    <row r="2020">
      <c r="A2020" s="20" t="inlineStr">
        <is>
          <t>SAY (Rs.) — final DAR rate</t>
        </is>
      </c>
      <c r="B2020" s="21" t="n"/>
      <c r="C2020" s="21" t="n"/>
      <c r="D2020" s="21" t="n"/>
      <c r="E2020" s="21" t="n"/>
      <c r="F2020" s="22" t="n">
        <v>318.1</v>
      </c>
    </row>
    <row r="2022" ht="28" customHeight="1">
      <c r="A2022" s="9" t="inlineStr">
        <is>
          <t>9.80</t>
        </is>
      </c>
      <c r="B2022" s="10" t="inlineStr">
        <is>
          <t>Providing and fixing 50 mm bright finished brass cup board or wardrobe knob of approved quality with necessary screws.</t>
        </is>
      </c>
      <c r="C2022" s="11" t="n"/>
      <c r="D2022" s="11" t="n"/>
      <c r="E2022" s="11" t="n"/>
      <c r="F2022" s="11" t="n"/>
    </row>
    <row r="2023">
      <c r="A2023" s="12" t="inlineStr">
        <is>
          <t>Rate basis: per nos  (source: cost for 10 nos)</t>
        </is>
      </c>
    </row>
    <row r="2024">
      <c r="A2024" s="5" t="inlineStr">
        <is>
          <t>Code</t>
        </is>
      </c>
      <c r="B2024" s="5" t="inlineStr">
        <is>
          <t>Description</t>
        </is>
      </c>
      <c r="C2024" s="5" t="inlineStr">
        <is>
          <t>Unit</t>
        </is>
      </c>
      <c r="D2024" s="5" t="inlineStr">
        <is>
          <t>Quantity</t>
        </is>
      </c>
      <c r="E2024" s="5" t="inlineStr">
        <is>
          <t>Rate (Rs.)</t>
        </is>
      </c>
      <c r="F2024" s="5" t="inlineStr">
        <is>
          <t>Amount (Rs.)</t>
        </is>
      </c>
    </row>
    <row r="2025">
      <c r="A2025" s="13" t="inlineStr">
        <is>
          <t>0447</t>
        </is>
      </c>
      <c r="B2025" s="14" t="inlineStr">
        <is>
          <t>Brass cupboard knob or ward robe knob 50 mm</t>
        </is>
      </c>
      <c r="C2025" s="13" t="inlineStr">
        <is>
          <t>each</t>
        </is>
      </c>
      <c r="D2025" s="15" t="n">
        <v>10</v>
      </c>
      <c r="E2025" s="16" t="n">
        <v>36</v>
      </c>
      <c r="F2025" s="16">
        <f>D2025*E2025</f>
        <v/>
      </c>
    </row>
    <row r="2026">
      <c r="A2026" s="13" t="inlineStr">
        <is>
          <t>9977</t>
        </is>
      </c>
      <c r="B2026" s="14" t="inlineStr">
        <is>
          <t>Carriage of material</t>
        </is>
      </c>
      <c r="C2026" s="13" t="inlineStr">
        <is>
          <t>L.S.</t>
        </is>
      </c>
      <c r="D2026" s="15" t="n">
        <v>2.73</v>
      </c>
      <c r="E2026" s="16" t="n">
        <v>2</v>
      </c>
      <c r="F2026" s="16">
        <f>D2026*E2026</f>
        <v/>
      </c>
    </row>
    <row r="2027">
      <c r="A2027" s="13" t="inlineStr">
        <is>
          <t>0111</t>
        </is>
      </c>
      <c r="B2027" s="14" t="inlineStr">
        <is>
          <t>Carpenter 1st class</t>
        </is>
      </c>
      <c r="C2027" s="13" t="inlineStr">
        <is>
          <t>day</t>
        </is>
      </c>
      <c r="D2027" s="15" t="n">
        <v>0.14</v>
      </c>
      <c r="E2027" s="16" t="n">
        <v>738</v>
      </c>
      <c r="F2027" s="16">
        <f>D2027*E2027</f>
        <v/>
      </c>
    </row>
    <row r="2028">
      <c r="A2028" s="17" t="inlineStr">
        <is>
          <t>Resource Total (Material + Labour + Machinery, as printed)</t>
        </is>
      </c>
      <c r="B2028" s="18" t="n"/>
      <c r="C2028" s="18" t="n"/>
      <c r="D2028" s="18" t="n"/>
      <c r="E2028" s="18" t="n"/>
      <c r="F2028" s="19">
        <f>SUM(F2025:F2027)</f>
        <v/>
      </c>
    </row>
    <row r="2029">
      <c r="A2029" s="20" t="inlineStr">
        <is>
          <t>SAY (Rs.) — final DAR rate</t>
        </is>
      </c>
      <c r="B2029" s="21" t="n"/>
      <c r="C2029" s="21" t="n"/>
      <c r="D2029" s="21" t="n"/>
      <c r="E2029" s="21" t="n"/>
      <c r="F2029" s="22" t="n">
        <v>62.7</v>
      </c>
    </row>
    <row r="2031" ht="18" customHeight="1">
      <c r="A2031" s="9" t="inlineStr">
        <is>
          <t>9.81.1</t>
        </is>
      </c>
      <c r="B2031" s="10" t="inlineStr">
        <is>
          <t>125 mm</t>
        </is>
      </c>
      <c r="C2031" s="11" t="n"/>
      <c r="D2031" s="11" t="n"/>
      <c r="E2031" s="11" t="n"/>
      <c r="F2031" s="11" t="n"/>
    </row>
    <row r="2032">
      <c r="A2032" s="12" t="inlineStr">
        <is>
          <t>Rate basis: per nos  (source: cost for 10 nos)</t>
        </is>
      </c>
    </row>
    <row r="2033">
      <c r="A2033" s="5" t="inlineStr">
        <is>
          <t>Code</t>
        </is>
      </c>
      <c r="B2033" s="5" t="inlineStr">
        <is>
          <t>Description</t>
        </is>
      </c>
      <c r="C2033" s="5" t="inlineStr">
        <is>
          <t>Unit</t>
        </is>
      </c>
      <c r="D2033" s="5" t="inlineStr">
        <is>
          <t>Quantity</t>
        </is>
      </c>
      <c r="E2033" s="5" t="inlineStr">
        <is>
          <t>Rate (Rs.)</t>
        </is>
      </c>
      <c r="F2033" s="5" t="inlineStr">
        <is>
          <t>Amount (Rs.)</t>
        </is>
      </c>
    </row>
    <row r="2034">
      <c r="A2034" s="13" t="inlineStr">
        <is>
          <t>0408</t>
        </is>
      </c>
      <c r="B2034" s="14" t="inlineStr">
        <is>
          <t>Brass handles 125 mm with plate 175x32 mm</t>
        </is>
      </c>
      <c r="C2034" s="13" t="inlineStr">
        <is>
          <t>each</t>
        </is>
      </c>
      <c r="D2034" s="15" t="n">
        <v>10</v>
      </c>
      <c r="E2034" s="16" t="n">
        <v>144</v>
      </c>
      <c r="F2034" s="16">
        <f>D2034*E2034</f>
        <v/>
      </c>
    </row>
    <row r="2035">
      <c r="A2035" s="13" t="inlineStr">
        <is>
          <t>0452</t>
        </is>
      </c>
      <c r="B2035" s="14" t="inlineStr">
        <is>
          <t>Brass screws 25 mm</t>
        </is>
      </c>
      <c r="C2035" s="13" t="inlineStr">
        <is>
          <t>100 Nos</t>
        </is>
      </c>
      <c r="D2035" s="15" t="n">
        <v>0.4</v>
      </c>
      <c r="E2035" s="16" t="n">
        <v>100</v>
      </c>
      <c r="F2035" s="16">
        <f>D2035*E2035</f>
        <v/>
      </c>
    </row>
    <row r="2036">
      <c r="A2036" s="13" t="inlineStr">
        <is>
          <t>9977</t>
        </is>
      </c>
      <c r="B2036" s="14" t="inlineStr">
        <is>
          <t>Carriage of material</t>
        </is>
      </c>
      <c r="C2036" s="13" t="inlineStr">
        <is>
          <t>L.S.</t>
        </is>
      </c>
      <c r="D2036" s="15" t="n">
        <v>2.73</v>
      </c>
      <c r="E2036" s="16" t="n">
        <v>2</v>
      </c>
      <c r="F2036" s="16">
        <f>D2036*E2036</f>
        <v/>
      </c>
    </row>
    <row r="2037">
      <c r="A2037" s="13" t="inlineStr">
        <is>
          <t>0111</t>
        </is>
      </c>
      <c r="B2037" s="14" t="inlineStr">
        <is>
          <t>Carpenter 1st class</t>
        </is>
      </c>
      <c r="C2037" s="13" t="inlineStr">
        <is>
          <t>day</t>
        </is>
      </c>
      <c r="D2037" s="15" t="n">
        <v>0.06</v>
      </c>
      <c r="E2037" s="16" t="n">
        <v>738</v>
      </c>
      <c r="F2037" s="16">
        <f>D2037*E2037</f>
        <v/>
      </c>
    </row>
    <row r="2038">
      <c r="A2038" s="17" t="inlineStr">
        <is>
          <t>Resource Total (Material + Labour + Machinery, as printed)</t>
        </is>
      </c>
      <c r="B2038" s="18" t="n"/>
      <c r="C2038" s="18" t="n"/>
      <c r="D2038" s="18" t="n"/>
      <c r="E2038" s="18" t="n"/>
      <c r="F2038" s="19">
        <f>SUM(F2034:F2037)</f>
        <v/>
      </c>
    </row>
    <row r="2039">
      <c r="A2039" s="20" t="inlineStr">
        <is>
          <t>SAY (Rs.) — final DAR rate</t>
        </is>
      </c>
      <c r="B2039" s="21" t="n"/>
      <c r="C2039" s="21" t="n"/>
      <c r="D2039" s="21" t="n"/>
      <c r="E2039" s="21" t="n"/>
      <c r="F2039" s="22" t="n">
        <v>204.65</v>
      </c>
    </row>
    <row r="2041" ht="18" customHeight="1">
      <c r="A2041" s="9" t="inlineStr">
        <is>
          <t>9.81.2</t>
        </is>
      </c>
      <c r="B2041" s="10" t="inlineStr">
        <is>
          <t>100 mm</t>
        </is>
      </c>
      <c r="C2041" s="11" t="n"/>
      <c r="D2041" s="11" t="n"/>
      <c r="E2041" s="11" t="n"/>
      <c r="F2041" s="11" t="n"/>
    </row>
    <row r="2042">
      <c r="A2042" s="12" t="inlineStr">
        <is>
          <t>Rate basis: per nos  (source: cost for 10 nos)</t>
        </is>
      </c>
    </row>
    <row r="2043">
      <c r="A2043" s="5" t="inlineStr">
        <is>
          <t>Code</t>
        </is>
      </c>
      <c r="B2043" s="5" t="inlineStr">
        <is>
          <t>Description</t>
        </is>
      </c>
      <c r="C2043" s="5" t="inlineStr">
        <is>
          <t>Unit</t>
        </is>
      </c>
      <c r="D2043" s="5" t="inlineStr">
        <is>
          <t>Quantity</t>
        </is>
      </c>
      <c r="E2043" s="5" t="inlineStr">
        <is>
          <t>Rate (Rs.)</t>
        </is>
      </c>
      <c r="F2043" s="5" t="inlineStr">
        <is>
          <t>Amount (Rs.)</t>
        </is>
      </c>
    </row>
    <row r="2044">
      <c r="A2044" s="13" t="inlineStr">
        <is>
          <t>0409</t>
        </is>
      </c>
      <c r="B2044" s="14" t="inlineStr">
        <is>
          <t>Brass handles 100 mm with plate 150x32 mm</t>
        </is>
      </c>
      <c r="C2044" s="13" t="inlineStr">
        <is>
          <t>each</t>
        </is>
      </c>
      <c r="D2044" s="15" t="n">
        <v>10</v>
      </c>
      <c r="E2044" s="16" t="n">
        <v>133</v>
      </c>
      <c r="F2044" s="16">
        <f>D2044*E2044</f>
        <v/>
      </c>
    </row>
    <row r="2045">
      <c r="A2045" s="13" t="inlineStr">
        <is>
          <t>0452</t>
        </is>
      </c>
      <c r="B2045" s="14" t="inlineStr">
        <is>
          <t>Brass screws 25 mm</t>
        </is>
      </c>
      <c r="C2045" s="13" t="inlineStr">
        <is>
          <t>100 Nos</t>
        </is>
      </c>
      <c r="D2045" s="15" t="n">
        <v>0.4</v>
      </c>
      <c r="E2045" s="16" t="n">
        <v>100</v>
      </c>
      <c r="F2045" s="16">
        <f>D2045*E2045</f>
        <v/>
      </c>
    </row>
    <row r="2046">
      <c r="A2046" s="13" t="inlineStr">
        <is>
          <t>9977</t>
        </is>
      </c>
      <c r="B2046" s="14" t="inlineStr">
        <is>
          <t>Carriage of material</t>
        </is>
      </c>
      <c r="C2046" s="13" t="inlineStr">
        <is>
          <t>L.S.</t>
        </is>
      </c>
      <c r="D2046" s="15" t="n">
        <v>0.91</v>
      </c>
      <c r="E2046" s="16" t="n">
        <v>2</v>
      </c>
      <c r="F2046" s="16">
        <f>D2046*E2046</f>
        <v/>
      </c>
    </row>
    <row r="2047">
      <c r="A2047" s="13" t="inlineStr">
        <is>
          <t>0111</t>
        </is>
      </c>
      <c r="B2047" s="14" t="inlineStr">
        <is>
          <t>Carpenter 1st class</t>
        </is>
      </c>
      <c r="C2047" s="13" t="inlineStr">
        <is>
          <t>day</t>
        </is>
      </c>
      <c r="D2047" s="15" t="n">
        <v>0.06</v>
      </c>
      <c r="E2047" s="16" t="n">
        <v>738</v>
      </c>
      <c r="F2047" s="16">
        <f>D2047*E2047</f>
        <v/>
      </c>
    </row>
    <row r="2048">
      <c r="A2048" s="17" t="inlineStr">
        <is>
          <t>Resource Total (Material + Labour + Machinery, as printed)</t>
        </is>
      </c>
      <c r="B2048" s="18" t="n"/>
      <c r="C2048" s="18" t="n"/>
      <c r="D2048" s="18" t="n"/>
      <c r="E2048" s="18" t="n"/>
      <c r="F2048" s="19">
        <f>SUM(F2044:F2047)</f>
        <v/>
      </c>
    </row>
    <row r="2049">
      <c r="A2049" s="20" t="inlineStr">
        <is>
          <t>SAY (Rs.) — final DAR rate</t>
        </is>
      </c>
      <c r="B2049" s="21" t="n"/>
      <c r="C2049" s="21" t="n"/>
      <c r="D2049" s="21" t="n"/>
      <c r="E2049" s="21" t="n"/>
      <c r="F2049" s="22" t="n">
        <v>189.45</v>
      </c>
    </row>
    <row r="2051" ht="18" customHeight="1">
      <c r="A2051" s="9" t="inlineStr">
        <is>
          <t>9.81.3</t>
        </is>
      </c>
      <c r="B2051" s="10" t="inlineStr">
        <is>
          <t>75 mm</t>
        </is>
      </c>
      <c r="C2051" s="11" t="n"/>
      <c r="D2051" s="11" t="n"/>
      <c r="E2051" s="11" t="n"/>
      <c r="F2051" s="11" t="n"/>
    </row>
    <row r="2052">
      <c r="A2052" s="12" t="inlineStr">
        <is>
          <t>Rate basis: per nos  (source: cost for 10 nos)</t>
        </is>
      </c>
    </row>
    <row r="2053">
      <c r="A2053" s="5" t="inlineStr">
        <is>
          <t>Code</t>
        </is>
      </c>
      <c r="B2053" s="5" t="inlineStr">
        <is>
          <t>Description</t>
        </is>
      </c>
      <c r="C2053" s="5" t="inlineStr">
        <is>
          <t>Unit</t>
        </is>
      </c>
      <c r="D2053" s="5" t="inlineStr">
        <is>
          <t>Quantity</t>
        </is>
      </c>
      <c r="E2053" s="5" t="inlineStr">
        <is>
          <t>Rate (Rs.)</t>
        </is>
      </c>
      <c r="F2053" s="5" t="inlineStr">
        <is>
          <t>Amount (Rs.)</t>
        </is>
      </c>
    </row>
    <row r="2054">
      <c r="A2054" s="13" t="inlineStr">
        <is>
          <t>0410</t>
        </is>
      </c>
      <c r="B2054" s="14" t="inlineStr">
        <is>
          <t>Brass handles75 mm with plate 125x32 mm</t>
        </is>
      </c>
      <c r="C2054" s="13" t="inlineStr">
        <is>
          <t>each</t>
        </is>
      </c>
      <c r="D2054" s="15" t="n">
        <v>10</v>
      </c>
      <c r="E2054" s="16" t="n">
        <v>103</v>
      </c>
      <c r="F2054" s="16">
        <f>D2054*E2054</f>
        <v/>
      </c>
    </row>
    <row r="2055">
      <c r="A2055" s="13" t="inlineStr">
        <is>
          <t>0452</t>
        </is>
      </c>
      <c r="B2055" s="14" t="inlineStr">
        <is>
          <t>Brass screws 25 mm</t>
        </is>
      </c>
      <c r="C2055" s="13" t="inlineStr">
        <is>
          <t>100 Nos</t>
        </is>
      </c>
      <c r="D2055" s="15" t="n">
        <v>0.4</v>
      </c>
      <c r="E2055" s="16" t="n">
        <v>100</v>
      </c>
      <c r="F2055" s="16">
        <f>D2055*E2055</f>
        <v/>
      </c>
    </row>
    <row r="2056">
      <c r="A2056" s="13" t="inlineStr">
        <is>
          <t>9977</t>
        </is>
      </c>
      <c r="B2056" s="14" t="inlineStr">
        <is>
          <t>Carriage of material</t>
        </is>
      </c>
      <c r="C2056" s="13" t="inlineStr">
        <is>
          <t>L.S.</t>
        </is>
      </c>
      <c r="D2056" s="15" t="n">
        <v>0.91</v>
      </c>
      <c r="E2056" s="16" t="n">
        <v>2</v>
      </c>
      <c r="F2056" s="16">
        <f>D2056*E2056</f>
        <v/>
      </c>
    </row>
    <row r="2057">
      <c r="A2057" s="13" t="inlineStr">
        <is>
          <t>0111</t>
        </is>
      </c>
      <c r="B2057" s="14" t="inlineStr">
        <is>
          <t>Carpenter 1st class</t>
        </is>
      </c>
      <c r="C2057" s="13" t="inlineStr">
        <is>
          <t>day</t>
        </is>
      </c>
      <c r="D2057" s="15" t="n">
        <v>0.06</v>
      </c>
      <c r="E2057" s="16" t="n">
        <v>738</v>
      </c>
      <c r="F2057" s="16">
        <f>D2057*E2057</f>
        <v/>
      </c>
    </row>
    <row r="2058">
      <c r="A2058" s="17" t="inlineStr">
        <is>
          <t>Resource Total (Material + Labour + Machinery, as printed)</t>
        </is>
      </c>
      <c r="B2058" s="18" t="n"/>
      <c r="C2058" s="18" t="n"/>
      <c r="D2058" s="18" t="n"/>
      <c r="E2058" s="18" t="n"/>
      <c r="F2058" s="19">
        <f>SUM(F2054:F2057)</f>
        <v/>
      </c>
    </row>
    <row r="2059">
      <c r="A2059" s="20" t="inlineStr">
        <is>
          <t>SAY (Rs.) — final DAR rate</t>
        </is>
      </c>
      <c r="B2059" s="21" t="n"/>
      <c r="C2059" s="21" t="n"/>
      <c r="D2059" s="21" t="n"/>
      <c r="E2059" s="21" t="n"/>
      <c r="F2059" s="22" t="n">
        <v>149.35</v>
      </c>
    </row>
    <row r="2061" ht="28" customHeight="1">
      <c r="A2061" s="9" t="inlineStr">
        <is>
          <t>9.82</t>
        </is>
      </c>
      <c r="B2061" s="10" t="inlineStr">
        <is>
          <t>Providing and fixing bright finished brass hanging type floor door stopper with necessary screws, etc. complete.</t>
        </is>
      </c>
      <c r="C2061" s="11" t="n"/>
      <c r="D2061" s="11" t="n"/>
      <c r="E2061" s="11" t="n"/>
      <c r="F2061" s="11" t="n"/>
    </row>
    <row r="2062">
      <c r="A2062" s="12" t="inlineStr">
        <is>
          <t>Rate basis: per hanging  (source: cost for 10 hanging)</t>
        </is>
      </c>
    </row>
    <row r="2063">
      <c r="A2063" s="5" t="inlineStr">
        <is>
          <t>Code</t>
        </is>
      </c>
      <c r="B2063" s="5" t="inlineStr">
        <is>
          <t>Description</t>
        </is>
      </c>
      <c r="C2063" s="5" t="inlineStr">
        <is>
          <t>Unit</t>
        </is>
      </c>
      <c r="D2063" s="5" t="inlineStr">
        <is>
          <t>Quantity</t>
        </is>
      </c>
      <c r="E2063" s="5" t="inlineStr">
        <is>
          <t>Rate (Rs.)</t>
        </is>
      </c>
      <c r="F2063" s="5" t="inlineStr">
        <is>
          <t>Amount (Rs.)</t>
        </is>
      </c>
    </row>
    <row r="2064">
      <c r="A2064" s="13" t="inlineStr">
        <is>
          <t>2455</t>
        </is>
      </c>
      <c r="B2064" s="14" t="inlineStr">
        <is>
          <t>Brass hanging type door stopper 150 mm</t>
        </is>
      </c>
      <c r="C2064" s="13" t="inlineStr">
        <is>
          <t>each</t>
        </is>
      </c>
      <c r="D2064" s="15" t="n">
        <v>10</v>
      </c>
      <c r="E2064" s="16" t="n">
        <v>75</v>
      </c>
      <c r="F2064" s="16">
        <f>D2064*E2064</f>
        <v/>
      </c>
    </row>
    <row r="2065">
      <c r="A2065" s="13" t="inlineStr">
        <is>
          <t>0452</t>
        </is>
      </c>
      <c r="B2065" s="14" t="inlineStr">
        <is>
          <t>Brass screws 25 mm</t>
        </is>
      </c>
      <c r="C2065" s="13" t="inlineStr">
        <is>
          <t>100 Nos</t>
        </is>
      </c>
      <c r="D2065" s="15" t="n">
        <v>0.2</v>
      </c>
      <c r="E2065" s="16" t="n">
        <v>100</v>
      </c>
      <c r="F2065" s="16">
        <f>D2065*E2065</f>
        <v/>
      </c>
    </row>
    <row r="2066">
      <c r="A2066" s="13" t="inlineStr">
        <is>
          <t>9977</t>
        </is>
      </c>
      <c r="B2066" s="14" t="inlineStr">
        <is>
          <t>Carriage of material</t>
        </is>
      </c>
      <c r="C2066" s="13" t="inlineStr">
        <is>
          <t>L.S.</t>
        </is>
      </c>
      <c r="D2066" s="15" t="n">
        <v>2.73</v>
      </c>
      <c r="E2066" s="16" t="n">
        <v>2</v>
      </c>
      <c r="F2066" s="16">
        <f>D2066*E2066</f>
        <v/>
      </c>
    </row>
    <row r="2067">
      <c r="A2067" s="13" t="inlineStr">
        <is>
          <t>0111</t>
        </is>
      </c>
      <c r="B2067" s="14" t="inlineStr">
        <is>
          <t>Carpenter 1st class</t>
        </is>
      </c>
      <c r="C2067" s="13" t="inlineStr">
        <is>
          <t>day</t>
        </is>
      </c>
      <c r="D2067" s="15" t="n">
        <v>0.03</v>
      </c>
      <c r="E2067" s="16" t="n">
        <v>738</v>
      </c>
      <c r="F2067" s="16">
        <f>D2067*E2067</f>
        <v/>
      </c>
    </row>
    <row r="2068">
      <c r="A2068" s="17" t="inlineStr">
        <is>
          <t>Resource Total (Material + Labour + Machinery, as printed)</t>
        </is>
      </c>
      <c r="B2068" s="18" t="n"/>
      <c r="C2068" s="18" t="n"/>
      <c r="D2068" s="18" t="n"/>
      <c r="E2068" s="18" t="n"/>
      <c r="F2068" s="19">
        <f>SUM(F2064:F2067)</f>
        <v/>
      </c>
    </row>
    <row r="2069">
      <c r="A2069" s="20" t="inlineStr">
        <is>
          <t>SAY (Rs.) — final DAR rate</t>
        </is>
      </c>
      <c r="B2069" s="21" t="n"/>
      <c r="C2069" s="21" t="n"/>
      <c r="D2069" s="21" t="n"/>
      <c r="E2069" s="21" t="n"/>
      <c r="F2069" s="22" t="n">
        <v>106.7</v>
      </c>
    </row>
    <row r="2071" ht="28" customHeight="1">
      <c r="A2071" s="9" t="inlineStr">
        <is>
          <t>9.83</t>
        </is>
      </c>
      <c r="B2071" s="10" t="inlineStr">
        <is>
          <t>Providing and fixing aluminium die cast body tubular type universal hydraulic door closer (having brand logo with ISI, IS : 3564, embossed o</t>
        </is>
      </c>
      <c r="C2071" s="11" t="n"/>
      <c r="D2071" s="11" t="n"/>
      <c r="E2071" s="11" t="n"/>
      <c r="F2071" s="11" t="n"/>
    </row>
    <row r="2072">
      <c r="A2072" s="12" t="inlineStr">
        <is>
          <t>Rate basis: per nos  (source: cost for 10 nos)</t>
        </is>
      </c>
    </row>
    <row r="2073">
      <c r="A2073" s="5" t="inlineStr">
        <is>
          <t>Code</t>
        </is>
      </c>
      <c r="B2073" s="5" t="inlineStr">
        <is>
          <t>Description</t>
        </is>
      </c>
      <c r="C2073" s="5" t="inlineStr">
        <is>
          <t>Unit</t>
        </is>
      </c>
      <c r="D2073" s="5" t="inlineStr">
        <is>
          <t>Quantity</t>
        </is>
      </c>
      <c r="E2073" s="5" t="inlineStr">
        <is>
          <t>Rate (Rs.)</t>
        </is>
      </c>
      <c r="F2073" s="5" t="inlineStr">
        <is>
          <t>Amount (Rs.)</t>
        </is>
      </c>
    </row>
    <row r="2074">
      <c r="A2074" s="13" t="inlineStr">
        <is>
          <t>2456</t>
        </is>
      </c>
      <c r="B2074" s="14" t="inlineStr">
        <is>
          <t>Hydraulic door closer bottle type M.S. body with necessary accessories and screws complete</t>
        </is>
      </c>
      <c r="C2074" s="13" t="inlineStr">
        <is>
          <t>each</t>
        </is>
      </c>
      <c r="D2074" s="15" t="n">
        <v>10</v>
      </c>
      <c r="E2074" s="16" t="n">
        <v>673</v>
      </c>
      <c r="F2074" s="16">
        <f>D2074*E2074</f>
        <v/>
      </c>
    </row>
    <row r="2075">
      <c r="A2075" s="13" t="inlineStr">
        <is>
          <t>0451</t>
        </is>
      </c>
      <c r="B2075" s="14" t="inlineStr">
        <is>
          <t>Brass screws 30 mm</t>
        </is>
      </c>
      <c r="C2075" s="13" t="inlineStr">
        <is>
          <t>100 Nos</t>
        </is>
      </c>
      <c r="D2075" s="15" t="n">
        <v>0.6</v>
      </c>
      <c r="E2075" s="16" t="n">
        <v>140</v>
      </c>
      <c r="F2075" s="16">
        <f>D2075*E2075</f>
        <v/>
      </c>
    </row>
    <row r="2076">
      <c r="A2076" s="13" t="inlineStr">
        <is>
          <t>9977</t>
        </is>
      </c>
      <c r="B2076" s="14" t="inlineStr">
        <is>
          <t>Carriage of material</t>
        </is>
      </c>
      <c r="C2076" s="13" t="inlineStr">
        <is>
          <t>L.S.</t>
        </is>
      </c>
      <c r="D2076" s="15" t="n">
        <v>3.64</v>
      </c>
      <c r="E2076" s="16" t="n">
        <v>2</v>
      </c>
      <c r="F2076" s="16">
        <f>D2076*E2076</f>
        <v/>
      </c>
    </row>
    <row r="2077">
      <c r="A2077" s="13" t="inlineStr">
        <is>
          <t>0112</t>
        </is>
      </c>
      <c r="B2077" s="14" t="inlineStr">
        <is>
          <t>Carpenter 2nd class</t>
        </is>
      </c>
      <c r="C2077" s="13" t="inlineStr">
        <is>
          <t>day</t>
        </is>
      </c>
      <c r="D2077" s="15" t="n">
        <v>1</v>
      </c>
      <c r="E2077" s="16" t="n">
        <v>679</v>
      </c>
      <c r="F2077" s="16">
        <f>D2077*E2077</f>
        <v/>
      </c>
    </row>
    <row r="2078">
      <c r="A2078" s="17" t="inlineStr">
        <is>
          <t>Resource Total (Material + Labour + Machinery, as printed)</t>
        </is>
      </c>
      <c r="B2078" s="18" t="n"/>
      <c r="C2078" s="18" t="n"/>
      <c r="D2078" s="18" t="n"/>
      <c r="E2078" s="18" t="n"/>
      <c r="F2078" s="19">
        <f>SUM(F2074:F2077)</f>
        <v/>
      </c>
    </row>
    <row r="2079">
      <c r="A2079" s="20" t="inlineStr">
        <is>
          <t>SAY (Rs.) — final DAR rate</t>
        </is>
      </c>
      <c r="B2079" s="21" t="n"/>
      <c r="C2079" s="21" t="n"/>
      <c r="D2079" s="21" t="n"/>
      <c r="E2079" s="21" t="n"/>
      <c r="F2079" s="22" t="n">
        <v>1003.5</v>
      </c>
    </row>
    <row r="2081" ht="28" customHeight="1">
      <c r="A2081" s="9" t="inlineStr">
        <is>
          <t>9.84</t>
        </is>
      </c>
      <c r="B2081" s="10" t="inlineStr">
        <is>
          <t>Providing and fixing aluminium extruded section body tubular type universal hydraulic door closer (having brand logo with ISi, IS : 3564, em</t>
        </is>
      </c>
      <c r="C2081" s="11" t="n"/>
      <c r="D2081" s="11" t="n"/>
      <c r="E2081" s="11" t="n"/>
      <c r="F2081" s="11" t="n"/>
    </row>
    <row r="2082">
      <c r="A2082" s="12" t="inlineStr">
        <is>
          <t>Rate basis: per nos  (source: cost for 10 nos)</t>
        </is>
      </c>
    </row>
    <row r="2083">
      <c r="A2083" s="5" t="inlineStr">
        <is>
          <t>Code</t>
        </is>
      </c>
      <c r="B2083" s="5" t="inlineStr">
        <is>
          <t>Description</t>
        </is>
      </c>
      <c r="C2083" s="5" t="inlineStr">
        <is>
          <t>Unit</t>
        </is>
      </c>
      <c r="D2083" s="5" t="inlineStr">
        <is>
          <t>Quantity</t>
        </is>
      </c>
      <c r="E2083" s="5" t="inlineStr">
        <is>
          <t>Rate (Rs.)</t>
        </is>
      </c>
      <c r="F2083" s="5" t="inlineStr">
        <is>
          <t>Amount (Rs.)</t>
        </is>
      </c>
    </row>
    <row r="2084">
      <c r="A2084" s="13" t="inlineStr">
        <is>
          <t>7060</t>
        </is>
      </c>
      <c r="B2084" s="14" t="inlineStr">
        <is>
          <t>Hydraulic door closer tubular type Aluminium section body</t>
        </is>
      </c>
      <c r="C2084" s="13" t="inlineStr">
        <is>
          <t>each</t>
        </is>
      </c>
      <c r="D2084" s="15" t="n">
        <v>10</v>
      </c>
      <c r="E2084" s="16" t="n">
        <v>560</v>
      </c>
      <c r="F2084" s="16">
        <f>D2084*E2084</f>
        <v/>
      </c>
    </row>
    <row r="2085">
      <c r="A2085" s="13" t="inlineStr">
        <is>
          <t>0451</t>
        </is>
      </c>
      <c r="B2085" s="14" t="inlineStr">
        <is>
          <t>Brass screws 30 mm</t>
        </is>
      </c>
      <c r="C2085" s="13" t="inlineStr">
        <is>
          <t>100 Nos</t>
        </is>
      </c>
      <c r="D2085" s="15" t="n">
        <v>0.6</v>
      </c>
      <c r="E2085" s="16" t="n">
        <v>140</v>
      </c>
      <c r="F2085" s="16">
        <f>D2085*E2085</f>
        <v/>
      </c>
    </row>
    <row r="2086">
      <c r="A2086" s="13" t="inlineStr">
        <is>
          <t>9977</t>
        </is>
      </c>
      <c r="B2086" s="14" t="inlineStr">
        <is>
          <t>Carriage of material</t>
        </is>
      </c>
      <c r="C2086" s="13" t="inlineStr">
        <is>
          <t>L.S.</t>
        </is>
      </c>
      <c r="D2086" s="15" t="n">
        <v>1.04</v>
      </c>
      <c r="E2086" s="16" t="n">
        <v>2</v>
      </c>
      <c r="F2086" s="16">
        <f>D2086*E2086</f>
        <v/>
      </c>
    </row>
    <row r="2087">
      <c r="A2087" s="13" t="inlineStr">
        <is>
          <t>0112</t>
        </is>
      </c>
      <c r="B2087" s="14" t="inlineStr">
        <is>
          <t>Carpenter 2nd class</t>
        </is>
      </c>
      <c r="C2087" s="13" t="inlineStr">
        <is>
          <t>day</t>
        </is>
      </c>
      <c r="D2087" s="15" t="n">
        <v>1</v>
      </c>
      <c r="E2087" s="16" t="n">
        <v>679</v>
      </c>
      <c r="F2087" s="16">
        <f>D2087*E2087</f>
        <v/>
      </c>
    </row>
    <row r="2088">
      <c r="A2088" s="17" t="inlineStr">
        <is>
          <t>Resource Total (Material + Labour + Machinery, as printed)</t>
        </is>
      </c>
      <c r="B2088" s="18" t="n"/>
      <c r="C2088" s="18" t="n"/>
      <c r="D2088" s="18" t="n"/>
      <c r="E2088" s="18" t="n"/>
      <c r="F2088" s="19">
        <f>SUM(F2084:F2087)</f>
        <v/>
      </c>
    </row>
    <row r="2089">
      <c r="A2089" s="20" t="inlineStr">
        <is>
          <t>SAY (Rs.) — final DAR rate</t>
        </is>
      </c>
      <c r="B2089" s="21" t="n"/>
      <c r="C2089" s="21" t="n"/>
      <c r="D2089" s="21" t="n"/>
      <c r="E2089" s="21" t="n"/>
      <c r="F2089" s="22" t="n">
        <v>851.6</v>
      </c>
    </row>
    <row r="2091" ht="28" customHeight="1">
      <c r="A2091" s="9" t="inlineStr">
        <is>
          <t>9.85</t>
        </is>
      </c>
      <c r="B2091" s="10" t="inlineStr">
        <is>
          <t>Providing and fixing bright finished brass casement window fastener with necessary screws etc. complete.</t>
        </is>
      </c>
      <c r="C2091" s="11" t="n"/>
      <c r="D2091" s="11" t="n"/>
      <c r="E2091" s="11" t="n"/>
      <c r="F2091" s="11" t="n"/>
    </row>
    <row r="2092">
      <c r="A2092" s="12" t="inlineStr">
        <is>
          <t>Rate basis: per nos  (source: cost for 10 nos)</t>
        </is>
      </c>
    </row>
    <row r="2093">
      <c r="A2093" s="5" t="inlineStr">
        <is>
          <t>Code</t>
        </is>
      </c>
      <c r="B2093" s="5" t="inlineStr">
        <is>
          <t>Description</t>
        </is>
      </c>
      <c r="C2093" s="5" t="inlineStr">
        <is>
          <t>Unit</t>
        </is>
      </c>
      <c r="D2093" s="5" t="inlineStr">
        <is>
          <t>Quantity</t>
        </is>
      </c>
      <c r="E2093" s="5" t="inlineStr">
        <is>
          <t>Rate (Rs.)</t>
        </is>
      </c>
      <c r="F2093" s="5" t="inlineStr">
        <is>
          <t>Amount (Rs.)</t>
        </is>
      </c>
    </row>
    <row r="2094">
      <c r="A2094" s="13" t="inlineStr">
        <is>
          <t>0423</t>
        </is>
      </c>
      <c r="B2094" s="14" t="inlineStr">
        <is>
          <t>Brass casement window fastener</t>
        </is>
      </c>
      <c r="C2094" s="13" t="inlineStr">
        <is>
          <t>Each</t>
        </is>
      </c>
      <c r="D2094" s="15" t="n">
        <v>10</v>
      </c>
      <c r="E2094" s="16" t="n">
        <v>45</v>
      </c>
      <c r="F2094" s="16">
        <f>D2094*E2094</f>
        <v/>
      </c>
    </row>
    <row r="2095">
      <c r="A2095" s="13" t="inlineStr">
        <is>
          <t>0452</t>
        </is>
      </c>
      <c r="B2095" s="14" t="inlineStr">
        <is>
          <t>Brass screws 25 mm</t>
        </is>
      </c>
      <c r="C2095" s="13" t="inlineStr">
        <is>
          <t>100 Nos</t>
        </is>
      </c>
      <c r="D2095" s="15" t="n">
        <v>0.4</v>
      </c>
      <c r="E2095" s="16" t="n">
        <v>100</v>
      </c>
      <c r="F2095" s="16">
        <f>D2095*E2095</f>
        <v/>
      </c>
    </row>
    <row r="2096">
      <c r="A2096" s="13" t="inlineStr">
        <is>
          <t>9977</t>
        </is>
      </c>
      <c r="B2096" s="14" t="inlineStr">
        <is>
          <t>Carriage of material</t>
        </is>
      </c>
      <c r="C2096" s="13" t="inlineStr">
        <is>
          <t>L.S.</t>
        </is>
      </c>
      <c r="D2096" s="15" t="n">
        <v>0.91</v>
      </c>
      <c r="E2096" s="16" t="n">
        <v>2</v>
      </c>
      <c r="F2096" s="16">
        <f>D2096*E2096</f>
        <v/>
      </c>
    </row>
    <row r="2097">
      <c r="A2097" s="13" t="inlineStr">
        <is>
          <t>0111</t>
        </is>
      </c>
      <c r="B2097" s="14" t="inlineStr">
        <is>
          <t>Carpenter 1st class</t>
        </is>
      </c>
      <c r="C2097" s="13" t="inlineStr">
        <is>
          <t>day</t>
        </is>
      </c>
      <c r="D2097" s="15" t="n">
        <v>0.1</v>
      </c>
      <c r="E2097" s="16" t="n">
        <v>738</v>
      </c>
      <c r="F2097" s="16">
        <f>D2097*E2097</f>
        <v/>
      </c>
    </row>
    <row r="2098">
      <c r="A2098" s="17" t="inlineStr">
        <is>
          <t>Resource Total (Material + Labour + Machinery, as printed)</t>
        </is>
      </c>
      <c r="B2098" s="18" t="n"/>
      <c r="C2098" s="18" t="n"/>
      <c r="D2098" s="18" t="n"/>
      <c r="E2098" s="18" t="n"/>
      <c r="F2098" s="19">
        <f>SUM(F2094:F2097)</f>
        <v/>
      </c>
    </row>
    <row r="2099">
      <c r="A2099" s="20" t="inlineStr">
        <is>
          <t>SAY (Rs.) — final DAR rate</t>
        </is>
      </c>
      <c r="B2099" s="21" t="n"/>
      <c r="C2099" s="21" t="n"/>
      <c r="D2099" s="21" t="n"/>
      <c r="E2099" s="21" t="n"/>
      <c r="F2099" s="22" t="n">
        <v>75.7</v>
      </c>
    </row>
    <row r="2101" ht="18" customHeight="1">
      <c r="A2101" s="9" t="inlineStr">
        <is>
          <t>9.86.1</t>
        </is>
      </c>
      <c r="B2101" s="10" t="inlineStr">
        <is>
          <t>300 mm weighing not less than 330 gms</t>
        </is>
      </c>
      <c r="C2101" s="11" t="n"/>
      <c r="D2101" s="11" t="n"/>
      <c r="E2101" s="11" t="n"/>
      <c r="F2101" s="11" t="n"/>
    </row>
    <row r="2102">
      <c r="A2102" s="12" t="inlineStr">
        <is>
          <t>Rate basis: per nos  (source: cost for 10 nos)</t>
        </is>
      </c>
    </row>
    <row r="2103">
      <c r="A2103" s="5" t="inlineStr">
        <is>
          <t>Code</t>
        </is>
      </c>
      <c r="B2103" s="5" t="inlineStr">
        <is>
          <t>Description</t>
        </is>
      </c>
      <c r="C2103" s="5" t="inlineStr">
        <is>
          <t>Unit</t>
        </is>
      </c>
      <c r="D2103" s="5" t="inlineStr">
        <is>
          <t>Quantity</t>
        </is>
      </c>
      <c r="E2103" s="5" t="inlineStr">
        <is>
          <t>Rate (Rs.)</t>
        </is>
      </c>
      <c r="F2103" s="5" t="inlineStr">
        <is>
          <t>Amount (Rs.)</t>
        </is>
      </c>
    </row>
    <row r="2104">
      <c r="A2104" s="13" t="inlineStr">
        <is>
          <t>0424</t>
        </is>
      </c>
      <c r="B2104" s="14" t="inlineStr">
        <is>
          <t>Brass casement stays (straight peg type ) 300 mm weighing not less than 0.33 kg</t>
        </is>
      </c>
      <c r="C2104" s="13" t="inlineStr">
        <is>
          <t>each</t>
        </is>
      </c>
      <c r="D2104" s="15" t="n">
        <v>10</v>
      </c>
      <c r="E2104" s="16" t="n">
        <v>126</v>
      </c>
      <c r="F2104" s="16">
        <f>D2104*E2104</f>
        <v/>
      </c>
    </row>
    <row r="2105">
      <c r="A2105" s="13" t="inlineStr">
        <is>
          <t>0451</t>
        </is>
      </c>
      <c r="B2105" s="14" t="inlineStr">
        <is>
          <t>Brass screws 30 mm</t>
        </is>
      </c>
      <c r="C2105" s="13" t="inlineStr">
        <is>
          <t>100 Nos</t>
        </is>
      </c>
      <c r="D2105" s="15" t="n">
        <v>0.4</v>
      </c>
      <c r="E2105" s="16" t="n">
        <v>140</v>
      </c>
      <c r="F2105" s="16">
        <f>D2105*E2105</f>
        <v/>
      </c>
    </row>
    <row r="2106">
      <c r="A2106" s="13" t="inlineStr">
        <is>
          <t>9977</t>
        </is>
      </c>
      <c r="B2106" s="14" t="inlineStr">
        <is>
          <t>Carriage of material</t>
        </is>
      </c>
      <c r="C2106" s="13" t="inlineStr">
        <is>
          <t>L.S.</t>
        </is>
      </c>
      <c r="D2106" s="15" t="n">
        <v>0.91</v>
      </c>
      <c r="E2106" s="16" t="n">
        <v>2</v>
      </c>
      <c r="F2106" s="16">
        <f>D2106*E2106</f>
        <v/>
      </c>
    </row>
    <row r="2107">
      <c r="A2107" s="13" t="inlineStr">
        <is>
          <t>0111</t>
        </is>
      </c>
      <c r="B2107" s="14" t="inlineStr">
        <is>
          <t>Carpenter 1st class</t>
        </is>
      </c>
      <c r="C2107" s="13" t="inlineStr">
        <is>
          <t>day</t>
        </is>
      </c>
      <c r="D2107" s="15" t="n">
        <v>0.1</v>
      </c>
      <c r="E2107" s="16" t="n">
        <v>738</v>
      </c>
      <c r="F2107" s="16">
        <f>D2107*E2107</f>
        <v/>
      </c>
    </row>
    <row r="2108">
      <c r="A2108" s="17" t="inlineStr">
        <is>
          <t>Resource Total (Material + Labour + Machinery, as printed)</t>
        </is>
      </c>
      <c r="B2108" s="18" t="n"/>
      <c r="C2108" s="18" t="n"/>
      <c r="D2108" s="18" t="n"/>
      <c r="E2108" s="18" t="n"/>
      <c r="F2108" s="19">
        <f>SUM(F2104:F2107)</f>
        <v/>
      </c>
    </row>
    <row r="2109">
      <c r="A2109" s="20" t="inlineStr">
        <is>
          <t>SAY (Rs.) — final DAR rate</t>
        </is>
      </c>
      <c r="B2109" s="21" t="n"/>
      <c r="C2109" s="21" t="n"/>
      <c r="D2109" s="21" t="n"/>
      <c r="E2109" s="21" t="n"/>
      <c r="F2109" s="22" t="n">
        <v>186.2</v>
      </c>
    </row>
    <row r="2111" ht="18" customHeight="1">
      <c r="A2111" s="9" t="inlineStr">
        <is>
          <t>9.86.2</t>
        </is>
      </c>
      <c r="B2111" s="10" t="inlineStr">
        <is>
          <t>250 mm weighing not less than 280 gms</t>
        </is>
      </c>
      <c r="C2111" s="11" t="n"/>
      <c r="D2111" s="11" t="n"/>
      <c r="E2111" s="11" t="n"/>
      <c r="F2111" s="11" t="n"/>
    </row>
    <row r="2112">
      <c r="A2112" s="12" t="inlineStr">
        <is>
          <t>Rate basis: per nos  (source: cost for 10 nos)</t>
        </is>
      </c>
    </row>
    <row r="2113">
      <c r="A2113" s="5" t="inlineStr">
        <is>
          <t>Code</t>
        </is>
      </c>
      <c r="B2113" s="5" t="inlineStr">
        <is>
          <t>Description</t>
        </is>
      </c>
      <c r="C2113" s="5" t="inlineStr">
        <is>
          <t>Unit</t>
        </is>
      </c>
      <c r="D2113" s="5" t="inlineStr">
        <is>
          <t>Quantity</t>
        </is>
      </c>
      <c r="E2113" s="5" t="inlineStr">
        <is>
          <t>Rate (Rs.)</t>
        </is>
      </c>
      <c r="F2113" s="5" t="inlineStr">
        <is>
          <t>Amount (Rs.)</t>
        </is>
      </c>
    </row>
    <row r="2114">
      <c r="A2114" s="13" t="inlineStr">
        <is>
          <t>0425</t>
        </is>
      </c>
      <c r="B2114" s="14" t="inlineStr">
        <is>
          <t>Brass casement stays (straight peg type ) 250 mm weighing not less than 0.28 kg</t>
        </is>
      </c>
      <c r="C2114" s="13" t="inlineStr">
        <is>
          <t>each</t>
        </is>
      </c>
      <c r="D2114" s="15" t="n">
        <v>10</v>
      </c>
      <c r="E2114" s="16" t="n">
        <v>100</v>
      </c>
      <c r="F2114" s="16">
        <f>D2114*E2114</f>
        <v/>
      </c>
    </row>
    <row r="2115">
      <c r="A2115" s="13" t="inlineStr">
        <is>
          <t>0452</t>
        </is>
      </c>
      <c r="B2115" s="14" t="inlineStr">
        <is>
          <t>Brass screws 25 mm</t>
        </is>
      </c>
      <c r="C2115" s="13" t="inlineStr">
        <is>
          <t>100 Nos</t>
        </is>
      </c>
      <c r="D2115" s="15" t="n">
        <v>0.4</v>
      </c>
      <c r="E2115" s="16" t="n">
        <v>100</v>
      </c>
      <c r="F2115" s="16">
        <f>D2115*E2115</f>
        <v/>
      </c>
    </row>
    <row r="2116">
      <c r="A2116" s="13" t="inlineStr">
        <is>
          <t>9977</t>
        </is>
      </c>
      <c r="B2116" s="14" t="inlineStr">
        <is>
          <t>Carriage of material</t>
        </is>
      </c>
      <c r="C2116" s="13" t="inlineStr">
        <is>
          <t>L.S.</t>
        </is>
      </c>
      <c r="D2116" s="15" t="n">
        <v>0.91</v>
      </c>
      <c r="E2116" s="16" t="n">
        <v>2</v>
      </c>
      <c r="F2116" s="16">
        <f>D2116*E2116</f>
        <v/>
      </c>
    </row>
    <row r="2117">
      <c r="A2117" s="13" t="inlineStr">
        <is>
          <t>0111</t>
        </is>
      </c>
      <c r="B2117" s="14" t="inlineStr">
        <is>
          <t>Carpenter 1st class</t>
        </is>
      </c>
      <c r="C2117" s="13" t="inlineStr">
        <is>
          <t>day</t>
        </is>
      </c>
      <c r="D2117" s="15" t="n">
        <v>0.1</v>
      </c>
      <c r="E2117" s="16" t="n">
        <v>738</v>
      </c>
      <c r="F2117" s="16">
        <f>D2117*E2117</f>
        <v/>
      </c>
    </row>
    <row r="2118">
      <c r="A2118" s="17" t="inlineStr">
        <is>
          <t>Resource Total (Material + Labour + Machinery, as printed)</t>
        </is>
      </c>
      <c r="B2118" s="18" t="n"/>
      <c r="C2118" s="18" t="n"/>
      <c r="D2118" s="18" t="n"/>
      <c r="E2118" s="18" t="n"/>
      <c r="F2118" s="19">
        <f>SUM(F2114:F2117)</f>
        <v/>
      </c>
    </row>
    <row r="2119">
      <c r="A2119" s="20" t="inlineStr">
        <is>
          <t>SAY (Rs.) — final DAR rate</t>
        </is>
      </c>
      <c r="B2119" s="21" t="n"/>
      <c r="C2119" s="21" t="n"/>
      <c r="D2119" s="21" t="n"/>
      <c r="E2119" s="21" t="n"/>
      <c r="F2119" s="22" t="n">
        <v>149.25</v>
      </c>
    </row>
    <row r="2121" ht="18" customHeight="1">
      <c r="A2121" s="9" t="inlineStr">
        <is>
          <t>9.86.3</t>
        </is>
      </c>
      <c r="B2121" s="10" t="inlineStr">
        <is>
          <t>200 mm weighing not less than 240 gms</t>
        </is>
      </c>
      <c r="C2121" s="11" t="n"/>
      <c r="D2121" s="11" t="n"/>
      <c r="E2121" s="11" t="n"/>
      <c r="F2121" s="11" t="n"/>
    </row>
    <row r="2122">
      <c r="A2122" s="12" t="inlineStr">
        <is>
          <t>Rate basis: per nos  (source: cost for 10 nos)</t>
        </is>
      </c>
    </row>
    <row r="2123">
      <c r="A2123" s="5" t="inlineStr">
        <is>
          <t>Code</t>
        </is>
      </c>
      <c r="B2123" s="5" t="inlineStr">
        <is>
          <t>Description</t>
        </is>
      </c>
      <c r="C2123" s="5" t="inlineStr">
        <is>
          <t>Unit</t>
        </is>
      </c>
      <c r="D2123" s="5" t="inlineStr">
        <is>
          <t>Quantity</t>
        </is>
      </c>
      <c r="E2123" s="5" t="inlineStr">
        <is>
          <t>Rate (Rs.)</t>
        </is>
      </c>
      <c r="F2123" s="5" t="inlineStr">
        <is>
          <t>Amount (Rs.)</t>
        </is>
      </c>
    </row>
    <row r="2124">
      <c r="A2124" s="13" t="inlineStr">
        <is>
          <t>0426</t>
        </is>
      </c>
      <c r="B2124" s="14" t="inlineStr">
        <is>
          <t>Brass casement stays (straight peg type ) 200 mmweighing not less than 0.24 kg</t>
        </is>
      </c>
      <c r="C2124" s="13" t="inlineStr">
        <is>
          <t>each</t>
        </is>
      </c>
      <c r="D2124" s="15" t="n">
        <v>10</v>
      </c>
      <c r="E2124" s="16" t="n">
        <v>95</v>
      </c>
      <c r="F2124" s="16">
        <f>D2124*E2124</f>
        <v/>
      </c>
    </row>
    <row r="2125">
      <c r="A2125" s="13" t="inlineStr">
        <is>
          <t>0452</t>
        </is>
      </c>
      <c r="B2125" s="14" t="inlineStr">
        <is>
          <t>Brass screws 25 mm</t>
        </is>
      </c>
      <c r="C2125" s="13" t="inlineStr">
        <is>
          <t>100 Nos</t>
        </is>
      </c>
      <c r="D2125" s="15" t="n">
        <v>0.4</v>
      </c>
      <c r="E2125" s="16" t="n">
        <v>100</v>
      </c>
      <c r="F2125" s="16">
        <f>D2125*E2125</f>
        <v/>
      </c>
    </row>
    <row r="2126">
      <c r="A2126" s="13" t="inlineStr">
        <is>
          <t>9977</t>
        </is>
      </c>
      <c r="B2126" s="14" t="inlineStr">
        <is>
          <t>Carriage of material</t>
        </is>
      </c>
      <c r="C2126" s="13" t="inlineStr">
        <is>
          <t>L.S.</t>
        </is>
      </c>
      <c r="D2126" s="15" t="n">
        <v>0.91</v>
      </c>
      <c r="E2126" s="16" t="n">
        <v>2</v>
      </c>
      <c r="F2126" s="16">
        <f>D2126*E2126</f>
        <v/>
      </c>
    </row>
    <row r="2127">
      <c r="A2127" s="13" t="inlineStr">
        <is>
          <t>0111</t>
        </is>
      </c>
      <c r="B2127" s="14" t="inlineStr">
        <is>
          <t>Carpenter 1st class</t>
        </is>
      </c>
      <c r="C2127" s="13" t="inlineStr">
        <is>
          <t>day</t>
        </is>
      </c>
      <c r="D2127" s="15" t="n">
        <v>0.1</v>
      </c>
      <c r="E2127" s="16" t="n">
        <v>738</v>
      </c>
      <c r="F2127" s="16">
        <f>D2127*E2127</f>
        <v/>
      </c>
    </row>
    <row r="2128">
      <c r="A2128" s="17" t="inlineStr">
        <is>
          <t>Resource Total (Material + Labour + Machinery, as printed)</t>
        </is>
      </c>
      <c r="B2128" s="18" t="n"/>
      <c r="C2128" s="18" t="n"/>
      <c r="D2128" s="18" t="n"/>
      <c r="E2128" s="18" t="n"/>
      <c r="F2128" s="19">
        <f>SUM(F2124:F2127)</f>
        <v/>
      </c>
    </row>
    <row r="2129">
      <c r="A2129" s="20" t="inlineStr">
        <is>
          <t>SAY (Rs.) — final DAR rate</t>
        </is>
      </c>
      <c r="B2129" s="21" t="n"/>
      <c r="C2129" s="21" t="n"/>
      <c r="D2129" s="21" t="n"/>
      <c r="E2129" s="21" t="n"/>
      <c r="F2129" s="22" t="n">
        <v>142.55</v>
      </c>
    </row>
    <row r="2131" ht="18" customHeight="1">
      <c r="A2131" s="9" t="inlineStr">
        <is>
          <t>9.87.1</t>
        </is>
      </c>
      <c r="B2131" s="10" t="inlineStr">
        <is>
          <t>150 mm</t>
        </is>
      </c>
      <c r="C2131" s="11" t="n"/>
      <c r="D2131" s="11" t="n"/>
      <c r="E2131" s="11" t="n"/>
      <c r="F2131" s="11" t="n"/>
    </row>
    <row r="2132">
      <c r="A2132" s="12" t="inlineStr">
        <is>
          <t>Rate basis: per nos  (source: cost for 10 nos)</t>
        </is>
      </c>
    </row>
    <row r="2133">
      <c r="A2133" s="5" t="inlineStr">
        <is>
          <t>Code</t>
        </is>
      </c>
      <c r="B2133" s="5" t="inlineStr">
        <is>
          <t>Description</t>
        </is>
      </c>
      <c r="C2133" s="5" t="inlineStr">
        <is>
          <t>Unit</t>
        </is>
      </c>
      <c r="D2133" s="5" t="inlineStr">
        <is>
          <t>Quantity</t>
        </is>
      </c>
      <c r="E2133" s="5" t="inlineStr">
        <is>
          <t>Rate (Rs.)</t>
        </is>
      </c>
      <c r="F2133" s="5" t="inlineStr">
        <is>
          <t>Amount (Rs.)</t>
        </is>
      </c>
    </row>
    <row r="2134">
      <c r="A2134" s="13" t="inlineStr">
        <is>
          <t>0431</t>
        </is>
      </c>
      <c r="B2134" s="14" t="inlineStr">
        <is>
          <t>Brass hasps and staples (safety type) 150 mm</t>
        </is>
      </c>
      <c r="C2134" s="13" t="inlineStr">
        <is>
          <t>10 Nos</t>
        </is>
      </c>
      <c r="D2134" s="15" t="n">
        <v>1</v>
      </c>
      <c r="E2134" s="16" t="n">
        <v>740</v>
      </c>
      <c r="F2134" s="16">
        <f>D2134*E2134</f>
        <v/>
      </c>
    </row>
    <row r="2135">
      <c r="A2135" s="13" t="inlineStr">
        <is>
          <t>0452</t>
        </is>
      </c>
      <c r="B2135" s="14" t="inlineStr">
        <is>
          <t>Brass screws 25 mm</t>
        </is>
      </c>
      <c r="C2135" s="13" t="inlineStr">
        <is>
          <t>100 Nos</t>
        </is>
      </c>
      <c r="D2135" s="15" t="n">
        <v>0.8</v>
      </c>
      <c r="E2135" s="16" t="n">
        <v>100</v>
      </c>
      <c r="F2135" s="16">
        <f>D2135*E2135</f>
        <v/>
      </c>
    </row>
    <row r="2136">
      <c r="A2136" s="13" t="inlineStr">
        <is>
          <t>9977</t>
        </is>
      </c>
      <c r="B2136" s="14" t="inlineStr">
        <is>
          <t>Carriage of material</t>
        </is>
      </c>
      <c r="C2136" s="13" t="inlineStr">
        <is>
          <t>L.S.</t>
        </is>
      </c>
      <c r="D2136" s="15" t="n">
        <v>1.82</v>
      </c>
      <c r="E2136" s="16" t="n">
        <v>2</v>
      </c>
      <c r="F2136" s="16">
        <f>D2136*E2136</f>
        <v/>
      </c>
    </row>
    <row r="2137">
      <c r="A2137" s="13" t="inlineStr">
        <is>
          <t>0111</t>
        </is>
      </c>
      <c r="B2137" s="14" t="inlineStr">
        <is>
          <t>Carpenter 1st class</t>
        </is>
      </c>
      <c r="C2137" s="13" t="inlineStr">
        <is>
          <t>day</t>
        </is>
      </c>
      <c r="D2137" s="15" t="n">
        <v>0.08</v>
      </c>
      <c r="E2137" s="16" t="n">
        <v>738</v>
      </c>
      <c r="F2137" s="16">
        <f>D2137*E2137</f>
        <v/>
      </c>
    </row>
    <row r="2138">
      <c r="A2138" s="17" t="inlineStr">
        <is>
          <t>Resource Total (Material + Labour + Machinery, as printed)</t>
        </is>
      </c>
      <c r="B2138" s="18" t="n"/>
      <c r="C2138" s="18" t="n"/>
      <c r="D2138" s="18" t="n"/>
      <c r="E2138" s="18" t="n"/>
      <c r="F2138" s="19">
        <f>SUM(F2134:F2137)</f>
        <v/>
      </c>
    </row>
    <row r="2139">
      <c r="A2139" s="20" t="inlineStr">
        <is>
          <t>SAY (Rs.) — final DAR rate</t>
        </is>
      </c>
      <c r="B2139" s="21" t="n"/>
      <c r="C2139" s="21" t="n"/>
      <c r="D2139" s="21" t="n"/>
      <c r="E2139" s="21" t="n"/>
      <c r="F2139" s="22" t="n">
        <v>118.1</v>
      </c>
    </row>
    <row r="2141" ht="18" customHeight="1">
      <c r="A2141" s="9" t="inlineStr">
        <is>
          <t>9.87.2</t>
        </is>
      </c>
      <c r="B2141" s="10" t="inlineStr">
        <is>
          <t>115 mm</t>
        </is>
      </c>
      <c r="C2141" s="11" t="n"/>
      <c r="D2141" s="11" t="n"/>
      <c r="E2141" s="11" t="n"/>
      <c r="F2141" s="11" t="n"/>
    </row>
    <row r="2142">
      <c r="A2142" s="12" t="inlineStr">
        <is>
          <t>Rate basis: per nos  (source: cost for 10 nos)</t>
        </is>
      </c>
    </row>
    <row r="2143">
      <c r="A2143" s="5" t="inlineStr">
        <is>
          <t>Code</t>
        </is>
      </c>
      <c r="B2143" s="5" t="inlineStr">
        <is>
          <t>Description</t>
        </is>
      </c>
      <c r="C2143" s="5" t="inlineStr">
        <is>
          <t>Unit</t>
        </is>
      </c>
      <c r="D2143" s="5" t="inlineStr">
        <is>
          <t>Quantity</t>
        </is>
      </c>
      <c r="E2143" s="5" t="inlineStr">
        <is>
          <t>Rate (Rs.)</t>
        </is>
      </c>
      <c r="F2143" s="5" t="inlineStr">
        <is>
          <t>Amount (Rs.)</t>
        </is>
      </c>
    </row>
    <row r="2144">
      <c r="A2144" s="13" t="inlineStr">
        <is>
          <t>0432</t>
        </is>
      </c>
      <c r="B2144" s="14" t="inlineStr">
        <is>
          <t>Brass hasps and staples (safety type) 115 mm</t>
        </is>
      </c>
      <c r="C2144" s="13" t="inlineStr">
        <is>
          <t>10 Nos</t>
        </is>
      </c>
      <c r="D2144" s="15" t="n">
        <v>1</v>
      </c>
      <c r="E2144" s="16" t="n">
        <v>670</v>
      </c>
      <c r="F2144" s="16">
        <f>D2144*E2144</f>
        <v/>
      </c>
    </row>
    <row r="2145">
      <c r="A2145" s="13" t="inlineStr">
        <is>
          <t>0453</t>
        </is>
      </c>
      <c r="B2145" s="14" t="inlineStr">
        <is>
          <t>Brass screws 20 mm</t>
        </is>
      </c>
      <c r="C2145" s="13" t="inlineStr">
        <is>
          <t>100 Nos</t>
        </is>
      </c>
      <c r="D2145" s="15" t="n">
        <v>0.7</v>
      </c>
      <c r="E2145" s="16" t="n">
        <v>95</v>
      </c>
      <c r="F2145" s="16">
        <f>D2145*E2145</f>
        <v/>
      </c>
    </row>
    <row r="2146">
      <c r="A2146" s="13" t="inlineStr">
        <is>
          <t>9977</t>
        </is>
      </c>
      <c r="B2146" s="14" t="inlineStr">
        <is>
          <t>Carriage of material</t>
        </is>
      </c>
      <c r="C2146" s="13" t="inlineStr">
        <is>
          <t>L.S.</t>
        </is>
      </c>
      <c r="D2146" s="15" t="n">
        <v>1.82</v>
      </c>
      <c r="E2146" s="16" t="n">
        <v>2</v>
      </c>
      <c r="F2146" s="16">
        <f>D2146*E2146</f>
        <v/>
      </c>
    </row>
    <row r="2147">
      <c r="A2147" s="13" t="inlineStr">
        <is>
          <t>0111</t>
        </is>
      </c>
      <c r="B2147" s="14" t="inlineStr">
        <is>
          <t>Carpenter 1st class</t>
        </is>
      </c>
      <c r="C2147" s="13" t="inlineStr">
        <is>
          <t>day</t>
        </is>
      </c>
      <c r="D2147" s="15" t="n">
        <v>0.08</v>
      </c>
      <c r="E2147" s="16" t="n">
        <v>738</v>
      </c>
      <c r="F2147" s="16">
        <f>D2147*E2147</f>
        <v/>
      </c>
    </row>
    <row r="2148">
      <c r="A2148" s="17" t="inlineStr">
        <is>
          <t>Resource Total (Material + Labour + Machinery, as printed)</t>
        </is>
      </c>
      <c r="B2148" s="18" t="n"/>
      <c r="C2148" s="18" t="n"/>
      <c r="D2148" s="18" t="n"/>
      <c r="E2148" s="18" t="n"/>
      <c r="F2148" s="19">
        <f>SUM(F2144:F2147)</f>
        <v/>
      </c>
    </row>
    <row r="2149">
      <c r="A2149" s="20" t="inlineStr">
        <is>
          <t>SAY (Rs.) — final DAR rate</t>
        </is>
      </c>
      <c r="B2149" s="21" t="n"/>
      <c r="C2149" s="21" t="n"/>
      <c r="D2149" s="21" t="n"/>
      <c r="E2149" s="21" t="n"/>
      <c r="F2149" s="22" t="n">
        <v>106.95</v>
      </c>
    </row>
    <row r="2151" ht="18" customHeight="1">
      <c r="A2151" s="9" t="inlineStr">
        <is>
          <t>9.87.3</t>
        </is>
      </c>
      <c r="B2151" s="10" t="inlineStr">
        <is>
          <t>90 mm</t>
        </is>
      </c>
      <c r="C2151" s="11" t="n"/>
      <c r="D2151" s="11" t="n"/>
      <c r="E2151" s="11" t="n"/>
      <c r="F2151" s="11" t="n"/>
    </row>
    <row r="2152">
      <c r="A2152" s="12" t="inlineStr">
        <is>
          <t>Rate basis: per nos  (source: cost for 10 nos)</t>
        </is>
      </c>
    </row>
    <row r="2153">
      <c r="A2153" s="5" t="inlineStr">
        <is>
          <t>Code</t>
        </is>
      </c>
      <c r="B2153" s="5" t="inlineStr">
        <is>
          <t>Description</t>
        </is>
      </c>
      <c r="C2153" s="5" t="inlineStr">
        <is>
          <t>Unit</t>
        </is>
      </c>
      <c r="D2153" s="5" t="inlineStr">
        <is>
          <t>Quantity</t>
        </is>
      </c>
      <c r="E2153" s="5" t="inlineStr">
        <is>
          <t>Rate (Rs.)</t>
        </is>
      </c>
      <c r="F2153" s="5" t="inlineStr">
        <is>
          <t>Amount (Rs.)</t>
        </is>
      </c>
    </row>
    <row r="2154">
      <c r="A2154" s="13" t="inlineStr">
        <is>
          <t>0433</t>
        </is>
      </c>
      <c r="B2154" s="14" t="inlineStr">
        <is>
          <t>Brass hasps and staples (safety type) 90 mm</t>
        </is>
      </c>
      <c r="C2154" s="13" t="inlineStr">
        <is>
          <t>10 Nos</t>
        </is>
      </c>
      <c r="D2154" s="15" t="n">
        <v>1</v>
      </c>
      <c r="E2154" s="16" t="n">
        <v>575</v>
      </c>
      <c r="F2154" s="16">
        <f>D2154*E2154</f>
        <v/>
      </c>
    </row>
    <row r="2155">
      <c r="A2155" s="13" t="inlineStr">
        <is>
          <t>0453</t>
        </is>
      </c>
      <c r="B2155" s="14" t="inlineStr">
        <is>
          <t>Brass screws 20 mm</t>
        </is>
      </c>
      <c r="C2155" s="13" t="inlineStr">
        <is>
          <t>100 Nos</t>
        </is>
      </c>
      <c r="D2155" s="15" t="n">
        <v>0.7</v>
      </c>
      <c r="E2155" s="16" t="n">
        <v>95</v>
      </c>
      <c r="F2155" s="16">
        <f>D2155*E2155</f>
        <v/>
      </c>
    </row>
    <row r="2156">
      <c r="A2156" s="13" t="inlineStr">
        <is>
          <t>9977</t>
        </is>
      </c>
      <c r="B2156" s="14" t="inlineStr">
        <is>
          <t>Carriage of material</t>
        </is>
      </c>
      <c r="C2156" s="13" t="inlineStr">
        <is>
          <t>L.S.</t>
        </is>
      </c>
      <c r="D2156" s="15" t="n">
        <v>1.82</v>
      </c>
      <c r="E2156" s="16" t="n">
        <v>2</v>
      </c>
      <c r="F2156" s="16">
        <f>D2156*E2156</f>
        <v/>
      </c>
    </row>
    <row r="2157">
      <c r="A2157" s="13" t="inlineStr">
        <is>
          <t>0111</t>
        </is>
      </c>
      <c r="B2157" s="14" t="inlineStr">
        <is>
          <t>Carpenter 1st class</t>
        </is>
      </c>
      <c r="C2157" s="13" t="inlineStr">
        <is>
          <t>day</t>
        </is>
      </c>
      <c r="D2157" s="15" t="n">
        <v>0.08</v>
      </c>
      <c r="E2157" s="16" t="n">
        <v>738</v>
      </c>
      <c r="F2157" s="16">
        <f>D2157*E2157</f>
        <v/>
      </c>
    </row>
    <row r="2158">
      <c r="A2158" s="17" t="inlineStr">
        <is>
          <t>Resource Total (Material + Labour + Machinery, as printed)</t>
        </is>
      </c>
      <c r="B2158" s="18" t="n"/>
      <c r="C2158" s="18" t="n"/>
      <c r="D2158" s="18" t="n"/>
      <c r="E2158" s="18" t="n"/>
      <c r="F2158" s="19">
        <f>SUM(F2154:F2157)</f>
        <v/>
      </c>
    </row>
    <row r="2159">
      <c r="A2159" s="20" t="inlineStr">
        <is>
          <t>SAY (Rs.) — final DAR rate</t>
        </is>
      </c>
      <c r="B2159" s="21" t="n"/>
      <c r="C2159" s="21" t="n"/>
      <c r="D2159" s="21" t="n"/>
      <c r="E2159" s="21" t="n"/>
      <c r="F2159" s="22" t="n">
        <v>94.2</v>
      </c>
    </row>
    <row r="2161" ht="28" customHeight="1">
      <c r="A2161" s="9" t="inlineStr">
        <is>
          <t>9.88</t>
        </is>
      </c>
      <c r="B2161" s="10" t="inlineStr">
        <is>
          <t xml:space="preserve">Providing and fixing chromium plated brass 100 mm mortice latch and lock with 6 levers and a pair of lever handles of approved quality with </t>
        </is>
      </c>
      <c r="C2161" s="11" t="n"/>
      <c r="D2161" s="11" t="n"/>
      <c r="E2161" s="11" t="n"/>
      <c r="F2161" s="11" t="n"/>
    </row>
    <row r="2162">
      <c r="A2162" s="12" t="inlineStr">
        <is>
          <t>Rate basis: per nos  (source: cost for 1 nos)</t>
        </is>
      </c>
    </row>
    <row r="2163">
      <c r="A2163" s="5" t="inlineStr">
        <is>
          <t>Code</t>
        </is>
      </c>
      <c r="B2163" s="5" t="inlineStr">
        <is>
          <t>Description</t>
        </is>
      </c>
      <c r="C2163" s="5" t="inlineStr">
        <is>
          <t>Unit</t>
        </is>
      </c>
      <c r="D2163" s="5" t="inlineStr">
        <is>
          <t>Quantity</t>
        </is>
      </c>
      <c r="E2163" s="5" t="inlineStr">
        <is>
          <t>Rate (Rs.)</t>
        </is>
      </c>
      <c r="F2163" s="5" t="inlineStr">
        <is>
          <t>Amount (Rs.)</t>
        </is>
      </c>
    </row>
    <row r="2164">
      <c r="A2164" s="13" t="inlineStr">
        <is>
          <t>0558</t>
        </is>
      </c>
      <c r="B2164" s="14" t="inlineStr">
        <is>
          <t>Chromium plated Brass mortice latch and lock 100x65 mm with6 levers and a pair of brass lever handles</t>
        </is>
      </c>
      <c r="C2164" s="13" t="inlineStr">
        <is>
          <t>each</t>
        </is>
      </c>
      <c r="D2164" s="15" t="n">
        <v>1</v>
      </c>
      <c r="E2164" s="16" t="n">
        <v>470</v>
      </c>
      <c r="F2164" s="16">
        <f>D2164*E2164</f>
        <v/>
      </c>
    </row>
    <row r="2165">
      <c r="A2165" s="13" t="inlineStr">
        <is>
          <t>0111</t>
        </is>
      </c>
      <c r="B2165" s="14" t="inlineStr">
        <is>
          <t>Carpenter 1st class</t>
        </is>
      </c>
      <c r="C2165" s="13" t="inlineStr">
        <is>
          <t>day</t>
        </is>
      </c>
      <c r="D2165" s="15" t="n">
        <v>0.17</v>
      </c>
      <c r="E2165" s="16" t="n">
        <v>738</v>
      </c>
      <c r="F2165" s="16">
        <f>D2165*E2165</f>
        <v/>
      </c>
    </row>
    <row r="2166">
      <c r="A2166" s="13" t="inlineStr">
        <is>
          <t>9999</t>
        </is>
      </c>
      <c r="B2166" s="14" t="inlineStr">
        <is>
          <t>Sundries (screws, carriage etc.)</t>
        </is>
      </c>
      <c r="C2166" s="13" t="inlineStr">
        <is>
          <t>L.S.</t>
        </is>
      </c>
      <c r="D2166" s="15" t="n">
        <v>3.64</v>
      </c>
      <c r="E2166" s="16" t="n">
        <v>2</v>
      </c>
      <c r="F2166" s="16">
        <f>D2166*E2166</f>
        <v/>
      </c>
    </row>
    <row r="2167">
      <c r="A2167" s="17" t="inlineStr">
        <is>
          <t>Resource Total (Material + Labour + Machinery, as printed)</t>
        </is>
      </c>
      <c r="B2167" s="18" t="n"/>
      <c r="C2167" s="18" t="n"/>
      <c r="D2167" s="18" t="n"/>
      <c r="E2167" s="18" t="n"/>
      <c r="F2167" s="19">
        <f>SUM(F2164:F2166)</f>
        <v/>
      </c>
    </row>
    <row r="2168">
      <c r="A2168" s="20" t="inlineStr">
        <is>
          <t>SAY (Rs.) — final DAR rate</t>
        </is>
      </c>
      <c r="B2168" s="21" t="n"/>
      <c r="C2168" s="21" t="n"/>
      <c r="D2168" s="21" t="n"/>
      <c r="E2168" s="21" t="n"/>
      <c r="F2168" s="22" t="n">
        <v>806.45</v>
      </c>
    </row>
    <row r="2170" ht="28" customHeight="1">
      <c r="A2170" s="9" t="inlineStr">
        <is>
          <t>9.89</t>
        </is>
      </c>
      <c r="B2170" s="10" t="inlineStr">
        <is>
          <t>Providing and fixing chromium plated brass night latch of approved quality including necessary screws etc. complete.</t>
        </is>
      </c>
      <c r="C2170" s="11" t="n"/>
      <c r="D2170" s="11" t="n"/>
      <c r="E2170" s="11" t="n"/>
      <c r="F2170" s="11" t="n"/>
    </row>
    <row r="2171">
      <c r="A2171" s="12" t="inlineStr">
        <is>
          <t>Rate basis: per nos  (source: cost for 1 nos)</t>
        </is>
      </c>
    </row>
    <row r="2172">
      <c r="A2172" s="5" t="inlineStr">
        <is>
          <t>Code</t>
        </is>
      </c>
      <c r="B2172" s="5" t="inlineStr">
        <is>
          <t>Description</t>
        </is>
      </c>
      <c r="C2172" s="5" t="inlineStr">
        <is>
          <t>Unit</t>
        </is>
      </c>
      <c r="D2172" s="5" t="inlineStr">
        <is>
          <t>Quantity</t>
        </is>
      </c>
      <c r="E2172" s="5" t="inlineStr">
        <is>
          <t>Rate (Rs.)</t>
        </is>
      </c>
      <c r="F2172" s="5" t="inlineStr">
        <is>
          <t>Amount (Rs.)</t>
        </is>
      </c>
    </row>
    <row r="2173">
      <c r="A2173" s="13" t="inlineStr">
        <is>
          <t>0583</t>
        </is>
      </c>
      <c r="B2173" s="14" t="inlineStr">
        <is>
          <t>Chromium plated Brass Night latch</t>
        </is>
      </c>
      <c r="C2173" s="13" t="inlineStr">
        <is>
          <t>each</t>
        </is>
      </c>
      <c r="D2173" s="15" t="n">
        <v>1</v>
      </c>
      <c r="E2173" s="16" t="n">
        <v>500</v>
      </c>
      <c r="F2173" s="16">
        <f>D2173*E2173</f>
        <v/>
      </c>
    </row>
    <row r="2174">
      <c r="A2174" s="13" t="inlineStr">
        <is>
          <t>0111</t>
        </is>
      </c>
      <c r="B2174" s="14" t="inlineStr">
        <is>
          <t>Carpenter 1st class</t>
        </is>
      </c>
      <c r="C2174" s="13" t="inlineStr">
        <is>
          <t>day</t>
        </is>
      </c>
      <c r="D2174" s="15" t="n">
        <v>0.17</v>
      </c>
      <c r="E2174" s="16" t="n">
        <v>738</v>
      </c>
      <c r="F2174" s="16">
        <f>D2174*E2174</f>
        <v/>
      </c>
    </row>
    <row r="2175">
      <c r="A2175" s="13" t="inlineStr">
        <is>
          <t>9999</t>
        </is>
      </c>
      <c r="B2175" s="14" t="inlineStr">
        <is>
          <t>Sundries (screws, carriage etc.)</t>
        </is>
      </c>
      <c r="C2175" s="13" t="inlineStr">
        <is>
          <t>L.S.</t>
        </is>
      </c>
      <c r="D2175" s="15" t="n">
        <v>3.64</v>
      </c>
      <c r="E2175" s="16" t="n">
        <v>2</v>
      </c>
      <c r="F2175" s="16">
        <f>D2175*E2175</f>
        <v/>
      </c>
    </row>
    <row r="2176">
      <c r="A2176" s="17" t="inlineStr">
        <is>
          <t>Resource Total (Material + Labour + Machinery, as printed)</t>
        </is>
      </c>
      <c r="B2176" s="18" t="n"/>
      <c r="C2176" s="18" t="n"/>
      <c r="D2176" s="18" t="n"/>
      <c r="E2176" s="18" t="n"/>
      <c r="F2176" s="19">
        <f>SUM(F2173:F2175)</f>
        <v/>
      </c>
    </row>
    <row r="2177">
      <c r="A2177" s="20" t="inlineStr">
        <is>
          <t>SAY (Rs.) — final DAR rate</t>
        </is>
      </c>
      <c r="B2177" s="21" t="n"/>
      <c r="C2177" s="21" t="n"/>
      <c r="D2177" s="21" t="n"/>
      <c r="E2177" s="21" t="n"/>
      <c r="F2177" s="22" t="n">
        <v>846.55</v>
      </c>
    </row>
    <row r="2179" ht="18" customHeight="1">
      <c r="A2179" s="9" t="inlineStr">
        <is>
          <t>9.90.1</t>
        </is>
      </c>
      <c r="B2179" s="10" t="inlineStr">
        <is>
          <t>Size 40 mm</t>
        </is>
      </c>
      <c r="C2179" s="11" t="n"/>
      <c r="D2179" s="11" t="n"/>
      <c r="E2179" s="11" t="n"/>
      <c r="F2179" s="11" t="n"/>
    </row>
    <row r="2180">
      <c r="A2180" s="12" t="inlineStr">
        <is>
          <t>Rate basis: per nos  (source: cost for 1 nos)</t>
        </is>
      </c>
    </row>
    <row r="2181">
      <c r="A2181" s="5" t="inlineStr">
        <is>
          <t>Code</t>
        </is>
      </c>
      <c r="B2181" s="5" t="inlineStr">
        <is>
          <t>Description</t>
        </is>
      </c>
      <c r="C2181" s="5" t="inlineStr">
        <is>
          <t>Unit</t>
        </is>
      </c>
      <c r="D2181" s="5" t="inlineStr">
        <is>
          <t>Quantity</t>
        </is>
      </c>
      <c r="E2181" s="5" t="inlineStr">
        <is>
          <t>Rate (Rs.)</t>
        </is>
      </c>
      <c r="F2181" s="5" t="inlineStr">
        <is>
          <t>Amount (Rs.)</t>
        </is>
      </c>
    </row>
    <row r="2182">
      <c r="A2182" s="13" t="inlineStr">
        <is>
          <t>2468</t>
        </is>
      </c>
      <c r="B2182" s="14" t="inlineStr">
        <is>
          <t>Nickled Chromium Brass cupboard lock 40 mm size</t>
        </is>
      </c>
      <c r="C2182" s="13" t="inlineStr">
        <is>
          <t>each</t>
        </is>
      </c>
      <c r="D2182" s="15" t="n">
        <v>1</v>
      </c>
      <c r="E2182" s="16" t="n">
        <v>60</v>
      </c>
      <c r="F2182" s="16">
        <f>D2182*E2182</f>
        <v/>
      </c>
    </row>
    <row r="2183">
      <c r="A2183" s="13" t="inlineStr">
        <is>
          <t>0111</t>
        </is>
      </c>
      <c r="B2183" s="14" t="inlineStr">
        <is>
          <t>Carpenter 1st class</t>
        </is>
      </c>
      <c r="C2183" s="13" t="inlineStr">
        <is>
          <t>day</t>
        </is>
      </c>
      <c r="D2183" s="15" t="n">
        <v>0.17</v>
      </c>
      <c r="E2183" s="16" t="n">
        <v>738</v>
      </c>
      <c r="F2183" s="16">
        <f>D2183*E2183</f>
        <v/>
      </c>
    </row>
    <row r="2184">
      <c r="A2184" s="13" t="inlineStr">
        <is>
          <t>9999</t>
        </is>
      </c>
      <c r="B2184" s="14" t="inlineStr">
        <is>
          <t>Sundries &amp; screws</t>
        </is>
      </c>
      <c r="C2184" s="13" t="inlineStr">
        <is>
          <t>L.S.</t>
        </is>
      </c>
      <c r="D2184" s="15" t="n">
        <v>3.64</v>
      </c>
      <c r="E2184" s="16" t="n">
        <v>2</v>
      </c>
      <c r="F2184" s="16">
        <f>D2184*E2184</f>
        <v/>
      </c>
    </row>
    <row r="2185">
      <c r="A2185" s="17" t="inlineStr">
        <is>
          <t>Resource Total (Material + Labour + Machinery, as printed)</t>
        </is>
      </c>
      <c r="B2185" s="18" t="n"/>
      <c r="C2185" s="18" t="n"/>
      <c r="D2185" s="18" t="n"/>
      <c r="E2185" s="18" t="n"/>
      <c r="F2185" s="19">
        <f>SUM(F2182:F2184)</f>
        <v/>
      </c>
    </row>
    <row r="2186">
      <c r="A2186" s="20" t="inlineStr">
        <is>
          <t>SAY (Rs.) — final DAR rate</t>
        </is>
      </c>
      <c r="B2186" s="21" t="n"/>
      <c r="C2186" s="21" t="n"/>
      <c r="D2186" s="21" t="n"/>
      <c r="E2186" s="21" t="n"/>
      <c r="F2186" s="22" t="n">
        <v>257.85</v>
      </c>
    </row>
    <row r="2188" ht="18" customHeight="1">
      <c r="A2188" s="9" t="inlineStr">
        <is>
          <t>9.90.2</t>
        </is>
      </c>
      <c r="B2188" s="10" t="inlineStr">
        <is>
          <t>Size 50 mm</t>
        </is>
      </c>
      <c r="C2188" s="11" t="n"/>
      <c r="D2188" s="11" t="n"/>
      <c r="E2188" s="11" t="n"/>
      <c r="F2188" s="11" t="n"/>
    </row>
    <row r="2189">
      <c r="A2189" s="12" t="inlineStr">
        <is>
          <t>Rate basis: per nos  (source: cost for 1 nos)</t>
        </is>
      </c>
    </row>
    <row r="2190">
      <c r="A2190" s="5" t="inlineStr">
        <is>
          <t>Code</t>
        </is>
      </c>
      <c r="B2190" s="5" t="inlineStr">
        <is>
          <t>Description</t>
        </is>
      </c>
      <c r="C2190" s="5" t="inlineStr">
        <is>
          <t>Unit</t>
        </is>
      </c>
      <c r="D2190" s="5" t="inlineStr">
        <is>
          <t>Quantity</t>
        </is>
      </c>
      <c r="E2190" s="5" t="inlineStr">
        <is>
          <t>Rate (Rs.)</t>
        </is>
      </c>
      <c r="F2190" s="5" t="inlineStr">
        <is>
          <t>Amount (Rs.)</t>
        </is>
      </c>
    </row>
    <row r="2191">
      <c r="A2191" s="13" t="inlineStr">
        <is>
          <t>2469</t>
        </is>
      </c>
      <c r="B2191" s="14" t="inlineStr">
        <is>
          <t>Nickled Chromium Brass cupboard lock 50 mm size</t>
        </is>
      </c>
      <c r="C2191" s="13" t="inlineStr">
        <is>
          <t>each</t>
        </is>
      </c>
      <c r="D2191" s="15" t="n">
        <v>1</v>
      </c>
      <c r="E2191" s="16" t="n">
        <v>70</v>
      </c>
      <c r="F2191" s="16">
        <f>D2191*E2191</f>
        <v/>
      </c>
    </row>
    <row r="2192">
      <c r="A2192" s="13" t="inlineStr">
        <is>
          <t>0111</t>
        </is>
      </c>
      <c r="B2192" s="14" t="inlineStr">
        <is>
          <t>Carpenter 1st class</t>
        </is>
      </c>
      <c r="C2192" s="13" t="inlineStr">
        <is>
          <t>day</t>
        </is>
      </c>
      <c r="D2192" s="15" t="n">
        <v>0.17</v>
      </c>
      <c r="E2192" s="16" t="n">
        <v>738</v>
      </c>
      <c r="F2192" s="16">
        <f>D2192*E2192</f>
        <v/>
      </c>
    </row>
    <row r="2193">
      <c r="A2193" s="13" t="inlineStr">
        <is>
          <t>9999</t>
        </is>
      </c>
      <c r="B2193" s="14" t="inlineStr">
        <is>
          <t>Sundries &amp; screws</t>
        </is>
      </c>
      <c r="C2193" s="13" t="inlineStr">
        <is>
          <t>L.S.</t>
        </is>
      </c>
      <c r="D2193" s="15" t="n">
        <v>3.64</v>
      </c>
      <c r="E2193" s="16" t="n">
        <v>2</v>
      </c>
      <c r="F2193" s="16">
        <f>D2193*E2193</f>
        <v/>
      </c>
    </row>
    <row r="2194">
      <c r="A2194" s="17" t="inlineStr">
        <is>
          <t>Resource Total (Material + Labour + Machinery, as printed)</t>
        </is>
      </c>
      <c r="B2194" s="18" t="n"/>
      <c r="C2194" s="18" t="n"/>
      <c r="D2194" s="18" t="n"/>
      <c r="E2194" s="18" t="n"/>
      <c r="F2194" s="19">
        <f>SUM(F2191:F2193)</f>
        <v/>
      </c>
    </row>
    <row r="2195">
      <c r="A2195" s="20" t="inlineStr">
        <is>
          <t>SAY (Rs.) — final DAR rate</t>
        </is>
      </c>
      <c r="B2195" s="21" t="n"/>
      <c r="C2195" s="21" t="n"/>
      <c r="D2195" s="21" t="n"/>
      <c r="E2195" s="21" t="n"/>
      <c r="F2195" s="22" t="n">
        <v>271.25</v>
      </c>
    </row>
    <row r="2197" ht="18" customHeight="1">
      <c r="A2197" s="9" t="inlineStr">
        <is>
          <t>9.90.3</t>
        </is>
      </c>
      <c r="B2197" s="10" t="inlineStr">
        <is>
          <t>Size 65 mm</t>
        </is>
      </c>
      <c r="C2197" s="11" t="n"/>
      <c r="D2197" s="11" t="n"/>
      <c r="E2197" s="11" t="n"/>
      <c r="F2197" s="11" t="n"/>
    </row>
    <row r="2198">
      <c r="A2198" s="12" t="inlineStr">
        <is>
          <t>Rate basis: per nos  (source: cost for 1 nos)</t>
        </is>
      </c>
    </row>
    <row r="2199">
      <c r="A2199" s="5" t="inlineStr">
        <is>
          <t>Code</t>
        </is>
      </c>
      <c r="B2199" s="5" t="inlineStr">
        <is>
          <t>Description</t>
        </is>
      </c>
      <c r="C2199" s="5" t="inlineStr">
        <is>
          <t>Unit</t>
        </is>
      </c>
      <c r="D2199" s="5" t="inlineStr">
        <is>
          <t>Quantity</t>
        </is>
      </c>
      <c r="E2199" s="5" t="inlineStr">
        <is>
          <t>Rate (Rs.)</t>
        </is>
      </c>
      <c r="F2199" s="5" t="inlineStr">
        <is>
          <t>Amount (Rs.)</t>
        </is>
      </c>
    </row>
    <row r="2200">
      <c r="A2200" s="13" t="inlineStr">
        <is>
          <t>2470</t>
        </is>
      </c>
      <c r="B2200" s="14" t="inlineStr">
        <is>
          <t>Nickled Chromium Brass cupboard lock 65 mm size</t>
        </is>
      </c>
      <c r="C2200" s="13" t="inlineStr">
        <is>
          <t>each</t>
        </is>
      </c>
      <c r="D2200" s="15" t="n">
        <v>1</v>
      </c>
      <c r="E2200" s="16" t="n">
        <v>95</v>
      </c>
      <c r="F2200" s="16">
        <f>D2200*E2200</f>
        <v/>
      </c>
    </row>
    <row r="2201">
      <c r="A2201" s="13" t="inlineStr">
        <is>
          <t>0111</t>
        </is>
      </c>
      <c r="B2201" s="14" t="inlineStr">
        <is>
          <t>Carpenter 1st class</t>
        </is>
      </c>
      <c r="C2201" s="13" t="inlineStr">
        <is>
          <t>day</t>
        </is>
      </c>
      <c r="D2201" s="15" t="n">
        <v>0.17</v>
      </c>
      <c r="E2201" s="16" t="n">
        <v>738</v>
      </c>
      <c r="F2201" s="16">
        <f>D2201*E2201</f>
        <v/>
      </c>
    </row>
    <row r="2202">
      <c r="A2202" s="13" t="inlineStr">
        <is>
          <t>9999</t>
        </is>
      </c>
      <c r="B2202" s="14" t="inlineStr">
        <is>
          <t>Sundries &amp; screws</t>
        </is>
      </c>
      <c r="C2202" s="13" t="inlineStr">
        <is>
          <t>L.S.</t>
        </is>
      </c>
      <c r="D2202" s="15" t="n">
        <v>3.64</v>
      </c>
      <c r="E2202" s="16" t="n">
        <v>2</v>
      </c>
      <c r="F2202" s="16">
        <f>D2202*E2202</f>
        <v/>
      </c>
    </row>
    <row r="2203">
      <c r="A2203" s="17" t="inlineStr">
        <is>
          <t>Resource Total (Material + Labour + Machinery, as printed)</t>
        </is>
      </c>
      <c r="B2203" s="18" t="n"/>
      <c r="C2203" s="18" t="n"/>
      <c r="D2203" s="18" t="n"/>
      <c r="E2203" s="18" t="n"/>
      <c r="F2203" s="19">
        <f>SUM(F2200:F2202)</f>
        <v/>
      </c>
    </row>
    <row r="2204">
      <c r="A2204" s="20" t="inlineStr">
        <is>
          <t>SAY (Rs.) — final DAR rate</t>
        </is>
      </c>
      <c r="B2204" s="21" t="n"/>
      <c r="C2204" s="21" t="n"/>
      <c r="D2204" s="21" t="n"/>
      <c r="E2204" s="21" t="n"/>
      <c r="F2204" s="22" t="n">
        <v>304.7</v>
      </c>
    </row>
    <row r="2206" ht="18" customHeight="1">
      <c r="A2206" s="9" t="inlineStr">
        <is>
          <t>9.90.4</t>
        </is>
      </c>
      <c r="B2206" s="10" t="inlineStr">
        <is>
          <t>Size 75 mm</t>
        </is>
      </c>
      <c r="C2206" s="11" t="n"/>
      <c r="D2206" s="11" t="n"/>
      <c r="E2206" s="11" t="n"/>
      <c r="F2206" s="11" t="n"/>
    </row>
    <row r="2207">
      <c r="A2207" s="12" t="inlineStr">
        <is>
          <t>Rate basis: per nos  (source: cost for 1 nos)</t>
        </is>
      </c>
    </row>
    <row r="2208">
      <c r="A2208" s="5" t="inlineStr">
        <is>
          <t>Code</t>
        </is>
      </c>
      <c r="B2208" s="5" t="inlineStr">
        <is>
          <t>Description</t>
        </is>
      </c>
      <c r="C2208" s="5" t="inlineStr">
        <is>
          <t>Unit</t>
        </is>
      </c>
      <c r="D2208" s="5" t="inlineStr">
        <is>
          <t>Quantity</t>
        </is>
      </c>
      <c r="E2208" s="5" t="inlineStr">
        <is>
          <t>Rate (Rs.)</t>
        </is>
      </c>
      <c r="F2208" s="5" t="inlineStr">
        <is>
          <t>Amount (Rs.)</t>
        </is>
      </c>
    </row>
    <row r="2209">
      <c r="A2209" s="13" t="inlineStr">
        <is>
          <t>2471</t>
        </is>
      </c>
      <c r="B2209" s="14" t="inlineStr">
        <is>
          <t>Nickled Chromium Brass cupboard lock 75 mm size</t>
        </is>
      </c>
      <c r="C2209" s="13" t="inlineStr">
        <is>
          <t>each</t>
        </is>
      </c>
      <c r="D2209" s="15" t="n">
        <v>1</v>
      </c>
      <c r="E2209" s="16" t="n">
        <v>120</v>
      </c>
      <c r="F2209" s="16">
        <f>D2209*E2209</f>
        <v/>
      </c>
    </row>
    <row r="2210">
      <c r="A2210" s="13" t="inlineStr">
        <is>
          <t>0111</t>
        </is>
      </c>
      <c r="B2210" s="14" t="inlineStr">
        <is>
          <t>Carpenter 1st class</t>
        </is>
      </c>
      <c r="C2210" s="13" t="inlineStr">
        <is>
          <t>day</t>
        </is>
      </c>
      <c r="D2210" s="15" t="n">
        <v>0.17</v>
      </c>
      <c r="E2210" s="16" t="n">
        <v>738</v>
      </c>
      <c r="F2210" s="16">
        <f>D2210*E2210</f>
        <v/>
      </c>
    </row>
    <row r="2211">
      <c r="A2211" s="13" t="inlineStr">
        <is>
          <t>9999</t>
        </is>
      </c>
      <c r="B2211" s="14" t="inlineStr">
        <is>
          <t>Sundries &amp; screws</t>
        </is>
      </c>
      <c r="C2211" s="13" t="inlineStr">
        <is>
          <t>L.S.</t>
        </is>
      </c>
      <c r="D2211" s="15" t="n">
        <v>3.64</v>
      </c>
      <c r="E2211" s="16" t="n">
        <v>2</v>
      </c>
      <c r="F2211" s="16">
        <f>D2211*E2211</f>
        <v/>
      </c>
    </row>
    <row r="2212">
      <c r="A2212" s="17" t="inlineStr">
        <is>
          <t>Resource Total (Material + Labour + Machinery, as printed)</t>
        </is>
      </c>
      <c r="B2212" s="18" t="n"/>
      <c r="C2212" s="18" t="n"/>
      <c r="D2212" s="18" t="n"/>
      <c r="E2212" s="18" t="n"/>
      <c r="F2212" s="19">
        <f>SUM(F2209:F2211)</f>
        <v/>
      </c>
    </row>
    <row r="2213">
      <c r="A2213" s="20" t="inlineStr">
        <is>
          <t>SAY (Rs.) — final DAR rate</t>
        </is>
      </c>
      <c r="B2213" s="21" t="n"/>
      <c r="C2213" s="21" t="n"/>
      <c r="D2213" s="21" t="n"/>
      <c r="E2213" s="21" t="n"/>
      <c r="F2213" s="22" t="n">
        <v>338.15</v>
      </c>
    </row>
    <row r="2215" ht="28" customHeight="1">
      <c r="A2215" s="9" t="inlineStr">
        <is>
          <t>9.91</t>
        </is>
      </c>
      <c r="B2215" s="10" t="inlineStr">
        <is>
          <t>Providing and fixing chromium plated brass 50 mm cupboard or wardrobe knobs with nuts complete.</t>
        </is>
      </c>
      <c r="C2215" s="11" t="n"/>
      <c r="D2215" s="11" t="n"/>
      <c r="E2215" s="11" t="n"/>
      <c r="F2215" s="11" t="n"/>
    </row>
    <row r="2216">
      <c r="A2216" s="12" t="inlineStr">
        <is>
          <t>Rate basis: per nos  (source: cost for 10 nos)</t>
        </is>
      </c>
    </row>
    <row r="2217">
      <c r="A2217" s="5" t="inlineStr">
        <is>
          <t>Code</t>
        </is>
      </c>
      <c r="B2217" s="5" t="inlineStr">
        <is>
          <t>Description</t>
        </is>
      </c>
      <c r="C2217" s="5" t="inlineStr">
        <is>
          <t>Unit</t>
        </is>
      </c>
      <c r="D2217" s="5" t="inlineStr">
        <is>
          <t>Quantity</t>
        </is>
      </c>
      <c r="E2217" s="5" t="inlineStr">
        <is>
          <t>Rate (Rs.)</t>
        </is>
      </c>
      <c r="F2217" s="5" t="inlineStr">
        <is>
          <t>Amount (Rs.)</t>
        </is>
      </c>
    </row>
    <row r="2218">
      <c r="A2218" s="13" t="inlineStr">
        <is>
          <t>0584</t>
        </is>
      </c>
      <c r="B2218" s="14" t="inlineStr">
        <is>
          <t>Chromium plated Brass Wardrobe Knobe 50 mm</t>
        </is>
      </c>
      <c r="C2218" s="13" t="inlineStr">
        <is>
          <t>each</t>
        </is>
      </c>
      <c r="D2218" s="15" t="n">
        <v>10</v>
      </c>
      <c r="E2218" s="16" t="n">
        <v>80</v>
      </c>
      <c r="F2218" s="16">
        <f>D2218*E2218</f>
        <v/>
      </c>
    </row>
    <row r="2219">
      <c r="A2219" s="13" t="inlineStr">
        <is>
          <t>9977</t>
        </is>
      </c>
      <c r="B2219" s="14" t="inlineStr">
        <is>
          <t>Carriage of material</t>
        </is>
      </c>
      <c r="C2219" s="13" t="inlineStr">
        <is>
          <t>L.S.</t>
        </is>
      </c>
      <c r="D2219" s="15" t="n">
        <v>2.73</v>
      </c>
      <c r="E2219" s="16" t="n">
        <v>2</v>
      </c>
      <c r="F2219" s="16">
        <f>D2219*E2219</f>
        <v/>
      </c>
    </row>
    <row r="2220">
      <c r="A2220" s="13" t="inlineStr">
        <is>
          <t>0111</t>
        </is>
      </c>
      <c r="B2220" s="14" t="inlineStr">
        <is>
          <t>Carpenter 1st class</t>
        </is>
      </c>
      <c r="C2220" s="13" t="inlineStr">
        <is>
          <t>day</t>
        </is>
      </c>
      <c r="D2220" s="15" t="n">
        <v>0.14</v>
      </c>
      <c r="E2220" s="16" t="n">
        <v>738</v>
      </c>
      <c r="F2220" s="16">
        <f>D2220*E2220</f>
        <v/>
      </c>
    </row>
    <row r="2221">
      <c r="A2221" s="17" t="inlineStr">
        <is>
          <t>Resource Total (Material + Labour + Machinery, as printed)</t>
        </is>
      </c>
      <c r="B2221" s="18" t="n"/>
      <c r="C2221" s="18" t="n"/>
      <c r="D2221" s="18" t="n"/>
      <c r="E2221" s="18" t="n"/>
      <c r="F2221" s="19">
        <f>SUM(F2218:F2220)</f>
        <v/>
      </c>
    </row>
    <row r="2222">
      <c r="A2222" s="20" t="inlineStr">
        <is>
          <t>SAY (Rs.) — final DAR rate</t>
        </is>
      </c>
      <c r="B2222" s="21" t="n"/>
      <c r="C2222" s="21" t="n"/>
      <c r="D2222" s="21" t="n"/>
      <c r="E2222" s="21" t="n"/>
      <c r="F2222" s="22" t="n">
        <v>121.6</v>
      </c>
    </row>
    <row r="2224" ht="18" customHeight="1">
      <c r="A2224" s="9" t="inlineStr">
        <is>
          <t>9.92.1</t>
        </is>
      </c>
      <c r="B2224" s="10" t="inlineStr">
        <is>
          <t>125 mm</t>
        </is>
      </c>
      <c r="C2224" s="11" t="n"/>
      <c r="D2224" s="11" t="n"/>
      <c r="E2224" s="11" t="n"/>
      <c r="F2224" s="11" t="n"/>
    </row>
    <row r="2225">
      <c r="A2225" s="12" t="inlineStr">
        <is>
          <t>Rate basis: per nos  (source: cost for 10 nos)</t>
        </is>
      </c>
    </row>
    <row r="2226">
      <c r="A2226" s="5" t="inlineStr">
        <is>
          <t>Code</t>
        </is>
      </c>
      <c r="B2226" s="5" t="inlineStr">
        <is>
          <t>Description</t>
        </is>
      </c>
      <c r="C2226" s="5" t="inlineStr">
        <is>
          <t>Unit</t>
        </is>
      </c>
      <c r="D2226" s="5" t="inlineStr">
        <is>
          <t>Quantity</t>
        </is>
      </c>
      <c r="E2226" s="5" t="inlineStr">
        <is>
          <t>Rate (Rs.)</t>
        </is>
      </c>
      <c r="F2226" s="5" t="inlineStr">
        <is>
          <t>Amount (Rs.)</t>
        </is>
      </c>
    </row>
    <row r="2227">
      <c r="A2227" s="13" t="inlineStr">
        <is>
          <t>0555</t>
        </is>
      </c>
      <c r="B2227" s="14" t="inlineStr">
        <is>
          <t>Chromium plated Brass handles 125 mm with plate 175 x32 mm</t>
        </is>
      </c>
      <c r="C2227" s="13" t="inlineStr">
        <is>
          <t>each</t>
        </is>
      </c>
      <c r="D2227" s="15" t="n">
        <v>10</v>
      </c>
      <c r="E2227" s="16" t="n">
        <v>160</v>
      </c>
      <c r="F2227" s="16">
        <f>D2227*E2227</f>
        <v/>
      </c>
    </row>
    <row r="2228">
      <c r="A2228" s="13" t="inlineStr">
        <is>
          <t>0452</t>
        </is>
      </c>
      <c r="B2228" s="14" t="inlineStr">
        <is>
          <t>Brass screws 25 mm</t>
        </is>
      </c>
      <c r="C2228" s="13" t="inlineStr">
        <is>
          <t>100 Nos</t>
        </is>
      </c>
      <c r="D2228" s="15" t="n">
        <v>0.4</v>
      </c>
      <c r="E2228" s="16" t="n">
        <v>100</v>
      </c>
      <c r="F2228" s="16">
        <f>D2228*E2228</f>
        <v/>
      </c>
    </row>
    <row r="2229">
      <c r="A2229" s="13" t="inlineStr">
        <is>
          <t>9977</t>
        </is>
      </c>
      <c r="B2229" s="14" t="inlineStr">
        <is>
          <t>Carriage of material</t>
        </is>
      </c>
      <c r="C2229" s="13" t="inlineStr">
        <is>
          <t>L.S.</t>
        </is>
      </c>
      <c r="D2229" s="15" t="n">
        <v>2.73</v>
      </c>
      <c r="E2229" s="16" t="n">
        <v>2</v>
      </c>
      <c r="F2229" s="16">
        <f>D2229*E2229</f>
        <v/>
      </c>
    </row>
    <row r="2230">
      <c r="A2230" s="13" t="inlineStr">
        <is>
          <t>0111</t>
        </is>
      </c>
      <c r="B2230" s="14" t="inlineStr">
        <is>
          <t>Carpenter 1st class</t>
        </is>
      </c>
      <c r="C2230" s="13" t="inlineStr">
        <is>
          <t>day</t>
        </is>
      </c>
      <c r="D2230" s="15" t="n">
        <v>0.06</v>
      </c>
      <c r="E2230" s="16" t="n">
        <v>738</v>
      </c>
      <c r="F2230" s="16">
        <f>D2230*E2230</f>
        <v/>
      </c>
    </row>
    <row r="2231">
      <c r="A2231" s="17" t="inlineStr">
        <is>
          <t>Resource Total (Material + Labour + Machinery, as printed)</t>
        </is>
      </c>
      <c r="B2231" s="18" t="n"/>
      <c r="C2231" s="18" t="n"/>
      <c r="D2231" s="18" t="n"/>
      <c r="E2231" s="18" t="n"/>
      <c r="F2231" s="19">
        <f>SUM(F2227:F2230)</f>
        <v/>
      </c>
    </row>
    <row r="2232">
      <c r="A2232" s="20" t="inlineStr">
        <is>
          <t>SAY (Rs.) — final DAR rate</t>
        </is>
      </c>
      <c r="B2232" s="21" t="n"/>
      <c r="C2232" s="21" t="n"/>
      <c r="D2232" s="21" t="n"/>
      <c r="E2232" s="21" t="n"/>
      <c r="F2232" s="22" t="n">
        <v>226.1</v>
      </c>
    </row>
    <row r="2234" ht="18" customHeight="1">
      <c r="A2234" s="9" t="inlineStr">
        <is>
          <t>9.92.2</t>
        </is>
      </c>
      <c r="B2234" s="10" t="inlineStr">
        <is>
          <t>100 mm</t>
        </is>
      </c>
      <c r="C2234" s="11" t="n"/>
      <c r="D2234" s="11" t="n"/>
      <c r="E2234" s="11" t="n"/>
      <c r="F2234" s="11" t="n"/>
    </row>
    <row r="2235">
      <c r="A2235" s="12" t="inlineStr">
        <is>
          <t>Rate basis: per nos  (source: cost for 10 nos)</t>
        </is>
      </c>
    </row>
    <row r="2236">
      <c r="A2236" s="5" t="inlineStr">
        <is>
          <t>Code</t>
        </is>
      </c>
      <c r="B2236" s="5" t="inlineStr">
        <is>
          <t>Description</t>
        </is>
      </c>
      <c r="C2236" s="5" t="inlineStr">
        <is>
          <t>Unit</t>
        </is>
      </c>
      <c r="D2236" s="5" t="inlineStr">
        <is>
          <t>Quantity</t>
        </is>
      </c>
      <c r="E2236" s="5" t="inlineStr">
        <is>
          <t>Rate (Rs.)</t>
        </is>
      </c>
      <c r="F2236" s="5" t="inlineStr">
        <is>
          <t>Amount (Rs.)</t>
        </is>
      </c>
    </row>
    <row r="2237">
      <c r="A2237" s="13" t="inlineStr">
        <is>
          <t>0556</t>
        </is>
      </c>
      <c r="B2237" s="14" t="inlineStr">
        <is>
          <t>Chromium plated Brass handles 100 mm with plate 150 x 32 mm</t>
        </is>
      </c>
      <c r="C2237" s="13" t="inlineStr">
        <is>
          <t>each</t>
        </is>
      </c>
      <c r="D2237" s="15" t="n">
        <v>10</v>
      </c>
      <c r="E2237" s="16" t="n">
        <v>140</v>
      </c>
      <c r="F2237" s="16">
        <f>D2237*E2237</f>
        <v/>
      </c>
    </row>
    <row r="2238">
      <c r="A2238" s="13" t="inlineStr">
        <is>
          <t>0452</t>
        </is>
      </c>
      <c r="B2238" s="14" t="inlineStr">
        <is>
          <t>Brass screws 25 mm</t>
        </is>
      </c>
      <c r="C2238" s="13" t="inlineStr">
        <is>
          <t>100 Nos</t>
        </is>
      </c>
      <c r="D2238" s="15" t="n">
        <v>0.4</v>
      </c>
      <c r="E2238" s="16" t="n">
        <v>100</v>
      </c>
      <c r="F2238" s="16">
        <f>D2238*E2238</f>
        <v/>
      </c>
    </row>
    <row r="2239">
      <c r="A2239" s="13" t="inlineStr">
        <is>
          <t>9977</t>
        </is>
      </c>
      <c r="B2239" s="14" t="inlineStr">
        <is>
          <t>Carriage of material</t>
        </is>
      </c>
      <c r="C2239" s="13" t="inlineStr">
        <is>
          <t>L.S.</t>
        </is>
      </c>
      <c r="D2239" s="15" t="n">
        <v>0.91</v>
      </c>
      <c r="E2239" s="16" t="n">
        <v>2</v>
      </c>
      <c r="F2239" s="16">
        <f>D2239*E2239</f>
        <v/>
      </c>
    </row>
    <row r="2240">
      <c r="A2240" s="13" t="inlineStr">
        <is>
          <t>0111</t>
        </is>
      </c>
      <c r="B2240" s="14" t="inlineStr">
        <is>
          <t>Carpenter 1st class</t>
        </is>
      </c>
      <c r="C2240" s="13" t="inlineStr">
        <is>
          <t>day</t>
        </is>
      </c>
      <c r="D2240" s="15" t="n">
        <v>0.06</v>
      </c>
      <c r="E2240" s="16" t="n">
        <v>738</v>
      </c>
      <c r="F2240" s="16">
        <f>D2240*E2240</f>
        <v/>
      </c>
    </row>
    <row r="2241">
      <c r="A2241" s="17" t="inlineStr">
        <is>
          <t>Resource Total (Material + Labour + Machinery, as printed)</t>
        </is>
      </c>
      <c r="B2241" s="18" t="n"/>
      <c r="C2241" s="18" t="n"/>
      <c r="D2241" s="18" t="n"/>
      <c r="E2241" s="18" t="n"/>
      <c r="F2241" s="19">
        <f>SUM(F2237:F2240)</f>
        <v/>
      </c>
    </row>
    <row r="2242">
      <c r="A2242" s="20" t="inlineStr">
        <is>
          <t>SAY (Rs.) — final DAR rate</t>
        </is>
      </c>
      <c r="B2242" s="21" t="n"/>
      <c r="C2242" s="21" t="n"/>
      <c r="D2242" s="21" t="n"/>
      <c r="E2242" s="21" t="n"/>
      <c r="F2242" s="22" t="n">
        <v>198.85</v>
      </c>
    </row>
    <row r="2244" ht="18" customHeight="1">
      <c r="A2244" s="9" t="inlineStr">
        <is>
          <t>9.92.3</t>
        </is>
      </c>
      <c r="B2244" s="10" t="inlineStr">
        <is>
          <t>75 mm</t>
        </is>
      </c>
      <c r="C2244" s="11" t="n"/>
      <c r="D2244" s="11" t="n"/>
      <c r="E2244" s="11" t="n"/>
      <c r="F2244" s="11" t="n"/>
    </row>
    <row r="2245">
      <c r="A2245" s="12" t="inlineStr">
        <is>
          <t>Rate basis: per nos  (source: cost for 10 nos)</t>
        </is>
      </c>
    </row>
    <row r="2246">
      <c r="A2246" s="5" t="inlineStr">
        <is>
          <t>Code</t>
        </is>
      </c>
      <c r="B2246" s="5" t="inlineStr">
        <is>
          <t>Description</t>
        </is>
      </c>
      <c r="C2246" s="5" t="inlineStr">
        <is>
          <t>Unit</t>
        </is>
      </c>
      <c r="D2246" s="5" t="inlineStr">
        <is>
          <t>Quantity</t>
        </is>
      </c>
      <c r="E2246" s="5" t="inlineStr">
        <is>
          <t>Rate (Rs.)</t>
        </is>
      </c>
      <c r="F2246" s="5" t="inlineStr">
        <is>
          <t>Amount (Rs.)</t>
        </is>
      </c>
    </row>
    <row r="2247">
      <c r="A2247" s="13" t="inlineStr">
        <is>
          <t>0557</t>
        </is>
      </c>
      <c r="B2247" s="14" t="inlineStr">
        <is>
          <t>Chromium plated Brass handles 75mm with plate 125x32 mm</t>
        </is>
      </c>
      <c r="C2247" s="13" t="inlineStr">
        <is>
          <t>each</t>
        </is>
      </c>
      <c r="D2247" s="15" t="n">
        <v>10</v>
      </c>
      <c r="E2247" s="16" t="n">
        <v>125</v>
      </c>
      <c r="F2247" s="16">
        <f>D2247*E2247</f>
        <v/>
      </c>
    </row>
    <row r="2248">
      <c r="A2248" s="13" t="inlineStr">
        <is>
          <t>0452</t>
        </is>
      </c>
      <c r="B2248" s="14" t="inlineStr">
        <is>
          <t>Brass screws 25 mm</t>
        </is>
      </c>
      <c r="C2248" s="13" t="inlineStr">
        <is>
          <t>100 Nos</t>
        </is>
      </c>
      <c r="D2248" s="15" t="n">
        <v>0.4</v>
      </c>
      <c r="E2248" s="16" t="n">
        <v>100</v>
      </c>
      <c r="F2248" s="16">
        <f>D2248*E2248</f>
        <v/>
      </c>
    </row>
    <row r="2249">
      <c r="A2249" s="13" t="inlineStr">
        <is>
          <t>9977</t>
        </is>
      </c>
      <c r="B2249" s="14" t="inlineStr">
        <is>
          <t>Carriage of material</t>
        </is>
      </c>
      <c r="C2249" s="13" t="inlineStr">
        <is>
          <t>L.S.</t>
        </is>
      </c>
      <c r="D2249" s="15" t="n">
        <v>0.91</v>
      </c>
      <c r="E2249" s="16" t="n">
        <v>2</v>
      </c>
      <c r="F2249" s="16">
        <f>D2249*E2249</f>
        <v/>
      </c>
    </row>
    <row r="2250">
      <c r="A2250" s="13" t="inlineStr">
        <is>
          <t>0111</t>
        </is>
      </c>
      <c r="B2250" s="14" t="inlineStr">
        <is>
          <t>Carpenter 1st class</t>
        </is>
      </c>
      <c r="C2250" s="13" t="inlineStr">
        <is>
          <t>day</t>
        </is>
      </c>
      <c r="D2250" s="15" t="n">
        <v>0.06</v>
      </c>
      <c r="E2250" s="16" t="n">
        <v>738</v>
      </c>
      <c r="F2250" s="16">
        <f>D2250*E2250</f>
        <v/>
      </c>
    </row>
    <row r="2251">
      <c r="A2251" s="17" t="inlineStr">
        <is>
          <t>Resource Total (Material + Labour + Machinery, as printed)</t>
        </is>
      </c>
      <c r="B2251" s="18" t="n"/>
      <c r="C2251" s="18" t="n"/>
      <c r="D2251" s="18" t="n"/>
      <c r="E2251" s="18" t="n"/>
      <c r="F2251" s="19">
        <f>SUM(F2247:F2250)</f>
        <v/>
      </c>
    </row>
    <row r="2252">
      <c r="A2252" s="20" t="inlineStr">
        <is>
          <t>SAY (Rs.) — final DAR rate</t>
        </is>
      </c>
      <c r="B2252" s="21" t="n"/>
      <c r="C2252" s="21" t="n"/>
      <c r="D2252" s="21" t="n"/>
      <c r="E2252" s="21" t="n"/>
      <c r="F2252" s="22" t="n">
        <v>178.75</v>
      </c>
    </row>
    <row r="2254" ht="28" customHeight="1">
      <c r="A2254" s="9" t="inlineStr">
        <is>
          <t>9.93</t>
        </is>
      </c>
      <c r="B2254" s="10" t="inlineStr">
        <is>
          <t>Providing and fixing chromium plated brass casement window fastener with necessary screws etc. complete.</t>
        </is>
      </c>
      <c r="C2254" s="11" t="n"/>
      <c r="D2254" s="11" t="n"/>
      <c r="E2254" s="11" t="n"/>
      <c r="F2254" s="11" t="n"/>
    </row>
    <row r="2255">
      <c r="A2255" s="12" t="inlineStr">
        <is>
          <t>Rate basis: per nos  (source: cost for 10 nos)</t>
        </is>
      </c>
    </row>
    <row r="2256">
      <c r="A2256" s="5" t="inlineStr">
        <is>
          <t>Code</t>
        </is>
      </c>
      <c r="B2256" s="5" t="inlineStr">
        <is>
          <t>Description</t>
        </is>
      </c>
      <c r="C2256" s="5" t="inlineStr">
        <is>
          <t>Unit</t>
        </is>
      </c>
      <c r="D2256" s="5" t="inlineStr">
        <is>
          <t>Quantity</t>
        </is>
      </c>
      <c r="E2256" s="5" t="inlineStr">
        <is>
          <t>Rate (Rs.)</t>
        </is>
      </c>
      <c r="F2256" s="5" t="inlineStr">
        <is>
          <t>Amount (Rs.)</t>
        </is>
      </c>
    </row>
    <row r="2257">
      <c r="A2257" s="13" t="inlineStr">
        <is>
          <t>0568</t>
        </is>
      </c>
      <c r="B2257" s="14" t="inlineStr">
        <is>
          <t>Chromium plated brass casement window fastner</t>
        </is>
      </c>
      <c r="C2257" s="13" t="inlineStr">
        <is>
          <t>each</t>
        </is>
      </c>
      <c r="D2257" s="15" t="n">
        <v>10</v>
      </c>
      <c r="E2257" s="16" t="n">
        <v>90</v>
      </c>
      <c r="F2257" s="16">
        <f>D2257*E2257</f>
        <v/>
      </c>
    </row>
    <row r="2258">
      <c r="A2258" s="13" t="inlineStr">
        <is>
          <t>0588</t>
        </is>
      </c>
      <c r="B2258" s="14" t="inlineStr">
        <is>
          <t>Chromium plated Brass screws 25 mm</t>
        </is>
      </c>
      <c r="C2258" s="13" t="inlineStr">
        <is>
          <t>100 Nos</t>
        </is>
      </c>
      <c r="D2258" s="15" t="n">
        <v>0.4</v>
      </c>
      <c r="E2258" s="16" t="n">
        <v>180</v>
      </c>
      <c r="F2258" s="16">
        <f>D2258*E2258</f>
        <v/>
      </c>
    </row>
    <row r="2259">
      <c r="A2259" s="13" t="inlineStr">
        <is>
          <t>9977</t>
        </is>
      </c>
      <c r="B2259" s="14" t="inlineStr">
        <is>
          <t>Carriage of material</t>
        </is>
      </c>
      <c r="C2259" s="13" t="inlineStr">
        <is>
          <t>L.S.</t>
        </is>
      </c>
      <c r="D2259" s="15" t="n">
        <v>0.91</v>
      </c>
      <c r="E2259" s="16" t="n">
        <v>2</v>
      </c>
      <c r="F2259" s="16">
        <f>D2259*E2259</f>
        <v/>
      </c>
    </row>
    <row r="2260">
      <c r="A2260" s="13" t="inlineStr">
        <is>
          <t>0111</t>
        </is>
      </c>
      <c r="B2260" s="14" t="inlineStr">
        <is>
          <t>Carpenter 1st class</t>
        </is>
      </c>
      <c r="C2260" s="13" t="inlineStr">
        <is>
          <t>day</t>
        </is>
      </c>
      <c r="D2260" s="15" t="n">
        <v>0.1</v>
      </c>
      <c r="E2260" s="16" t="n">
        <v>738</v>
      </c>
      <c r="F2260" s="16">
        <f>D2260*E2260</f>
        <v/>
      </c>
    </row>
    <row r="2261">
      <c r="A2261" s="17" t="inlineStr">
        <is>
          <t>Resource Total (Material + Labour + Machinery, as printed)</t>
        </is>
      </c>
      <c r="B2261" s="18" t="n"/>
      <c r="C2261" s="18" t="n"/>
      <c r="D2261" s="18" t="n"/>
      <c r="E2261" s="18" t="n"/>
      <c r="F2261" s="19">
        <f>SUM(F2257:F2260)</f>
        <v/>
      </c>
    </row>
    <row r="2262">
      <c r="A2262" s="20" t="inlineStr">
        <is>
          <t>SAY (Rs.) — final DAR rate</t>
        </is>
      </c>
      <c r="B2262" s="21" t="n"/>
      <c r="C2262" s="21" t="n"/>
      <c r="D2262" s="21" t="n"/>
      <c r="E2262" s="21" t="n"/>
      <c r="F2262" s="22" t="n">
        <v>140.15</v>
      </c>
    </row>
    <row r="2264" ht="18" customHeight="1">
      <c r="A2264" s="9" t="inlineStr">
        <is>
          <t>9.94.1</t>
        </is>
      </c>
      <c r="B2264" s="10" t="inlineStr">
        <is>
          <t>300 mm weighing not less than 330 gms</t>
        </is>
      </c>
      <c r="C2264" s="11" t="n"/>
      <c r="D2264" s="11" t="n"/>
      <c r="E2264" s="11" t="n"/>
      <c r="F2264" s="11" t="n"/>
    </row>
    <row r="2265">
      <c r="A2265" s="12" t="inlineStr">
        <is>
          <t>Rate basis: per nos  (source: cost for 10 nos)</t>
        </is>
      </c>
    </row>
    <row r="2266">
      <c r="A2266" s="5" t="inlineStr">
        <is>
          <t>Code</t>
        </is>
      </c>
      <c r="B2266" s="5" t="inlineStr">
        <is>
          <t>Description</t>
        </is>
      </c>
      <c r="C2266" s="5" t="inlineStr">
        <is>
          <t>Unit</t>
        </is>
      </c>
      <c r="D2266" s="5" t="inlineStr">
        <is>
          <t>Quantity</t>
        </is>
      </c>
      <c r="E2266" s="5" t="inlineStr">
        <is>
          <t>Rate (Rs.)</t>
        </is>
      </c>
      <c r="F2266" s="5" t="inlineStr">
        <is>
          <t>Amount (Rs.)</t>
        </is>
      </c>
    </row>
    <row r="2267">
      <c r="A2267" s="13" t="inlineStr">
        <is>
          <t>0569</t>
        </is>
      </c>
      <c r="B2267" s="14" t="inlineStr">
        <is>
          <t>Chromium plated Brass casement stays (straight peg type ) 300 mm weighing not less than 0.33 kg</t>
        </is>
      </c>
      <c r="C2267" s="13" t="inlineStr">
        <is>
          <t>each</t>
        </is>
      </c>
      <c r="D2267" s="15" t="n">
        <v>10</v>
      </c>
      <c r="E2267" s="16" t="n">
        <v>140</v>
      </c>
      <c r="F2267" s="16">
        <f>D2267*E2267</f>
        <v/>
      </c>
    </row>
    <row r="2268">
      <c r="A2268" s="13" t="inlineStr">
        <is>
          <t>0588</t>
        </is>
      </c>
      <c r="B2268" s="14" t="inlineStr">
        <is>
          <t>Chromium plated Brass screws 25 mm</t>
        </is>
      </c>
      <c r="C2268" s="13" t="inlineStr">
        <is>
          <t>100 Nos</t>
        </is>
      </c>
      <c r="D2268" s="15" t="n">
        <v>0.4</v>
      </c>
      <c r="E2268" s="16" t="n">
        <v>180</v>
      </c>
      <c r="F2268" s="16">
        <f>D2268*E2268</f>
        <v/>
      </c>
    </row>
    <row r="2269">
      <c r="A2269" s="13" t="inlineStr">
        <is>
          <t>9977</t>
        </is>
      </c>
      <c r="B2269" s="14" t="inlineStr">
        <is>
          <t>Carriage of material</t>
        </is>
      </c>
      <c r="C2269" s="13" t="inlineStr">
        <is>
          <t>L.S.</t>
        </is>
      </c>
      <c r="D2269" s="15" t="n">
        <v>0.91</v>
      </c>
      <c r="E2269" s="16" t="n">
        <v>2</v>
      </c>
      <c r="F2269" s="16">
        <f>D2269*E2269</f>
        <v/>
      </c>
    </row>
    <row r="2270">
      <c r="A2270" s="13" t="inlineStr">
        <is>
          <t>0111</t>
        </is>
      </c>
      <c r="B2270" s="14" t="inlineStr">
        <is>
          <t>Carpenter 1st class</t>
        </is>
      </c>
      <c r="C2270" s="13" t="inlineStr">
        <is>
          <t>day</t>
        </is>
      </c>
      <c r="D2270" s="15" t="n">
        <v>0.1</v>
      </c>
      <c r="E2270" s="16" t="n">
        <v>738</v>
      </c>
      <c r="F2270" s="16">
        <f>D2270*E2270</f>
        <v/>
      </c>
    </row>
    <row r="2271">
      <c r="A2271" s="17" t="inlineStr">
        <is>
          <t>Resource Total (Material + Labour + Machinery, as printed)</t>
        </is>
      </c>
      <c r="B2271" s="18" t="n"/>
      <c r="C2271" s="18" t="n"/>
      <c r="D2271" s="18" t="n"/>
      <c r="E2271" s="18" t="n"/>
      <c r="F2271" s="19">
        <f>SUM(F2267:F2270)</f>
        <v/>
      </c>
    </row>
    <row r="2272">
      <c r="A2272" s="20" t="inlineStr">
        <is>
          <t>SAY (Rs.) — final DAR rate</t>
        </is>
      </c>
      <c r="B2272" s="21" t="n"/>
      <c r="C2272" s="21" t="n"/>
      <c r="D2272" s="21" t="n"/>
      <c r="E2272" s="21" t="n"/>
      <c r="F2272" s="22" t="n">
        <v>207.05</v>
      </c>
    </row>
    <row r="2274" ht="18" customHeight="1">
      <c r="A2274" s="9" t="inlineStr">
        <is>
          <t>9.94.2</t>
        </is>
      </c>
      <c r="B2274" s="10" t="inlineStr">
        <is>
          <t>250 mm weighing not less than 280 gms</t>
        </is>
      </c>
      <c r="C2274" s="11" t="n"/>
      <c r="D2274" s="11" t="n"/>
      <c r="E2274" s="11" t="n"/>
      <c r="F2274" s="11" t="n"/>
    </row>
    <row r="2275">
      <c r="A2275" s="12" t="inlineStr">
        <is>
          <t>Rate basis: per nos  (source: cost for 10 nos)</t>
        </is>
      </c>
    </row>
    <row r="2276">
      <c r="A2276" s="5" t="inlineStr">
        <is>
          <t>Code</t>
        </is>
      </c>
      <c r="B2276" s="5" t="inlineStr">
        <is>
          <t>Description</t>
        </is>
      </c>
      <c r="C2276" s="5" t="inlineStr">
        <is>
          <t>Unit</t>
        </is>
      </c>
      <c r="D2276" s="5" t="inlineStr">
        <is>
          <t>Quantity</t>
        </is>
      </c>
      <c r="E2276" s="5" t="inlineStr">
        <is>
          <t>Rate (Rs.)</t>
        </is>
      </c>
      <c r="F2276" s="5" t="inlineStr">
        <is>
          <t>Amount (Rs.)</t>
        </is>
      </c>
    </row>
    <row r="2277">
      <c r="A2277" s="13" t="inlineStr">
        <is>
          <t>0570</t>
        </is>
      </c>
      <c r="B2277" s="14" t="inlineStr">
        <is>
          <t>Chromium plated Brass casement stays (straight peg type ) 250 mm weighing not less than 0.28 kg</t>
        </is>
      </c>
      <c r="C2277" s="13" t="inlineStr">
        <is>
          <t>each</t>
        </is>
      </c>
      <c r="D2277" s="15" t="n">
        <v>10</v>
      </c>
      <c r="E2277" s="16" t="n">
        <v>120</v>
      </c>
      <c r="F2277" s="16">
        <f>D2277*E2277</f>
        <v/>
      </c>
    </row>
    <row r="2278">
      <c r="A2278" s="13" t="inlineStr">
        <is>
          <t>0588</t>
        </is>
      </c>
      <c r="B2278" s="14" t="inlineStr">
        <is>
          <t>Chromium plated Brass screws 25 mm</t>
        </is>
      </c>
      <c r="C2278" s="13" t="inlineStr">
        <is>
          <t>100 Nos</t>
        </is>
      </c>
      <c r="D2278" s="15" t="n">
        <v>0.4</v>
      </c>
      <c r="E2278" s="16" t="n">
        <v>180</v>
      </c>
      <c r="F2278" s="16">
        <f>D2278*E2278</f>
        <v/>
      </c>
    </row>
    <row r="2279">
      <c r="A2279" s="13" t="inlineStr">
        <is>
          <t>9977</t>
        </is>
      </c>
      <c r="B2279" s="14" t="inlineStr">
        <is>
          <t>Carriage of material</t>
        </is>
      </c>
      <c r="C2279" s="13" t="inlineStr">
        <is>
          <t>L.S.</t>
        </is>
      </c>
      <c r="D2279" s="15" t="n">
        <v>0.91</v>
      </c>
      <c r="E2279" s="16" t="n">
        <v>2</v>
      </c>
      <c r="F2279" s="16">
        <f>D2279*E2279</f>
        <v/>
      </c>
    </row>
    <row r="2280">
      <c r="A2280" s="13" t="inlineStr">
        <is>
          <t>0111</t>
        </is>
      </c>
      <c r="B2280" s="14" t="inlineStr">
        <is>
          <t>Carpenter 1st class</t>
        </is>
      </c>
      <c r="C2280" s="13" t="inlineStr">
        <is>
          <t>day</t>
        </is>
      </c>
      <c r="D2280" s="15" t="n">
        <v>0.1</v>
      </c>
      <c r="E2280" s="16" t="n">
        <v>738</v>
      </c>
      <c r="F2280" s="16">
        <f>D2280*E2280</f>
        <v/>
      </c>
    </row>
    <row r="2281">
      <c r="A2281" s="17" t="inlineStr">
        <is>
          <t>Resource Total (Material + Labour + Machinery, as printed)</t>
        </is>
      </c>
      <c r="B2281" s="18" t="n"/>
      <c r="C2281" s="18" t="n"/>
      <c r="D2281" s="18" t="n"/>
      <c r="E2281" s="18" t="n"/>
      <c r="F2281" s="19">
        <f>SUM(F2277:F2280)</f>
        <v/>
      </c>
    </row>
    <row r="2282">
      <c r="A2282" s="20" t="inlineStr">
        <is>
          <t>SAY (Rs.) — final DAR rate</t>
        </is>
      </c>
      <c r="B2282" s="21" t="n"/>
      <c r="C2282" s="21" t="n"/>
      <c r="D2282" s="21" t="n"/>
      <c r="E2282" s="21" t="n"/>
      <c r="F2282" s="22" t="n">
        <v>180.3</v>
      </c>
    </row>
    <row r="2284" ht="18" customHeight="1">
      <c r="A2284" s="9" t="inlineStr">
        <is>
          <t>9.94.3</t>
        </is>
      </c>
      <c r="B2284" s="10" t="inlineStr">
        <is>
          <t>200 mm weighing not less than 240 gms</t>
        </is>
      </c>
      <c r="C2284" s="11" t="n"/>
      <c r="D2284" s="11" t="n"/>
      <c r="E2284" s="11" t="n"/>
      <c r="F2284" s="11" t="n"/>
    </row>
    <row r="2285">
      <c r="A2285" s="12" t="inlineStr">
        <is>
          <t>Rate basis: per nos  (source: cost for 10 nos)</t>
        </is>
      </c>
    </row>
    <row r="2286">
      <c r="A2286" s="5" t="inlineStr">
        <is>
          <t>Code</t>
        </is>
      </c>
      <c r="B2286" s="5" t="inlineStr">
        <is>
          <t>Description</t>
        </is>
      </c>
      <c r="C2286" s="5" t="inlineStr">
        <is>
          <t>Unit</t>
        </is>
      </c>
      <c r="D2286" s="5" t="inlineStr">
        <is>
          <t>Quantity</t>
        </is>
      </c>
      <c r="E2286" s="5" t="inlineStr">
        <is>
          <t>Rate (Rs.)</t>
        </is>
      </c>
      <c r="F2286" s="5" t="inlineStr">
        <is>
          <t>Amount (Rs.)</t>
        </is>
      </c>
    </row>
    <row r="2287">
      <c r="A2287" s="13" t="inlineStr">
        <is>
          <t>0571</t>
        </is>
      </c>
      <c r="B2287" s="14" t="inlineStr">
        <is>
          <t>Chromium plated Brass casement stays (straight peg type ) 200 mm weighing not less than 0.24 kg</t>
        </is>
      </c>
      <c r="C2287" s="13" t="inlineStr">
        <is>
          <t>each</t>
        </is>
      </c>
      <c r="D2287" s="15" t="n">
        <v>10</v>
      </c>
      <c r="E2287" s="16" t="n">
        <v>100</v>
      </c>
      <c r="F2287" s="16">
        <f>D2287*E2287</f>
        <v/>
      </c>
    </row>
    <row r="2288">
      <c r="A2288" s="13" t="inlineStr">
        <is>
          <t>0588</t>
        </is>
      </c>
      <c r="B2288" s="14" t="inlineStr">
        <is>
          <t>Chromium plated Brass screws 25 mm</t>
        </is>
      </c>
      <c r="C2288" s="13" t="inlineStr">
        <is>
          <t>100 Nos</t>
        </is>
      </c>
      <c r="D2288" s="15" t="n">
        <v>0.4</v>
      </c>
      <c r="E2288" s="16" t="n">
        <v>180</v>
      </c>
      <c r="F2288" s="16">
        <f>D2288*E2288</f>
        <v/>
      </c>
    </row>
    <row r="2289">
      <c r="A2289" s="13" t="inlineStr">
        <is>
          <t>9977</t>
        </is>
      </c>
      <c r="B2289" s="14" t="inlineStr">
        <is>
          <t>Carriage of material</t>
        </is>
      </c>
      <c r="C2289" s="13" t="inlineStr">
        <is>
          <t>L.S.</t>
        </is>
      </c>
      <c r="D2289" s="15" t="n">
        <v>0.91</v>
      </c>
      <c r="E2289" s="16" t="n">
        <v>2</v>
      </c>
      <c r="F2289" s="16">
        <f>D2289*E2289</f>
        <v/>
      </c>
    </row>
    <row r="2290">
      <c r="A2290" s="13" t="inlineStr">
        <is>
          <t>0111</t>
        </is>
      </c>
      <c r="B2290" s="14" t="inlineStr">
        <is>
          <t>Carpenter 1st class</t>
        </is>
      </c>
      <c r="C2290" s="13" t="inlineStr">
        <is>
          <t>day</t>
        </is>
      </c>
      <c r="D2290" s="15" t="n">
        <v>0.1</v>
      </c>
      <c r="E2290" s="16" t="n">
        <v>738</v>
      </c>
      <c r="F2290" s="16">
        <f>D2290*E2290</f>
        <v/>
      </c>
    </row>
    <row r="2291">
      <c r="A2291" s="17" t="inlineStr">
        <is>
          <t>Resource Total (Material + Labour + Machinery, as printed)</t>
        </is>
      </c>
      <c r="B2291" s="18" t="n"/>
      <c r="C2291" s="18" t="n"/>
      <c r="D2291" s="18" t="n"/>
      <c r="E2291" s="18" t="n"/>
      <c r="F2291" s="19">
        <f>SUM(F2287:F2290)</f>
        <v/>
      </c>
    </row>
    <row r="2292">
      <c r="A2292" s="20" t="inlineStr">
        <is>
          <t>SAY (Rs.) — final DAR rate</t>
        </is>
      </c>
      <c r="B2292" s="21" t="n"/>
      <c r="C2292" s="21" t="n"/>
      <c r="D2292" s="21" t="n"/>
      <c r="E2292" s="21" t="n"/>
      <c r="F2292" s="22" t="n">
        <v>153.55</v>
      </c>
    </row>
    <row r="2294" ht="18" customHeight="1">
      <c r="A2294" s="9" t="inlineStr">
        <is>
          <t>9.95.1</t>
        </is>
      </c>
      <c r="B2294" s="10" t="inlineStr">
        <is>
          <t>125x75x4 mm</t>
        </is>
      </c>
      <c r="C2294" s="11" t="n"/>
      <c r="D2294" s="11" t="n"/>
      <c r="E2294" s="11" t="n"/>
      <c r="F2294" s="11" t="n"/>
    </row>
    <row r="2295">
      <c r="A2295" s="12" t="inlineStr">
        <is>
          <t>Rate basis: per nos  (source: cost for 10 nos)</t>
        </is>
      </c>
    </row>
    <row r="2296">
      <c r="A2296" s="5" t="inlineStr">
        <is>
          <t>Code</t>
        </is>
      </c>
      <c r="B2296" s="5" t="inlineStr">
        <is>
          <t>Description</t>
        </is>
      </c>
      <c r="C2296" s="5" t="inlineStr">
        <is>
          <t>Unit</t>
        </is>
      </c>
      <c r="D2296" s="5" t="inlineStr">
        <is>
          <t>Quantity</t>
        </is>
      </c>
      <c r="E2296" s="5" t="inlineStr">
        <is>
          <t>Rate (Rs.)</t>
        </is>
      </c>
      <c r="F2296" s="5" t="inlineStr">
        <is>
          <t>Amount (Rs.)</t>
        </is>
      </c>
    </row>
    <row r="2297">
      <c r="A2297" s="13" t="inlineStr">
        <is>
          <t>0687</t>
        </is>
      </c>
      <c r="B2297" s="14" t="inlineStr">
        <is>
          <t>Anodised Aluminium butt hinges 125x75x4 mm</t>
        </is>
      </c>
      <c r="C2297" s="13" t="inlineStr">
        <is>
          <t>10 Nos</t>
        </is>
      </c>
      <c r="D2297" s="15" t="n">
        <v>1</v>
      </c>
      <c r="E2297" s="16" t="n">
        <v>560</v>
      </c>
      <c r="F2297" s="16">
        <f>D2297*E2297</f>
        <v/>
      </c>
    </row>
    <row r="2298">
      <c r="A2298" s="13" t="inlineStr">
        <is>
          <t>0585</t>
        </is>
      </c>
      <c r="B2298" s="14" t="inlineStr">
        <is>
          <t>Chromium plated Brass screws 50 mm</t>
        </is>
      </c>
      <c r="C2298" s="13" t="inlineStr">
        <is>
          <t>100 Nos</t>
        </is>
      </c>
      <c r="D2298" s="15" t="n">
        <v>1</v>
      </c>
      <c r="E2298" s="16" t="n">
        <v>300</v>
      </c>
      <c r="F2298" s="16">
        <f>D2298*E2298</f>
        <v/>
      </c>
    </row>
    <row r="2299">
      <c r="A2299" s="13" t="inlineStr">
        <is>
          <t>9977</t>
        </is>
      </c>
      <c r="B2299" s="14" t="inlineStr">
        <is>
          <t>Carriage of materials</t>
        </is>
      </c>
      <c r="C2299" s="13" t="inlineStr">
        <is>
          <t>L.S.</t>
        </is>
      </c>
      <c r="D2299" s="15" t="n">
        <v>3.64</v>
      </c>
      <c r="E2299" s="16" t="n">
        <v>2</v>
      </c>
      <c r="F2299" s="16">
        <f>D2299*E2299</f>
        <v/>
      </c>
    </row>
    <row r="2300">
      <c r="A2300" s="13" t="inlineStr">
        <is>
          <t>0111</t>
        </is>
      </c>
      <c r="B2300" s="14" t="inlineStr">
        <is>
          <t>Carpenter 1st class</t>
        </is>
      </c>
      <c r="C2300" s="13" t="inlineStr">
        <is>
          <t>day</t>
        </is>
      </c>
      <c r="D2300" s="15" t="n">
        <v>0.14</v>
      </c>
      <c r="E2300" s="16" t="n">
        <v>738</v>
      </c>
      <c r="F2300" s="16">
        <f>D2300*E2300</f>
        <v/>
      </c>
    </row>
    <row r="2301">
      <c r="A2301" s="13" t="inlineStr">
        <is>
          <t>0114</t>
        </is>
      </c>
      <c r="B2301" s="14" t="inlineStr">
        <is>
          <t>Beldar</t>
        </is>
      </c>
      <c r="C2301" s="13" t="inlineStr">
        <is>
          <t>day</t>
        </is>
      </c>
      <c r="D2301" s="15" t="n">
        <v>0.09</v>
      </c>
      <c r="E2301" s="16" t="n">
        <v>558</v>
      </c>
      <c r="F2301" s="16">
        <f>D2301*E2301</f>
        <v/>
      </c>
    </row>
    <row r="2302">
      <c r="A2302" s="17" t="inlineStr">
        <is>
          <t>Resource Total (Material + Labour + Machinery, as printed)</t>
        </is>
      </c>
      <c r="B2302" s="18" t="n"/>
      <c r="C2302" s="18" t="n"/>
      <c r="D2302" s="18" t="n"/>
      <c r="E2302" s="18" t="n"/>
      <c r="F2302" s="19">
        <f>SUM(F2297:F2301)</f>
        <v/>
      </c>
    </row>
    <row r="2303">
      <c r="A2303" s="20" t="inlineStr">
        <is>
          <t>SAY (Rs.) — final DAR rate</t>
        </is>
      </c>
      <c r="B2303" s="21" t="n"/>
      <c r="C2303" s="21" t="n"/>
      <c r="D2303" s="21" t="n"/>
      <c r="E2303" s="21" t="n"/>
      <c r="F2303" s="22" t="n">
        <v>136.6</v>
      </c>
    </row>
    <row r="2305" ht="18" customHeight="1">
      <c r="A2305" s="9" t="inlineStr">
        <is>
          <t>9.95.2</t>
        </is>
      </c>
      <c r="B2305" s="10" t="inlineStr">
        <is>
          <t>125x63x4 mm</t>
        </is>
      </c>
      <c r="C2305" s="11" t="n"/>
      <c r="D2305" s="11" t="n"/>
      <c r="E2305" s="11" t="n"/>
      <c r="F2305" s="11" t="n"/>
    </row>
    <row r="2306">
      <c r="A2306" s="12" t="inlineStr">
        <is>
          <t>Rate basis: per nos  (source: cost for 10 nos)</t>
        </is>
      </c>
    </row>
    <row r="2307">
      <c r="A2307" s="5" t="inlineStr">
        <is>
          <t>Code</t>
        </is>
      </c>
      <c r="B2307" s="5" t="inlineStr">
        <is>
          <t>Description</t>
        </is>
      </c>
      <c r="C2307" s="5" t="inlineStr">
        <is>
          <t>Unit</t>
        </is>
      </c>
      <c r="D2307" s="5" t="inlineStr">
        <is>
          <t>Quantity</t>
        </is>
      </c>
      <c r="E2307" s="5" t="inlineStr">
        <is>
          <t>Rate (Rs.)</t>
        </is>
      </c>
      <c r="F2307" s="5" t="inlineStr">
        <is>
          <t>Amount (Rs.)</t>
        </is>
      </c>
    </row>
    <row r="2308">
      <c r="A2308" s="13" t="inlineStr">
        <is>
          <t>0688</t>
        </is>
      </c>
      <c r="B2308" s="14" t="inlineStr">
        <is>
          <t>Anodised Aluminium butt hinges 125x63x4 mm</t>
        </is>
      </c>
      <c r="C2308" s="13" t="inlineStr">
        <is>
          <t>10 Nos</t>
        </is>
      </c>
      <c r="D2308" s="15" t="n">
        <v>1</v>
      </c>
      <c r="E2308" s="16" t="n">
        <v>393</v>
      </c>
      <c r="F2308" s="16">
        <f>D2308*E2308</f>
        <v/>
      </c>
    </row>
    <row r="2309">
      <c r="A2309" s="13" t="inlineStr">
        <is>
          <t>0585</t>
        </is>
      </c>
      <c r="B2309" s="14" t="inlineStr">
        <is>
          <t>Chromium plated Brass screws 50 mm</t>
        </is>
      </c>
      <c r="C2309" s="13" t="inlineStr">
        <is>
          <t>100 Nos</t>
        </is>
      </c>
      <c r="D2309" s="15" t="n">
        <v>1</v>
      </c>
      <c r="E2309" s="16" t="n">
        <v>300</v>
      </c>
      <c r="F2309" s="16">
        <f>D2309*E2309</f>
        <v/>
      </c>
    </row>
    <row r="2310">
      <c r="A2310" s="13" t="inlineStr">
        <is>
          <t>9977</t>
        </is>
      </c>
      <c r="B2310" s="14" t="inlineStr">
        <is>
          <t>Carriage of materials</t>
        </is>
      </c>
      <c r="C2310" s="13" t="inlineStr">
        <is>
          <t>L.S.</t>
        </is>
      </c>
      <c r="D2310" s="15" t="n">
        <v>3.64</v>
      </c>
      <c r="E2310" s="16" t="n">
        <v>2</v>
      </c>
      <c r="F2310" s="16">
        <f>D2310*E2310</f>
        <v/>
      </c>
    </row>
    <row r="2311">
      <c r="A2311" s="13" t="inlineStr">
        <is>
          <t>0111</t>
        </is>
      </c>
      <c r="B2311" s="14" t="inlineStr">
        <is>
          <t>Carpenter 1st class</t>
        </is>
      </c>
      <c r="C2311" s="13" t="inlineStr">
        <is>
          <t>day</t>
        </is>
      </c>
      <c r="D2311" s="15" t="n">
        <v>0.14</v>
      </c>
      <c r="E2311" s="16" t="n">
        <v>738</v>
      </c>
      <c r="F2311" s="16">
        <f>D2311*E2311</f>
        <v/>
      </c>
    </row>
    <row r="2312">
      <c r="A2312" s="13" t="inlineStr">
        <is>
          <t>0114</t>
        </is>
      </c>
      <c r="B2312" s="14" t="inlineStr">
        <is>
          <t>Beldar</t>
        </is>
      </c>
      <c r="C2312" s="13" t="inlineStr">
        <is>
          <t>day</t>
        </is>
      </c>
      <c r="D2312" s="15" t="n">
        <v>0.09</v>
      </c>
      <c r="E2312" s="16" t="n">
        <v>558</v>
      </c>
      <c r="F2312" s="16">
        <f>D2312*E2312</f>
        <v/>
      </c>
    </row>
    <row r="2313">
      <c r="A2313" s="17" t="inlineStr">
        <is>
          <t>Resource Total (Material + Labour + Machinery, as printed)</t>
        </is>
      </c>
      <c r="B2313" s="18" t="n"/>
      <c r="C2313" s="18" t="n"/>
      <c r="D2313" s="18" t="n"/>
      <c r="E2313" s="18" t="n"/>
      <c r="F2313" s="19">
        <f>SUM(F2308:F2312)</f>
        <v/>
      </c>
    </row>
    <row r="2314">
      <c r="A2314" s="20" t="inlineStr">
        <is>
          <t>SAY (Rs.) — final DAR rate</t>
        </is>
      </c>
      <c r="B2314" s="21" t="n"/>
      <c r="C2314" s="21" t="n"/>
      <c r="D2314" s="21" t="n"/>
      <c r="E2314" s="21" t="n"/>
      <c r="F2314" s="22" t="n">
        <v>114.25</v>
      </c>
    </row>
    <row r="2316" ht="18" customHeight="1">
      <c r="A2316" s="9" t="inlineStr">
        <is>
          <t>9.95.3</t>
        </is>
      </c>
      <c r="B2316" s="10" t="inlineStr">
        <is>
          <t>100x75x4 mm</t>
        </is>
      </c>
      <c r="C2316" s="11" t="n"/>
      <c r="D2316" s="11" t="n"/>
      <c r="E2316" s="11" t="n"/>
      <c r="F2316" s="11" t="n"/>
    </row>
    <row r="2317">
      <c r="A2317" s="12" t="inlineStr">
        <is>
          <t>Rate basis: per nos  (source: cost for 10 nos)</t>
        </is>
      </c>
    </row>
    <row r="2318">
      <c r="A2318" s="5" t="inlineStr">
        <is>
          <t>Code</t>
        </is>
      </c>
      <c r="B2318" s="5" t="inlineStr">
        <is>
          <t>Description</t>
        </is>
      </c>
      <c r="C2318" s="5" t="inlineStr">
        <is>
          <t>Unit</t>
        </is>
      </c>
      <c r="D2318" s="5" t="inlineStr">
        <is>
          <t>Quantity</t>
        </is>
      </c>
      <c r="E2318" s="5" t="inlineStr">
        <is>
          <t>Rate (Rs.)</t>
        </is>
      </c>
      <c r="F2318" s="5" t="inlineStr">
        <is>
          <t>Amount (Rs.)</t>
        </is>
      </c>
    </row>
    <row r="2319">
      <c r="A2319" s="13" t="inlineStr">
        <is>
          <t>0689</t>
        </is>
      </c>
      <c r="B2319" s="14" t="inlineStr">
        <is>
          <t>Anodised Aluminium butt hinges 100x75x4 mm</t>
        </is>
      </c>
      <c r="C2319" s="13" t="inlineStr">
        <is>
          <t>10 Nos</t>
        </is>
      </c>
      <c r="D2319" s="15" t="n">
        <v>1</v>
      </c>
      <c r="E2319" s="16" t="n">
        <v>393</v>
      </c>
      <c r="F2319" s="16">
        <f>D2319*E2319</f>
        <v/>
      </c>
    </row>
    <row r="2320">
      <c r="A2320" s="13" t="inlineStr">
        <is>
          <t>0586</t>
        </is>
      </c>
      <c r="B2320" s="14" t="inlineStr">
        <is>
          <t>Chromium plated Brass screws 40 mm</t>
        </is>
      </c>
      <c r="C2320" s="13" t="inlineStr">
        <is>
          <t>100 Nos</t>
        </is>
      </c>
      <c r="D2320" s="15" t="n">
        <v>0.8</v>
      </c>
      <c r="E2320" s="16" t="n">
        <v>290</v>
      </c>
      <c r="F2320" s="16">
        <f>D2320*E2320</f>
        <v/>
      </c>
    </row>
    <row r="2321">
      <c r="A2321" s="13" t="inlineStr">
        <is>
          <t>9977</t>
        </is>
      </c>
      <c r="B2321" s="14" t="inlineStr">
        <is>
          <t>Carriage of materials</t>
        </is>
      </c>
      <c r="C2321" s="13" t="inlineStr">
        <is>
          <t>L.S.</t>
        </is>
      </c>
      <c r="D2321" s="15" t="n">
        <v>2.73</v>
      </c>
      <c r="E2321" s="16" t="n">
        <v>2</v>
      </c>
      <c r="F2321" s="16">
        <f>D2321*E2321</f>
        <v/>
      </c>
    </row>
    <row r="2322">
      <c r="A2322" s="13" t="inlineStr">
        <is>
          <t>0111</t>
        </is>
      </c>
      <c r="B2322" s="14" t="inlineStr">
        <is>
          <t>Carpenter 1st class</t>
        </is>
      </c>
      <c r="C2322" s="13" t="inlineStr">
        <is>
          <t>day</t>
        </is>
      </c>
      <c r="D2322" s="15" t="n">
        <v>0.14</v>
      </c>
      <c r="E2322" s="16" t="n">
        <v>738</v>
      </c>
      <c r="F2322" s="16">
        <f>D2322*E2322</f>
        <v/>
      </c>
    </row>
    <row r="2323">
      <c r="A2323" s="13" t="inlineStr">
        <is>
          <t>0114</t>
        </is>
      </c>
      <c r="B2323" s="14" t="inlineStr">
        <is>
          <t>Beldar</t>
        </is>
      </c>
      <c r="C2323" s="13" t="inlineStr">
        <is>
          <t>day</t>
        </is>
      </c>
      <c r="D2323" s="15" t="n">
        <v>0.09</v>
      </c>
      <c r="E2323" s="16" t="n">
        <v>558</v>
      </c>
      <c r="F2323" s="16">
        <f>D2323*E2323</f>
        <v/>
      </c>
    </row>
    <row r="2324">
      <c r="A2324" s="17" t="inlineStr">
        <is>
          <t>Resource Total (Material + Labour + Machinery, as printed)</t>
        </is>
      </c>
      <c r="B2324" s="18" t="n"/>
      <c r="C2324" s="18" t="n"/>
      <c r="D2324" s="18" t="n"/>
      <c r="E2324" s="18" t="n"/>
      <c r="F2324" s="19">
        <f>SUM(F2319:F2323)</f>
        <v/>
      </c>
    </row>
    <row r="2325">
      <c r="A2325" s="20" t="inlineStr">
        <is>
          <t>SAY (Rs.) — final DAR rate</t>
        </is>
      </c>
      <c r="B2325" s="21" t="n"/>
      <c r="C2325" s="21" t="n"/>
      <c r="D2325" s="21" t="n"/>
      <c r="E2325" s="21" t="n"/>
      <c r="F2325" s="22" t="n">
        <v>104.9</v>
      </c>
    </row>
    <row r="2327" ht="18" customHeight="1">
      <c r="A2327" s="9" t="inlineStr">
        <is>
          <t>9.95.4</t>
        </is>
      </c>
      <c r="B2327" s="10" t="inlineStr">
        <is>
          <t>100x63x4 mm</t>
        </is>
      </c>
      <c r="C2327" s="11" t="n"/>
      <c r="D2327" s="11" t="n"/>
      <c r="E2327" s="11" t="n"/>
      <c r="F2327" s="11" t="n"/>
    </row>
    <row r="2328">
      <c r="A2328" s="12" t="inlineStr">
        <is>
          <t>Rate basis: per nos  (source: cost for 10 nos)</t>
        </is>
      </c>
    </row>
    <row r="2329">
      <c r="A2329" s="5" t="inlineStr">
        <is>
          <t>Code</t>
        </is>
      </c>
      <c r="B2329" s="5" t="inlineStr">
        <is>
          <t>Description</t>
        </is>
      </c>
      <c r="C2329" s="5" t="inlineStr">
        <is>
          <t>Unit</t>
        </is>
      </c>
      <c r="D2329" s="5" t="inlineStr">
        <is>
          <t>Quantity</t>
        </is>
      </c>
      <c r="E2329" s="5" t="inlineStr">
        <is>
          <t>Rate (Rs.)</t>
        </is>
      </c>
      <c r="F2329" s="5" t="inlineStr">
        <is>
          <t>Amount (Rs.)</t>
        </is>
      </c>
    </row>
    <row r="2330">
      <c r="A2330" s="13" t="inlineStr">
        <is>
          <t>0691</t>
        </is>
      </c>
      <c r="B2330" s="14" t="inlineStr">
        <is>
          <t>Anodised Aluminium butt hinges 100x63x4 mm</t>
        </is>
      </c>
      <c r="C2330" s="13" t="inlineStr">
        <is>
          <t>10 Nos</t>
        </is>
      </c>
      <c r="D2330" s="15" t="n">
        <v>1</v>
      </c>
      <c r="E2330" s="16" t="n">
        <v>324</v>
      </c>
      <c r="F2330" s="16">
        <f>D2330*E2330</f>
        <v/>
      </c>
    </row>
    <row r="2331">
      <c r="A2331" s="13" t="inlineStr">
        <is>
          <t>0586</t>
        </is>
      </c>
      <c r="B2331" s="14" t="inlineStr">
        <is>
          <t>Chromium plated Brass screws 40 mm</t>
        </is>
      </c>
      <c r="C2331" s="13" t="inlineStr">
        <is>
          <t>100 Nos</t>
        </is>
      </c>
      <c r="D2331" s="15" t="n">
        <v>0.8</v>
      </c>
      <c r="E2331" s="16" t="n">
        <v>290</v>
      </c>
      <c r="F2331" s="16">
        <f>D2331*E2331</f>
        <v/>
      </c>
    </row>
    <row r="2332">
      <c r="A2332" s="13" t="inlineStr">
        <is>
          <t>9977</t>
        </is>
      </c>
      <c r="B2332" s="14" t="inlineStr">
        <is>
          <t>Carriage of materials</t>
        </is>
      </c>
      <c r="C2332" s="13" t="inlineStr">
        <is>
          <t>L.S.</t>
        </is>
      </c>
      <c r="D2332" s="15" t="n">
        <v>2.73</v>
      </c>
      <c r="E2332" s="16" t="n">
        <v>2</v>
      </c>
      <c r="F2332" s="16">
        <f>D2332*E2332</f>
        <v/>
      </c>
    </row>
    <row r="2333">
      <c r="A2333" s="13" t="inlineStr">
        <is>
          <t>0111</t>
        </is>
      </c>
      <c r="B2333" s="14" t="inlineStr">
        <is>
          <t>Carpenter 1st class</t>
        </is>
      </c>
      <c r="C2333" s="13" t="inlineStr">
        <is>
          <t>day</t>
        </is>
      </c>
      <c r="D2333" s="15" t="n">
        <v>0.14</v>
      </c>
      <c r="E2333" s="16" t="n">
        <v>738</v>
      </c>
      <c r="F2333" s="16">
        <f>D2333*E2333</f>
        <v/>
      </c>
    </row>
    <row r="2334">
      <c r="A2334" s="13" t="inlineStr">
        <is>
          <t>0114</t>
        </is>
      </c>
      <c r="B2334" s="14" t="inlineStr">
        <is>
          <t>Beldar</t>
        </is>
      </c>
      <c r="C2334" s="13" t="inlineStr">
        <is>
          <t>day</t>
        </is>
      </c>
      <c r="D2334" s="15" t="n">
        <v>0.09</v>
      </c>
      <c r="E2334" s="16" t="n">
        <v>558</v>
      </c>
      <c r="F2334" s="16">
        <f>D2334*E2334</f>
        <v/>
      </c>
    </row>
    <row r="2335">
      <c r="A2335" s="17" t="inlineStr">
        <is>
          <t>Resource Total (Material + Labour + Machinery, as printed)</t>
        </is>
      </c>
      <c r="B2335" s="18" t="n"/>
      <c r="C2335" s="18" t="n"/>
      <c r="D2335" s="18" t="n"/>
      <c r="E2335" s="18" t="n"/>
      <c r="F2335" s="19">
        <f>SUM(F2330:F2334)</f>
        <v/>
      </c>
    </row>
    <row r="2336">
      <c r="A2336" s="20" t="inlineStr">
        <is>
          <t>SAY (Rs.) — final DAR rate</t>
        </is>
      </c>
      <c r="B2336" s="21" t="n"/>
      <c r="C2336" s="21" t="n"/>
      <c r="D2336" s="21" t="n"/>
      <c r="E2336" s="21" t="n"/>
      <c r="F2336" s="22" t="n">
        <v>95.65000000000001</v>
      </c>
    </row>
    <row r="2338" ht="18" customHeight="1">
      <c r="A2338" s="9" t="inlineStr">
        <is>
          <t>9.95.5</t>
        </is>
      </c>
      <c r="B2338" s="10" t="inlineStr">
        <is>
          <t>100x63x3.2 mm</t>
        </is>
      </c>
      <c r="C2338" s="11" t="n"/>
      <c r="D2338" s="11" t="n"/>
      <c r="E2338" s="11" t="n"/>
      <c r="F2338" s="11" t="n"/>
    </row>
    <row r="2339">
      <c r="A2339" s="12" t="inlineStr">
        <is>
          <t>Rate basis: per nos  (source: cost for 10 nos)</t>
        </is>
      </c>
    </row>
    <row r="2340">
      <c r="A2340" s="5" t="inlineStr">
        <is>
          <t>Code</t>
        </is>
      </c>
      <c r="B2340" s="5" t="inlineStr">
        <is>
          <t>Description</t>
        </is>
      </c>
      <c r="C2340" s="5" t="inlineStr">
        <is>
          <t>Unit</t>
        </is>
      </c>
      <c r="D2340" s="5" t="inlineStr">
        <is>
          <t>Quantity</t>
        </is>
      </c>
      <c r="E2340" s="5" t="inlineStr">
        <is>
          <t>Rate (Rs.)</t>
        </is>
      </c>
      <c r="F2340" s="5" t="inlineStr">
        <is>
          <t>Amount (Rs.)</t>
        </is>
      </c>
    </row>
    <row r="2341">
      <c r="A2341" s="13" t="inlineStr">
        <is>
          <t>0690</t>
        </is>
      </c>
      <c r="B2341" s="14" t="inlineStr">
        <is>
          <t>Anodised Aluminium butt hinges 100x63x3.2 mm</t>
        </is>
      </c>
      <c r="C2341" s="13" t="inlineStr">
        <is>
          <t>10 Nos</t>
        </is>
      </c>
      <c r="D2341" s="15" t="n">
        <v>1</v>
      </c>
      <c r="E2341" s="16" t="n">
        <v>270</v>
      </c>
      <c r="F2341" s="16">
        <f>D2341*E2341</f>
        <v/>
      </c>
    </row>
    <row r="2342">
      <c r="A2342" s="13" t="inlineStr">
        <is>
          <t>0586</t>
        </is>
      </c>
      <c r="B2342" s="14" t="inlineStr">
        <is>
          <t>Chromium plated Brass screws 40 mm</t>
        </is>
      </c>
      <c r="C2342" s="13" t="inlineStr">
        <is>
          <t>100 Nos</t>
        </is>
      </c>
      <c r="D2342" s="15" t="n">
        <v>0.8</v>
      </c>
      <c r="E2342" s="16" t="n">
        <v>290</v>
      </c>
      <c r="F2342" s="16">
        <f>D2342*E2342</f>
        <v/>
      </c>
    </row>
    <row r="2343">
      <c r="A2343" s="13" t="inlineStr">
        <is>
          <t>9977</t>
        </is>
      </c>
      <c r="B2343" s="14" t="inlineStr">
        <is>
          <t>Carriage of materials</t>
        </is>
      </c>
      <c r="C2343" s="13" t="inlineStr">
        <is>
          <t>L.S.</t>
        </is>
      </c>
      <c r="D2343" s="15" t="n">
        <v>2.73</v>
      </c>
      <c r="E2343" s="16" t="n">
        <v>2</v>
      </c>
      <c r="F2343" s="16">
        <f>D2343*E2343</f>
        <v/>
      </c>
    </row>
    <row r="2344">
      <c r="A2344" s="13" t="inlineStr">
        <is>
          <t>0111</t>
        </is>
      </c>
      <c r="B2344" s="14" t="inlineStr">
        <is>
          <t>Carpenter 1st class</t>
        </is>
      </c>
      <c r="C2344" s="13" t="inlineStr">
        <is>
          <t>day</t>
        </is>
      </c>
      <c r="D2344" s="15" t="n">
        <v>0.14</v>
      </c>
      <c r="E2344" s="16" t="n">
        <v>738</v>
      </c>
      <c r="F2344" s="16">
        <f>D2344*E2344</f>
        <v/>
      </c>
    </row>
    <row r="2345">
      <c r="A2345" s="13" t="inlineStr">
        <is>
          <t>0114</t>
        </is>
      </c>
      <c r="B2345" s="14" t="inlineStr">
        <is>
          <t>Beldar</t>
        </is>
      </c>
      <c r="C2345" s="13" t="inlineStr">
        <is>
          <t>day</t>
        </is>
      </c>
      <c r="D2345" s="15" t="n">
        <v>0.09</v>
      </c>
      <c r="E2345" s="16" t="n">
        <v>558</v>
      </c>
      <c r="F2345" s="16">
        <f>D2345*E2345</f>
        <v/>
      </c>
    </row>
    <row r="2346">
      <c r="A2346" s="17" t="inlineStr">
        <is>
          <t>Resource Total (Material + Labour + Machinery, as printed)</t>
        </is>
      </c>
      <c r="B2346" s="18" t="n"/>
      <c r="C2346" s="18" t="n"/>
      <c r="D2346" s="18" t="n"/>
      <c r="E2346" s="18" t="n"/>
      <c r="F2346" s="19">
        <f>SUM(F2341:F2345)</f>
        <v/>
      </c>
    </row>
    <row r="2347">
      <c r="A2347" s="20" t="inlineStr">
        <is>
          <t>SAY (Rs.) — final DAR rate</t>
        </is>
      </c>
      <c r="B2347" s="21" t="n"/>
      <c r="C2347" s="21" t="n"/>
      <c r="D2347" s="21" t="n"/>
      <c r="E2347" s="21" t="n"/>
      <c r="F2347" s="22" t="n">
        <v>88.45</v>
      </c>
    </row>
    <row r="2349" ht="18" customHeight="1">
      <c r="A2349" s="9" t="inlineStr">
        <is>
          <t>9.95.6</t>
        </is>
      </c>
      <c r="B2349" s="10" t="inlineStr">
        <is>
          <t>75x63x4 mm</t>
        </is>
      </c>
      <c r="C2349" s="11" t="n"/>
      <c r="D2349" s="11" t="n"/>
      <c r="E2349" s="11" t="n"/>
      <c r="F2349" s="11" t="n"/>
    </row>
    <row r="2350">
      <c r="A2350" s="12" t="inlineStr">
        <is>
          <t>Rate basis: per nos  (source: cost for 10 nos)</t>
        </is>
      </c>
    </row>
    <row r="2351">
      <c r="A2351" s="5" t="inlineStr">
        <is>
          <t>Code</t>
        </is>
      </c>
      <c r="B2351" s="5" t="inlineStr">
        <is>
          <t>Description</t>
        </is>
      </c>
      <c r="C2351" s="5" t="inlineStr">
        <is>
          <t>Unit</t>
        </is>
      </c>
      <c r="D2351" s="5" t="inlineStr">
        <is>
          <t>Quantity</t>
        </is>
      </c>
      <c r="E2351" s="5" t="inlineStr">
        <is>
          <t>Rate (Rs.)</t>
        </is>
      </c>
      <c r="F2351" s="5" t="inlineStr">
        <is>
          <t>Amount (Rs.)</t>
        </is>
      </c>
    </row>
    <row r="2352">
      <c r="A2352" s="13" t="inlineStr">
        <is>
          <t>0692</t>
        </is>
      </c>
      <c r="B2352" s="14" t="inlineStr">
        <is>
          <t>Anodised Aluminium butt hinges 75x63x4 mm</t>
        </is>
      </c>
      <c r="C2352" s="13" t="inlineStr">
        <is>
          <t>10 Nos</t>
        </is>
      </c>
      <c r="D2352" s="15" t="n">
        <v>1</v>
      </c>
      <c r="E2352" s="16" t="n">
        <v>275</v>
      </c>
      <c r="F2352" s="16">
        <f>D2352*E2352</f>
        <v/>
      </c>
    </row>
    <row r="2353">
      <c r="A2353" s="13" t="inlineStr">
        <is>
          <t>0587</t>
        </is>
      </c>
      <c r="B2353" s="14" t="inlineStr">
        <is>
          <t>Chromium plated Brass screws 30 mm</t>
        </is>
      </c>
      <c r="C2353" s="13" t="inlineStr">
        <is>
          <t>100 Nos</t>
        </is>
      </c>
      <c r="D2353" s="15" t="n">
        <v>0.6</v>
      </c>
      <c r="E2353" s="16" t="n">
        <v>240</v>
      </c>
      <c r="F2353" s="16">
        <f>D2353*E2353</f>
        <v/>
      </c>
    </row>
    <row r="2354">
      <c r="A2354" s="13" t="inlineStr">
        <is>
          <t>9977</t>
        </is>
      </c>
      <c r="B2354" s="14" t="inlineStr">
        <is>
          <t>Carriage of materials</t>
        </is>
      </c>
      <c r="C2354" s="13" t="inlineStr">
        <is>
          <t>L.S.</t>
        </is>
      </c>
      <c r="D2354" s="15" t="n">
        <v>1.82</v>
      </c>
      <c r="E2354" s="16" t="n">
        <v>2</v>
      </c>
      <c r="F2354" s="16">
        <f>D2354*E2354</f>
        <v/>
      </c>
    </row>
    <row r="2355">
      <c r="A2355" s="13" t="inlineStr">
        <is>
          <t>0111</t>
        </is>
      </c>
      <c r="B2355" s="14" t="inlineStr">
        <is>
          <t>Carpenter 1st class</t>
        </is>
      </c>
      <c r="C2355" s="13" t="inlineStr">
        <is>
          <t>day</t>
        </is>
      </c>
      <c r="D2355" s="15" t="n">
        <v>0.14</v>
      </c>
      <c r="E2355" s="16" t="n">
        <v>738</v>
      </c>
      <c r="F2355" s="16">
        <f>D2355*E2355</f>
        <v/>
      </c>
    </row>
    <row r="2356">
      <c r="A2356" s="13" t="inlineStr">
        <is>
          <t>0114</t>
        </is>
      </c>
      <c r="B2356" s="14" t="inlineStr">
        <is>
          <t>Beldar</t>
        </is>
      </c>
      <c r="C2356" s="13" t="inlineStr">
        <is>
          <t>day</t>
        </is>
      </c>
      <c r="D2356" s="15" t="n">
        <v>0.09</v>
      </c>
      <c r="E2356" s="16" t="n">
        <v>558</v>
      </c>
      <c r="F2356" s="16">
        <f>D2356*E2356</f>
        <v/>
      </c>
    </row>
    <row r="2357">
      <c r="A2357" s="17" t="inlineStr">
        <is>
          <t>Resource Total (Material + Labour + Machinery, as printed)</t>
        </is>
      </c>
      <c r="B2357" s="18" t="n"/>
      <c r="C2357" s="18" t="n"/>
      <c r="D2357" s="18" t="n"/>
      <c r="E2357" s="18" t="n"/>
      <c r="F2357" s="19">
        <f>SUM(F2352:F2356)</f>
        <v/>
      </c>
    </row>
    <row r="2358">
      <c r="A2358" s="20" t="inlineStr">
        <is>
          <t>SAY (Rs.) — final DAR rate</t>
        </is>
      </c>
      <c r="B2358" s="21" t="n"/>
      <c r="C2358" s="21" t="n"/>
      <c r="D2358" s="21" t="n"/>
      <c r="E2358" s="21" t="n"/>
      <c r="F2358" s="22" t="n">
        <v>77.09999999999999</v>
      </c>
    </row>
    <row r="2360" ht="18" customHeight="1">
      <c r="A2360" s="9" t="inlineStr">
        <is>
          <t>9.95.7</t>
        </is>
      </c>
      <c r="B2360" s="10" t="inlineStr">
        <is>
          <t>75x63x3.2 mm</t>
        </is>
      </c>
      <c r="C2360" s="11" t="n"/>
      <c r="D2360" s="11" t="n"/>
      <c r="E2360" s="11" t="n"/>
      <c r="F2360" s="11" t="n"/>
    </row>
    <row r="2361">
      <c r="A2361" s="12" t="inlineStr">
        <is>
          <t>Rate basis: per nos  (source: cost for 10 nos)</t>
        </is>
      </c>
    </row>
    <row r="2362">
      <c r="A2362" s="5" t="inlineStr">
        <is>
          <t>Code</t>
        </is>
      </c>
      <c r="B2362" s="5" t="inlineStr">
        <is>
          <t>Description</t>
        </is>
      </c>
      <c r="C2362" s="5" t="inlineStr">
        <is>
          <t>Unit</t>
        </is>
      </c>
      <c r="D2362" s="5" t="inlineStr">
        <is>
          <t>Quantity</t>
        </is>
      </c>
      <c r="E2362" s="5" t="inlineStr">
        <is>
          <t>Rate (Rs.)</t>
        </is>
      </c>
      <c r="F2362" s="5" t="inlineStr">
        <is>
          <t>Amount (Rs.)</t>
        </is>
      </c>
    </row>
    <row r="2363">
      <c r="A2363" s="13" t="inlineStr">
        <is>
          <t>0693</t>
        </is>
      </c>
      <c r="B2363" s="14" t="inlineStr">
        <is>
          <t>Anodised Aluminium butt hinges 75x63x3.2 mm</t>
        </is>
      </c>
      <c r="C2363" s="13" t="inlineStr">
        <is>
          <t>10 Nos</t>
        </is>
      </c>
      <c r="D2363" s="15" t="n">
        <v>1</v>
      </c>
      <c r="E2363" s="16" t="n">
        <v>226</v>
      </c>
      <c r="F2363" s="16">
        <f>D2363*E2363</f>
        <v/>
      </c>
    </row>
    <row r="2364">
      <c r="A2364" s="13" t="inlineStr">
        <is>
          <t>0587</t>
        </is>
      </c>
      <c r="B2364" s="14" t="inlineStr">
        <is>
          <t>Chromium plated Brass screws 30 mm</t>
        </is>
      </c>
      <c r="C2364" s="13" t="inlineStr">
        <is>
          <t>100 Nos</t>
        </is>
      </c>
      <c r="D2364" s="15" t="n">
        <v>0.6</v>
      </c>
      <c r="E2364" s="16" t="n">
        <v>240</v>
      </c>
      <c r="F2364" s="16">
        <f>D2364*E2364</f>
        <v/>
      </c>
    </row>
    <row r="2365">
      <c r="A2365" s="13" t="inlineStr">
        <is>
          <t>9977</t>
        </is>
      </c>
      <c r="B2365" s="14" t="inlineStr">
        <is>
          <t>Carriage of materials</t>
        </is>
      </c>
      <c r="C2365" s="13" t="inlineStr">
        <is>
          <t>L.S.</t>
        </is>
      </c>
      <c r="D2365" s="15" t="n">
        <v>1.82</v>
      </c>
      <c r="E2365" s="16" t="n">
        <v>2</v>
      </c>
      <c r="F2365" s="16">
        <f>D2365*E2365</f>
        <v/>
      </c>
    </row>
    <row r="2366">
      <c r="A2366" s="13" t="inlineStr">
        <is>
          <t>0111</t>
        </is>
      </c>
      <c r="B2366" s="14" t="inlineStr">
        <is>
          <t>Carpenter 1st class</t>
        </is>
      </c>
      <c r="C2366" s="13" t="inlineStr">
        <is>
          <t>day</t>
        </is>
      </c>
      <c r="D2366" s="15" t="n">
        <v>0.14</v>
      </c>
      <c r="E2366" s="16" t="n">
        <v>738</v>
      </c>
      <c r="F2366" s="16">
        <f>D2366*E2366</f>
        <v/>
      </c>
    </row>
    <row r="2367">
      <c r="A2367" s="13" t="inlineStr">
        <is>
          <t>0114</t>
        </is>
      </c>
      <c r="B2367" s="14" t="inlineStr">
        <is>
          <t>Beldar</t>
        </is>
      </c>
      <c r="C2367" s="13" t="inlineStr">
        <is>
          <t>day</t>
        </is>
      </c>
      <c r="D2367" s="15" t="n">
        <v>0.09</v>
      </c>
      <c r="E2367" s="16" t="n">
        <v>558</v>
      </c>
      <c r="F2367" s="16">
        <f>D2367*E2367</f>
        <v/>
      </c>
    </row>
    <row r="2368">
      <c r="A2368" s="17" t="inlineStr">
        <is>
          <t>Resource Total (Material + Labour + Machinery, as printed)</t>
        </is>
      </c>
      <c r="B2368" s="18" t="n"/>
      <c r="C2368" s="18" t="n"/>
      <c r="D2368" s="18" t="n"/>
      <c r="E2368" s="18" t="n"/>
      <c r="F2368" s="19">
        <f>SUM(F2363:F2367)</f>
        <v/>
      </c>
    </row>
    <row r="2369">
      <c r="A2369" s="20" t="inlineStr">
        <is>
          <t>SAY (Rs.) — final DAR rate</t>
        </is>
      </c>
      <c r="B2369" s="21" t="n"/>
      <c r="C2369" s="21" t="n"/>
      <c r="D2369" s="21" t="n"/>
      <c r="E2369" s="21" t="n"/>
      <c r="F2369" s="22" t="n">
        <v>70.55</v>
      </c>
    </row>
    <row r="2371" ht="18" customHeight="1">
      <c r="A2371" s="9" t="inlineStr">
        <is>
          <t>9.95.8</t>
        </is>
      </c>
      <c r="B2371" s="10" t="inlineStr">
        <is>
          <t>75x45x3.2 mm</t>
        </is>
      </c>
      <c r="C2371" s="11" t="n"/>
      <c r="D2371" s="11" t="n"/>
      <c r="E2371" s="11" t="n"/>
      <c r="F2371" s="11" t="n"/>
    </row>
    <row r="2372">
      <c r="A2372" s="12" t="inlineStr">
        <is>
          <t>Rate basis: per nos  (source: cost for 10 nos)</t>
        </is>
      </c>
    </row>
    <row r="2373">
      <c r="A2373" s="5" t="inlineStr">
        <is>
          <t>Code</t>
        </is>
      </c>
      <c r="B2373" s="5" t="inlineStr">
        <is>
          <t>Description</t>
        </is>
      </c>
      <c r="C2373" s="5" t="inlineStr">
        <is>
          <t>Unit</t>
        </is>
      </c>
      <c r="D2373" s="5" t="inlineStr">
        <is>
          <t>Quantity</t>
        </is>
      </c>
      <c r="E2373" s="5" t="inlineStr">
        <is>
          <t>Rate (Rs.)</t>
        </is>
      </c>
      <c r="F2373" s="5" t="inlineStr">
        <is>
          <t>Amount (Rs.)</t>
        </is>
      </c>
    </row>
    <row r="2374">
      <c r="A2374" s="13" t="inlineStr">
        <is>
          <t>0694</t>
        </is>
      </c>
      <c r="B2374" s="14" t="inlineStr">
        <is>
          <t>Anodised Aluminium butt hinges 75x45x3.2 mm</t>
        </is>
      </c>
      <c r="C2374" s="13" t="inlineStr">
        <is>
          <t>10 Nos</t>
        </is>
      </c>
      <c r="D2374" s="15" t="n">
        <v>1</v>
      </c>
      <c r="E2374" s="16" t="n">
        <v>196</v>
      </c>
      <c r="F2374" s="16">
        <f>D2374*E2374</f>
        <v/>
      </c>
    </row>
    <row r="2375">
      <c r="A2375" s="13" t="inlineStr">
        <is>
          <t>0587</t>
        </is>
      </c>
      <c r="B2375" s="14" t="inlineStr">
        <is>
          <t>Chromium plated Brass screws 30 mm</t>
        </is>
      </c>
      <c r="C2375" s="13" t="inlineStr">
        <is>
          <t>100 Nos</t>
        </is>
      </c>
      <c r="D2375" s="15" t="n">
        <v>0.6</v>
      </c>
      <c r="E2375" s="16" t="n">
        <v>240</v>
      </c>
      <c r="F2375" s="16">
        <f>D2375*E2375</f>
        <v/>
      </c>
    </row>
    <row r="2376">
      <c r="A2376" s="13" t="inlineStr">
        <is>
          <t>9977</t>
        </is>
      </c>
      <c r="B2376" s="14" t="inlineStr">
        <is>
          <t>Carriage of materials</t>
        </is>
      </c>
      <c r="C2376" s="13" t="inlineStr">
        <is>
          <t>L.S.</t>
        </is>
      </c>
      <c r="D2376" s="15" t="n">
        <v>1.82</v>
      </c>
      <c r="E2376" s="16" t="n">
        <v>2</v>
      </c>
      <c r="F2376" s="16">
        <f>D2376*E2376</f>
        <v/>
      </c>
    </row>
    <row r="2377">
      <c r="A2377" s="13" t="inlineStr">
        <is>
          <t>0111</t>
        </is>
      </c>
      <c r="B2377" s="14" t="inlineStr">
        <is>
          <t>Carpenter 1st class</t>
        </is>
      </c>
      <c r="C2377" s="13" t="inlineStr">
        <is>
          <t>day</t>
        </is>
      </c>
      <c r="D2377" s="15" t="n">
        <v>0.14</v>
      </c>
      <c r="E2377" s="16" t="n">
        <v>738</v>
      </c>
      <c r="F2377" s="16">
        <f>D2377*E2377</f>
        <v/>
      </c>
    </row>
    <row r="2378">
      <c r="A2378" s="13" t="inlineStr">
        <is>
          <t>0114</t>
        </is>
      </c>
      <c r="B2378" s="14" t="inlineStr">
        <is>
          <t>Beldar</t>
        </is>
      </c>
      <c r="C2378" s="13" t="inlineStr">
        <is>
          <t>day</t>
        </is>
      </c>
      <c r="D2378" s="15" t="n">
        <v>0.09</v>
      </c>
      <c r="E2378" s="16" t="n">
        <v>558</v>
      </c>
      <c r="F2378" s="16">
        <f>D2378*E2378</f>
        <v/>
      </c>
    </row>
    <row r="2379">
      <c r="A2379" s="17" t="inlineStr">
        <is>
          <t>Resource Total (Material + Labour + Machinery, as printed)</t>
        </is>
      </c>
      <c r="B2379" s="18" t="n"/>
      <c r="C2379" s="18" t="n"/>
      <c r="D2379" s="18" t="n"/>
      <c r="E2379" s="18" t="n"/>
      <c r="F2379" s="19">
        <f>SUM(F2374:F2378)</f>
        <v/>
      </c>
    </row>
    <row r="2380">
      <c r="A2380" s="20" t="inlineStr">
        <is>
          <t>SAY (Rs.) — final DAR rate</t>
        </is>
      </c>
      <c r="B2380" s="21" t="n"/>
      <c r="C2380" s="21" t="n"/>
      <c r="D2380" s="21" t="n"/>
      <c r="E2380" s="21" t="n"/>
      <c r="F2380" s="22" t="n">
        <v>66.5</v>
      </c>
    </row>
    <row r="2382" ht="18" customHeight="1">
      <c r="A2382" s="9" t="inlineStr">
        <is>
          <t>9.96.1</t>
        </is>
      </c>
      <c r="B2382" s="10" t="inlineStr">
        <is>
          <t>300x16 mm</t>
        </is>
      </c>
      <c r="C2382" s="11" t="n"/>
      <c r="D2382" s="11" t="n"/>
      <c r="E2382" s="11" t="n"/>
      <c r="F2382" s="11" t="n"/>
    </row>
    <row r="2383">
      <c r="A2383" s="12" t="inlineStr">
        <is>
          <t>Rate basis: per nos  (source: cost for 10 nos)</t>
        </is>
      </c>
    </row>
    <row r="2384">
      <c r="A2384" s="5" t="inlineStr">
        <is>
          <t>Code</t>
        </is>
      </c>
      <c r="B2384" s="5" t="inlineStr">
        <is>
          <t>Description</t>
        </is>
      </c>
      <c r="C2384" s="5" t="inlineStr">
        <is>
          <t>Unit</t>
        </is>
      </c>
      <c r="D2384" s="5" t="inlineStr">
        <is>
          <t>Quantity</t>
        </is>
      </c>
      <c r="E2384" s="5" t="inlineStr">
        <is>
          <t>Rate (Rs.)</t>
        </is>
      </c>
      <c r="F2384" s="5" t="inlineStr">
        <is>
          <t>Amount (Rs.)</t>
        </is>
      </c>
    </row>
    <row r="2385">
      <c r="A2385" s="13" t="inlineStr">
        <is>
          <t>0696</t>
        </is>
      </c>
      <c r="B2385" s="14" t="inlineStr">
        <is>
          <t>Anodised Aluminium sliding door bolt 300x16 mm</t>
        </is>
      </c>
      <c r="C2385" s="13" t="inlineStr">
        <is>
          <t>each</t>
        </is>
      </c>
      <c r="D2385" s="15" t="n">
        <v>10</v>
      </c>
      <c r="E2385" s="16" t="n">
        <v>147</v>
      </c>
      <c r="F2385" s="16">
        <f>D2385*E2385</f>
        <v/>
      </c>
    </row>
    <row r="2386">
      <c r="A2386" s="13" t="inlineStr">
        <is>
          <t>0588</t>
        </is>
      </c>
      <c r="B2386" s="14" t="inlineStr">
        <is>
          <t>Chromium plated Brass screws 25 mm</t>
        </is>
      </c>
      <c r="C2386" s="13" t="inlineStr">
        <is>
          <t>100 Nos</t>
        </is>
      </c>
      <c r="D2386" s="15" t="n">
        <v>0.4</v>
      </c>
      <c r="E2386" s="16" t="n">
        <v>180</v>
      </c>
      <c r="F2386" s="16">
        <f>D2386*E2386</f>
        <v/>
      </c>
    </row>
    <row r="2387">
      <c r="A2387" s="13" t="inlineStr">
        <is>
          <t>9977</t>
        </is>
      </c>
      <c r="B2387" s="14" t="inlineStr">
        <is>
          <t>Carriage of materials</t>
        </is>
      </c>
      <c r="C2387" s="13" t="inlineStr">
        <is>
          <t>L.S.</t>
        </is>
      </c>
      <c r="D2387" s="15" t="n">
        <v>5.46</v>
      </c>
      <c r="E2387" s="16" t="n">
        <v>2</v>
      </c>
      <c r="F2387" s="16">
        <f>D2387*E2387</f>
        <v/>
      </c>
    </row>
    <row r="2388">
      <c r="A2388" s="13" t="inlineStr">
        <is>
          <t>0111</t>
        </is>
      </c>
      <c r="B2388" s="14" t="inlineStr">
        <is>
          <t>Carpenter 1st class</t>
        </is>
      </c>
      <c r="C2388" s="13" t="inlineStr">
        <is>
          <t>day</t>
        </is>
      </c>
      <c r="D2388" s="15" t="n">
        <v>0.5</v>
      </c>
      <c r="E2388" s="16" t="n">
        <v>738</v>
      </c>
      <c r="F2388" s="16">
        <f>D2388*E2388</f>
        <v/>
      </c>
    </row>
    <row r="2389">
      <c r="A2389" s="17" t="inlineStr">
        <is>
          <t>Resource Total (Material + Labour + Machinery, as printed)</t>
        </is>
      </c>
      <c r="B2389" s="18" t="n"/>
      <c r="C2389" s="18" t="n"/>
      <c r="D2389" s="18" t="n"/>
      <c r="E2389" s="18" t="n"/>
      <c r="F2389" s="19">
        <f>SUM(F2385:F2388)</f>
        <v/>
      </c>
    </row>
    <row r="2390">
      <c r="A2390" s="20" t="inlineStr">
        <is>
          <t>SAY (Rs.) — final DAR rate</t>
        </is>
      </c>
      <c r="B2390" s="21" t="n"/>
      <c r="C2390" s="21" t="n"/>
      <c r="D2390" s="21" t="n"/>
      <c r="E2390" s="21" t="n"/>
      <c r="F2390" s="22" t="n">
        <v>257.15</v>
      </c>
    </row>
    <row r="2392" ht="18" customHeight="1">
      <c r="A2392" s="9" t="inlineStr">
        <is>
          <t>9.96.2</t>
        </is>
      </c>
      <c r="B2392" s="10" t="inlineStr">
        <is>
          <t>250x16 mm</t>
        </is>
      </c>
      <c r="C2392" s="11" t="n"/>
      <c r="D2392" s="11" t="n"/>
      <c r="E2392" s="11" t="n"/>
      <c r="F2392" s="11" t="n"/>
    </row>
    <row r="2393">
      <c r="A2393" s="12" t="inlineStr">
        <is>
          <t>Rate basis: per nos  (source: cost for 10 nos)</t>
        </is>
      </c>
    </row>
    <row r="2394">
      <c r="A2394" s="5" t="inlineStr">
        <is>
          <t>Code</t>
        </is>
      </c>
      <c r="B2394" s="5" t="inlineStr">
        <is>
          <t>Description</t>
        </is>
      </c>
      <c r="C2394" s="5" t="inlineStr">
        <is>
          <t>Unit</t>
        </is>
      </c>
      <c r="D2394" s="5" t="inlineStr">
        <is>
          <t>Quantity</t>
        </is>
      </c>
      <c r="E2394" s="5" t="inlineStr">
        <is>
          <t>Rate (Rs.)</t>
        </is>
      </c>
      <c r="F2394" s="5" t="inlineStr">
        <is>
          <t>Amount (Rs.)</t>
        </is>
      </c>
    </row>
    <row r="2395">
      <c r="A2395" s="13" t="inlineStr">
        <is>
          <t>0697</t>
        </is>
      </c>
      <c r="B2395" s="14" t="inlineStr">
        <is>
          <t>Anodised Aluminium sliding door bolt 250x16 mm</t>
        </is>
      </c>
      <c r="C2395" s="13" t="inlineStr">
        <is>
          <t>each</t>
        </is>
      </c>
      <c r="D2395" s="15" t="n">
        <v>10</v>
      </c>
      <c r="E2395" s="16" t="n">
        <v>128</v>
      </c>
      <c r="F2395" s="16">
        <f>D2395*E2395</f>
        <v/>
      </c>
    </row>
    <row r="2396">
      <c r="A2396" s="13" t="inlineStr">
        <is>
          <t>0588</t>
        </is>
      </c>
      <c r="B2396" s="14" t="inlineStr">
        <is>
          <t>Chromium plated Brass screws 25 mm</t>
        </is>
      </c>
      <c r="C2396" s="13" t="inlineStr">
        <is>
          <t>100 Nos</t>
        </is>
      </c>
      <c r="D2396" s="15" t="n">
        <v>0.4</v>
      </c>
      <c r="E2396" s="16" t="n">
        <v>180</v>
      </c>
      <c r="F2396" s="16">
        <f>D2396*E2396</f>
        <v/>
      </c>
    </row>
    <row r="2397">
      <c r="A2397" s="13" t="inlineStr">
        <is>
          <t>9977</t>
        </is>
      </c>
      <c r="B2397" s="14" t="inlineStr">
        <is>
          <t>Carriage of materials</t>
        </is>
      </c>
      <c r="C2397" s="13" t="inlineStr">
        <is>
          <t>L.S.</t>
        </is>
      </c>
      <c r="D2397" s="15" t="n">
        <v>5.46</v>
      </c>
      <c r="E2397" s="16" t="n">
        <v>2</v>
      </c>
      <c r="F2397" s="16">
        <f>D2397*E2397</f>
        <v/>
      </c>
    </row>
    <row r="2398">
      <c r="A2398" s="13" t="inlineStr">
        <is>
          <t>0111</t>
        </is>
      </c>
      <c r="B2398" s="14" t="inlineStr">
        <is>
          <t>Carpenter 1st class</t>
        </is>
      </c>
      <c r="C2398" s="13" t="inlineStr">
        <is>
          <t>day</t>
        </is>
      </c>
      <c r="D2398" s="15" t="n">
        <v>0.5</v>
      </c>
      <c r="E2398" s="16" t="n">
        <v>738</v>
      </c>
      <c r="F2398" s="16">
        <f>D2398*E2398</f>
        <v/>
      </c>
    </row>
    <row r="2399">
      <c r="A2399" s="17" t="inlineStr">
        <is>
          <t>Resource Total (Material + Labour + Machinery, as printed)</t>
        </is>
      </c>
      <c r="B2399" s="18" t="n"/>
      <c r="C2399" s="18" t="n"/>
      <c r="D2399" s="18" t="n"/>
      <c r="E2399" s="18" t="n"/>
      <c r="F2399" s="19">
        <f>SUM(F2395:F2398)</f>
        <v/>
      </c>
    </row>
    <row r="2400">
      <c r="A2400" s="20" t="inlineStr">
        <is>
          <t>SAY (Rs.) — final DAR rate</t>
        </is>
      </c>
      <c r="B2400" s="21" t="n"/>
      <c r="C2400" s="21" t="n"/>
      <c r="D2400" s="21" t="n"/>
      <c r="E2400" s="21" t="n"/>
      <c r="F2400" s="22" t="n">
        <v>231.7</v>
      </c>
    </row>
    <row r="2402" ht="18" customHeight="1">
      <c r="A2402" s="9" t="inlineStr">
        <is>
          <t>9.97.1</t>
        </is>
      </c>
      <c r="B2402" s="10" t="inlineStr">
        <is>
          <t>300x10 mm</t>
        </is>
      </c>
      <c r="C2402" s="11" t="n"/>
      <c r="D2402" s="11" t="n"/>
      <c r="E2402" s="11" t="n"/>
      <c r="F2402" s="11" t="n"/>
    </row>
    <row r="2403">
      <c r="A2403" s="12" t="inlineStr">
        <is>
          <t>Rate basis: per nos  (source: cost for 10 nos)</t>
        </is>
      </c>
    </row>
    <row r="2404">
      <c r="A2404" s="5" t="inlineStr">
        <is>
          <t>Code</t>
        </is>
      </c>
      <c r="B2404" s="5" t="inlineStr">
        <is>
          <t>Description</t>
        </is>
      </c>
      <c r="C2404" s="5" t="inlineStr">
        <is>
          <t>Unit</t>
        </is>
      </c>
      <c r="D2404" s="5" t="inlineStr">
        <is>
          <t>Quantity</t>
        </is>
      </c>
      <c r="E2404" s="5" t="inlineStr">
        <is>
          <t>Rate (Rs.)</t>
        </is>
      </c>
      <c r="F2404" s="5" t="inlineStr">
        <is>
          <t>Amount (Rs.)</t>
        </is>
      </c>
    </row>
    <row r="2405">
      <c r="A2405" s="13" t="inlineStr">
        <is>
          <t>0698</t>
        </is>
      </c>
      <c r="B2405" s="14" t="inlineStr">
        <is>
          <t>Anodised Aluminium tower bolt (barrel type)300x10 mm</t>
        </is>
      </c>
      <c r="C2405" s="13" t="inlineStr">
        <is>
          <t>10 Nos</t>
        </is>
      </c>
      <c r="D2405" s="15" t="n">
        <v>1</v>
      </c>
      <c r="E2405" s="16" t="n">
        <v>580</v>
      </c>
      <c r="F2405" s="16">
        <f>D2405*E2405</f>
        <v/>
      </c>
    </row>
    <row r="2406">
      <c r="A2406" s="13" t="inlineStr">
        <is>
          <t>0587</t>
        </is>
      </c>
      <c r="B2406" s="14" t="inlineStr">
        <is>
          <t>Chromium plated Brass screws 30 mm</t>
        </is>
      </c>
      <c r="C2406" s="13" t="inlineStr">
        <is>
          <t>100 Nos</t>
        </is>
      </c>
      <c r="D2406" s="15" t="n">
        <v>0.8</v>
      </c>
      <c r="E2406" s="16" t="n">
        <v>240</v>
      </c>
      <c r="F2406" s="16">
        <f>D2406*E2406</f>
        <v/>
      </c>
    </row>
    <row r="2407">
      <c r="A2407" s="13" t="inlineStr">
        <is>
          <t>9977</t>
        </is>
      </c>
      <c r="B2407" s="14" t="inlineStr">
        <is>
          <t>Carriage of materials</t>
        </is>
      </c>
      <c r="C2407" s="13" t="inlineStr">
        <is>
          <t>L.S.</t>
        </is>
      </c>
      <c r="D2407" s="15" t="n">
        <v>4.42</v>
      </c>
      <c r="E2407" s="16" t="n">
        <v>2</v>
      </c>
      <c r="F2407" s="16">
        <f>D2407*E2407</f>
        <v/>
      </c>
    </row>
    <row r="2408">
      <c r="A2408" s="13" t="inlineStr">
        <is>
          <t>0111</t>
        </is>
      </c>
      <c r="B2408" s="14" t="inlineStr">
        <is>
          <t>Carpenter 1st class</t>
        </is>
      </c>
      <c r="C2408" s="13" t="inlineStr">
        <is>
          <t>day</t>
        </is>
      </c>
      <c r="D2408" s="15" t="n">
        <v>0.125</v>
      </c>
      <c r="E2408" s="16" t="n">
        <v>738</v>
      </c>
      <c r="F2408" s="16">
        <f>D2408*E2408</f>
        <v/>
      </c>
    </row>
    <row r="2409">
      <c r="A2409" s="17" t="inlineStr">
        <is>
          <t>Resource Total (Material + Labour + Machinery, as printed)</t>
        </is>
      </c>
      <c r="B2409" s="18" t="n"/>
      <c r="C2409" s="18" t="n"/>
      <c r="D2409" s="18" t="n"/>
      <c r="E2409" s="18" t="n"/>
      <c r="F2409" s="19">
        <f>SUM(F2405:F2408)</f>
        <v/>
      </c>
    </row>
    <row r="2410">
      <c r="A2410" s="20" t="inlineStr">
        <is>
          <t>SAY (Rs.) — final DAR rate</t>
        </is>
      </c>
      <c r="B2410" s="21" t="n"/>
      <c r="C2410" s="21" t="n"/>
      <c r="D2410" s="21" t="n"/>
      <c r="E2410" s="21" t="n"/>
      <c r="F2410" s="22" t="n">
        <v>116.8</v>
      </c>
    </row>
    <row r="2412" ht="18" customHeight="1">
      <c r="A2412" s="9" t="inlineStr">
        <is>
          <t>9.97.2</t>
        </is>
      </c>
      <c r="B2412" s="10" t="inlineStr">
        <is>
          <t>250x10 mm</t>
        </is>
      </c>
      <c r="C2412" s="11" t="n"/>
      <c r="D2412" s="11" t="n"/>
      <c r="E2412" s="11" t="n"/>
      <c r="F2412" s="11" t="n"/>
    </row>
    <row r="2413">
      <c r="A2413" s="12" t="inlineStr">
        <is>
          <t>Rate basis: per nos  (source: cost for 10 nos)</t>
        </is>
      </c>
    </row>
    <row r="2414">
      <c r="A2414" s="5" t="inlineStr">
        <is>
          <t>Code</t>
        </is>
      </c>
      <c r="B2414" s="5" t="inlineStr">
        <is>
          <t>Description</t>
        </is>
      </c>
      <c r="C2414" s="5" t="inlineStr">
        <is>
          <t>Unit</t>
        </is>
      </c>
      <c r="D2414" s="5" t="inlineStr">
        <is>
          <t>Quantity</t>
        </is>
      </c>
      <c r="E2414" s="5" t="inlineStr">
        <is>
          <t>Rate (Rs.)</t>
        </is>
      </c>
      <c r="F2414" s="5" t="inlineStr">
        <is>
          <t>Amount (Rs.)</t>
        </is>
      </c>
    </row>
    <row r="2415">
      <c r="A2415" s="13" t="inlineStr">
        <is>
          <t>0699</t>
        </is>
      </c>
      <c r="B2415" s="14" t="inlineStr">
        <is>
          <t>Anodised Aluminium tower bolt (barrel type)250x10 mm</t>
        </is>
      </c>
      <c r="C2415" s="13" t="inlineStr">
        <is>
          <t>10 Nos</t>
        </is>
      </c>
      <c r="D2415" s="15" t="n">
        <v>1</v>
      </c>
      <c r="E2415" s="16" t="n">
        <v>481</v>
      </c>
      <c r="F2415" s="16">
        <f>D2415*E2415</f>
        <v/>
      </c>
    </row>
    <row r="2416">
      <c r="A2416" s="13" t="inlineStr">
        <is>
          <t>0587</t>
        </is>
      </c>
      <c r="B2416" s="14" t="inlineStr">
        <is>
          <t>Chromium plated Brass screws 30 mm</t>
        </is>
      </c>
      <c r="C2416" s="13" t="inlineStr">
        <is>
          <t>100 Nos</t>
        </is>
      </c>
      <c r="D2416" s="15" t="n">
        <v>0.8</v>
      </c>
      <c r="E2416" s="16" t="n">
        <v>240</v>
      </c>
      <c r="F2416" s="16">
        <f>D2416*E2416</f>
        <v/>
      </c>
    </row>
    <row r="2417">
      <c r="A2417" s="13" t="inlineStr">
        <is>
          <t>9977</t>
        </is>
      </c>
      <c r="B2417" s="14" t="inlineStr">
        <is>
          <t>Carriage of materials</t>
        </is>
      </c>
      <c r="C2417" s="13" t="inlineStr">
        <is>
          <t>L.S.</t>
        </is>
      </c>
      <c r="D2417" s="15" t="n">
        <v>4.42</v>
      </c>
      <c r="E2417" s="16" t="n">
        <v>2</v>
      </c>
      <c r="F2417" s="16">
        <f>D2417*E2417</f>
        <v/>
      </c>
    </row>
    <row r="2418">
      <c r="A2418" s="13" t="inlineStr">
        <is>
          <t>0111</t>
        </is>
      </c>
      <c r="B2418" s="14" t="inlineStr">
        <is>
          <t>Carpenter 1st class</t>
        </is>
      </c>
      <c r="C2418" s="13" t="inlineStr">
        <is>
          <t>day</t>
        </is>
      </c>
      <c r="D2418" s="15" t="n">
        <v>0.125</v>
      </c>
      <c r="E2418" s="16" t="n">
        <v>738</v>
      </c>
      <c r="F2418" s="16">
        <f>D2418*E2418</f>
        <v/>
      </c>
    </row>
    <row r="2419">
      <c r="A2419" s="17" t="inlineStr">
        <is>
          <t>Resource Total (Material + Labour + Machinery, as printed)</t>
        </is>
      </c>
      <c r="B2419" s="18" t="n"/>
      <c r="C2419" s="18" t="n"/>
      <c r="D2419" s="18" t="n"/>
      <c r="E2419" s="18" t="n"/>
      <c r="F2419" s="19">
        <f>SUM(F2415:F2418)</f>
        <v/>
      </c>
    </row>
    <row r="2420">
      <c r="A2420" s="20" t="inlineStr">
        <is>
          <t>SAY (Rs.) — final DAR rate</t>
        </is>
      </c>
      <c r="B2420" s="21" t="n"/>
      <c r="C2420" s="21" t="n"/>
      <c r="D2420" s="21" t="n"/>
      <c r="E2420" s="21" t="n"/>
      <c r="F2420" s="22" t="n">
        <v>103.55</v>
      </c>
    </row>
    <row r="2422" ht="18" customHeight="1">
      <c r="A2422" s="9" t="inlineStr">
        <is>
          <t>9.97.3</t>
        </is>
      </c>
      <c r="B2422" s="10" t="inlineStr">
        <is>
          <t>200x10 mm</t>
        </is>
      </c>
      <c r="C2422" s="11" t="n"/>
      <c r="D2422" s="11" t="n"/>
      <c r="E2422" s="11" t="n"/>
      <c r="F2422" s="11" t="n"/>
    </row>
    <row r="2423">
      <c r="A2423" s="12" t="inlineStr">
        <is>
          <t>Rate basis: per nos  (source: cost for 10 nos)</t>
        </is>
      </c>
    </row>
    <row r="2424">
      <c r="A2424" s="5" t="inlineStr">
        <is>
          <t>Code</t>
        </is>
      </c>
      <c r="B2424" s="5" t="inlineStr">
        <is>
          <t>Description</t>
        </is>
      </c>
      <c r="C2424" s="5" t="inlineStr">
        <is>
          <t>Unit</t>
        </is>
      </c>
      <c r="D2424" s="5" t="inlineStr">
        <is>
          <t>Quantity</t>
        </is>
      </c>
      <c r="E2424" s="5" t="inlineStr">
        <is>
          <t>Rate (Rs.)</t>
        </is>
      </c>
      <c r="F2424" s="5" t="inlineStr">
        <is>
          <t>Amount (Rs.)</t>
        </is>
      </c>
    </row>
    <row r="2425">
      <c r="A2425" s="13" t="inlineStr">
        <is>
          <t>0700</t>
        </is>
      </c>
      <c r="B2425" s="14" t="inlineStr">
        <is>
          <t>Anodised Aluminium tower bolt (barrel type) 200x10 mm</t>
        </is>
      </c>
      <c r="C2425" s="13" t="inlineStr">
        <is>
          <t>10 Nos</t>
        </is>
      </c>
      <c r="D2425" s="15" t="n">
        <v>1</v>
      </c>
      <c r="E2425" s="16" t="n">
        <v>383</v>
      </c>
      <c r="F2425" s="16">
        <f>D2425*E2425</f>
        <v/>
      </c>
    </row>
    <row r="2426">
      <c r="A2426" s="13" t="inlineStr">
        <is>
          <t>0587</t>
        </is>
      </c>
      <c r="B2426" s="14" t="inlineStr">
        <is>
          <t>Chromium plated Brass screws 30 mm</t>
        </is>
      </c>
      <c r="C2426" s="13" t="inlineStr">
        <is>
          <t>100 Nos</t>
        </is>
      </c>
      <c r="D2426" s="15" t="n">
        <v>0.8</v>
      </c>
      <c r="E2426" s="16" t="n">
        <v>240</v>
      </c>
      <c r="F2426" s="16">
        <f>D2426*E2426</f>
        <v/>
      </c>
    </row>
    <row r="2427">
      <c r="A2427" s="13" t="inlineStr">
        <is>
          <t>9977</t>
        </is>
      </c>
      <c r="B2427" s="14" t="inlineStr">
        <is>
          <t>Carriage of materials</t>
        </is>
      </c>
      <c r="C2427" s="13" t="inlineStr">
        <is>
          <t>L.S.</t>
        </is>
      </c>
      <c r="D2427" s="15" t="n">
        <v>2.73</v>
      </c>
      <c r="E2427" s="16" t="n">
        <v>2</v>
      </c>
      <c r="F2427" s="16">
        <f>D2427*E2427</f>
        <v/>
      </c>
    </row>
    <row r="2428">
      <c r="A2428" s="13" t="inlineStr">
        <is>
          <t>0111</t>
        </is>
      </c>
      <c r="B2428" s="14" t="inlineStr">
        <is>
          <t>Carpenter 1st class</t>
        </is>
      </c>
      <c r="C2428" s="13" t="inlineStr">
        <is>
          <t>day</t>
        </is>
      </c>
      <c r="D2428" s="15" t="n">
        <v>0.125</v>
      </c>
      <c r="E2428" s="16" t="n">
        <v>738</v>
      </c>
      <c r="F2428" s="16">
        <f>D2428*E2428</f>
        <v/>
      </c>
    </row>
    <row r="2429">
      <c r="A2429" s="17" t="inlineStr">
        <is>
          <t>Resource Total (Material + Labour + Machinery, as printed)</t>
        </is>
      </c>
      <c r="B2429" s="18" t="n"/>
      <c r="C2429" s="18" t="n"/>
      <c r="D2429" s="18" t="n"/>
      <c r="E2429" s="18" t="n"/>
      <c r="F2429" s="19">
        <f>SUM(F2425:F2428)</f>
        <v/>
      </c>
    </row>
    <row r="2430">
      <c r="A2430" s="20" t="inlineStr">
        <is>
          <t>SAY (Rs.) — final DAR rate</t>
        </is>
      </c>
      <c r="B2430" s="21" t="n"/>
      <c r="C2430" s="21" t="n"/>
      <c r="D2430" s="21" t="n"/>
      <c r="E2430" s="21" t="n"/>
      <c r="F2430" s="22" t="n">
        <v>90</v>
      </c>
    </row>
    <row r="2432" ht="18" customHeight="1">
      <c r="A2432" s="9" t="inlineStr">
        <is>
          <t>9.97.4</t>
        </is>
      </c>
      <c r="B2432" s="10" t="inlineStr">
        <is>
          <t>150x10 mm</t>
        </is>
      </c>
      <c r="C2432" s="11" t="n"/>
      <c r="D2432" s="11" t="n"/>
      <c r="E2432" s="11" t="n"/>
      <c r="F2432" s="11" t="n"/>
    </row>
    <row r="2433">
      <c r="A2433" s="12" t="inlineStr">
        <is>
          <t>Rate basis: per nos  (source: cost for 10 nos)</t>
        </is>
      </c>
    </row>
    <row r="2434">
      <c r="A2434" s="5" t="inlineStr">
        <is>
          <t>Code</t>
        </is>
      </c>
      <c r="B2434" s="5" t="inlineStr">
        <is>
          <t>Description</t>
        </is>
      </c>
      <c r="C2434" s="5" t="inlineStr">
        <is>
          <t>Unit</t>
        </is>
      </c>
      <c r="D2434" s="5" t="inlineStr">
        <is>
          <t>Quantity</t>
        </is>
      </c>
      <c r="E2434" s="5" t="inlineStr">
        <is>
          <t>Rate (Rs.)</t>
        </is>
      </c>
      <c r="F2434" s="5" t="inlineStr">
        <is>
          <t>Amount (Rs.)</t>
        </is>
      </c>
    </row>
    <row r="2435">
      <c r="A2435" s="13" t="inlineStr">
        <is>
          <t>0701</t>
        </is>
      </c>
      <c r="B2435" s="14" t="inlineStr">
        <is>
          <t>Anodised Aluminium tower bolt (barrel type)150x10 mm</t>
        </is>
      </c>
      <c r="C2435" s="13" t="inlineStr">
        <is>
          <t>10 Nos</t>
        </is>
      </c>
      <c r="D2435" s="15" t="n">
        <v>1</v>
      </c>
      <c r="E2435" s="16" t="n">
        <v>304</v>
      </c>
      <c r="F2435" s="16">
        <f>D2435*E2435</f>
        <v/>
      </c>
    </row>
    <row r="2436">
      <c r="A2436" s="13" t="inlineStr">
        <is>
          <t>0587</t>
        </is>
      </c>
      <c r="B2436" s="14" t="inlineStr">
        <is>
          <t>Chromium plated Brass screws 30 mm</t>
        </is>
      </c>
      <c r="C2436" s="13" t="inlineStr">
        <is>
          <t>100 Nos</t>
        </is>
      </c>
      <c r="D2436" s="15" t="n">
        <v>0.8</v>
      </c>
      <c r="E2436" s="16" t="n">
        <v>240</v>
      </c>
      <c r="F2436" s="16">
        <f>D2436*E2436</f>
        <v/>
      </c>
    </row>
    <row r="2437">
      <c r="A2437" s="13" t="inlineStr">
        <is>
          <t>9977</t>
        </is>
      </c>
      <c r="B2437" s="14" t="inlineStr">
        <is>
          <t>Carriage of materials</t>
        </is>
      </c>
      <c r="C2437" s="13" t="inlineStr">
        <is>
          <t>L.S.</t>
        </is>
      </c>
      <c r="D2437" s="15" t="n">
        <v>2.73</v>
      </c>
      <c r="E2437" s="16" t="n">
        <v>2</v>
      </c>
      <c r="F2437" s="16">
        <f>D2437*E2437</f>
        <v/>
      </c>
    </row>
    <row r="2438">
      <c r="A2438" s="13" t="inlineStr">
        <is>
          <t>0111</t>
        </is>
      </c>
      <c r="B2438" s="14" t="inlineStr">
        <is>
          <t>Carpenter 1st class</t>
        </is>
      </c>
      <c r="C2438" s="13" t="inlineStr">
        <is>
          <t>day</t>
        </is>
      </c>
      <c r="D2438" s="15" t="n">
        <v>0.08</v>
      </c>
      <c r="E2438" s="16" t="n">
        <v>738</v>
      </c>
      <c r="F2438" s="16">
        <f>D2438*E2438</f>
        <v/>
      </c>
    </row>
    <row r="2439">
      <c r="A2439" s="17" t="inlineStr">
        <is>
          <t>Resource Total (Material + Labour + Machinery, as printed)</t>
        </is>
      </c>
      <c r="B2439" s="18" t="n"/>
      <c r="C2439" s="18" t="n"/>
      <c r="D2439" s="18" t="n"/>
      <c r="E2439" s="18" t="n"/>
      <c r="F2439" s="19">
        <f>SUM(F2435:F2438)</f>
        <v/>
      </c>
    </row>
    <row r="2440">
      <c r="A2440" s="20" t="inlineStr">
        <is>
          <t>SAY (Rs.) — final DAR rate</t>
        </is>
      </c>
      <c r="B2440" s="21" t="n"/>
      <c r="C2440" s="21" t="n"/>
      <c r="D2440" s="21" t="n"/>
      <c r="E2440" s="21" t="n"/>
      <c r="F2440" s="22" t="n">
        <v>75</v>
      </c>
    </row>
    <row r="2442" ht="18" customHeight="1">
      <c r="A2442" s="9" t="inlineStr">
        <is>
          <t>9.97.5</t>
        </is>
      </c>
      <c r="B2442" s="10" t="inlineStr">
        <is>
          <t>100x10 mm</t>
        </is>
      </c>
      <c r="C2442" s="11" t="n"/>
      <c r="D2442" s="11" t="n"/>
      <c r="E2442" s="11" t="n"/>
      <c r="F2442" s="11" t="n"/>
    </row>
    <row r="2443">
      <c r="A2443" s="12" t="inlineStr">
        <is>
          <t>Rate basis: per nos  (source: cost for 10 nos)</t>
        </is>
      </c>
    </row>
    <row r="2444">
      <c r="A2444" s="5" t="inlineStr">
        <is>
          <t>Code</t>
        </is>
      </c>
      <c r="B2444" s="5" t="inlineStr">
        <is>
          <t>Description</t>
        </is>
      </c>
      <c r="C2444" s="5" t="inlineStr">
        <is>
          <t>Unit</t>
        </is>
      </c>
      <c r="D2444" s="5" t="inlineStr">
        <is>
          <t>Quantity</t>
        </is>
      </c>
      <c r="E2444" s="5" t="inlineStr">
        <is>
          <t>Rate (Rs.)</t>
        </is>
      </c>
      <c r="F2444" s="5" t="inlineStr">
        <is>
          <t>Amount (Rs.)</t>
        </is>
      </c>
    </row>
    <row r="2445">
      <c r="A2445" s="13" t="inlineStr">
        <is>
          <t>0702</t>
        </is>
      </c>
      <c r="B2445" s="14" t="inlineStr">
        <is>
          <t>Anodised Aluminium tower bolt (barrel type)100x10 mm</t>
        </is>
      </c>
      <c r="C2445" s="13" t="inlineStr">
        <is>
          <t>10 Nos</t>
        </is>
      </c>
      <c r="D2445" s="15" t="n">
        <v>1</v>
      </c>
      <c r="E2445" s="16" t="n">
        <v>226</v>
      </c>
      <c r="F2445" s="16">
        <f>D2445*E2445</f>
        <v/>
      </c>
    </row>
    <row r="2446">
      <c r="A2446" s="13" t="inlineStr">
        <is>
          <t>0587</t>
        </is>
      </c>
      <c r="B2446" s="14" t="inlineStr">
        <is>
          <t>Chromium plated Brass screws 30 mm</t>
        </is>
      </c>
      <c r="C2446" s="13" t="inlineStr">
        <is>
          <t>100 Nos</t>
        </is>
      </c>
      <c r="D2446" s="15" t="n">
        <v>0.6</v>
      </c>
      <c r="E2446" s="16" t="n">
        <v>240</v>
      </c>
      <c r="F2446" s="16">
        <f>D2446*E2446</f>
        <v/>
      </c>
    </row>
    <row r="2447">
      <c r="A2447" s="13" t="inlineStr">
        <is>
          <t>9977</t>
        </is>
      </c>
      <c r="B2447" s="14" t="inlineStr">
        <is>
          <t>Carriage of materials</t>
        </is>
      </c>
      <c r="C2447" s="13" t="inlineStr">
        <is>
          <t>L.S.</t>
        </is>
      </c>
      <c r="D2447" s="15" t="n">
        <v>2.73</v>
      </c>
      <c r="E2447" s="16" t="n">
        <v>2</v>
      </c>
      <c r="F2447" s="16">
        <f>D2447*E2447</f>
        <v/>
      </c>
    </row>
    <row r="2448">
      <c r="A2448" s="13" t="inlineStr">
        <is>
          <t>0111</t>
        </is>
      </c>
      <c r="B2448" s="14" t="inlineStr">
        <is>
          <t>Carpenter 1st class</t>
        </is>
      </c>
      <c r="C2448" s="13" t="inlineStr">
        <is>
          <t>day</t>
        </is>
      </c>
      <c r="D2448" s="15" t="n">
        <v>0.08</v>
      </c>
      <c r="E2448" s="16" t="n">
        <v>738</v>
      </c>
      <c r="F2448" s="16">
        <f>D2448*E2448</f>
        <v/>
      </c>
    </row>
    <row r="2449">
      <c r="A2449" s="17" t="inlineStr">
        <is>
          <t>Resource Total (Material + Labour + Machinery, as printed)</t>
        </is>
      </c>
      <c r="B2449" s="18" t="n"/>
      <c r="C2449" s="18" t="n"/>
      <c r="D2449" s="18" t="n"/>
      <c r="E2449" s="18" t="n"/>
      <c r="F2449" s="19">
        <f>SUM(F2445:F2448)</f>
        <v/>
      </c>
    </row>
    <row r="2450">
      <c r="A2450" s="20" t="inlineStr">
        <is>
          <t>SAY (Rs.) — final DAR rate</t>
        </is>
      </c>
      <c r="B2450" s="21" t="n"/>
      <c r="C2450" s="21" t="n"/>
      <c r="D2450" s="21" t="n"/>
      <c r="E2450" s="21" t="n"/>
      <c r="F2450" s="22" t="n">
        <v>58.15</v>
      </c>
    </row>
    <row r="2452" ht="28" customHeight="1">
      <c r="A2452" s="9" t="inlineStr">
        <is>
          <t>9.98</t>
        </is>
      </c>
      <c r="B2452" s="10" t="inlineStr">
        <is>
          <t xml:space="preserve">Providing and fixing aluminium pull bolt lock, ISI marked, anodised (anodic coating not less than grade AC 10 as per IS : 1868) transparent </t>
        </is>
      </c>
      <c r="C2452" s="11" t="n"/>
      <c r="D2452" s="11" t="n"/>
      <c r="E2452" s="11" t="n"/>
      <c r="F2452" s="11" t="n"/>
    </row>
    <row r="2453">
      <c r="A2453" s="12" t="inlineStr">
        <is>
          <t>Rate basis: per pull  (source: cost for 10 pull)</t>
        </is>
      </c>
    </row>
    <row r="2454">
      <c r="A2454" s="5" t="inlineStr">
        <is>
          <t>Code</t>
        </is>
      </c>
      <c r="B2454" s="5" t="inlineStr">
        <is>
          <t>Description</t>
        </is>
      </c>
      <c r="C2454" s="5" t="inlineStr">
        <is>
          <t>Unit</t>
        </is>
      </c>
      <c r="D2454" s="5" t="inlineStr">
        <is>
          <t>Quantity</t>
        </is>
      </c>
      <c r="E2454" s="5" t="inlineStr">
        <is>
          <t>Rate (Rs.)</t>
        </is>
      </c>
      <c r="F2454" s="5" t="inlineStr">
        <is>
          <t>Amount (Rs.)</t>
        </is>
      </c>
    </row>
    <row r="2455">
      <c r="A2455" s="13" t="inlineStr">
        <is>
          <t>2464</t>
        </is>
      </c>
      <c r="B2455" s="14" t="inlineStr">
        <is>
          <t>Anodised Aluminium pull bolt lock (locking bolt) of size 85 mmx42 mm with screws,bolts,nuts and washers complete</t>
        </is>
      </c>
      <c r="C2455" s="13" t="inlineStr">
        <is>
          <t>each</t>
        </is>
      </c>
      <c r="D2455" s="15" t="n">
        <v>10</v>
      </c>
      <c r="E2455" s="16" t="n">
        <v>46</v>
      </c>
      <c r="F2455" s="16">
        <f>D2455*E2455</f>
        <v/>
      </c>
    </row>
    <row r="2456">
      <c r="A2456" s="13" t="inlineStr">
        <is>
          <t>9977</t>
        </is>
      </c>
      <c r="B2456" s="14" t="inlineStr">
        <is>
          <t>Carriage of materials</t>
        </is>
      </c>
      <c r="C2456" s="13" t="inlineStr">
        <is>
          <t>L.S.</t>
        </is>
      </c>
      <c r="D2456" s="15" t="n">
        <v>6.37</v>
      </c>
      <c r="E2456" s="16" t="n">
        <v>2</v>
      </c>
      <c r="F2456" s="16">
        <f>D2456*E2456</f>
        <v/>
      </c>
    </row>
    <row r="2457">
      <c r="A2457" s="13" t="inlineStr">
        <is>
          <t>0112</t>
        </is>
      </c>
      <c r="B2457" s="14" t="inlineStr">
        <is>
          <t>Carpenter 2nd class</t>
        </is>
      </c>
      <c r="C2457" s="13" t="inlineStr">
        <is>
          <t>day</t>
        </is>
      </c>
      <c r="D2457" s="15" t="n">
        <v>0.25</v>
      </c>
      <c r="E2457" s="16" t="n">
        <v>679</v>
      </c>
      <c r="F2457" s="16">
        <f>D2457*E2457</f>
        <v/>
      </c>
    </row>
    <row r="2458">
      <c r="A2458" s="17" t="inlineStr">
        <is>
          <t>Resource Total (Material + Labour + Machinery, as printed)</t>
        </is>
      </c>
      <c r="B2458" s="18" t="n"/>
      <c r="C2458" s="18" t="n"/>
      <c r="D2458" s="18" t="n"/>
      <c r="E2458" s="18" t="n"/>
      <c r="F2458" s="19">
        <f>SUM(F2455:F2457)</f>
        <v/>
      </c>
    </row>
    <row r="2459">
      <c r="A2459" s="20" t="inlineStr">
        <is>
          <t>SAY (Rs.) — final DAR rate</t>
        </is>
      </c>
      <c r="B2459" s="21" t="n"/>
      <c r="C2459" s="21" t="n"/>
      <c r="D2459" s="21" t="n"/>
      <c r="E2459" s="21" t="n"/>
      <c r="F2459" s="22" t="n">
        <v>85.95</v>
      </c>
    </row>
    <row r="2461" ht="28" customHeight="1">
      <c r="A2461" s="9" t="inlineStr">
        <is>
          <t>9.99</t>
        </is>
      </c>
      <c r="B2461" s="10" t="inlineStr">
        <is>
          <t xml:space="preserve">Providing and fixing 50 cm long aluminium kicking plate of size 100x3.15 mm, anodised (anodic coating not less than grade AC 10 as per IS : </t>
        </is>
      </c>
      <c r="C2461" s="11" t="n"/>
      <c r="D2461" s="11" t="n"/>
      <c r="E2461" s="11" t="n"/>
      <c r="F2461" s="11" t="n"/>
    </row>
    <row r="2462">
      <c r="A2462" s="12" t="inlineStr">
        <is>
          <t>Rate basis: per nos  (source: cost for 10 nos)</t>
        </is>
      </c>
    </row>
    <row r="2463">
      <c r="A2463" s="5" t="inlineStr">
        <is>
          <t>Code</t>
        </is>
      </c>
      <c r="B2463" s="5" t="inlineStr">
        <is>
          <t>Description</t>
        </is>
      </c>
      <c r="C2463" s="5" t="inlineStr">
        <is>
          <t>Unit</t>
        </is>
      </c>
      <c r="D2463" s="5" t="inlineStr">
        <is>
          <t>Quantity</t>
        </is>
      </c>
      <c r="E2463" s="5" t="inlineStr">
        <is>
          <t>Rate (Rs.)</t>
        </is>
      </c>
      <c r="F2463" s="5" t="inlineStr">
        <is>
          <t>Amount (Rs.)</t>
        </is>
      </c>
    </row>
    <row r="2464">
      <c r="A2464" s="13" t="inlineStr">
        <is>
          <t>0706</t>
        </is>
      </c>
      <c r="B2464" s="14" t="inlineStr">
        <is>
          <t>Anodised Aluminium kicking plate 50 cm long100x3.15 mm</t>
        </is>
      </c>
      <c r="C2464" s="13" t="inlineStr">
        <is>
          <t>each</t>
        </is>
      </c>
      <c r="D2464" s="15" t="n">
        <v>10</v>
      </c>
      <c r="E2464" s="16" t="n">
        <v>142</v>
      </c>
      <c r="F2464" s="16">
        <f>D2464*E2464</f>
        <v/>
      </c>
    </row>
    <row r="2465">
      <c r="A2465" s="13" t="inlineStr">
        <is>
          <t>0588</t>
        </is>
      </c>
      <c r="B2465" s="14" t="inlineStr">
        <is>
          <t>Chromium plated Brass screws 25 mm</t>
        </is>
      </c>
      <c r="C2465" s="13" t="inlineStr">
        <is>
          <t>100 Nos</t>
        </is>
      </c>
      <c r="D2465" s="15" t="n">
        <v>0.4</v>
      </c>
      <c r="E2465" s="16" t="n">
        <v>180</v>
      </c>
      <c r="F2465" s="16">
        <f>D2465*E2465</f>
        <v/>
      </c>
    </row>
    <row r="2466">
      <c r="A2466" s="13" t="inlineStr">
        <is>
          <t>9977</t>
        </is>
      </c>
      <c r="B2466" s="14" t="inlineStr">
        <is>
          <t>Carriage of materials</t>
        </is>
      </c>
      <c r="C2466" s="13" t="inlineStr">
        <is>
          <t>L.S.</t>
        </is>
      </c>
      <c r="D2466" s="15" t="n">
        <v>5.46</v>
      </c>
      <c r="E2466" s="16" t="n">
        <v>2</v>
      </c>
      <c r="F2466" s="16">
        <f>D2466*E2466</f>
        <v/>
      </c>
    </row>
    <row r="2467">
      <c r="A2467" s="13" t="inlineStr">
        <is>
          <t>0111</t>
        </is>
      </c>
      <c r="B2467" s="14" t="inlineStr">
        <is>
          <t>Carpenter 1st class</t>
        </is>
      </c>
      <c r="C2467" s="13" t="inlineStr">
        <is>
          <t>day</t>
        </is>
      </c>
      <c r="D2467" s="15" t="n">
        <v>0.07000000000000001</v>
      </c>
      <c r="E2467" s="16" t="n">
        <v>738</v>
      </c>
      <c r="F2467" s="16">
        <f>D2467*E2467</f>
        <v/>
      </c>
    </row>
    <row r="2468">
      <c r="A2468" s="13" t="inlineStr">
        <is>
          <t>0114</t>
        </is>
      </c>
      <c r="B2468" s="14" t="inlineStr">
        <is>
          <t>Beldar</t>
        </is>
      </c>
      <c r="C2468" s="13" t="inlineStr">
        <is>
          <t>day</t>
        </is>
      </c>
      <c r="D2468" s="15" t="n">
        <v>0.05</v>
      </c>
      <c r="E2468" s="16" t="n">
        <v>558</v>
      </c>
      <c r="F2468" s="16">
        <f>D2468*E2468</f>
        <v/>
      </c>
    </row>
    <row r="2469">
      <c r="A2469" s="17" t="inlineStr">
        <is>
          <t>Resource Total (Material + Labour + Machinery, as printed)</t>
        </is>
      </c>
      <c r="B2469" s="18" t="n"/>
      <c r="C2469" s="18" t="n"/>
      <c r="D2469" s="18" t="n"/>
      <c r="E2469" s="18" t="n"/>
      <c r="F2469" s="19">
        <f>SUM(F2464:F2468)</f>
        <v/>
      </c>
    </row>
    <row r="2470">
      <c r="A2470" s="20" t="inlineStr">
        <is>
          <t>SAY (Rs.) — final DAR rate</t>
        </is>
      </c>
      <c r="B2470" s="21" t="n"/>
      <c r="C2470" s="21" t="n"/>
      <c r="D2470" s="21" t="n"/>
      <c r="E2470" s="21" t="n"/>
      <c r="F2470" s="22" t="n">
        <v>211.75</v>
      </c>
    </row>
    <row r="2472" ht="18" customHeight="1">
      <c r="A2472" s="9" t="inlineStr">
        <is>
          <t>9.100.1</t>
        </is>
      </c>
      <c r="B2472" s="10" t="inlineStr">
        <is>
          <t>125 mm</t>
        </is>
      </c>
      <c r="C2472" s="11" t="n"/>
      <c r="D2472" s="11" t="n"/>
      <c r="E2472" s="11" t="n"/>
      <c r="F2472" s="11" t="n"/>
    </row>
    <row r="2473">
      <c r="A2473" s="12" t="inlineStr">
        <is>
          <t>Rate basis: per nos  (source: cost for 10 nos)</t>
        </is>
      </c>
    </row>
    <row r="2474">
      <c r="A2474" s="5" t="inlineStr">
        <is>
          <t>Code</t>
        </is>
      </c>
      <c r="B2474" s="5" t="inlineStr">
        <is>
          <t>Description</t>
        </is>
      </c>
      <c r="C2474" s="5" t="inlineStr">
        <is>
          <t>Unit</t>
        </is>
      </c>
      <c r="D2474" s="5" t="inlineStr">
        <is>
          <t>Quantity</t>
        </is>
      </c>
      <c r="E2474" s="5" t="inlineStr">
        <is>
          <t>Rate (Rs.)</t>
        </is>
      </c>
      <c r="F2474" s="5" t="inlineStr">
        <is>
          <t>Amount (Rs.)</t>
        </is>
      </c>
    </row>
    <row r="2475">
      <c r="A2475" s="13" t="inlineStr">
        <is>
          <t>0703</t>
        </is>
      </c>
      <c r="B2475" s="14" t="inlineStr">
        <is>
          <t>Anodised Aluminium handles 125 mm with plate 175 x 32 mm</t>
        </is>
      </c>
      <c r="C2475" s="13" t="inlineStr">
        <is>
          <t>10 Nos</t>
        </is>
      </c>
      <c r="D2475" s="15" t="n">
        <v>1</v>
      </c>
      <c r="E2475" s="16" t="n">
        <v>324</v>
      </c>
      <c r="F2475" s="16">
        <f>D2475*E2475</f>
        <v/>
      </c>
    </row>
    <row r="2476">
      <c r="A2476" s="13" t="inlineStr">
        <is>
          <t>0588</t>
        </is>
      </c>
      <c r="B2476" s="14" t="inlineStr">
        <is>
          <t>Chromium plated Brass screws 25 mm</t>
        </is>
      </c>
      <c r="C2476" s="13" t="inlineStr">
        <is>
          <t>100 Nos</t>
        </is>
      </c>
      <c r="D2476" s="15" t="n">
        <v>0.4</v>
      </c>
      <c r="E2476" s="16" t="n">
        <v>180</v>
      </c>
      <c r="F2476" s="16">
        <f>D2476*E2476</f>
        <v/>
      </c>
    </row>
    <row r="2477">
      <c r="A2477" s="13" t="inlineStr">
        <is>
          <t>9977</t>
        </is>
      </c>
      <c r="B2477" s="14" t="inlineStr">
        <is>
          <t>Carriage of materials</t>
        </is>
      </c>
      <c r="C2477" s="13" t="inlineStr">
        <is>
          <t>L.S.</t>
        </is>
      </c>
      <c r="D2477" s="15" t="n">
        <v>2.73</v>
      </c>
      <c r="E2477" s="16" t="n">
        <v>2</v>
      </c>
      <c r="F2477" s="16">
        <f>D2477*E2477</f>
        <v/>
      </c>
    </row>
    <row r="2478">
      <c r="A2478" s="13" t="inlineStr">
        <is>
          <t>0111</t>
        </is>
      </c>
      <c r="B2478" s="14" t="inlineStr">
        <is>
          <t>Carpenter 1st class</t>
        </is>
      </c>
      <c r="C2478" s="13" t="inlineStr">
        <is>
          <t>day</t>
        </is>
      </c>
      <c r="D2478" s="15" t="n">
        <v>0.06</v>
      </c>
      <c r="E2478" s="16" t="n">
        <v>738</v>
      </c>
      <c r="F2478" s="16">
        <f>D2478*E2478</f>
        <v/>
      </c>
    </row>
    <row r="2479">
      <c r="A2479" s="17" t="inlineStr">
        <is>
          <t>Resource Total (Material + Labour + Machinery, as printed)</t>
        </is>
      </c>
      <c r="B2479" s="18" t="n"/>
      <c r="C2479" s="18" t="n"/>
      <c r="D2479" s="18" t="n"/>
      <c r="E2479" s="18" t="n"/>
      <c r="F2479" s="19">
        <f>SUM(F2475:F2478)</f>
        <v/>
      </c>
    </row>
    <row r="2480">
      <c r="A2480" s="20" t="inlineStr">
        <is>
          <t>SAY (Rs.) — final DAR rate</t>
        </is>
      </c>
      <c r="B2480" s="21" t="n"/>
      <c r="C2480" s="21" t="n"/>
      <c r="D2480" s="21" t="n"/>
      <c r="E2480" s="21" t="n"/>
      <c r="F2480" s="22" t="n">
        <v>59.65</v>
      </c>
    </row>
    <row r="2482" ht="18" customHeight="1">
      <c r="A2482" s="9" t="inlineStr">
        <is>
          <t>9.100.2</t>
        </is>
      </c>
      <c r="B2482" s="10" t="inlineStr">
        <is>
          <t>100 mm</t>
        </is>
      </c>
      <c r="C2482" s="11" t="n"/>
      <c r="D2482" s="11" t="n"/>
      <c r="E2482" s="11" t="n"/>
      <c r="F2482" s="11" t="n"/>
    </row>
    <row r="2483">
      <c r="A2483" s="12" t="inlineStr">
        <is>
          <t>Rate basis: per nos  (source: cost for 10 nos)</t>
        </is>
      </c>
    </row>
    <row r="2484">
      <c r="A2484" s="5" t="inlineStr">
        <is>
          <t>Code</t>
        </is>
      </c>
      <c r="B2484" s="5" t="inlineStr">
        <is>
          <t>Description</t>
        </is>
      </c>
      <c r="C2484" s="5" t="inlineStr">
        <is>
          <t>Unit</t>
        </is>
      </c>
      <c r="D2484" s="5" t="inlineStr">
        <is>
          <t>Quantity</t>
        </is>
      </c>
      <c r="E2484" s="5" t="inlineStr">
        <is>
          <t>Rate (Rs.)</t>
        </is>
      </c>
      <c r="F2484" s="5" t="inlineStr">
        <is>
          <t>Amount (Rs.)</t>
        </is>
      </c>
    </row>
    <row r="2485">
      <c r="A2485" s="13" t="inlineStr">
        <is>
          <t>0704</t>
        </is>
      </c>
      <c r="B2485" s="14" t="inlineStr">
        <is>
          <t>Anodised Aluminium handles 100 mm with plate 150 x 32 mm</t>
        </is>
      </c>
      <c r="C2485" s="13" t="inlineStr">
        <is>
          <t>10 Nos</t>
        </is>
      </c>
      <c r="D2485" s="15" t="n">
        <v>1</v>
      </c>
      <c r="E2485" s="16" t="n">
        <v>275</v>
      </c>
      <c r="F2485" s="16">
        <f>D2485*E2485</f>
        <v/>
      </c>
    </row>
    <row r="2486">
      <c r="A2486" s="13" t="inlineStr">
        <is>
          <t>0588</t>
        </is>
      </c>
      <c r="B2486" s="14" t="inlineStr">
        <is>
          <t>Chromium plated Brass screws 25 mm</t>
        </is>
      </c>
      <c r="C2486" s="13" t="inlineStr">
        <is>
          <t>100 Nos</t>
        </is>
      </c>
      <c r="D2486" s="15" t="n">
        <v>0.4</v>
      </c>
      <c r="E2486" s="16" t="n">
        <v>180</v>
      </c>
      <c r="F2486" s="16">
        <f>D2486*E2486</f>
        <v/>
      </c>
    </row>
    <row r="2487">
      <c r="A2487" s="13" t="inlineStr">
        <is>
          <t>9977</t>
        </is>
      </c>
      <c r="B2487" s="14" t="inlineStr">
        <is>
          <t>Carriage of materials</t>
        </is>
      </c>
      <c r="C2487" s="13" t="inlineStr">
        <is>
          <t>L.S.</t>
        </is>
      </c>
      <c r="D2487" s="15" t="n">
        <v>1.82</v>
      </c>
      <c r="E2487" s="16" t="n">
        <v>2</v>
      </c>
      <c r="F2487" s="16">
        <f>D2487*E2487</f>
        <v/>
      </c>
    </row>
    <row r="2488">
      <c r="A2488" s="13" t="inlineStr">
        <is>
          <t>0111</t>
        </is>
      </c>
      <c r="B2488" s="14" t="inlineStr">
        <is>
          <t>Carpenter 1st class</t>
        </is>
      </c>
      <c r="C2488" s="13" t="inlineStr">
        <is>
          <t>day</t>
        </is>
      </c>
      <c r="D2488" s="15" t="n">
        <v>0.06</v>
      </c>
      <c r="E2488" s="16" t="n">
        <v>738</v>
      </c>
      <c r="F2488" s="16">
        <f>D2488*E2488</f>
        <v/>
      </c>
    </row>
    <row r="2489">
      <c r="A2489" s="17" t="inlineStr">
        <is>
          <t>Resource Total (Material + Labour + Machinery, as printed)</t>
        </is>
      </c>
      <c r="B2489" s="18" t="n"/>
      <c r="C2489" s="18" t="n"/>
      <c r="D2489" s="18" t="n"/>
      <c r="E2489" s="18" t="n"/>
      <c r="F2489" s="19">
        <f>SUM(F2485:F2488)</f>
        <v/>
      </c>
    </row>
    <row r="2490">
      <c r="A2490" s="20" t="inlineStr">
        <is>
          <t>SAY (Rs.) — final DAR rate</t>
        </is>
      </c>
      <c r="B2490" s="21" t="n"/>
      <c r="C2490" s="21" t="n"/>
      <c r="D2490" s="21" t="n"/>
      <c r="E2490" s="21" t="n"/>
      <c r="F2490" s="22" t="n">
        <v>52.85</v>
      </c>
    </row>
    <row r="2492" ht="18" customHeight="1">
      <c r="A2492" s="9" t="inlineStr">
        <is>
          <t>9.100.3</t>
        </is>
      </c>
      <c r="B2492" s="10" t="inlineStr">
        <is>
          <t>75 mm</t>
        </is>
      </c>
      <c r="C2492" s="11" t="n"/>
      <c r="D2492" s="11" t="n"/>
      <c r="E2492" s="11" t="n"/>
      <c r="F2492" s="11" t="n"/>
    </row>
    <row r="2493">
      <c r="A2493" s="12" t="inlineStr">
        <is>
          <t>Rate basis: per nos  (source: cost for 10 nos)</t>
        </is>
      </c>
    </row>
    <row r="2494">
      <c r="A2494" s="5" t="inlineStr">
        <is>
          <t>Code</t>
        </is>
      </c>
      <c r="B2494" s="5" t="inlineStr">
        <is>
          <t>Description</t>
        </is>
      </c>
      <c r="C2494" s="5" t="inlineStr">
        <is>
          <t>Unit</t>
        </is>
      </c>
      <c r="D2494" s="5" t="inlineStr">
        <is>
          <t>Quantity</t>
        </is>
      </c>
      <c r="E2494" s="5" t="inlineStr">
        <is>
          <t>Rate (Rs.)</t>
        </is>
      </c>
      <c r="F2494" s="5" t="inlineStr">
        <is>
          <t>Amount (Rs.)</t>
        </is>
      </c>
    </row>
    <row r="2495">
      <c r="A2495" s="13" t="inlineStr">
        <is>
          <t>0705</t>
        </is>
      </c>
      <c r="B2495" s="14" t="inlineStr">
        <is>
          <t>Anodised Aluminium handles 75mm with plate 125 x 32 mm</t>
        </is>
      </c>
      <c r="C2495" s="13" t="inlineStr">
        <is>
          <t>10 Nos</t>
        </is>
      </c>
      <c r="D2495" s="15" t="n">
        <v>1</v>
      </c>
      <c r="E2495" s="16" t="n">
        <v>231</v>
      </c>
      <c r="F2495" s="16">
        <f>D2495*E2495</f>
        <v/>
      </c>
    </row>
    <row r="2496">
      <c r="A2496" s="13" t="inlineStr">
        <is>
          <t>0589</t>
        </is>
      </c>
      <c r="B2496" s="14" t="inlineStr">
        <is>
          <t>Chromium plated Brass screws 20 mm</t>
        </is>
      </c>
      <c r="C2496" s="13" t="inlineStr">
        <is>
          <t>100 Nos</t>
        </is>
      </c>
      <c r="D2496" s="15" t="n">
        <v>0.4</v>
      </c>
      <c r="E2496" s="16" t="n">
        <v>160</v>
      </c>
      <c r="F2496" s="16">
        <f>D2496*E2496</f>
        <v/>
      </c>
    </row>
    <row r="2497">
      <c r="A2497" s="13" t="inlineStr">
        <is>
          <t>9977</t>
        </is>
      </c>
      <c r="B2497" s="14" t="inlineStr">
        <is>
          <t>Carriage of materials</t>
        </is>
      </c>
      <c r="C2497" s="13" t="inlineStr">
        <is>
          <t>L.S.</t>
        </is>
      </c>
      <c r="D2497" s="15" t="n">
        <v>1.82</v>
      </c>
      <c r="E2497" s="16" t="n">
        <v>2</v>
      </c>
      <c r="F2497" s="16">
        <f>D2497*E2497</f>
        <v/>
      </c>
    </row>
    <row r="2498">
      <c r="A2498" s="13" t="inlineStr">
        <is>
          <t>0111</t>
        </is>
      </c>
      <c r="B2498" s="14" t="inlineStr">
        <is>
          <t>Carpenter 1st class</t>
        </is>
      </c>
      <c r="C2498" s="13" t="inlineStr">
        <is>
          <t>day</t>
        </is>
      </c>
      <c r="D2498" s="15" t="n">
        <v>0.06</v>
      </c>
      <c r="E2498" s="16" t="n">
        <v>738</v>
      </c>
      <c r="F2498" s="16">
        <f>D2498*E2498</f>
        <v/>
      </c>
    </row>
    <row r="2499">
      <c r="A2499" s="17" t="inlineStr">
        <is>
          <t>Resource Total (Material + Labour + Machinery, as printed)</t>
        </is>
      </c>
      <c r="B2499" s="18" t="n"/>
      <c r="C2499" s="18" t="n"/>
      <c r="D2499" s="18" t="n"/>
      <c r="E2499" s="18" t="n"/>
      <c r="F2499" s="19">
        <f>SUM(F2495:F2498)</f>
        <v/>
      </c>
    </row>
    <row r="2500">
      <c r="A2500" s="20" t="inlineStr">
        <is>
          <t>SAY (Rs.) — final DAR rate</t>
        </is>
      </c>
      <c r="B2500" s="21" t="n"/>
      <c r="C2500" s="21" t="n"/>
      <c r="D2500" s="21" t="n"/>
      <c r="E2500" s="21" t="n"/>
      <c r="F2500" s="22" t="n">
        <v>45.9</v>
      </c>
    </row>
    <row r="2502" ht="18" customHeight="1">
      <c r="A2502" s="9" t="inlineStr">
        <is>
          <t>9.101.1</t>
        </is>
      </c>
      <c r="B2502" s="10" t="inlineStr">
        <is>
          <t>Single rubber stopper</t>
        </is>
      </c>
      <c r="C2502" s="11" t="n"/>
      <c r="D2502" s="11" t="n"/>
      <c r="E2502" s="11" t="n"/>
      <c r="F2502" s="11" t="n"/>
    </row>
    <row r="2503">
      <c r="A2503" s="12" t="inlineStr">
        <is>
          <t>Rate basis: per nos  (source: cost for 10 nos)</t>
        </is>
      </c>
    </row>
    <row r="2504">
      <c r="A2504" s="5" t="inlineStr">
        <is>
          <t>Code</t>
        </is>
      </c>
      <c r="B2504" s="5" t="inlineStr">
        <is>
          <t>Description</t>
        </is>
      </c>
      <c r="C2504" s="5" t="inlineStr">
        <is>
          <t>Unit</t>
        </is>
      </c>
      <c r="D2504" s="5" t="inlineStr">
        <is>
          <t>Quantity</t>
        </is>
      </c>
      <c r="E2504" s="5" t="inlineStr">
        <is>
          <t>Rate (Rs.)</t>
        </is>
      </c>
      <c r="F2504" s="5" t="inlineStr">
        <is>
          <t>Amount (Rs.)</t>
        </is>
      </c>
    </row>
    <row r="2505">
      <c r="A2505" s="13" t="inlineStr">
        <is>
          <t>2459</t>
        </is>
      </c>
      <c r="B2505" s="14" t="inlineStr">
        <is>
          <t>Anodised Aluminium hanging type door stopper</t>
        </is>
      </c>
      <c r="C2505" s="13" t="inlineStr">
        <is>
          <t>each</t>
        </is>
      </c>
      <c r="D2505" s="15" t="n">
        <v>10</v>
      </c>
      <c r="E2505" s="16" t="n">
        <v>19</v>
      </c>
      <c r="F2505" s="16">
        <f>D2505*E2505</f>
        <v/>
      </c>
    </row>
    <row r="2506">
      <c r="A2506" s="13" t="inlineStr">
        <is>
          <t>0588</t>
        </is>
      </c>
      <c r="B2506" s="14" t="inlineStr">
        <is>
          <t>Chromium plated Brass screws 25 mm</t>
        </is>
      </c>
      <c r="C2506" s="13" t="inlineStr">
        <is>
          <t>100 Nos</t>
        </is>
      </c>
      <c r="D2506" s="15" t="n">
        <v>0.2</v>
      </c>
      <c r="E2506" s="16" t="n">
        <v>180</v>
      </c>
      <c r="F2506" s="16">
        <f>D2506*E2506</f>
        <v/>
      </c>
    </row>
    <row r="2507">
      <c r="A2507" s="13" t="inlineStr">
        <is>
          <t>9977</t>
        </is>
      </c>
      <c r="B2507" s="14" t="inlineStr">
        <is>
          <t>Carriage of materials</t>
        </is>
      </c>
      <c r="C2507" s="13" t="inlineStr">
        <is>
          <t>L.S.</t>
        </is>
      </c>
      <c r="D2507" s="15" t="n">
        <v>2.73</v>
      </c>
      <c r="E2507" s="16" t="n">
        <v>2</v>
      </c>
      <c r="F2507" s="16">
        <f>D2507*E2507</f>
        <v/>
      </c>
    </row>
    <row r="2508">
      <c r="A2508" s="13" t="inlineStr">
        <is>
          <t>0111</t>
        </is>
      </c>
      <c r="B2508" s="14" t="inlineStr">
        <is>
          <t>Carpenter 1st class</t>
        </is>
      </c>
      <c r="C2508" s="13" t="inlineStr">
        <is>
          <t>day</t>
        </is>
      </c>
      <c r="D2508" s="15" t="n">
        <v>0.03</v>
      </c>
      <c r="E2508" s="16" t="n">
        <v>738</v>
      </c>
      <c r="F2508" s="16">
        <f>D2508*E2508</f>
        <v/>
      </c>
    </row>
    <row r="2509">
      <c r="A2509" s="17" t="inlineStr">
        <is>
          <t>Resource Total (Material + Labour + Machinery, as printed)</t>
        </is>
      </c>
      <c r="B2509" s="18" t="n"/>
      <c r="C2509" s="18" t="n"/>
      <c r="D2509" s="18" t="n"/>
      <c r="E2509" s="18" t="n"/>
      <c r="F2509" s="19">
        <f>SUM(F2505:F2508)</f>
        <v/>
      </c>
    </row>
    <row r="2510">
      <c r="A2510" s="20" t="inlineStr">
        <is>
          <t>SAY (Rs.) — final DAR rate</t>
        </is>
      </c>
      <c r="B2510" s="21" t="n"/>
      <c r="C2510" s="21" t="n"/>
      <c r="D2510" s="21" t="n"/>
      <c r="E2510" s="21" t="n"/>
      <c r="F2510" s="22" t="n">
        <v>33.95</v>
      </c>
    </row>
    <row r="2512" ht="18" customHeight="1">
      <c r="A2512" s="9" t="inlineStr">
        <is>
          <t>9.101.2</t>
        </is>
      </c>
      <c r="B2512" s="10" t="inlineStr">
        <is>
          <t>Twin rubber stopper</t>
        </is>
      </c>
      <c r="C2512" s="11" t="n"/>
      <c r="D2512" s="11" t="n"/>
      <c r="E2512" s="11" t="n"/>
      <c r="F2512" s="11" t="n"/>
    </row>
    <row r="2513">
      <c r="A2513" s="12" t="inlineStr">
        <is>
          <t>Rate basis: per nos  (source: cost for 10 nos)</t>
        </is>
      </c>
    </row>
    <row r="2514">
      <c r="A2514" s="5" t="inlineStr">
        <is>
          <t>Code</t>
        </is>
      </c>
      <c r="B2514" s="5" t="inlineStr">
        <is>
          <t>Description</t>
        </is>
      </c>
      <c r="C2514" s="5" t="inlineStr">
        <is>
          <t>Unit</t>
        </is>
      </c>
      <c r="D2514" s="5" t="inlineStr">
        <is>
          <t>Quantity</t>
        </is>
      </c>
      <c r="E2514" s="5" t="inlineStr">
        <is>
          <t>Rate (Rs.)</t>
        </is>
      </c>
      <c r="F2514" s="5" t="inlineStr">
        <is>
          <t>Amount (Rs.)</t>
        </is>
      </c>
    </row>
    <row r="2515">
      <c r="A2515" s="13" t="inlineStr">
        <is>
          <t>7059</t>
        </is>
      </c>
      <c r="B2515" s="14" t="inlineStr">
        <is>
          <t>Aluminium hanging floor door stopper with twin rubber &amp; stopper</t>
        </is>
      </c>
      <c r="C2515" s="13" t="inlineStr">
        <is>
          <t>each</t>
        </is>
      </c>
      <c r="D2515" s="15" t="n">
        <v>10</v>
      </c>
      <c r="E2515" s="16" t="n">
        <v>40</v>
      </c>
      <c r="F2515" s="16">
        <f>D2515*E2515</f>
        <v/>
      </c>
    </row>
    <row r="2516">
      <c r="A2516" s="13" t="inlineStr">
        <is>
          <t>0588</t>
        </is>
      </c>
      <c r="B2516" s="14" t="inlineStr">
        <is>
          <t>Chromium plated Brass screws 25 mm</t>
        </is>
      </c>
      <c r="C2516" s="13" t="inlineStr">
        <is>
          <t>100 Nos</t>
        </is>
      </c>
      <c r="D2516" s="15" t="n">
        <v>0.2</v>
      </c>
      <c r="E2516" s="16" t="n">
        <v>180</v>
      </c>
      <c r="F2516" s="16">
        <f>D2516*E2516</f>
        <v/>
      </c>
    </row>
    <row r="2517">
      <c r="A2517" s="13" t="inlineStr">
        <is>
          <t>9977</t>
        </is>
      </c>
      <c r="B2517" s="14" t="inlineStr">
        <is>
          <t>Carriage of materials</t>
        </is>
      </c>
      <c r="C2517" s="13" t="inlineStr">
        <is>
          <t>L.S.</t>
        </is>
      </c>
      <c r="D2517" s="15" t="n">
        <v>2.73</v>
      </c>
      <c r="E2517" s="16" t="n">
        <v>2</v>
      </c>
      <c r="F2517" s="16">
        <f>D2517*E2517</f>
        <v/>
      </c>
    </row>
    <row r="2518">
      <c r="A2518" s="13" t="inlineStr">
        <is>
          <t>0111</t>
        </is>
      </c>
      <c r="B2518" s="14" t="inlineStr">
        <is>
          <t>Carpenter 1st class</t>
        </is>
      </c>
      <c r="C2518" s="13" t="inlineStr">
        <is>
          <t>day</t>
        </is>
      </c>
      <c r="D2518" s="15" t="n">
        <v>0.03</v>
      </c>
      <c r="E2518" s="16" t="n">
        <v>738</v>
      </c>
      <c r="F2518" s="16">
        <f>D2518*E2518</f>
        <v/>
      </c>
    </row>
    <row r="2519">
      <c r="A2519" s="17" t="inlineStr">
        <is>
          <t>Resource Total (Material + Labour + Machinery, as printed)</t>
        </is>
      </c>
      <c r="B2519" s="18" t="n"/>
      <c r="C2519" s="18" t="n"/>
      <c r="D2519" s="18" t="n"/>
      <c r="E2519" s="18" t="n"/>
      <c r="F2519" s="19">
        <f>SUM(F2515:F2518)</f>
        <v/>
      </c>
    </row>
    <row r="2520">
      <c r="A2520" s="20" t="inlineStr">
        <is>
          <t>SAY (Rs.) — final DAR rate</t>
        </is>
      </c>
      <c r="B2520" s="21" t="n"/>
      <c r="C2520" s="21" t="n"/>
      <c r="D2520" s="21" t="n"/>
      <c r="E2520" s="21" t="n"/>
      <c r="F2520" s="22" t="n">
        <v>62.05</v>
      </c>
    </row>
    <row r="2522" ht="28" customHeight="1">
      <c r="A2522" s="9" t="inlineStr">
        <is>
          <t>9.102</t>
        </is>
      </c>
      <c r="B2522" s="10" t="inlineStr">
        <is>
          <t xml:space="preserve">Providing and fixing aluminium casement stays, ISI marked, anodised (anodic coating not less than grade AC 10 as per IS : 1868) transparent </t>
        </is>
      </c>
      <c r="C2522" s="11" t="n"/>
      <c r="D2522" s="11" t="n"/>
      <c r="E2522" s="11" t="n"/>
      <c r="F2522" s="11" t="n"/>
    </row>
    <row r="2523">
      <c r="A2523" s="12" t="inlineStr">
        <is>
          <t>Rate basis: per nos  (source: cost for 10 nos)</t>
        </is>
      </c>
    </row>
    <row r="2524">
      <c r="A2524" s="5" t="inlineStr">
        <is>
          <t>Code</t>
        </is>
      </c>
      <c r="B2524" s="5" t="inlineStr">
        <is>
          <t>Description</t>
        </is>
      </c>
      <c r="C2524" s="5" t="inlineStr">
        <is>
          <t>Unit</t>
        </is>
      </c>
      <c r="D2524" s="5" t="inlineStr">
        <is>
          <t>Quantity</t>
        </is>
      </c>
      <c r="E2524" s="5" t="inlineStr">
        <is>
          <t>Rate (Rs.)</t>
        </is>
      </c>
      <c r="F2524" s="5" t="inlineStr">
        <is>
          <t>Amount (Rs.)</t>
        </is>
      </c>
    </row>
    <row r="2525">
      <c r="A2525" s="13" t="inlineStr">
        <is>
          <t>2465</t>
        </is>
      </c>
      <c r="B2525" s="14" t="inlineStr">
        <is>
          <t>Anodised Aluminium Casement stay 250 mm</t>
        </is>
      </c>
      <c r="C2525" s="13" t="inlineStr">
        <is>
          <t>each</t>
        </is>
      </c>
      <c r="D2525" s="15" t="n">
        <v>10</v>
      </c>
      <c r="E2525" s="16" t="n">
        <v>32</v>
      </c>
      <c r="F2525" s="16">
        <f>D2525*E2525</f>
        <v/>
      </c>
    </row>
    <row r="2526">
      <c r="A2526" s="13" t="inlineStr">
        <is>
          <t>0588</t>
        </is>
      </c>
      <c r="B2526" s="14" t="inlineStr">
        <is>
          <t>Chromium plated Brass screws 25 mm</t>
        </is>
      </c>
      <c r="C2526" s="13" t="inlineStr">
        <is>
          <t>100 Nos</t>
        </is>
      </c>
      <c r="D2526" s="15" t="n">
        <v>0.4</v>
      </c>
      <c r="E2526" s="16" t="n">
        <v>180</v>
      </c>
      <c r="F2526" s="16">
        <f>D2526*E2526</f>
        <v/>
      </c>
    </row>
    <row r="2527">
      <c r="A2527" s="13" t="inlineStr">
        <is>
          <t>9977</t>
        </is>
      </c>
      <c r="B2527" s="14" t="inlineStr">
        <is>
          <t>Carriage of materials</t>
        </is>
      </c>
      <c r="C2527" s="13" t="inlineStr">
        <is>
          <t>L.S.</t>
        </is>
      </c>
      <c r="D2527" s="15" t="n">
        <v>0.91</v>
      </c>
      <c r="E2527" s="16" t="n">
        <v>2</v>
      </c>
      <c r="F2527" s="16">
        <f>D2527*E2527</f>
        <v/>
      </c>
    </row>
    <row r="2528">
      <c r="A2528" s="13" t="inlineStr">
        <is>
          <t>0111</t>
        </is>
      </c>
      <c r="B2528" s="14" t="inlineStr">
        <is>
          <t>Carpenter 1st class</t>
        </is>
      </c>
      <c r="C2528" s="13" t="inlineStr">
        <is>
          <t>day</t>
        </is>
      </c>
      <c r="D2528" s="15" t="n">
        <v>0.1</v>
      </c>
      <c r="E2528" s="16" t="n">
        <v>738</v>
      </c>
      <c r="F2528" s="16">
        <f>D2528*E2528</f>
        <v/>
      </c>
    </row>
    <row r="2529">
      <c r="A2529" s="17" t="inlineStr">
        <is>
          <t>Resource Total (Material + Labour + Machinery, as printed)</t>
        </is>
      </c>
      <c r="B2529" s="18" t="n"/>
      <c r="C2529" s="18" t="n"/>
      <c r="D2529" s="18" t="n"/>
      <c r="E2529" s="18" t="n"/>
      <c r="F2529" s="19">
        <f>SUM(F2525:F2528)</f>
        <v/>
      </c>
    </row>
    <row r="2530">
      <c r="A2530" s="20" t="inlineStr">
        <is>
          <t>SAY (Rs.) — final DAR rate</t>
        </is>
      </c>
      <c r="B2530" s="21" t="n"/>
      <c r="C2530" s="21" t="n"/>
      <c r="D2530" s="21" t="n"/>
      <c r="E2530" s="21" t="n"/>
      <c r="F2530" s="22" t="n">
        <v>62.55</v>
      </c>
    </row>
    <row r="2532" ht="28" customHeight="1">
      <c r="A2532" s="9" t="inlineStr">
        <is>
          <t>9.103</t>
        </is>
      </c>
      <c r="B2532" s="10" t="inlineStr">
        <is>
          <t>Providing and fixing bright finished brass 100 mm mortice latch and lock, ISI marked, with six levers and a pair of anodised (anodic coating</t>
        </is>
      </c>
      <c r="C2532" s="11" t="n"/>
      <c r="D2532" s="11" t="n"/>
      <c r="E2532" s="11" t="n"/>
      <c r="F2532" s="11" t="n"/>
    </row>
    <row r="2533">
      <c r="A2533" s="12" t="inlineStr">
        <is>
          <t>Rate basis: per lock  (source: cost for 1 lock)</t>
        </is>
      </c>
    </row>
    <row r="2534">
      <c r="A2534" s="5" t="inlineStr">
        <is>
          <t>Code</t>
        </is>
      </c>
      <c r="B2534" s="5" t="inlineStr">
        <is>
          <t>Description</t>
        </is>
      </c>
      <c r="C2534" s="5" t="inlineStr">
        <is>
          <t>Unit</t>
        </is>
      </c>
      <c r="D2534" s="5" t="inlineStr">
        <is>
          <t>Quantity</t>
        </is>
      </c>
      <c r="E2534" s="5" t="inlineStr">
        <is>
          <t>Rate (Rs.)</t>
        </is>
      </c>
      <c r="F2534" s="5" t="inlineStr">
        <is>
          <t>Amount (Rs.)</t>
        </is>
      </c>
    </row>
    <row r="2535">
      <c r="A2535" s="13" t="inlineStr">
        <is>
          <t>7001</t>
        </is>
      </c>
      <c r="B2535" s="14" t="inlineStr">
        <is>
          <t>Brass 100mm mortice latch and lock with 6 levers without pair of handles</t>
        </is>
      </c>
      <c r="C2535" s="13" t="inlineStr">
        <is>
          <t>each</t>
        </is>
      </c>
      <c r="D2535" s="15" t="n">
        <v>1</v>
      </c>
      <c r="E2535" s="16" t="n">
        <v>210</v>
      </c>
      <c r="F2535" s="16">
        <f>D2535*E2535</f>
        <v/>
      </c>
    </row>
    <row r="2536">
      <c r="A2536" s="13" t="inlineStr">
        <is>
          <t>7003</t>
        </is>
      </c>
      <c r="B2536" s="14" t="inlineStr">
        <is>
          <t>Pair of Anodised Aluminium lever handles for 100mm mortice latch and lock</t>
        </is>
      </c>
      <c r="C2536" s="13" t="inlineStr">
        <is>
          <t>each</t>
        </is>
      </c>
      <c r="D2536" s="15" t="n">
        <v>1</v>
      </c>
      <c r="E2536" s="16" t="n">
        <v>215</v>
      </c>
      <c r="F2536" s="16">
        <f>D2536*E2536</f>
        <v/>
      </c>
    </row>
    <row r="2537">
      <c r="A2537" s="13" t="inlineStr">
        <is>
          <t>0111</t>
        </is>
      </c>
      <c r="B2537" s="14" t="inlineStr">
        <is>
          <t>Carpenter 1st class</t>
        </is>
      </c>
      <c r="C2537" s="13" t="inlineStr">
        <is>
          <t>day</t>
        </is>
      </c>
      <c r="D2537" s="15" t="n">
        <v>0.17</v>
      </c>
      <c r="E2537" s="16" t="n">
        <v>738</v>
      </c>
      <c r="F2537" s="16">
        <f>D2537*E2537</f>
        <v/>
      </c>
    </row>
    <row r="2538">
      <c r="A2538" s="13" t="inlineStr">
        <is>
          <t>9988</t>
        </is>
      </c>
      <c r="B2538" s="14" t="inlineStr">
        <is>
          <t>Sundries including carriage of materials</t>
        </is>
      </c>
      <c r="C2538" s="13" t="inlineStr">
        <is>
          <t>L.S.</t>
        </is>
      </c>
      <c r="D2538" s="15" t="n">
        <v>4.55</v>
      </c>
      <c r="E2538" s="16" t="n">
        <v>2</v>
      </c>
      <c r="F2538" s="16">
        <f>D2538*E2538</f>
        <v/>
      </c>
    </row>
    <row r="2539">
      <c r="A2539" s="17" t="inlineStr">
        <is>
          <t>Resource Total (Material + Labour + Machinery, as printed)</t>
        </is>
      </c>
      <c r="B2539" s="18" t="n"/>
      <c r="C2539" s="18" t="n"/>
      <c r="D2539" s="18" t="n"/>
      <c r="E2539" s="18" t="n"/>
      <c r="F2539" s="19">
        <f>SUM(F2535:F2538)</f>
        <v/>
      </c>
    </row>
    <row r="2540">
      <c r="A2540" s="20" t="inlineStr">
        <is>
          <t>SAY (Rs.) — final DAR rate</t>
        </is>
      </c>
      <c r="B2540" s="21" t="n"/>
      <c r="C2540" s="21" t="n"/>
      <c r="D2540" s="21" t="n"/>
      <c r="E2540" s="21" t="n"/>
      <c r="F2540" s="22" t="n">
        <v>748.65</v>
      </c>
    </row>
    <row r="2542" ht="28" customHeight="1">
      <c r="A2542" s="9" t="inlineStr">
        <is>
          <t>9.104</t>
        </is>
      </c>
      <c r="B2542" s="10" t="inlineStr">
        <is>
          <t>Providing and fixing aluminium tee channels (heavy duty) with rollers &amp; stop end in pelmets as curtain rod.</t>
        </is>
      </c>
      <c r="C2542" s="11" t="n"/>
      <c r="D2542" s="11" t="n"/>
      <c r="E2542" s="11" t="n"/>
      <c r="F2542" s="11" t="n"/>
    </row>
    <row r="2543">
      <c r="A2543" s="12" t="inlineStr">
        <is>
          <t>Rate basis: per m  (source: cost for 2 m)</t>
        </is>
      </c>
    </row>
    <row r="2544">
      <c r="A2544" s="5" t="inlineStr">
        <is>
          <t>Code</t>
        </is>
      </c>
      <c r="B2544" s="5" t="inlineStr">
        <is>
          <t>Description</t>
        </is>
      </c>
      <c r="C2544" s="5" t="inlineStr">
        <is>
          <t>Unit</t>
        </is>
      </c>
      <c r="D2544" s="5" t="inlineStr">
        <is>
          <t>Quantity</t>
        </is>
      </c>
      <c r="E2544" s="5" t="inlineStr">
        <is>
          <t>Rate (Rs.)</t>
        </is>
      </c>
      <c r="F2544" s="5" t="inlineStr">
        <is>
          <t>Amount (Rs.)</t>
        </is>
      </c>
    </row>
    <row r="2545">
      <c r="A2545" s="13" t="inlineStr">
        <is>
          <t>7056</t>
        </is>
      </c>
      <c r="B2545" s="14" t="inlineStr">
        <is>
          <t>Aluminium tee channel (heavy duty) with rollers and stop end</t>
        </is>
      </c>
      <c r="C2545" s="13" t="inlineStr">
        <is>
          <t>metre</t>
        </is>
      </c>
      <c r="D2545" s="15" t="n">
        <v>2</v>
      </c>
      <c r="E2545" s="16" t="n">
        <v>100</v>
      </c>
      <c r="F2545" s="16">
        <f>D2545*E2545</f>
        <v/>
      </c>
    </row>
    <row r="2546">
      <c r="A2546" s="13" t="inlineStr">
        <is>
          <t>9999</t>
        </is>
      </c>
      <c r="B2546" s="14" t="inlineStr">
        <is>
          <t>LABOUR</t>
        </is>
      </c>
      <c r="C2546" s="13" t="inlineStr">
        <is>
          <t>L.S.</t>
        </is>
      </c>
      <c r="D2546" s="15" t="n">
        <v>2.73</v>
      </c>
      <c r="E2546" s="16" t="n">
        <v>2</v>
      </c>
      <c r="F2546" s="16">
        <f>D2546*E2546</f>
        <v/>
      </c>
    </row>
    <row r="2547">
      <c r="A2547" s="13" t="inlineStr">
        <is>
          <t>9999</t>
        </is>
      </c>
      <c r="B2547" s="14" t="inlineStr">
        <is>
          <t>Sundries</t>
        </is>
      </c>
      <c r="C2547" s="13" t="inlineStr">
        <is>
          <t>L.S.</t>
        </is>
      </c>
      <c r="D2547" s="15" t="n">
        <v>1.43</v>
      </c>
      <c r="E2547" s="16" t="n">
        <v>2</v>
      </c>
      <c r="F2547" s="16">
        <f>D2547*E2547</f>
        <v/>
      </c>
    </row>
    <row r="2548">
      <c r="A2548" s="17" t="inlineStr">
        <is>
          <t>Resource Total (Material + Labour + Machinery, as printed)</t>
        </is>
      </c>
      <c r="B2548" s="18" t="n"/>
      <c r="C2548" s="18" t="n"/>
      <c r="D2548" s="18" t="n"/>
      <c r="E2548" s="18" t="n"/>
      <c r="F2548" s="19">
        <f>SUM(F2545:F2547)</f>
        <v/>
      </c>
    </row>
    <row r="2549">
      <c r="A2549" s="20" t="inlineStr">
        <is>
          <t>SAY (Rs.) — final DAR rate</t>
        </is>
      </c>
      <c r="B2549" s="21" t="n"/>
      <c r="C2549" s="21" t="n"/>
      <c r="D2549" s="21" t="n"/>
      <c r="E2549" s="21" t="n"/>
      <c r="F2549" s="22" t="n">
        <v>139.35</v>
      </c>
    </row>
    <row r="2551" ht="28" customHeight="1">
      <c r="A2551" s="9" t="inlineStr">
        <is>
          <t>9.105.1</t>
        </is>
      </c>
      <c r="B2551" s="10" t="inlineStr">
        <is>
          <t>75 mm overall thickness partition with 12.5 mm thick double skin fire rated Glass Reinforced Gypsum (GRG), plaster board conforming to IS: 2</t>
        </is>
      </c>
      <c r="C2551" s="11" t="n"/>
      <c r="D2551" s="11" t="n"/>
      <c r="E2551" s="11" t="n"/>
      <c r="F2551" s="11" t="n"/>
    </row>
    <row r="2552">
      <c r="A2552" s="12" t="inlineStr">
        <is>
          <t>Rate basis: per x3  (source: cost for 6 x3)</t>
        </is>
      </c>
    </row>
    <row r="2553">
      <c r="A2553" s="5" t="inlineStr">
        <is>
          <t>Code</t>
        </is>
      </c>
      <c r="B2553" s="5" t="inlineStr">
        <is>
          <t>Description</t>
        </is>
      </c>
      <c r="C2553" s="5" t="inlineStr">
        <is>
          <t>Unit</t>
        </is>
      </c>
      <c r="D2553" s="5" t="inlineStr">
        <is>
          <t>Quantity</t>
        </is>
      </c>
      <c r="E2553" s="5" t="inlineStr">
        <is>
          <t>Rate (Rs.)</t>
        </is>
      </c>
      <c r="F2553" s="5" t="inlineStr">
        <is>
          <t>Amount (Rs.)</t>
        </is>
      </c>
    </row>
    <row r="2554">
      <c r="A2554" s="13" t="inlineStr">
        <is>
          <t>7366</t>
        </is>
      </c>
      <c r="B2554" s="14" t="inlineStr">
        <is>
          <t>Glass reinforced Gypsum (GRG) plaster board 12.5 mm thick confirming to IS 2095 (Part 3):</t>
        </is>
      </c>
      <c r="C2554" s="13" t="inlineStr">
        <is>
          <t>1996 sqm</t>
        </is>
      </c>
      <c r="D2554" s="15" t="n">
        <v>43.8</v>
      </c>
      <c r="E2554" s="16" t="n">
        <v>240</v>
      </c>
      <c r="F2554" s="16">
        <f>D2554*E2554</f>
        <v/>
      </c>
    </row>
    <row r="2555">
      <c r="A2555" s="13" t="inlineStr">
        <is>
          <t>7367</t>
        </is>
      </c>
      <c r="B2555" s="14" t="inlineStr">
        <is>
          <t>Galvanised M.S. sheet 0.5 mm thick pressed channel section of size 50x32 mm</t>
        </is>
      </c>
      <c r="C2555" s="13" t="inlineStr">
        <is>
          <t>metre</t>
        </is>
      </c>
      <c r="D2555" s="15" t="n">
        <v>12</v>
      </c>
      <c r="E2555" s="16" t="n">
        <v>57</v>
      </c>
      <c r="F2555" s="16">
        <f>D2555*E2555</f>
        <v/>
      </c>
    </row>
    <row r="2556">
      <c r="A2556" s="13" t="inlineStr">
        <is>
          <t>7369</t>
        </is>
      </c>
      <c r="B2556" s="14" t="inlineStr">
        <is>
          <t>Galvanised M.S. sheet 0.90 mm thick pressed stud. 48x34x36 mm</t>
        </is>
      </c>
      <c r="C2556" s="13" t="inlineStr">
        <is>
          <t>metre</t>
        </is>
      </c>
      <c r="D2556" s="15" t="n">
        <v>40.15</v>
      </c>
      <c r="E2556" s="16" t="n">
        <v>71</v>
      </c>
      <c r="F2556" s="16">
        <f>D2556*E2556</f>
        <v/>
      </c>
    </row>
    <row r="2557">
      <c r="A2557" s="13" t="inlineStr">
        <is>
          <t>7020</t>
        </is>
      </c>
      <c r="B2557" s="14" t="inlineStr">
        <is>
          <t>All drive screws ( for gypsum board)</t>
        </is>
      </c>
      <c r="C2557" s="13" t="inlineStr">
        <is>
          <t>100 Nos</t>
        </is>
      </c>
      <c r="D2557" s="15" t="n">
        <v>3.92</v>
      </c>
      <c r="E2557" s="16" t="n">
        <v>58</v>
      </c>
      <c r="F2557" s="16">
        <f>D2557*E2557</f>
        <v/>
      </c>
    </row>
    <row r="2558">
      <c r="A2558" s="13" t="inlineStr">
        <is>
          <t>7388</t>
        </is>
      </c>
      <c r="B2558" s="14" t="inlineStr">
        <is>
          <t>Dash hold fastener 12.5 mm dia, 40 mm long with 6 mm dia bolt</t>
        </is>
      </c>
      <c r="C2558" s="13" t="inlineStr">
        <is>
          <t>each</t>
        </is>
      </c>
      <c r="D2558" s="15" t="n">
        <v>22</v>
      </c>
      <c r="E2558" s="16" t="n">
        <v>11</v>
      </c>
      <c r="F2558" s="16">
        <f>D2558*E2558</f>
        <v/>
      </c>
    </row>
    <row r="2559">
      <c r="A2559" s="13" t="inlineStr">
        <is>
          <t>7048</t>
        </is>
      </c>
      <c r="B2559" s="14" t="inlineStr">
        <is>
          <t>Rawl plug 50 mm (designation 10 no.)</t>
        </is>
      </c>
      <c r="C2559" s="13" t="inlineStr">
        <is>
          <t>each</t>
        </is>
      </c>
      <c r="D2559" s="15" t="n">
        <v>18</v>
      </c>
      <c r="E2559" s="16" t="n">
        <v>25</v>
      </c>
      <c r="F2559" s="16">
        <f>D2559*E2559</f>
        <v/>
      </c>
    </row>
    <row r="2560">
      <c r="A2560" s="13" t="inlineStr">
        <is>
          <t>0869</t>
        </is>
      </c>
      <c r="B2560" s="14" t="inlineStr">
        <is>
          <t>Plaster of Paris</t>
        </is>
      </c>
      <c r="C2560" s="13" t="inlineStr">
        <is>
          <t>kilogram</t>
        </is>
      </c>
      <c r="D2560" s="15" t="n">
        <v>19.27</v>
      </c>
      <c r="E2560" s="16" t="n">
        <v>5</v>
      </c>
      <c r="F2560" s="16">
        <f>D2560*E2560</f>
        <v/>
      </c>
    </row>
    <row r="2561">
      <c r="A2561" s="13" t="inlineStr">
        <is>
          <t>0763</t>
        </is>
      </c>
      <c r="B2561" s="14" t="inlineStr">
        <is>
          <t>Glue</t>
        </is>
      </c>
      <c r="C2561" s="13" t="inlineStr">
        <is>
          <t>kilogram</t>
        </is>
      </c>
      <c r="D2561" s="15" t="n">
        <v>4.82</v>
      </c>
      <c r="E2561" s="16" t="n">
        <v>75</v>
      </c>
      <c r="F2561" s="16">
        <f>D2561*E2561</f>
        <v/>
      </c>
    </row>
    <row r="2562">
      <c r="A2562" s="13" t="inlineStr">
        <is>
          <t>7021</t>
        </is>
      </c>
      <c r="B2562" s="14" t="inlineStr">
        <is>
          <t>Primer ( for gypsum board)</t>
        </is>
      </c>
      <c r="C2562" s="13" t="inlineStr">
        <is>
          <t>litre</t>
        </is>
      </c>
      <c r="D2562" s="15" t="n">
        <v>7.88</v>
      </c>
      <c r="E2562" s="16" t="n">
        <v>85</v>
      </c>
      <c r="F2562" s="16">
        <f>D2562*E2562</f>
        <v/>
      </c>
    </row>
    <row r="2563">
      <c r="A2563" s="13" t="inlineStr">
        <is>
          <t>1022</t>
        </is>
      </c>
      <c r="B2563" s="14" t="inlineStr">
        <is>
          <t>Galvanised steel bolts &amp; nuts 6 mm dia and 25 mmlong round head with slots</t>
        </is>
      </c>
      <c r="C2563" s="13" t="inlineStr">
        <is>
          <t>10 Nos</t>
        </is>
      </c>
      <c r="D2563" s="15" t="n">
        <v>4.4</v>
      </c>
      <c r="E2563" s="16" t="n">
        <v>38</v>
      </c>
      <c r="F2563" s="16">
        <f>D2563*E2563</f>
        <v/>
      </c>
    </row>
    <row r="2564">
      <c r="A2564" s="13" t="inlineStr">
        <is>
          <t>1211</t>
        </is>
      </c>
      <c r="B2564" s="14" t="inlineStr">
        <is>
          <t>G.I. plain washer for seam bolts</t>
        </is>
      </c>
      <c r="C2564" s="13" t="inlineStr">
        <is>
          <t>100 Nos</t>
        </is>
      </c>
      <c r="D2564" s="15" t="n">
        <v>0.44</v>
      </c>
      <c r="E2564" s="16" t="n">
        <v>32</v>
      </c>
      <c r="F2564" s="16">
        <f>D2564*E2564</f>
        <v/>
      </c>
    </row>
    <row r="2565">
      <c r="A2565" s="13" t="inlineStr">
        <is>
          <t>9977</t>
        </is>
      </c>
      <c r="B2565" s="14" t="inlineStr">
        <is>
          <t>Sundries carriage</t>
        </is>
      </c>
      <c r="C2565" s="13" t="inlineStr">
        <is>
          <t>L.S.</t>
        </is>
      </c>
      <c r="D2565" s="15" t="n">
        <v>52</v>
      </c>
      <c r="E2565" s="16" t="n">
        <v>2</v>
      </c>
      <c r="F2565" s="16">
        <f>D2565*E2565</f>
        <v/>
      </c>
    </row>
    <row r="2566">
      <c r="A2566" s="13" t="inlineStr">
        <is>
          <t>9999</t>
        </is>
      </c>
      <c r="B2566" s="14" t="inlineStr">
        <is>
          <t>Sundries scaffolding</t>
        </is>
      </c>
      <c r="C2566" s="13" t="inlineStr">
        <is>
          <t>L.S.</t>
        </is>
      </c>
      <c r="D2566" s="15" t="n">
        <v>130</v>
      </c>
      <c r="E2566" s="16" t="n">
        <v>2</v>
      </c>
      <c r="F2566" s="16">
        <f>D2566*E2566</f>
        <v/>
      </c>
    </row>
    <row r="2567">
      <c r="A2567" s="13" t="inlineStr">
        <is>
          <t>0111</t>
        </is>
      </c>
      <c r="B2567" s="14" t="inlineStr">
        <is>
          <t>Carpenter 1st class</t>
        </is>
      </c>
      <c r="C2567" s="13" t="inlineStr">
        <is>
          <t>day</t>
        </is>
      </c>
      <c r="D2567" s="15" t="n">
        <v>6.57</v>
      </c>
      <c r="E2567" s="16" t="n">
        <v>738</v>
      </c>
      <c r="F2567" s="16">
        <f>D2567*E2567</f>
        <v/>
      </c>
    </row>
    <row r="2568">
      <c r="A2568" s="13" t="inlineStr">
        <is>
          <t>0112</t>
        </is>
      </c>
      <c r="B2568" s="14" t="inlineStr">
        <is>
          <t>Carpenter 2nd class</t>
        </is>
      </c>
      <c r="C2568" s="13" t="inlineStr">
        <is>
          <t>day</t>
        </is>
      </c>
      <c r="D2568" s="15" t="n">
        <v>2.847</v>
      </c>
      <c r="E2568" s="16" t="n">
        <v>679</v>
      </c>
      <c r="F2568" s="16">
        <f>D2568*E2568</f>
        <v/>
      </c>
    </row>
    <row r="2569">
      <c r="A2569" s="13" t="inlineStr">
        <is>
          <t>0131</t>
        </is>
      </c>
      <c r="B2569" s="14" t="inlineStr">
        <is>
          <t>Painter</t>
        </is>
      </c>
      <c r="C2569" s="13" t="inlineStr">
        <is>
          <t>day</t>
        </is>
      </c>
      <c r="D2569" s="15" t="n">
        <v>1.095</v>
      </c>
      <c r="E2569" s="16" t="n">
        <v>679</v>
      </c>
      <c r="F2569" s="16">
        <f>D2569*E2569</f>
        <v/>
      </c>
    </row>
    <row r="2570">
      <c r="A2570" s="13" t="inlineStr">
        <is>
          <t>0114</t>
        </is>
      </c>
      <c r="B2570" s="14" t="inlineStr">
        <is>
          <t>Beldar</t>
        </is>
      </c>
      <c r="C2570" s="13" t="inlineStr">
        <is>
          <t>day</t>
        </is>
      </c>
      <c r="D2570" s="15" t="n">
        <v>7.665</v>
      </c>
      <c r="E2570" s="16" t="n">
        <v>558</v>
      </c>
      <c r="F2570" s="16">
        <f>D2570*E2570</f>
        <v/>
      </c>
    </row>
    <row r="2571">
      <c r="A2571" s="17" t="inlineStr">
        <is>
          <t>Resource Total (Material + Labour + Machinery, as printed)</t>
        </is>
      </c>
      <c r="B2571" s="18" t="n"/>
      <c r="C2571" s="18" t="n"/>
      <c r="D2571" s="18" t="n"/>
      <c r="E2571" s="18" t="n"/>
      <c r="F2571" s="19">
        <f>SUM(F2554:F2570)</f>
        <v/>
      </c>
    </row>
    <row r="2572">
      <c r="A2572" s="20" t="inlineStr">
        <is>
          <t>SAY (Rs.) — final DAR rate</t>
        </is>
      </c>
      <c r="B2572" s="21" t="n"/>
      <c r="C2572" s="21" t="n"/>
      <c r="D2572" s="21" t="n"/>
      <c r="E2572" s="21" t="n"/>
      <c r="F2572" s="22" t="n">
        <v>1741.15</v>
      </c>
    </row>
    <row r="2574" ht="28" customHeight="1">
      <c r="A2574" s="9" t="inlineStr">
        <is>
          <t>9.105.2</t>
        </is>
      </c>
      <c r="B2574" s="10" t="inlineStr">
        <is>
          <t>75mm overall thickness partition with 12.5 mm thick double skin tapered edged plain Gypsum plaster board conforming to IS: 2095: (part I) 20</t>
        </is>
      </c>
      <c r="C2574" s="11" t="n"/>
      <c r="D2574" s="11" t="n"/>
      <c r="E2574" s="11" t="n"/>
      <c r="F2574" s="11" t="n"/>
    </row>
    <row r="2575">
      <c r="A2575" s="12" t="inlineStr">
        <is>
          <t>Rate basis: per x3  (source: cost for 6 x3)</t>
        </is>
      </c>
    </row>
    <row r="2576">
      <c r="A2576" s="5" t="inlineStr">
        <is>
          <t>Code</t>
        </is>
      </c>
      <c r="B2576" s="5" t="inlineStr">
        <is>
          <t>Description</t>
        </is>
      </c>
      <c r="C2576" s="5" t="inlineStr">
        <is>
          <t>Unit</t>
        </is>
      </c>
      <c r="D2576" s="5" t="inlineStr">
        <is>
          <t>Quantity</t>
        </is>
      </c>
      <c r="E2576" s="5" t="inlineStr">
        <is>
          <t>Rate (Rs.)</t>
        </is>
      </c>
      <c r="F2576" s="5" t="inlineStr">
        <is>
          <t>Amount (Rs.)</t>
        </is>
      </c>
    </row>
    <row r="2577">
      <c r="A2577" s="13" t="inlineStr">
        <is>
          <t>7009</t>
        </is>
      </c>
      <c r="B2577" s="14" t="inlineStr">
        <is>
          <t>12.5 mm thick tapered edge plain gypsum plaster board confirming to IS 2095 (Part I) : 2011.</t>
        </is>
      </c>
      <c r="C2577" s="13" t="inlineStr">
        <is>
          <t>sqm</t>
        </is>
      </c>
      <c r="D2577" s="15" t="n">
        <v>43.8</v>
      </c>
      <c r="E2577" s="16" t="n">
        <v>155</v>
      </c>
      <c r="F2577" s="16">
        <f>D2577*E2577</f>
        <v/>
      </c>
    </row>
    <row r="2578">
      <c r="A2578" s="13" t="inlineStr">
        <is>
          <t>7367</t>
        </is>
      </c>
      <c r="B2578" s="14" t="inlineStr">
        <is>
          <t>Galvanised M.S. sheet 0.5 mm thick pressed channel section of size 50x32 mm</t>
        </is>
      </c>
      <c r="C2578" s="13" t="inlineStr">
        <is>
          <t>metre</t>
        </is>
      </c>
      <c r="D2578" s="15" t="n">
        <v>12</v>
      </c>
      <c r="E2578" s="16" t="n">
        <v>57</v>
      </c>
      <c r="F2578" s="16">
        <f>D2578*E2578</f>
        <v/>
      </c>
    </row>
    <row r="2579">
      <c r="A2579" s="13" t="inlineStr">
        <is>
          <t>7369</t>
        </is>
      </c>
      <c r="B2579" s="14" t="inlineStr">
        <is>
          <t>Galvanised M.S. sheet 0.50 mm thick pressed stud. 48x34x36 mm</t>
        </is>
      </c>
      <c r="C2579" s="13" t="inlineStr">
        <is>
          <t>metre</t>
        </is>
      </c>
      <c r="D2579" s="15" t="n">
        <v>40.15</v>
      </c>
      <c r="E2579" s="16" t="n">
        <v>71</v>
      </c>
      <c r="F2579" s="16">
        <f>D2579*E2579</f>
        <v/>
      </c>
    </row>
    <row r="2580">
      <c r="A2580" s="13" t="inlineStr">
        <is>
          <t>7388</t>
        </is>
      </c>
      <c r="B2580" s="14" t="inlineStr">
        <is>
          <t>Dash hold fastener 12.5 mm dia, 40 mm long with 6 mm dia bolt</t>
        </is>
      </c>
      <c r="C2580" s="13" t="inlineStr">
        <is>
          <t>each</t>
        </is>
      </c>
      <c r="D2580" s="15" t="n">
        <v>22</v>
      </c>
      <c r="E2580" s="16" t="n">
        <v>11</v>
      </c>
      <c r="F2580" s="16">
        <f>D2580*E2580</f>
        <v/>
      </c>
    </row>
    <row r="2581">
      <c r="A2581" s="13" t="inlineStr">
        <is>
          <t>7048</t>
        </is>
      </c>
      <c r="B2581" s="14" t="inlineStr">
        <is>
          <t>Rawl plug 50 mm (designation 10 no.)</t>
        </is>
      </c>
      <c r="C2581" s="13" t="inlineStr">
        <is>
          <t>each</t>
        </is>
      </c>
      <c r="D2581" s="15" t="n">
        <v>18</v>
      </c>
      <c r="E2581" s="16" t="n">
        <v>25</v>
      </c>
      <c r="F2581" s="16">
        <f>D2581*E2581</f>
        <v/>
      </c>
    </row>
    <row r="2582">
      <c r="A2582" s="13" t="inlineStr">
        <is>
          <t>0869</t>
        </is>
      </c>
      <c r="B2582" s="14" t="inlineStr">
        <is>
          <t>Plaster of Paris</t>
        </is>
      </c>
      <c r="C2582" s="13" t="inlineStr">
        <is>
          <t>kilogram</t>
        </is>
      </c>
      <c r="D2582" s="15" t="n">
        <v>19.27</v>
      </c>
      <c r="E2582" s="16" t="n">
        <v>5</v>
      </c>
      <c r="F2582" s="16">
        <f>D2582*E2582</f>
        <v/>
      </c>
    </row>
    <row r="2583">
      <c r="A2583" s="13" t="inlineStr">
        <is>
          <t>0763</t>
        </is>
      </c>
      <c r="B2583" s="14" t="inlineStr">
        <is>
          <t>Glue</t>
        </is>
      </c>
      <c r="C2583" s="13" t="inlineStr">
        <is>
          <t>kilogram</t>
        </is>
      </c>
      <c r="D2583" s="15" t="n">
        <v>4.82</v>
      </c>
      <c r="E2583" s="16" t="n">
        <v>75</v>
      </c>
      <c r="F2583" s="16">
        <f>D2583*E2583</f>
        <v/>
      </c>
    </row>
    <row r="2584">
      <c r="A2584" s="13" t="inlineStr">
        <is>
          <t>7021</t>
        </is>
      </c>
      <c r="B2584" s="14" t="inlineStr">
        <is>
          <t>Primer ( for gypsum board)</t>
        </is>
      </c>
      <c r="C2584" s="13" t="inlineStr">
        <is>
          <t>litre</t>
        </is>
      </c>
      <c r="D2584" s="15" t="n">
        <v>7.88</v>
      </c>
      <c r="E2584" s="16" t="n">
        <v>85</v>
      </c>
      <c r="F2584" s="16">
        <f>D2584*E2584</f>
        <v/>
      </c>
    </row>
    <row r="2585">
      <c r="A2585" s="13" t="inlineStr">
        <is>
          <t>1022</t>
        </is>
      </c>
      <c r="B2585" s="14" t="inlineStr">
        <is>
          <t>Galvanised steel bolts &amp; nuts 6 mm dia and 25 mmlong round head with slots</t>
        </is>
      </c>
      <c r="C2585" s="13" t="inlineStr">
        <is>
          <t>10 Nos</t>
        </is>
      </c>
      <c r="D2585" s="15" t="n">
        <v>4.4</v>
      </c>
      <c r="E2585" s="16" t="n">
        <v>38</v>
      </c>
      <c r="F2585" s="16">
        <f>D2585*E2585</f>
        <v/>
      </c>
    </row>
    <row r="2586">
      <c r="A2586" s="13" t="inlineStr">
        <is>
          <t>1211</t>
        </is>
      </c>
      <c r="B2586" s="14" t="inlineStr">
        <is>
          <t>G.I. plain washer for seam bolts</t>
        </is>
      </c>
      <c r="C2586" s="13" t="inlineStr">
        <is>
          <t>100 Nos</t>
        </is>
      </c>
      <c r="D2586" s="15" t="n">
        <v>0.44</v>
      </c>
      <c r="E2586" s="16" t="n">
        <v>32</v>
      </c>
      <c r="F2586" s="16">
        <f>D2586*E2586</f>
        <v/>
      </c>
    </row>
    <row r="2587">
      <c r="A2587" s="13" t="inlineStr">
        <is>
          <t>9977</t>
        </is>
      </c>
      <c r="B2587" s="14" t="inlineStr">
        <is>
          <t>Sundries carriage</t>
        </is>
      </c>
      <c r="C2587" s="13" t="inlineStr">
        <is>
          <t>L.S.</t>
        </is>
      </c>
      <c r="D2587" s="15" t="n">
        <v>52</v>
      </c>
      <c r="E2587" s="16" t="n">
        <v>2</v>
      </c>
      <c r="F2587" s="16">
        <f>D2587*E2587</f>
        <v/>
      </c>
    </row>
    <row r="2588">
      <c r="A2588" s="13" t="inlineStr">
        <is>
          <t>9999</t>
        </is>
      </c>
      <c r="B2588" s="14" t="inlineStr">
        <is>
          <t>Sundries scaffolding</t>
        </is>
      </c>
      <c r="C2588" s="13" t="inlineStr">
        <is>
          <t>L.S.</t>
        </is>
      </c>
      <c r="D2588" s="15" t="n">
        <v>130</v>
      </c>
      <c r="E2588" s="16" t="n">
        <v>2</v>
      </c>
      <c r="F2588" s="16">
        <f>D2588*E2588</f>
        <v/>
      </c>
    </row>
    <row r="2589">
      <c r="A2589" s="13" t="inlineStr">
        <is>
          <t>0111</t>
        </is>
      </c>
      <c r="B2589" s="14" t="inlineStr">
        <is>
          <t>Carpenter 1st class</t>
        </is>
      </c>
      <c r="C2589" s="13" t="inlineStr">
        <is>
          <t>day</t>
        </is>
      </c>
      <c r="D2589" s="15" t="n">
        <v>6.57</v>
      </c>
      <c r="E2589" s="16" t="n">
        <v>738</v>
      </c>
      <c r="F2589" s="16">
        <f>D2589*E2589</f>
        <v/>
      </c>
    </row>
    <row r="2590">
      <c r="A2590" s="13" t="inlineStr">
        <is>
          <t>0112</t>
        </is>
      </c>
      <c r="B2590" s="14" t="inlineStr">
        <is>
          <t>Carpenter 2nd class</t>
        </is>
      </c>
      <c r="C2590" s="13" t="inlineStr">
        <is>
          <t>day</t>
        </is>
      </c>
      <c r="D2590" s="15" t="n">
        <v>2.847</v>
      </c>
      <c r="E2590" s="16" t="n">
        <v>679</v>
      </c>
      <c r="F2590" s="16">
        <f>D2590*E2590</f>
        <v/>
      </c>
    </row>
    <row r="2591">
      <c r="A2591" s="13" t="inlineStr">
        <is>
          <t>0131</t>
        </is>
      </c>
      <c r="B2591" s="14" t="inlineStr">
        <is>
          <t>Painter</t>
        </is>
      </c>
      <c r="C2591" s="13" t="inlineStr">
        <is>
          <t>day</t>
        </is>
      </c>
      <c r="D2591" s="15" t="n">
        <v>1.095</v>
      </c>
      <c r="E2591" s="16" t="n">
        <v>679</v>
      </c>
      <c r="F2591" s="16">
        <f>D2591*E2591</f>
        <v/>
      </c>
    </row>
    <row r="2592">
      <c r="A2592" s="13" t="inlineStr">
        <is>
          <t>0114</t>
        </is>
      </c>
      <c r="B2592" s="14" t="inlineStr">
        <is>
          <t>Beldar</t>
        </is>
      </c>
      <c r="C2592" s="13" t="inlineStr">
        <is>
          <t>day</t>
        </is>
      </c>
      <c r="D2592" s="15" t="n">
        <v>7.665</v>
      </c>
      <c r="E2592" s="16" t="n">
        <v>558</v>
      </c>
      <c r="F2592" s="16">
        <f>D2592*E2592</f>
        <v/>
      </c>
    </row>
    <row r="2593">
      <c r="A2593" s="17" t="inlineStr">
        <is>
          <t>Resource Total (Material + Labour + Machinery, as printed)</t>
        </is>
      </c>
      <c r="B2593" s="18" t="n"/>
      <c r="C2593" s="18" t="n"/>
      <c r="D2593" s="18" t="n"/>
      <c r="E2593" s="18" t="n"/>
      <c r="F2593" s="19">
        <f>SUM(F2577:F2592)</f>
        <v/>
      </c>
    </row>
    <row r="2594">
      <c r="A2594" s="20" t="inlineStr">
        <is>
          <t>SAY (Rs.) — final DAR rate</t>
        </is>
      </c>
      <c r="B2594" s="21" t="n"/>
      <c r="C2594" s="21" t="n"/>
      <c r="D2594" s="21" t="n"/>
      <c r="E2594" s="21" t="n"/>
      <c r="F2594" s="22" t="n">
        <v>1513.7</v>
      </c>
    </row>
    <row r="2596" ht="28" customHeight="1">
      <c r="A2596" s="9" t="inlineStr">
        <is>
          <t>9.105.3</t>
        </is>
      </c>
      <c r="B2596" s="10" t="inlineStr">
        <is>
          <t>66mm overall thickness Partition with 8mm thick double skin Calcium Silicate Board made with Calcareous &amp; Siliceous materials reinforced wit</t>
        </is>
      </c>
      <c r="C2596" s="11" t="n"/>
      <c r="D2596" s="11" t="n"/>
      <c r="E2596" s="11" t="n"/>
      <c r="F2596" s="11" t="n"/>
    </row>
    <row r="2597">
      <c r="A2597" s="12" t="inlineStr">
        <is>
          <t>Rate basis: per x3  (source: cost for 6 x3)</t>
        </is>
      </c>
    </row>
    <row r="2598">
      <c r="A2598" s="5" t="inlineStr">
        <is>
          <t>Code</t>
        </is>
      </c>
      <c r="B2598" s="5" t="inlineStr">
        <is>
          <t>Description</t>
        </is>
      </c>
      <c r="C2598" s="5" t="inlineStr">
        <is>
          <t>Unit</t>
        </is>
      </c>
      <c r="D2598" s="5" t="inlineStr">
        <is>
          <t>Quantity</t>
        </is>
      </c>
      <c r="E2598" s="5" t="inlineStr">
        <is>
          <t>Rate (Rs.)</t>
        </is>
      </c>
      <c r="F2598" s="5" t="inlineStr">
        <is>
          <t>Amount (Rs.)</t>
        </is>
      </c>
    </row>
    <row r="2599">
      <c r="A2599" s="13" t="inlineStr">
        <is>
          <t>8699</t>
        </is>
      </c>
      <c r="B2599" s="14" t="inlineStr">
        <is>
          <t>8 mm thick tapered edge calcium silicate board .</t>
        </is>
      </c>
      <c r="C2599" s="13" t="inlineStr">
        <is>
          <t>sqm</t>
        </is>
      </c>
      <c r="D2599" s="15" t="n">
        <v>43.8</v>
      </c>
      <c r="E2599" s="16" t="n">
        <v>265</v>
      </c>
      <c r="F2599" s="16">
        <f>D2599*E2599</f>
        <v/>
      </c>
    </row>
    <row r="2600">
      <c r="A2600" s="13" t="inlineStr">
        <is>
          <t>7367</t>
        </is>
      </c>
      <c r="B2600" s="14" t="inlineStr">
        <is>
          <t>Galvanised M.S. sheet 0.5 mm thick pressed channel section of size 50x32 mm</t>
        </is>
      </c>
      <c r="C2600" s="13" t="inlineStr">
        <is>
          <t>metre</t>
        </is>
      </c>
      <c r="D2600" s="15" t="n">
        <v>12</v>
      </c>
      <c r="E2600" s="16" t="n">
        <v>57</v>
      </c>
      <c r="F2600" s="16">
        <f>D2600*E2600</f>
        <v/>
      </c>
    </row>
    <row r="2601">
      <c r="A2601" s="13" t="inlineStr">
        <is>
          <t>7369</t>
        </is>
      </c>
      <c r="B2601" s="14" t="inlineStr">
        <is>
          <t>Galvanised M.S. sheet 0.50 mm thick pressed stud. 48x34x36 mm</t>
        </is>
      </c>
      <c r="C2601" s="13" t="inlineStr">
        <is>
          <t>metre</t>
        </is>
      </c>
      <c r="D2601" s="15" t="n">
        <v>40.15</v>
      </c>
      <c r="E2601" s="16" t="n">
        <v>71</v>
      </c>
      <c r="F2601" s="16">
        <f>D2601*E2601</f>
        <v/>
      </c>
    </row>
    <row r="2602">
      <c r="A2602" s="13" t="inlineStr">
        <is>
          <t>7020</t>
        </is>
      </c>
      <c r="B2602" s="14" t="inlineStr">
        <is>
          <t>All drive screws ( for gypsum board)</t>
        </is>
      </c>
      <c r="C2602" s="13" t="inlineStr">
        <is>
          <t>100 Nos</t>
        </is>
      </c>
      <c r="D2602" s="15" t="n">
        <v>3.92</v>
      </c>
      <c r="E2602" s="16" t="n">
        <v>58</v>
      </c>
      <c r="F2602" s="16">
        <f>D2602*E2602</f>
        <v/>
      </c>
    </row>
    <row r="2603">
      <c r="A2603" s="13" t="inlineStr">
        <is>
          <t>7388</t>
        </is>
      </c>
      <c r="B2603" s="14" t="inlineStr">
        <is>
          <t>Dash hold fastener 12.5 mm dia, 40 mm long with 6 mm dia bolt</t>
        </is>
      </c>
      <c r="C2603" s="13" t="inlineStr">
        <is>
          <t>each</t>
        </is>
      </c>
      <c r="D2603" s="15" t="n">
        <v>22</v>
      </c>
      <c r="E2603" s="16" t="n">
        <v>11</v>
      </c>
      <c r="F2603" s="16">
        <f>D2603*E2603</f>
        <v/>
      </c>
    </row>
    <row r="2604">
      <c r="A2604" s="13" t="inlineStr">
        <is>
          <t>7048</t>
        </is>
      </c>
      <c r="B2604" s="14" t="inlineStr">
        <is>
          <t>Rawl plug 50 mm (designation 10 no.)</t>
        </is>
      </c>
      <c r="C2604" s="13" t="inlineStr">
        <is>
          <t>each</t>
        </is>
      </c>
      <c r="D2604" s="15" t="n">
        <v>18</v>
      </c>
      <c r="E2604" s="16" t="n">
        <v>25</v>
      </c>
      <c r="F2604" s="16">
        <f>D2604*E2604</f>
        <v/>
      </c>
    </row>
    <row r="2605">
      <c r="A2605" s="13" t="inlineStr">
        <is>
          <t>0869</t>
        </is>
      </c>
      <c r="B2605" s="14" t="inlineStr">
        <is>
          <t>Plaster of Paris</t>
        </is>
      </c>
      <c r="C2605" s="13" t="inlineStr">
        <is>
          <t>kilogram</t>
        </is>
      </c>
      <c r="D2605" s="15" t="n">
        <v>19.27</v>
      </c>
      <c r="E2605" s="16" t="n">
        <v>5</v>
      </c>
      <c r="F2605" s="16">
        <f>D2605*E2605</f>
        <v/>
      </c>
    </row>
    <row r="2606">
      <c r="A2606" s="13" t="inlineStr">
        <is>
          <t>0763</t>
        </is>
      </c>
      <c r="B2606" s="14" t="inlineStr">
        <is>
          <t>Glue</t>
        </is>
      </c>
      <c r="C2606" s="13" t="inlineStr">
        <is>
          <t>kilogram</t>
        </is>
      </c>
      <c r="D2606" s="15" t="n">
        <v>4.82</v>
      </c>
      <c r="E2606" s="16" t="n">
        <v>75</v>
      </c>
      <c r="F2606" s="16">
        <f>D2606*E2606</f>
        <v/>
      </c>
    </row>
    <row r="2607">
      <c r="A2607" s="13" t="inlineStr">
        <is>
          <t>7021</t>
        </is>
      </c>
      <c r="B2607" s="14" t="inlineStr">
        <is>
          <t>Primer ( for gypsum board)</t>
        </is>
      </c>
      <c r="C2607" s="13" t="inlineStr">
        <is>
          <t>litre</t>
        </is>
      </c>
      <c r="D2607" s="15" t="n">
        <v>7.88</v>
      </c>
      <c r="E2607" s="16" t="n">
        <v>85</v>
      </c>
      <c r="F2607" s="16">
        <f>D2607*E2607</f>
        <v/>
      </c>
    </row>
    <row r="2608">
      <c r="A2608" s="13" t="inlineStr">
        <is>
          <t>1022</t>
        </is>
      </c>
      <c r="B2608" s="14" t="inlineStr">
        <is>
          <t>Galvanised steel bolts &amp; nuts 6 mm dia and 25 mmlong round head with slots</t>
        </is>
      </c>
      <c r="C2608" s="13" t="inlineStr">
        <is>
          <t>10 Nos</t>
        </is>
      </c>
      <c r="D2608" s="15" t="n">
        <v>4.4</v>
      </c>
      <c r="E2608" s="16" t="n">
        <v>38</v>
      </c>
      <c r="F2608" s="16">
        <f>D2608*E2608</f>
        <v/>
      </c>
    </row>
    <row r="2609">
      <c r="A2609" s="13" t="inlineStr">
        <is>
          <t>1211</t>
        </is>
      </c>
      <c r="B2609" s="14" t="inlineStr">
        <is>
          <t>G.I. plain washer for seam bolts</t>
        </is>
      </c>
      <c r="C2609" s="13" t="inlineStr">
        <is>
          <t>100 Nos</t>
        </is>
      </c>
      <c r="D2609" s="15" t="n">
        <v>0.44</v>
      </c>
      <c r="E2609" s="16" t="n">
        <v>32</v>
      </c>
      <c r="F2609" s="16">
        <f>D2609*E2609</f>
        <v/>
      </c>
    </row>
    <row r="2610">
      <c r="A2610" s="13" t="inlineStr">
        <is>
          <t>9977</t>
        </is>
      </c>
      <c r="B2610" s="14" t="inlineStr">
        <is>
          <t>Sundries carriage</t>
        </is>
      </c>
      <c r="C2610" s="13" t="inlineStr">
        <is>
          <t>L.S.</t>
        </is>
      </c>
      <c r="D2610" s="15" t="n">
        <v>52</v>
      </c>
      <c r="E2610" s="16" t="n">
        <v>2</v>
      </c>
      <c r="F2610" s="16">
        <f>D2610*E2610</f>
        <v/>
      </c>
    </row>
    <row r="2611">
      <c r="A2611" s="13" t="inlineStr">
        <is>
          <t>9999</t>
        </is>
      </c>
      <c r="B2611" s="14" t="inlineStr">
        <is>
          <t>Sundries scaffolding</t>
        </is>
      </c>
      <c r="C2611" s="13" t="inlineStr">
        <is>
          <t>L.S.</t>
        </is>
      </c>
      <c r="D2611" s="15" t="n">
        <v>130</v>
      </c>
      <c r="E2611" s="16" t="n">
        <v>2</v>
      </c>
      <c r="F2611" s="16">
        <f>D2611*E2611</f>
        <v/>
      </c>
    </row>
    <row r="2612">
      <c r="A2612" s="13" t="inlineStr">
        <is>
          <t>0111</t>
        </is>
      </c>
      <c r="B2612" s="14" t="inlineStr">
        <is>
          <t>Carpenter 1st class</t>
        </is>
      </c>
      <c r="C2612" s="13" t="inlineStr">
        <is>
          <t>day</t>
        </is>
      </c>
      <c r="D2612" s="15" t="n">
        <v>6.57</v>
      </c>
      <c r="E2612" s="16" t="n">
        <v>738</v>
      </c>
      <c r="F2612" s="16">
        <f>D2612*E2612</f>
        <v/>
      </c>
    </row>
    <row r="2613">
      <c r="A2613" s="13" t="inlineStr">
        <is>
          <t>0112</t>
        </is>
      </c>
      <c r="B2613" s="14" t="inlineStr">
        <is>
          <t>Carpenter 2nd class</t>
        </is>
      </c>
      <c r="C2613" s="13" t="inlineStr">
        <is>
          <t>day</t>
        </is>
      </c>
      <c r="D2613" s="15" t="n">
        <v>2.847</v>
      </c>
      <c r="E2613" s="16" t="n">
        <v>679</v>
      </c>
      <c r="F2613" s="16">
        <f>D2613*E2613</f>
        <v/>
      </c>
    </row>
    <row r="2614">
      <c r="A2614" s="13" t="inlineStr">
        <is>
          <t>0131</t>
        </is>
      </c>
      <c r="B2614" s="14" t="inlineStr">
        <is>
          <t>Painter</t>
        </is>
      </c>
      <c r="C2614" s="13" t="inlineStr">
        <is>
          <t>day</t>
        </is>
      </c>
      <c r="D2614" s="15" t="n">
        <v>1.095</v>
      </c>
      <c r="E2614" s="16" t="n">
        <v>679</v>
      </c>
      <c r="F2614" s="16">
        <f>D2614*E2614</f>
        <v/>
      </c>
    </row>
    <row r="2615">
      <c r="A2615" s="13" t="inlineStr">
        <is>
          <t>0114</t>
        </is>
      </c>
      <c r="B2615" s="14" t="inlineStr">
        <is>
          <t>Beldar</t>
        </is>
      </c>
      <c r="C2615" s="13" t="inlineStr">
        <is>
          <t>day</t>
        </is>
      </c>
      <c r="D2615" s="15" t="n">
        <v>7.665</v>
      </c>
      <c r="E2615" s="16" t="n">
        <v>558</v>
      </c>
      <c r="F2615" s="16">
        <f>D2615*E2615</f>
        <v/>
      </c>
    </row>
    <row r="2616">
      <c r="A2616" s="17" t="inlineStr">
        <is>
          <t>Resource Total (Material + Labour + Machinery, as printed)</t>
        </is>
      </c>
      <c r="B2616" s="18" t="n"/>
      <c r="C2616" s="18" t="n"/>
      <c r="D2616" s="18" t="n"/>
      <c r="E2616" s="18" t="n"/>
      <c r="F2616" s="19">
        <f>SUM(F2599:F2615)</f>
        <v/>
      </c>
    </row>
    <row r="2617">
      <c r="A2617" s="20" t="inlineStr">
        <is>
          <t>SAY (Rs.) — final DAR rate</t>
        </is>
      </c>
      <c r="B2617" s="21" t="n"/>
      <c r="C2617" s="21" t="n"/>
      <c r="D2617" s="21" t="n"/>
      <c r="E2617" s="21" t="n"/>
      <c r="F2617" s="22" t="n">
        <v>1808.05</v>
      </c>
    </row>
    <row r="2619" ht="28" customHeight="1">
      <c r="A2619" s="9" t="inlineStr">
        <is>
          <t>9.105.4</t>
        </is>
      </c>
      <c r="B2619" s="10" t="inlineStr">
        <is>
          <t xml:space="preserve">66mm overall thickness partition using 8mm thick double skin multipurpose cement board reinforced with cellulose fibre manufactured through </t>
        </is>
      </c>
      <c r="C2619" s="11" t="n"/>
      <c r="D2619" s="11" t="n"/>
      <c r="E2619" s="11" t="n"/>
      <c r="F2619" s="11" t="n"/>
    </row>
    <row r="2620">
      <c r="A2620" s="12" t="inlineStr">
        <is>
          <t>Rate basis: per x3  (source: cost for 6 x3)</t>
        </is>
      </c>
    </row>
    <row r="2621">
      <c r="A2621" s="5" t="inlineStr">
        <is>
          <t>Code</t>
        </is>
      </c>
      <c r="B2621" s="5" t="inlineStr">
        <is>
          <t>Description</t>
        </is>
      </c>
      <c r="C2621" s="5" t="inlineStr">
        <is>
          <t>Unit</t>
        </is>
      </c>
      <c r="D2621" s="5" t="inlineStr">
        <is>
          <t>Quantity</t>
        </is>
      </c>
      <c r="E2621" s="5" t="inlineStr">
        <is>
          <t>Rate (Rs.)</t>
        </is>
      </c>
      <c r="F2621" s="5" t="inlineStr">
        <is>
          <t>Amount (Rs.)</t>
        </is>
      </c>
    </row>
    <row r="2622">
      <c r="A2622" s="13" t="inlineStr">
        <is>
          <t>0237</t>
        </is>
      </c>
      <c r="B2622" s="14" t="inlineStr">
        <is>
          <t>Multi purpose fibre (high impact poly propelene reinforced) cement board 8mm thick.</t>
        </is>
      </c>
      <c r="C2622" s="13" t="inlineStr">
        <is>
          <t>sqm</t>
        </is>
      </c>
      <c r="D2622" s="15" t="n">
        <v>43.8</v>
      </c>
      <c r="E2622" s="16" t="n">
        <v>220</v>
      </c>
      <c r="F2622" s="16">
        <f>D2622*E2622</f>
        <v/>
      </c>
    </row>
    <row r="2623">
      <c r="A2623" s="13" t="inlineStr">
        <is>
          <t>7367</t>
        </is>
      </c>
      <c r="B2623" s="14" t="inlineStr">
        <is>
          <t>Galvanised M.S. sheet 0.5 mm thick pressed channel section of size 50x32 mm</t>
        </is>
      </c>
      <c r="C2623" s="13" t="inlineStr">
        <is>
          <t>metre</t>
        </is>
      </c>
      <c r="D2623" s="15" t="n">
        <v>12</v>
      </c>
      <c r="E2623" s="16" t="n">
        <v>57</v>
      </c>
      <c r="F2623" s="16">
        <f>D2623*E2623</f>
        <v/>
      </c>
    </row>
    <row r="2624">
      <c r="A2624" s="13" t="inlineStr">
        <is>
          <t>7369</t>
        </is>
      </c>
      <c r="B2624" s="14" t="inlineStr">
        <is>
          <t>Galvanised M.S. sheet 0.50 mm thick pressed stud. 48x34x36 mm</t>
        </is>
      </c>
      <c r="C2624" s="13" t="inlineStr">
        <is>
          <t>metre</t>
        </is>
      </c>
      <c r="D2624" s="15" t="n">
        <v>40.15</v>
      </c>
      <c r="E2624" s="16" t="n">
        <v>71</v>
      </c>
      <c r="F2624" s="16">
        <f>D2624*E2624</f>
        <v/>
      </c>
    </row>
    <row r="2625">
      <c r="A2625" s="13" t="inlineStr">
        <is>
          <t>7020</t>
        </is>
      </c>
      <c r="B2625" s="14" t="inlineStr">
        <is>
          <t>All drive screws ( for gypsum board)</t>
        </is>
      </c>
      <c r="C2625" s="13" t="inlineStr">
        <is>
          <t>100 Nos</t>
        </is>
      </c>
      <c r="D2625" s="15" t="n">
        <v>3.92</v>
      </c>
      <c r="E2625" s="16" t="n">
        <v>58</v>
      </c>
      <c r="F2625" s="16">
        <f>D2625*E2625</f>
        <v/>
      </c>
    </row>
    <row r="2626">
      <c r="A2626" s="13" t="inlineStr">
        <is>
          <t>7388</t>
        </is>
      </c>
      <c r="B2626" s="14" t="inlineStr">
        <is>
          <t>Dash hold fastener 12.5 mm dia, 40 mm long with 6 mm dia bolt</t>
        </is>
      </c>
      <c r="C2626" s="13" t="inlineStr">
        <is>
          <t>each</t>
        </is>
      </c>
      <c r="D2626" s="15" t="n">
        <v>22</v>
      </c>
      <c r="E2626" s="16" t="n">
        <v>11</v>
      </c>
      <c r="F2626" s="16">
        <f>D2626*E2626</f>
        <v/>
      </c>
    </row>
    <row r="2627">
      <c r="A2627" s="13" t="inlineStr">
        <is>
          <t>7048</t>
        </is>
      </c>
      <c r="B2627" s="14" t="inlineStr">
        <is>
          <t>Rawl plug 50 mm (designation 10 no.)</t>
        </is>
      </c>
      <c r="C2627" s="13" t="inlineStr">
        <is>
          <t>each</t>
        </is>
      </c>
      <c r="D2627" s="15" t="n">
        <v>18</v>
      </c>
      <c r="E2627" s="16" t="n">
        <v>25</v>
      </c>
      <c r="F2627" s="16">
        <f>D2627*E2627</f>
        <v/>
      </c>
    </row>
    <row r="2628">
      <c r="A2628" s="13" t="inlineStr">
        <is>
          <t>0869</t>
        </is>
      </c>
      <c r="B2628" s="14" t="inlineStr">
        <is>
          <t>Plaster of Paris</t>
        </is>
      </c>
      <c r="C2628" s="13" t="inlineStr">
        <is>
          <t>kilogram</t>
        </is>
      </c>
      <c r="D2628" s="15" t="n">
        <v>19.27</v>
      </c>
      <c r="E2628" s="16" t="n">
        <v>5</v>
      </c>
      <c r="F2628" s="16">
        <f>D2628*E2628</f>
        <v/>
      </c>
    </row>
    <row r="2629">
      <c r="A2629" s="13" t="inlineStr">
        <is>
          <t>0763</t>
        </is>
      </c>
      <c r="B2629" s="14" t="inlineStr">
        <is>
          <t>Glue</t>
        </is>
      </c>
      <c r="C2629" s="13" t="inlineStr">
        <is>
          <t>kilogram</t>
        </is>
      </c>
      <c r="D2629" s="15" t="n">
        <v>4.82</v>
      </c>
      <c r="E2629" s="16" t="n">
        <v>75</v>
      </c>
      <c r="F2629" s="16">
        <f>D2629*E2629</f>
        <v/>
      </c>
    </row>
    <row r="2630">
      <c r="A2630" s="13" t="inlineStr">
        <is>
          <t>7021</t>
        </is>
      </c>
      <c r="B2630" s="14" t="inlineStr">
        <is>
          <t>Primer ( for gypsum board)</t>
        </is>
      </c>
      <c r="C2630" s="13" t="inlineStr">
        <is>
          <t>litre</t>
        </is>
      </c>
      <c r="D2630" s="15" t="n">
        <v>7.88</v>
      </c>
      <c r="E2630" s="16" t="n">
        <v>85</v>
      </c>
      <c r="F2630" s="16">
        <f>D2630*E2630</f>
        <v/>
      </c>
    </row>
    <row r="2631">
      <c r="A2631" s="13" t="inlineStr">
        <is>
          <t>1022</t>
        </is>
      </c>
      <c r="B2631" s="14" t="inlineStr">
        <is>
          <t>Galvanised steel bolts &amp; nuts 6 mm dia and 25 mmlong round head with slots</t>
        </is>
      </c>
      <c r="C2631" s="13" t="inlineStr">
        <is>
          <t>10 Nos</t>
        </is>
      </c>
      <c r="D2631" s="15" t="n">
        <v>4.4</v>
      </c>
      <c r="E2631" s="16" t="n">
        <v>38</v>
      </c>
      <c r="F2631" s="16">
        <f>D2631*E2631</f>
        <v/>
      </c>
    </row>
    <row r="2632">
      <c r="A2632" s="13" t="inlineStr">
        <is>
          <t>1211</t>
        </is>
      </c>
      <c r="B2632" s="14" t="inlineStr">
        <is>
          <t>G.I. plain washer for seam bolts</t>
        </is>
      </c>
      <c r="C2632" s="13" t="inlineStr">
        <is>
          <t>100 Nos</t>
        </is>
      </c>
      <c r="D2632" s="15" t="n">
        <v>0.44</v>
      </c>
      <c r="E2632" s="16" t="n">
        <v>32</v>
      </c>
      <c r="F2632" s="16">
        <f>D2632*E2632</f>
        <v/>
      </c>
    </row>
    <row r="2633">
      <c r="A2633" s="13" t="inlineStr">
        <is>
          <t>9977</t>
        </is>
      </c>
      <c r="B2633" s="14" t="inlineStr">
        <is>
          <t>Sundries carriage</t>
        </is>
      </c>
      <c r="C2633" s="13" t="inlineStr">
        <is>
          <t>L.S.</t>
        </is>
      </c>
      <c r="D2633" s="15" t="n">
        <v>52</v>
      </c>
      <c r="E2633" s="16" t="n">
        <v>2</v>
      </c>
      <c r="F2633" s="16">
        <f>D2633*E2633</f>
        <v/>
      </c>
    </row>
    <row r="2634">
      <c r="A2634" s="13" t="inlineStr">
        <is>
          <t>9999</t>
        </is>
      </c>
      <c r="B2634" s="14" t="inlineStr">
        <is>
          <t>Sundries scaffolding</t>
        </is>
      </c>
      <c r="C2634" s="13" t="inlineStr">
        <is>
          <t>L.S.</t>
        </is>
      </c>
      <c r="D2634" s="15" t="n">
        <v>130</v>
      </c>
      <c r="E2634" s="16" t="n">
        <v>2</v>
      </c>
      <c r="F2634" s="16">
        <f>D2634*E2634</f>
        <v/>
      </c>
    </row>
    <row r="2635">
      <c r="A2635" s="13" t="inlineStr">
        <is>
          <t>0111</t>
        </is>
      </c>
      <c r="B2635" s="14" t="inlineStr">
        <is>
          <t>Carpenter 1st class</t>
        </is>
      </c>
      <c r="C2635" s="13" t="inlineStr">
        <is>
          <t>day</t>
        </is>
      </c>
      <c r="D2635" s="15" t="n">
        <v>6.57</v>
      </c>
      <c r="E2635" s="16" t="n">
        <v>738</v>
      </c>
      <c r="F2635" s="16">
        <f>D2635*E2635</f>
        <v/>
      </c>
    </row>
    <row r="2636">
      <c r="A2636" s="13" t="inlineStr">
        <is>
          <t>0112</t>
        </is>
      </c>
      <c r="B2636" s="14" t="inlineStr">
        <is>
          <t>Carpenter 2nd class</t>
        </is>
      </c>
      <c r="C2636" s="13" t="inlineStr">
        <is>
          <t>day</t>
        </is>
      </c>
      <c r="D2636" s="15" t="n">
        <v>2.847</v>
      </c>
      <c r="E2636" s="16" t="n">
        <v>679</v>
      </c>
      <c r="F2636" s="16">
        <f>D2636*E2636</f>
        <v/>
      </c>
    </row>
    <row r="2637">
      <c r="A2637" s="13" t="inlineStr">
        <is>
          <t>0131</t>
        </is>
      </c>
      <c r="B2637" s="14" t="inlineStr">
        <is>
          <t>Painter</t>
        </is>
      </c>
      <c r="C2637" s="13" t="inlineStr">
        <is>
          <t>day</t>
        </is>
      </c>
      <c r="D2637" s="15" t="n">
        <v>1.095</v>
      </c>
      <c r="E2637" s="16" t="n">
        <v>679</v>
      </c>
      <c r="F2637" s="16">
        <f>D2637*E2637</f>
        <v/>
      </c>
    </row>
    <row r="2638">
      <c r="A2638" s="13" t="inlineStr">
        <is>
          <t>0114</t>
        </is>
      </c>
      <c r="B2638" s="14" t="inlineStr">
        <is>
          <t>Beldar</t>
        </is>
      </c>
      <c r="C2638" s="13" t="inlineStr">
        <is>
          <t>day</t>
        </is>
      </c>
      <c r="D2638" s="15" t="n">
        <v>7.665</v>
      </c>
      <c r="E2638" s="16" t="n">
        <v>558</v>
      </c>
      <c r="F2638" s="16">
        <f>D2638*E2638</f>
        <v/>
      </c>
    </row>
    <row r="2639">
      <c r="A2639" s="17" t="inlineStr">
        <is>
          <t>Resource Total (Material + Labour + Machinery, as printed)</t>
        </is>
      </c>
      <c r="B2639" s="18" t="n"/>
      <c r="C2639" s="18" t="n"/>
      <c r="D2639" s="18" t="n"/>
      <c r="E2639" s="18" t="n"/>
      <c r="F2639" s="19">
        <f>SUM(F2622:F2638)</f>
        <v/>
      </c>
    </row>
    <row r="2640">
      <c r="A2640" s="20" t="inlineStr">
        <is>
          <t>SAY (Rs.) — final DAR rate</t>
        </is>
      </c>
      <c r="B2640" s="21" t="n"/>
      <c r="C2640" s="21" t="n"/>
      <c r="D2640" s="21" t="n"/>
      <c r="E2640" s="21" t="n"/>
      <c r="F2640" s="22" t="n">
        <v>1687.6</v>
      </c>
    </row>
    <row r="2642" ht="28" customHeight="1">
      <c r="A2642" s="9" t="inlineStr">
        <is>
          <t>9.105.5</t>
        </is>
      </c>
      <c r="B2642" s="10" t="inlineStr">
        <is>
          <t xml:space="preserve">66 mm overall thickness partition using 8 mm thick double skin multipurpose cement bonded wood particle board manufactured as per IS: 14276 </t>
        </is>
      </c>
      <c r="C2642" s="11" t="n"/>
      <c r="D2642" s="11" t="n"/>
      <c r="E2642" s="11" t="n"/>
      <c r="F2642" s="11" t="n"/>
    </row>
    <row r="2643">
      <c r="A2643" s="12" t="inlineStr">
        <is>
          <t>Rate basis: per sqm  (source: cost for 21.9 sqm)</t>
        </is>
      </c>
    </row>
    <row r="2644">
      <c r="A2644" s="5" t="inlineStr">
        <is>
          <t>Code</t>
        </is>
      </c>
      <c r="B2644" s="5" t="inlineStr">
        <is>
          <t>Description</t>
        </is>
      </c>
      <c r="C2644" s="5" t="inlineStr">
        <is>
          <t>Unit</t>
        </is>
      </c>
      <c r="D2644" s="5" t="inlineStr">
        <is>
          <t>Quantity</t>
        </is>
      </c>
      <c r="E2644" s="5" t="inlineStr">
        <is>
          <t>Rate (Rs.)</t>
        </is>
      </c>
      <c r="F2644" s="5" t="inlineStr">
        <is>
          <t>Amount (Rs.)</t>
        </is>
      </c>
    </row>
    <row r="2645">
      <c r="A2645" s="13" t="inlineStr">
        <is>
          <t>0243</t>
        </is>
      </c>
      <c r="B2645" s="14" t="inlineStr">
        <is>
          <t>Multipurpose cement bonded wood particle board 8 mm thick</t>
        </is>
      </c>
      <c r="C2645" s="13" t="inlineStr">
        <is>
          <t>sqm</t>
        </is>
      </c>
      <c r="D2645" s="15" t="n">
        <v>43.8</v>
      </c>
      <c r="E2645" s="16" t="n">
        <v>215</v>
      </c>
      <c r="F2645" s="16">
        <f>D2645*E2645</f>
        <v/>
      </c>
    </row>
    <row r="2646">
      <c r="A2646" s="13" t="inlineStr">
        <is>
          <t>7367</t>
        </is>
      </c>
      <c r="B2646" s="14" t="inlineStr">
        <is>
          <t>Galvanised M.S. sheet 0.5 mm thick pressed channel section of size 50x32 mm</t>
        </is>
      </c>
      <c r="C2646" s="13" t="inlineStr">
        <is>
          <t>metre</t>
        </is>
      </c>
      <c r="D2646" s="15" t="n">
        <v>12</v>
      </c>
      <c r="E2646" s="16" t="n">
        <v>57</v>
      </c>
      <c r="F2646" s="16">
        <f>D2646*E2646</f>
        <v/>
      </c>
    </row>
    <row r="2647">
      <c r="A2647" s="13" t="inlineStr">
        <is>
          <t>7369</t>
        </is>
      </c>
      <c r="B2647" s="14" t="inlineStr">
        <is>
          <t>Galvanised M.S. sheet 0.50 mm thick pressed stud : 48x34x36 mm</t>
        </is>
      </c>
      <c r="C2647" s="13" t="inlineStr">
        <is>
          <t>metre</t>
        </is>
      </c>
      <c r="D2647" s="15" t="n">
        <v>40.15</v>
      </c>
      <c r="E2647" s="16" t="n">
        <v>71</v>
      </c>
      <c r="F2647" s="16">
        <f>D2647*E2647</f>
        <v/>
      </c>
    </row>
    <row r="2648">
      <c r="A2648" s="13" t="inlineStr">
        <is>
          <t>7388</t>
        </is>
      </c>
      <c r="B2648" s="14" t="inlineStr">
        <is>
          <t>Dash hold fastener 12.5 mm dia, 50 mm long with 6 mm dia bolt</t>
        </is>
      </c>
      <c r="C2648" s="13" t="inlineStr">
        <is>
          <t>each</t>
        </is>
      </c>
      <c r="D2648" s="15" t="n">
        <v>22</v>
      </c>
      <c r="E2648" s="16" t="n">
        <v>11</v>
      </c>
      <c r="F2648" s="16">
        <f>D2648*E2648</f>
        <v/>
      </c>
    </row>
    <row r="2649">
      <c r="A2649" s="13" t="inlineStr">
        <is>
          <t>7048</t>
        </is>
      </c>
      <c r="B2649" s="14" t="inlineStr">
        <is>
          <t>Rawl plug 50 mm (designation 10 nos) [(3.65/0.45)+1]x2=</t>
        </is>
      </c>
      <c r="C2649" s="13" t="inlineStr">
        <is>
          <t>18 each</t>
        </is>
      </c>
      <c r="D2649" s="15" t="n">
        <v>18</v>
      </c>
      <c r="E2649" s="16" t="n">
        <v>25</v>
      </c>
      <c r="F2649" s="16">
        <f>D2649*E2649</f>
        <v/>
      </c>
    </row>
    <row r="2650">
      <c r="A2650" s="13" t="inlineStr">
        <is>
          <t>0869</t>
        </is>
      </c>
      <c r="B2650" s="14" t="inlineStr">
        <is>
          <t>Plaster of Paris (88/100)x21.9 = 19.27</t>
        </is>
      </c>
      <c r="C2650" s="13" t="inlineStr">
        <is>
          <t>kg</t>
        </is>
      </c>
      <c r="D2650" s="15" t="n">
        <v>19.27</v>
      </c>
      <c r="E2650" s="16" t="n">
        <v>5</v>
      </c>
      <c r="F2650" s="16">
        <f>D2650*E2650</f>
        <v/>
      </c>
    </row>
    <row r="2651">
      <c r="A2651" s="13" t="inlineStr">
        <is>
          <t>0763</t>
        </is>
      </c>
      <c r="B2651" s="14" t="inlineStr">
        <is>
          <t>Glue (22/100)x21.90=4.82</t>
        </is>
      </c>
      <c r="C2651" s="13" t="inlineStr">
        <is>
          <t>kg</t>
        </is>
      </c>
      <c r="D2651" s="15" t="n">
        <v>4.82</v>
      </c>
      <c r="E2651" s="16" t="n">
        <v>75</v>
      </c>
      <c r="F2651" s="16">
        <f>D2651*E2651</f>
        <v/>
      </c>
    </row>
    <row r="2652">
      <c r="A2652" s="13" t="inlineStr">
        <is>
          <t>7021</t>
        </is>
      </c>
      <c r="B2652" s="14" t="inlineStr">
        <is>
          <t>Primer ( for gypsum board (36/100x21.90 = 7.88 litre</t>
        </is>
      </c>
      <c r="C2652" s="13" t="inlineStr">
        <is>
          <t>litre</t>
        </is>
      </c>
      <c r="D2652" s="15" t="n">
        <v>7.88</v>
      </c>
      <c r="E2652" s="16" t="n">
        <v>85</v>
      </c>
      <c r="F2652" s="16">
        <f>D2652*E2652</f>
        <v/>
      </c>
    </row>
    <row r="2653">
      <c r="A2653" s="13" t="inlineStr">
        <is>
          <t>1022</t>
        </is>
      </c>
      <c r="B2653" s="14" t="inlineStr">
        <is>
          <t>Galvanised steel bolts &amp; nuts 6 mm dia and 25 mm long round head with slots</t>
        </is>
      </c>
      <c r="C2653" s="13" t="inlineStr">
        <is>
          <t>10 Nos</t>
        </is>
      </c>
      <c r="D2653" s="15" t="n">
        <v>4.4</v>
      </c>
      <c r="E2653" s="16" t="n">
        <v>38</v>
      </c>
      <c r="F2653" s="16">
        <f>D2653*E2653</f>
        <v/>
      </c>
    </row>
    <row r="2654">
      <c r="A2654" s="13" t="inlineStr">
        <is>
          <t>1211</t>
        </is>
      </c>
      <c r="B2654" s="14" t="inlineStr">
        <is>
          <t>G.I. plain washer for seam bolts =0 .44 hundreds</t>
        </is>
      </c>
      <c r="C2654" s="13" t="inlineStr">
        <is>
          <t>100 Nos</t>
        </is>
      </c>
      <c r="D2654" s="15" t="n">
        <v>0.44</v>
      </c>
      <c r="E2654" s="16" t="n">
        <v>32</v>
      </c>
      <c r="F2654" s="16">
        <f>D2654*E2654</f>
        <v/>
      </c>
    </row>
    <row r="2655">
      <c r="A2655" s="13" t="inlineStr">
        <is>
          <t>0111</t>
        </is>
      </c>
      <c r="B2655" s="14" t="inlineStr">
        <is>
          <t>Carpenter 1 st class</t>
        </is>
      </c>
      <c r="C2655" s="13" t="inlineStr">
        <is>
          <t>day</t>
        </is>
      </c>
      <c r="D2655" s="15" t="n">
        <v>6.57</v>
      </c>
      <c r="E2655" s="16" t="n">
        <v>738</v>
      </c>
      <c r="F2655" s="16">
        <f>D2655*E2655</f>
        <v/>
      </c>
    </row>
    <row r="2656">
      <c r="A2656" s="13" t="inlineStr">
        <is>
          <t>0112</t>
        </is>
      </c>
      <c r="B2656" s="14" t="inlineStr">
        <is>
          <t>Carpenter 2nd class</t>
        </is>
      </c>
      <c r="C2656" s="13" t="inlineStr">
        <is>
          <t>day</t>
        </is>
      </c>
      <c r="D2656" s="15" t="n">
        <v>2.847</v>
      </c>
      <c r="E2656" s="16" t="n">
        <v>679</v>
      </c>
      <c r="F2656" s="16">
        <f>D2656*E2656</f>
        <v/>
      </c>
    </row>
    <row r="2657">
      <c r="A2657" s="13" t="inlineStr">
        <is>
          <t>0131</t>
        </is>
      </c>
      <c r="B2657" s="14" t="inlineStr">
        <is>
          <t>Painter</t>
        </is>
      </c>
      <c r="C2657" s="13" t="inlineStr">
        <is>
          <t>day</t>
        </is>
      </c>
      <c r="D2657" s="15" t="n">
        <v>1.095</v>
      </c>
      <c r="E2657" s="16" t="n">
        <v>679</v>
      </c>
      <c r="F2657" s="16">
        <f>D2657*E2657</f>
        <v/>
      </c>
    </row>
    <row r="2658">
      <c r="A2658" s="13" t="inlineStr">
        <is>
          <t>0114</t>
        </is>
      </c>
      <c r="B2658" s="14" t="inlineStr">
        <is>
          <t>Beldar</t>
        </is>
      </c>
      <c r="C2658" s="13" t="inlineStr">
        <is>
          <t>day</t>
        </is>
      </c>
      <c r="D2658" s="15" t="n">
        <v>7.665</v>
      </c>
      <c r="E2658" s="16" t="n">
        <v>558</v>
      </c>
      <c r="F2658" s="16">
        <f>D2658*E2658</f>
        <v/>
      </c>
    </row>
    <row r="2659">
      <c r="A2659" s="17" t="inlineStr">
        <is>
          <t>Resource Total (Material + Labour + Machinery, as printed)</t>
        </is>
      </c>
      <c r="B2659" s="18" t="n"/>
      <c r="C2659" s="18" t="n"/>
      <c r="D2659" s="18" t="n"/>
      <c r="E2659" s="18" t="n"/>
      <c r="F2659" s="19">
        <f>SUM(F2645:F2658)</f>
        <v/>
      </c>
    </row>
    <row r="2660">
      <c r="A2660" s="20" t="inlineStr">
        <is>
          <t>SAY (Rs.) — final DAR rate</t>
        </is>
      </c>
      <c r="B2660" s="21" t="n"/>
      <c r="C2660" s="21" t="n"/>
      <c r="D2660" s="21" t="n"/>
      <c r="E2660" s="21" t="n"/>
      <c r="F2660" s="22" t="n">
        <v>1674.25</v>
      </c>
    </row>
    <row r="2662" ht="18" customHeight="1">
      <c r="A2662" s="9" t="inlineStr">
        <is>
          <t>9.106.1</t>
        </is>
      </c>
      <c r="B2662" s="10" t="inlineStr">
        <is>
          <t>125x34x24 mm weighing not less than 23 gms</t>
        </is>
      </c>
      <c r="C2662" s="11" t="n"/>
      <c r="D2662" s="11" t="n"/>
      <c r="E2662" s="11" t="n"/>
      <c r="F2662" s="11" t="n"/>
    </row>
    <row r="2663">
      <c r="A2663" s="12" t="inlineStr">
        <is>
          <t>Rate basis: per nos  (source: cost for 1 nos)</t>
        </is>
      </c>
    </row>
    <row r="2664">
      <c r="A2664" s="5" t="inlineStr">
        <is>
          <t>Code</t>
        </is>
      </c>
      <c r="B2664" s="5" t="inlineStr">
        <is>
          <t>Description</t>
        </is>
      </c>
      <c r="C2664" s="5" t="inlineStr">
        <is>
          <t>Unit</t>
        </is>
      </c>
      <c r="D2664" s="5" t="inlineStr">
        <is>
          <t>Quantity</t>
        </is>
      </c>
      <c r="E2664" s="5" t="inlineStr">
        <is>
          <t>Rate (Rs.)</t>
        </is>
      </c>
      <c r="F2664" s="5" t="inlineStr">
        <is>
          <t>Amount (Rs.)</t>
        </is>
      </c>
    </row>
    <row r="2665">
      <c r="A2665" s="13" t="inlineStr">
        <is>
          <t>7512</t>
        </is>
      </c>
      <c r="B2665" s="14" t="inlineStr">
        <is>
          <t>PTMT handle 125x34x24mm</t>
        </is>
      </c>
      <c r="C2665" s="13" t="inlineStr">
        <is>
          <t>each</t>
        </is>
      </c>
      <c r="D2665" s="15" t="n">
        <v>10</v>
      </c>
      <c r="E2665" s="16" t="n">
        <v>24</v>
      </c>
      <c r="F2665" s="16">
        <f>D2665*E2665</f>
        <v/>
      </c>
    </row>
    <row r="2666">
      <c r="A2666" s="13" t="inlineStr">
        <is>
          <t>0639</t>
        </is>
      </c>
      <c r="B2666" s="14" t="inlineStr">
        <is>
          <t>Bright finished or black enamelled mild steel screws 25 mm</t>
        </is>
      </c>
      <c r="C2666" s="13" t="inlineStr">
        <is>
          <t>100 Nos</t>
        </is>
      </c>
      <c r="D2666" s="15" t="n">
        <v>0.4</v>
      </c>
      <c r="E2666" s="16" t="n">
        <v>36</v>
      </c>
      <c r="F2666" s="16">
        <f>D2666*E2666</f>
        <v/>
      </c>
    </row>
    <row r="2667">
      <c r="A2667" s="13" t="inlineStr">
        <is>
          <t>9977</t>
        </is>
      </c>
      <c r="B2667" s="14" t="inlineStr">
        <is>
          <t>Carriage of materials</t>
        </is>
      </c>
      <c r="C2667" s="13" t="inlineStr">
        <is>
          <t>L.S.</t>
        </is>
      </c>
      <c r="D2667" s="15" t="n">
        <v>2.73</v>
      </c>
      <c r="E2667" s="16" t="n">
        <v>2</v>
      </c>
      <c r="F2667" s="16">
        <f>D2667*E2667</f>
        <v/>
      </c>
    </row>
    <row r="2668">
      <c r="A2668" s="13" t="inlineStr">
        <is>
          <t>0112</t>
        </is>
      </c>
      <c r="B2668" s="14" t="inlineStr">
        <is>
          <t>Carpenter 2nd class</t>
        </is>
      </c>
      <c r="C2668" s="13" t="inlineStr">
        <is>
          <t>day</t>
        </is>
      </c>
      <c r="D2668" s="15" t="n">
        <v>0.06</v>
      </c>
      <c r="E2668" s="16" t="n">
        <v>679</v>
      </c>
      <c r="F2668" s="16">
        <f>D2668*E2668</f>
        <v/>
      </c>
    </row>
    <row r="2669">
      <c r="A2669" s="17" t="inlineStr">
        <is>
          <t>Resource Total (Material + Labour + Machinery, as printed)</t>
        </is>
      </c>
      <c r="B2669" s="18" t="n"/>
      <c r="C2669" s="18" t="n"/>
      <c r="D2669" s="18" t="n"/>
      <c r="E2669" s="18" t="n"/>
      <c r="F2669" s="19">
        <f>SUM(F2665:F2668)</f>
        <v/>
      </c>
    </row>
    <row r="2670">
      <c r="A2670" s="20" t="inlineStr">
        <is>
          <t>SAY (Rs.) — final DAR rate</t>
        </is>
      </c>
      <c r="B2670" s="21" t="n"/>
      <c r="C2670" s="21" t="n"/>
      <c r="D2670" s="21" t="n"/>
      <c r="E2670" s="21" t="n"/>
      <c r="F2670" s="22" t="n">
        <v>40.2</v>
      </c>
    </row>
    <row r="2672" ht="18" customHeight="1">
      <c r="A2672" s="9" t="inlineStr">
        <is>
          <t>9.106.2</t>
        </is>
      </c>
      <c r="B2672" s="10" t="inlineStr">
        <is>
          <t>150x34x24 mm weighing not less than 26 gms</t>
        </is>
      </c>
      <c r="C2672" s="11" t="n"/>
      <c r="D2672" s="11" t="n"/>
      <c r="E2672" s="11" t="n"/>
      <c r="F2672" s="11" t="n"/>
    </row>
    <row r="2673">
      <c r="A2673" s="12" t="inlineStr">
        <is>
          <t>Rate basis: per nos  (source: cost for 1 nos)</t>
        </is>
      </c>
    </row>
    <row r="2674">
      <c r="A2674" s="5" t="inlineStr">
        <is>
          <t>Code</t>
        </is>
      </c>
      <c r="B2674" s="5" t="inlineStr">
        <is>
          <t>Description</t>
        </is>
      </c>
      <c r="C2674" s="5" t="inlineStr">
        <is>
          <t>Unit</t>
        </is>
      </c>
      <c r="D2674" s="5" t="inlineStr">
        <is>
          <t>Quantity</t>
        </is>
      </c>
      <c r="E2674" s="5" t="inlineStr">
        <is>
          <t>Rate (Rs.)</t>
        </is>
      </c>
      <c r="F2674" s="5" t="inlineStr">
        <is>
          <t>Amount (Rs.)</t>
        </is>
      </c>
    </row>
    <row r="2675">
      <c r="A2675" s="13" t="inlineStr">
        <is>
          <t>7513</t>
        </is>
      </c>
      <c r="B2675" s="14" t="inlineStr">
        <is>
          <t>PTMT handle 150x34x24mm</t>
        </is>
      </c>
      <c r="C2675" s="13" t="inlineStr">
        <is>
          <t>each</t>
        </is>
      </c>
      <c r="D2675" s="15" t="n">
        <v>10</v>
      </c>
      <c r="E2675" s="16" t="n">
        <v>24</v>
      </c>
      <c r="F2675" s="16">
        <f>D2675*E2675</f>
        <v/>
      </c>
    </row>
    <row r="2676">
      <c r="A2676" s="13" t="inlineStr">
        <is>
          <t>0639</t>
        </is>
      </c>
      <c r="B2676" s="14" t="inlineStr">
        <is>
          <t>Bright finished or black enamelled mild steel screws 25 mm</t>
        </is>
      </c>
      <c r="C2676" s="13" t="inlineStr">
        <is>
          <t>100 Nos</t>
        </is>
      </c>
      <c r="D2676" s="15" t="n">
        <v>0.4</v>
      </c>
      <c r="E2676" s="16" t="n">
        <v>36</v>
      </c>
      <c r="F2676" s="16">
        <f>D2676*E2676</f>
        <v/>
      </c>
    </row>
    <row r="2677">
      <c r="A2677" s="13" t="inlineStr">
        <is>
          <t>9977</t>
        </is>
      </c>
      <c r="B2677" s="14" t="inlineStr">
        <is>
          <t>Carriage of materials</t>
        </is>
      </c>
      <c r="C2677" s="13" t="inlineStr">
        <is>
          <t>L.S.</t>
        </is>
      </c>
      <c r="D2677" s="15" t="n">
        <v>2.73</v>
      </c>
      <c r="E2677" s="16" t="n">
        <v>2</v>
      </c>
      <c r="F2677" s="16">
        <f>D2677*E2677</f>
        <v/>
      </c>
    </row>
    <row r="2678">
      <c r="A2678" s="13" t="inlineStr">
        <is>
          <t>0112</t>
        </is>
      </c>
      <c r="B2678" s="14" t="inlineStr">
        <is>
          <t>Carpenter 2nd class</t>
        </is>
      </c>
      <c r="C2678" s="13" t="inlineStr">
        <is>
          <t>day</t>
        </is>
      </c>
      <c r="D2678" s="15" t="n">
        <v>0.06</v>
      </c>
      <c r="E2678" s="16" t="n">
        <v>679</v>
      </c>
      <c r="F2678" s="16">
        <f>D2678*E2678</f>
        <v/>
      </c>
    </row>
    <row r="2679">
      <c r="A2679" s="17" t="inlineStr">
        <is>
          <t>Resource Total (Material + Labour + Machinery, as printed)</t>
        </is>
      </c>
      <c r="B2679" s="18" t="n"/>
      <c r="C2679" s="18" t="n"/>
      <c r="D2679" s="18" t="n"/>
      <c r="E2679" s="18" t="n"/>
      <c r="F2679" s="19">
        <f>SUM(F2675:F2678)</f>
        <v/>
      </c>
    </row>
    <row r="2680">
      <c r="A2680" s="20" t="inlineStr">
        <is>
          <t>SAY (Rs.) — final DAR rate</t>
        </is>
      </c>
      <c r="B2680" s="21" t="n"/>
      <c r="C2680" s="21" t="n"/>
      <c r="D2680" s="21" t="n"/>
      <c r="E2680" s="21" t="n"/>
      <c r="F2680" s="22" t="n">
        <v>40.2</v>
      </c>
    </row>
    <row r="2682" ht="18" customHeight="1">
      <c r="A2682" s="9" t="inlineStr">
        <is>
          <t>9.107.1</t>
        </is>
      </c>
      <c r="B2682" s="10" t="inlineStr">
        <is>
          <t>75x60x10 mm fitted with 5.5 mm dia M.S. Bright Bar Rod weighing not less than 34 gms</t>
        </is>
      </c>
      <c r="C2682" s="11" t="n"/>
      <c r="D2682" s="11" t="n"/>
      <c r="E2682" s="11" t="n"/>
      <c r="F2682" s="11" t="n"/>
    </row>
    <row r="2683">
      <c r="A2683" s="12" t="inlineStr">
        <is>
          <t>Rate basis: per nos  (source: cost for 1 nos)</t>
        </is>
      </c>
    </row>
    <row r="2684">
      <c r="A2684" s="5" t="inlineStr">
        <is>
          <t>Code</t>
        </is>
      </c>
      <c r="B2684" s="5" t="inlineStr">
        <is>
          <t>Description</t>
        </is>
      </c>
      <c r="C2684" s="5" t="inlineStr">
        <is>
          <t>Unit</t>
        </is>
      </c>
      <c r="D2684" s="5" t="inlineStr">
        <is>
          <t>Quantity</t>
        </is>
      </c>
      <c r="E2684" s="5" t="inlineStr">
        <is>
          <t>Rate (Rs.)</t>
        </is>
      </c>
      <c r="F2684" s="5" t="inlineStr">
        <is>
          <t>Amount (Rs.)</t>
        </is>
      </c>
    </row>
    <row r="2685">
      <c r="A2685" s="13" t="inlineStr">
        <is>
          <t>7514</t>
        </is>
      </c>
      <c r="B2685" s="14" t="inlineStr">
        <is>
          <t>PTMT butt hinges 75x60x10mm</t>
        </is>
      </c>
      <c r="C2685" s="13" t="inlineStr">
        <is>
          <t>each</t>
        </is>
      </c>
      <c r="D2685" s="15" t="n">
        <v>10</v>
      </c>
      <c r="E2685" s="16" t="n">
        <v>33</v>
      </c>
      <c r="F2685" s="16">
        <f>D2685*E2685</f>
        <v/>
      </c>
    </row>
    <row r="2686">
      <c r="A2686" s="13" t="inlineStr">
        <is>
          <t>0638</t>
        </is>
      </c>
      <c r="B2686" s="14" t="inlineStr">
        <is>
          <t>Bright finished or black enamelled mild steel screws 30 mm</t>
        </is>
      </c>
      <c r="C2686" s="13" t="inlineStr">
        <is>
          <t>100 Nos</t>
        </is>
      </c>
      <c r="D2686" s="15" t="n">
        <v>0.6</v>
      </c>
      <c r="E2686" s="16" t="n">
        <v>45</v>
      </c>
      <c r="F2686" s="16">
        <f>D2686*E2686</f>
        <v/>
      </c>
    </row>
    <row r="2687">
      <c r="A2687" s="13" t="inlineStr">
        <is>
          <t>9977</t>
        </is>
      </c>
      <c r="B2687" s="14" t="inlineStr">
        <is>
          <t>Carriage of materials</t>
        </is>
      </c>
      <c r="C2687" s="13" t="inlineStr">
        <is>
          <t>L.S.</t>
        </is>
      </c>
      <c r="D2687" s="15" t="n">
        <v>1.82</v>
      </c>
      <c r="E2687" s="16" t="n">
        <v>2</v>
      </c>
      <c r="F2687" s="16">
        <f>D2687*E2687</f>
        <v/>
      </c>
    </row>
    <row r="2688">
      <c r="A2688" s="13" t="inlineStr">
        <is>
          <t>0112</t>
        </is>
      </c>
      <c r="B2688" s="14" t="inlineStr">
        <is>
          <t>Carpenter 2nd class</t>
        </is>
      </c>
      <c r="C2688" s="13" t="inlineStr">
        <is>
          <t>day</t>
        </is>
      </c>
      <c r="D2688" s="15" t="n">
        <v>0.14</v>
      </c>
      <c r="E2688" s="16" t="n">
        <v>679</v>
      </c>
      <c r="F2688" s="16">
        <f>D2688*E2688</f>
        <v/>
      </c>
    </row>
    <row r="2689">
      <c r="A2689" s="13" t="inlineStr">
        <is>
          <t>0114</t>
        </is>
      </c>
      <c r="B2689" s="14" t="inlineStr">
        <is>
          <t>Beldar</t>
        </is>
      </c>
      <c r="C2689" s="13" t="inlineStr">
        <is>
          <t>day</t>
        </is>
      </c>
      <c r="D2689" s="15" t="n">
        <v>0.09</v>
      </c>
      <c r="E2689" s="16" t="n">
        <v>558</v>
      </c>
      <c r="F2689" s="16">
        <f>D2689*E2689</f>
        <v/>
      </c>
    </row>
    <row r="2690">
      <c r="A2690" s="17" t="inlineStr">
        <is>
          <t>Resource Total (Material + Labour + Machinery, as printed)</t>
        </is>
      </c>
      <c r="B2690" s="18" t="n"/>
      <c r="C2690" s="18" t="n"/>
      <c r="D2690" s="18" t="n"/>
      <c r="E2690" s="18" t="n"/>
      <c r="F2690" s="19">
        <f>SUM(F2685:F2689)</f>
        <v/>
      </c>
    </row>
    <row r="2691">
      <c r="A2691" s="20" t="inlineStr">
        <is>
          <t>SAY (Rs.) — final DAR rate</t>
        </is>
      </c>
      <c r="B2691" s="21" t="n"/>
      <c r="C2691" s="21" t="n"/>
      <c r="D2691" s="21" t="n"/>
      <c r="E2691" s="21" t="n"/>
      <c r="F2691" s="22" t="n">
        <v>67.7</v>
      </c>
    </row>
    <row r="2693" ht="18" customHeight="1">
      <c r="A2693" s="9" t="inlineStr">
        <is>
          <t>9.107.2</t>
        </is>
      </c>
      <c r="B2693" s="10" t="inlineStr">
        <is>
          <t>100x75x10 mm fitted with 5.5 mm dia MS Bright Bar Rod weighing not less than 53 gms</t>
        </is>
      </c>
      <c r="C2693" s="11" t="n"/>
      <c r="D2693" s="11" t="n"/>
      <c r="E2693" s="11" t="n"/>
      <c r="F2693" s="11" t="n"/>
    </row>
    <row r="2694">
      <c r="A2694" s="12" t="inlineStr">
        <is>
          <t>Rate basis: per nos  (source: cost for 1 nos)</t>
        </is>
      </c>
    </row>
    <row r="2695">
      <c r="A2695" s="5" t="inlineStr">
        <is>
          <t>Code</t>
        </is>
      </c>
      <c r="B2695" s="5" t="inlineStr">
        <is>
          <t>Description</t>
        </is>
      </c>
      <c r="C2695" s="5" t="inlineStr">
        <is>
          <t>Unit</t>
        </is>
      </c>
      <c r="D2695" s="5" t="inlineStr">
        <is>
          <t>Quantity</t>
        </is>
      </c>
      <c r="E2695" s="5" t="inlineStr">
        <is>
          <t>Rate (Rs.)</t>
        </is>
      </c>
      <c r="F2695" s="5" t="inlineStr">
        <is>
          <t>Amount (Rs.)</t>
        </is>
      </c>
    </row>
    <row r="2696">
      <c r="A2696" s="13" t="inlineStr">
        <is>
          <t>7515</t>
        </is>
      </c>
      <c r="B2696" s="14" t="inlineStr">
        <is>
          <t>PTMT butt hinges 100x75x10mm</t>
        </is>
      </c>
      <c r="C2696" s="13" t="inlineStr">
        <is>
          <t>each</t>
        </is>
      </c>
      <c r="D2696" s="15" t="n">
        <v>10</v>
      </c>
      <c r="E2696" s="16" t="n">
        <v>43</v>
      </c>
      <c r="F2696" s="16">
        <f>D2696*E2696</f>
        <v/>
      </c>
    </row>
    <row r="2697">
      <c r="A2697" s="13" t="inlineStr">
        <is>
          <t>0637</t>
        </is>
      </c>
      <c r="B2697" s="14" t="inlineStr">
        <is>
          <t>Bright finished or black enamelled mild steel screws 40 mm</t>
        </is>
      </c>
      <c r="C2697" s="13" t="inlineStr">
        <is>
          <t>100 Nos</t>
        </is>
      </c>
      <c r="D2697" s="15" t="n">
        <v>0.8</v>
      </c>
      <c r="E2697" s="16" t="n">
        <v>60</v>
      </c>
      <c r="F2697" s="16">
        <f>D2697*E2697</f>
        <v/>
      </c>
    </row>
    <row r="2698">
      <c r="A2698" s="13" t="inlineStr">
        <is>
          <t>9977</t>
        </is>
      </c>
      <c r="B2698" s="14" t="inlineStr">
        <is>
          <t>Carriage of materials</t>
        </is>
      </c>
      <c r="C2698" s="13" t="inlineStr">
        <is>
          <t>L.S.</t>
        </is>
      </c>
      <c r="D2698" s="15" t="n">
        <v>2.73</v>
      </c>
      <c r="E2698" s="16" t="n">
        <v>2</v>
      </c>
      <c r="F2698" s="16">
        <f>D2698*E2698</f>
        <v/>
      </c>
    </row>
    <row r="2699">
      <c r="A2699" s="13" t="inlineStr">
        <is>
          <t>0112</t>
        </is>
      </c>
      <c r="B2699" s="14" t="inlineStr">
        <is>
          <t>Carpenter 2nd class</t>
        </is>
      </c>
      <c r="C2699" s="13" t="inlineStr">
        <is>
          <t>day</t>
        </is>
      </c>
      <c r="D2699" s="15" t="n">
        <v>0.14</v>
      </c>
      <c r="E2699" s="16" t="n">
        <v>679</v>
      </c>
      <c r="F2699" s="16">
        <f>D2699*E2699</f>
        <v/>
      </c>
    </row>
    <row r="2700">
      <c r="A2700" s="13" t="inlineStr">
        <is>
          <t>0114</t>
        </is>
      </c>
      <c r="B2700" s="14" t="inlineStr">
        <is>
          <t>Beldar</t>
        </is>
      </c>
      <c r="C2700" s="13" t="inlineStr">
        <is>
          <t>day</t>
        </is>
      </c>
      <c r="D2700" s="15" t="n">
        <v>0.09</v>
      </c>
      <c r="E2700" s="16" t="n">
        <v>558</v>
      </c>
      <c r="F2700" s="16">
        <f>D2700*E2700</f>
        <v/>
      </c>
    </row>
    <row r="2701">
      <c r="A2701" s="17" t="inlineStr">
        <is>
          <t>Resource Total (Material + Labour + Machinery, as printed)</t>
        </is>
      </c>
      <c r="B2701" s="18" t="n"/>
      <c r="C2701" s="18" t="n"/>
      <c r="D2701" s="18" t="n"/>
      <c r="E2701" s="18" t="n"/>
      <c r="F2701" s="19">
        <f>SUM(F2696:F2700)</f>
        <v/>
      </c>
    </row>
    <row r="2702">
      <c r="A2702" s="20" t="inlineStr">
        <is>
          <t>SAY (Rs.) — final DAR rate</t>
        </is>
      </c>
      <c r="B2702" s="21" t="n"/>
      <c r="C2702" s="21" t="n"/>
      <c r="D2702" s="21" t="n"/>
      <c r="E2702" s="21" t="n"/>
      <c r="F2702" s="22" t="n">
        <v>84.09999999999999</v>
      </c>
    </row>
    <row r="2704" ht="18" customHeight="1">
      <c r="A2704" s="9" t="inlineStr">
        <is>
          <t>9.108.1</t>
        </is>
      </c>
      <c r="B2704" s="10" t="inlineStr">
        <is>
          <t>152x42x18 mm weighing not less than 60 gms</t>
        </is>
      </c>
      <c r="C2704" s="11" t="n"/>
      <c r="D2704" s="11" t="n"/>
      <c r="E2704" s="11" t="n"/>
      <c r="F2704" s="11" t="n"/>
    </row>
    <row r="2705">
      <c r="A2705" s="12" t="inlineStr">
        <is>
          <t>Rate basis: per nos  (source: cost for 1 nos)</t>
        </is>
      </c>
    </row>
    <row r="2706">
      <c r="A2706" s="5" t="inlineStr">
        <is>
          <t>Code</t>
        </is>
      </c>
      <c r="B2706" s="5" t="inlineStr">
        <is>
          <t>Description</t>
        </is>
      </c>
      <c r="C2706" s="5" t="inlineStr">
        <is>
          <t>Unit</t>
        </is>
      </c>
      <c r="D2706" s="5" t="inlineStr">
        <is>
          <t>Quantity</t>
        </is>
      </c>
      <c r="E2706" s="5" t="inlineStr">
        <is>
          <t>Rate (Rs.)</t>
        </is>
      </c>
      <c r="F2706" s="5" t="inlineStr">
        <is>
          <t>Amount (Rs.)</t>
        </is>
      </c>
    </row>
    <row r="2707">
      <c r="A2707" s="13" t="inlineStr">
        <is>
          <t>7516</t>
        </is>
      </c>
      <c r="B2707" s="14" t="inlineStr">
        <is>
          <t>PTMT Tower bolt 152x42x18mm</t>
        </is>
      </c>
      <c r="C2707" s="13" t="inlineStr">
        <is>
          <t>each</t>
        </is>
      </c>
      <c r="D2707" s="15" t="n">
        <v>10</v>
      </c>
      <c r="E2707" s="16" t="n">
        <v>48</v>
      </c>
      <c r="F2707" s="16">
        <f>D2707*E2707</f>
        <v/>
      </c>
    </row>
    <row r="2708">
      <c r="A2708" s="13" t="inlineStr">
        <is>
          <t>0638</t>
        </is>
      </c>
      <c r="B2708" s="14" t="inlineStr">
        <is>
          <t>Bright finished or black enamelled mild steel screws 30 mm</t>
        </is>
      </c>
      <c r="C2708" s="13" t="inlineStr">
        <is>
          <t>100 Nos</t>
        </is>
      </c>
      <c r="D2708" s="15" t="n">
        <v>0.6</v>
      </c>
      <c r="E2708" s="16" t="n">
        <v>45</v>
      </c>
      <c r="F2708" s="16">
        <f>D2708*E2708</f>
        <v/>
      </c>
    </row>
    <row r="2709">
      <c r="A2709" s="13" t="inlineStr">
        <is>
          <t>9977</t>
        </is>
      </c>
      <c r="B2709" s="14" t="inlineStr">
        <is>
          <t>Carriage of materials</t>
        </is>
      </c>
      <c r="C2709" s="13" t="inlineStr">
        <is>
          <t>L.S.</t>
        </is>
      </c>
      <c r="D2709" s="15" t="n">
        <v>2.73</v>
      </c>
      <c r="E2709" s="16" t="n">
        <v>2</v>
      </c>
      <c r="F2709" s="16">
        <f>D2709*E2709</f>
        <v/>
      </c>
    </row>
    <row r="2710">
      <c r="A2710" s="13" t="inlineStr">
        <is>
          <t>0112</t>
        </is>
      </c>
      <c r="B2710" s="14" t="inlineStr">
        <is>
          <t>Carpenter 2nd class</t>
        </is>
      </c>
      <c r="C2710" s="13" t="inlineStr">
        <is>
          <t>day</t>
        </is>
      </c>
      <c r="D2710" s="15" t="n">
        <v>0.08</v>
      </c>
      <c r="E2710" s="16" t="n">
        <v>679</v>
      </c>
      <c r="F2710" s="16">
        <f>D2710*E2710</f>
        <v/>
      </c>
    </row>
    <row r="2711">
      <c r="A2711" s="17" t="inlineStr">
        <is>
          <t>Resource Total (Material + Labour + Machinery, as printed)</t>
        </is>
      </c>
      <c r="B2711" s="18" t="n"/>
      <c r="C2711" s="18" t="n"/>
      <c r="D2711" s="18" t="n"/>
      <c r="E2711" s="18" t="n"/>
      <c r="F2711" s="19">
        <f>SUM(F2707:F2710)</f>
        <v/>
      </c>
    </row>
    <row r="2712">
      <c r="A2712" s="20" t="inlineStr">
        <is>
          <t>SAY (Rs.) — final DAR rate</t>
        </is>
      </c>
      <c r="B2712" s="21" t="n"/>
      <c r="C2712" s="21" t="n"/>
      <c r="D2712" s="21" t="n"/>
      <c r="E2712" s="21" t="n"/>
      <c r="F2712" s="22" t="n">
        <v>75.84999999999999</v>
      </c>
    </row>
    <row r="2714" ht="18" customHeight="1">
      <c r="A2714" s="9" t="inlineStr">
        <is>
          <t>9.108.2</t>
        </is>
      </c>
      <c r="B2714" s="10" t="inlineStr">
        <is>
          <t>202x42x18 mm weighing not less than 78 gms</t>
        </is>
      </c>
      <c r="C2714" s="11" t="n"/>
      <c r="D2714" s="11" t="n"/>
      <c r="E2714" s="11" t="n"/>
      <c r="F2714" s="11" t="n"/>
    </row>
    <row r="2715">
      <c r="A2715" s="12" t="inlineStr">
        <is>
          <t>Rate basis: per nos  (source: cost for 1 nos)</t>
        </is>
      </c>
    </row>
    <row r="2716">
      <c r="A2716" s="5" t="inlineStr">
        <is>
          <t>Code</t>
        </is>
      </c>
      <c r="B2716" s="5" t="inlineStr">
        <is>
          <t>Description</t>
        </is>
      </c>
      <c r="C2716" s="5" t="inlineStr">
        <is>
          <t>Unit</t>
        </is>
      </c>
      <c r="D2716" s="5" t="inlineStr">
        <is>
          <t>Quantity</t>
        </is>
      </c>
      <c r="E2716" s="5" t="inlineStr">
        <is>
          <t>Rate (Rs.)</t>
        </is>
      </c>
      <c r="F2716" s="5" t="inlineStr">
        <is>
          <t>Amount (Rs.)</t>
        </is>
      </c>
    </row>
    <row r="2717">
      <c r="A2717" s="13" t="inlineStr">
        <is>
          <t>7517</t>
        </is>
      </c>
      <c r="B2717" s="14" t="inlineStr">
        <is>
          <t>PTMT Tower bolt 202x42x18mm</t>
        </is>
      </c>
      <c r="C2717" s="13" t="inlineStr">
        <is>
          <t>each</t>
        </is>
      </c>
      <c r="D2717" s="15" t="n">
        <v>10</v>
      </c>
      <c r="E2717" s="16" t="n">
        <v>67</v>
      </c>
      <c r="F2717" s="16">
        <f>D2717*E2717</f>
        <v/>
      </c>
    </row>
    <row r="2718">
      <c r="A2718" s="13" t="inlineStr">
        <is>
          <t>0638</t>
        </is>
      </c>
      <c r="B2718" s="14" t="inlineStr">
        <is>
          <t>Bright finished or black enamelled mild steel screws 30 mm</t>
        </is>
      </c>
      <c r="C2718" s="13" t="inlineStr">
        <is>
          <t>100 Nos</t>
        </is>
      </c>
      <c r="D2718" s="15" t="n">
        <v>0.8</v>
      </c>
      <c r="E2718" s="16" t="n">
        <v>45</v>
      </c>
      <c r="F2718" s="16">
        <f>D2718*E2718</f>
        <v/>
      </c>
    </row>
    <row r="2719">
      <c r="A2719" s="13" t="inlineStr">
        <is>
          <t>9977</t>
        </is>
      </c>
      <c r="B2719" s="14" t="inlineStr">
        <is>
          <t>Carriage of materials</t>
        </is>
      </c>
      <c r="C2719" s="13" t="inlineStr">
        <is>
          <t>L.S.</t>
        </is>
      </c>
      <c r="D2719" s="15" t="n">
        <v>2.73</v>
      </c>
      <c r="E2719" s="16" t="n">
        <v>2</v>
      </c>
      <c r="F2719" s="16">
        <f>D2719*E2719</f>
        <v/>
      </c>
    </row>
    <row r="2720">
      <c r="A2720" s="13" t="inlineStr">
        <is>
          <t>0112</t>
        </is>
      </c>
      <c r="B2720" s="14" t="inlineStr">
        <is>
          <t>Carpenter 2nd class</t>
        </is>
      </c>
      <c r="C2720" s="13" t="inlineStr">
        <is>
          <t>day</t>
        </is>
      </c>
      <c r="D2720" s="15" t="n">
        <v>0.1</v>
      </c>
      <c r="E2720" s="16" t="n">
        <v>679</v>
      </c>
      <c r="F2720" s="16">
        <f>D2720*E2720</f>
        <v/>
      </c>
    </row>
    <row r="2721">
      <c r="A2721" s="17" t="inlineStr">
        <is>
          <t>Resource Total (Material + Labour + Machinery, as printed)</t>
        </is>
      </c>
      <c r="B2721" s="18" t="n"/>
      <c r="C2721" s="18" t="n"/>
      <c r="D2721" s="18" t="n"/>
      <c r="E2721" s="18" t="n"/>
      <c r="F2721" s="19">
        <f>SUM(F2717:F2720)</f>
        <v/>
      </c>
    </row>
    <row r="2722">
      <c r="A2722" s="20" t="inlineStr">
        <is>
          <t>SAY (Rs.) — final DAR rate</t>
        </is>
      </c>
      <c r="B2722" s="21" t="n"/>
      <c r="C2722" s="21" t="n"/>
      <c r="D2722" s="21" t="n"/>
      <c r="E2722" s="21" t="n"/>
      <c r="F2722" s="22" t="n">
        <v>104.25</v>
      </c>
    </row>
    <row r="2724" ht="28" customHeight="1">
      <c r="A2724" s="9" t="inlineStr">
        <is>
          <t>9.109</t>
        </is>
      </c>
      <c r="B2724" s="10" t="inlineStr">
        <is>
          <t>Providing and fixing PTMT door catcher of length 72 mm and dia. of 42 mm with suitable washers weighing not less than 33 gms</t>
        </is>
      </c>
      <c r="C2724" s="11" t="n"/>
      <c r="D2724" s="11" t="n"/>
      <c r="E2724" s="11" t="n"/>
      <c r="F2724" s="11" t="n"/>
    </row>
    <row r="2725">
      <c r="A2725" s="12" t="inlineStr">
        <is>
          <t>Rate basis: per nos  (source: cost for 1 nos)</t>
        </is>
      </c>
    </row>
    <row r="2726">
      <c r="A2726" s="5" t="inlineStr">
        <is>
          <t>Code</t>
        </is>
      </c>
      <c r="B2726" s="5" t="inlineStr">
        <is>
          <t>Description</t>
        </is>
      </c>
      <c r="C2726" s="5" t="inlineStr">
        <is>
          <t>Unit</t>
        </is>
      </c>
      <c r="D2726" s="5" t="inlineStr">
        <is>
          <t>Quantity</t>
        </is>
      </c>
      <c r="E2726" s="5" t="inlineStr">
        <is>
          <t>Rate (Rs.)</t>
        </is>
      </c>
      <c r="F2726" s="5" t="inlineStr">
        <is>
          <t>Amount (Rs.)</t>
        </is>
      </c>
    </row>
    <row r="2727">
      <c r="A2727" s="13" t="inlineStr">
        <is>
          <t>7518</t>
        </is>
      </c>
      <c r="B2727" s="14" t="inlineStr">
        <is>
          <t>PTMT door catcher 72x42mm</t>
        </is>
      </c>
      <c r="C2727" s="13" t="inlineStr">
        <is>
          <t>each</t>
        </is>
      </c>
      <c r="D2727" s="15" t="n">
        <v>10</v>
      </c>
      <c r="E2727" s="16" t="n">
        <v>24</v>
      </c>
      <c r="F2727" s="16">
        <f>D2727*E2727</f>
        <v/>
      </c>
    </row>
    <row r="2728">
      <c r="A2728" s="13" t="inlineStr">
        <is>
          <t>0639</t>
        </is>
      </c>
      <c r="B2728" s="14" t="inlineStr">
        <is>
          <t>Bright finished or black enamelled mild steel screws 25 mm</t>
        </is>
      </c>
      <c r="C2728" s="13" t="inlineStr">
        <is>
          <t>100 Nos</t>
        </is>
      </c>
      <c r="D2728" s="15" t="n">
        <v>0.2</v>
      </c>
      <c r="E2728" s="16" t="n">
        <v>36</v>
      </c>
      <c r="F2728" s="16">
        <f>D2728*E2728</f>
        <v/>
      </c>
    </row>
    <row r="2729">
      <c r="A2729" s="13" t="inlineStr">
        <is>
          <t>9977</t>
        </is>
      </c>
      <c r="B2729" s="14" t="inlineStr">
        <is>
          <t>Carriage of materials</t>
        </is>
      </c>
      <c r="C2729" s="13" t="inlineStr">
        <is>
          <t>L.S.</t>
        </is>
      </c>
      <c r="D2729" s="15" t="n">
        <v>2.73</v>
      </c>
      <c r="E2729" s="16" t="n">
        <v>2</v>
      </c>
      <c r="F2729" s="16">
        <f>D2729*E2729</f>
        <v/>
      </c>
    </row>
    <row r="2730">
      <c r="A2730" s="13" t="inlineStr">
        <is>
          <t>0111</t>
        </is>
      </c>
      <c r="B2730" s="14" t="inlineStr">
        <is>
          <t>Carpenter 1st class</t>
        </is>
      </c>
      <c r="C2730" s="13" t="inlineStr">
        <is>
          <t>day</t>
        </is>
      </c>
      <c r="D2730" s="15" t="n">
        <v>0.03</v>
      </c>
      <c r="E2730" s="16" t="n">
        <v>738</v>
      </c>
      <c r="F2730" s="16">
        <f>D2730*E2730</f>
        <v/>
      </c>
    </row>
    <row r="2731">
      <c r="A2731" s="17" t="inlineStr">
        <is>
          <t>Resource Total (Material + Labour + Machinery, as printed)</t>
        </is>
      </c>
      <c r="B2731" s="18" t="n"/>
      <c r="C2731" s="18" t="n"/>
      <c r="D2731" s="18" t="n"/>
      <c r="E2731" s="18" t="n"/>
      <c r="F2731" s="19">
        <f>SUM(F2727:F2730)</f>
        <v/>
      </c>
    </row>
    <row r="2732">
      <c r="A2732" s="20" t="inlineStr">
        <is>
          <t>SAY (Rs.) — final DAR rate</t>
        </is>
      </c>
      <c r="B2732" s="21" t="n"/>
      <c r="C2732" s="21" t="n"/>
      <c r="D2732" s="21" t="n"/>
      <c r="E2732" s="21" t="n"/>
      <c r="F2732" s="22" t="n">
        <v>36.75</v>
      </c>
    </row>
    <row r="2734" ht="28" customHeight="1">
      <c r="A2734" s="9" t="inlineStr">
        <is>
          <t>9.110</t>
        </is>
      </c>
      <c r="B2734" s="10" t="inlineStr">
        <is>
          <t>Providing and fixing Bamboo jaffery/ fencing consisting of superior quality 25mm dia (Average) half cut bamboo placed vertically and fixed t</t>
        </is>
      </c>
      <c r="C2734" s="11" t="n"/>
      <c r="D2734" s="11" t="n"/>
      <c r="E2734" s="11" t="n"/>
      <c r="F2734" s="11" t="n"/>
    </row>
    <row r="2735">
      <c r="A2735" s="12" t="inlineStr">
        <is>
          <t>Rate basis: per sqm  (source: cost for 2.1 sqm)</t>
        </is>
      </c>
    </row>
    <row r="2736">
      <c r="A2736" s="5" t="inlineStr">
        <is>
          <t>Code</t>
        </is>
      </c>
      <c r="B2736" s="5" t="inlineStr">
        <is>
          <t>Description</t>
        </is>
      </c>
      <c r="C2736" s="5" t="inlineStr">
        <is>
          <t>Unit</t>
        </is>
      </c>
      <c r="D2736" s="5" t="inlineStr">
        <is>
          <t>Quantity</t>
        </is>
      </c>
      <c r="E2736" s="5" t="inlineStr">
        <is>
          <t>Rate (Rs.)</t>
        </is>
      </c>
      <c r="F2736" s="5" t="inlineStr">
        <is>
          <t>Amount (Rs.)</t>
        </is>
      </c>
    </row>
    <row r="2737">
      <c r="A2737" s="13" t="inlineStr">
        <is>
          <t>9977</t>
        </is>
      </c>
      <c r="B2737" s="14" t="inlineStr">
        <is>
          <t>Carriage of Bamboo</t>
        </is>
      </c>
      <c r="C2737" s="13" t="inlineStr">
        <is>
          <t>L.S.</t>
        </is>
      </c>
      <c r="D2737" s="15" t="n">
        <v>4.83</v>
      </c>
      <c r="E2737" s="16" t="n">
        <v>2</v>
      </c>
      <c r="F2737" s="16">
        <f>D2737*E2737</f>
        <v/>
      </c>
    </row>
    <row r="2738">
      <c r="A2738" s="13" t="inlineStr">
        <is>
          <t>2204</t>
        </is>
      </c>
      <c r="B2738" s="14" t="inlineStr">
        <is>
          <t>Carriage of Timber</t>
        </is>
      </c>
      <c r="C2738" s="13" t="inlineStr">
        <is>
          <t>cum</t>
        </is>
      </c>
      <c r="D2738" s="15" t="n">
        <v>0.00394</v>
      </c>
      <c r="E2738" s="16" t="n">
        <v>118.59</v>
      </c>
      <c r="F2738" s="16">
        <f>D2738*E2738</f>
        <v/>
      </c>
    </row>
    <row r="2739">
      <c r="A2739" s="13" t="inlineStr">
        <is>
          <t>9999</t>
        </is>
      </c>
      <c r="B2739" s="14" t="inlineStr">
        <is>
          <t>Nails and wire</t>
        </is>
      </c>
      <c r="C2739" s="13" t="inlineStr">
        <is>
          <t>L.S.</t>
        </is>
      </c>
      <c r="D2739" s="15" t="n">
        <v>20.25</v>
      </c>
      <c r="E2739" s="16" t="n">
        <v>2</v>
      </c>
      <c r="F2739" s="16">
        <f>D2739*E2739</f>
        <v/>
      </c>
    </row>
    <row r="2740">
      <c r="A2740" s="13" t="inlineStr">
        <is>
          <t>0112</t>
        </is>
      </c>
      <c r="B2740" s="14" t="inlineStr">
        <is>
          <t>Carpenter 2nd class</t>
        </is>
      </c>
      <c r="C2740" s="13" t="inlineStr">
        <is>
          <t>day</t>
        </is>
      </c>
      <c r="D2740" s="15" t="n">
        <v>0.25</v>
      </c>
      <c r="E2740" s="16" t="n">
        <v>679</v>
      </c>
      <c r="F2740" s="16">
        <f>D2740*E2740</f>
        <v/>
      </c>
    </row>
    <row r="2741">
      <c r="A2741" s="13" t="inlineStr">
        <is>
          <t>0114</t>
        </is>
      </c>
      <c r="B2741" s="14" t="inlineStr">
        <is>
          <t>Beldar</t>
        </is>
      </c>
      <c r="C2741" s="13" t="inlineStr">
        <is>
          <t>day</t>
        </is>
      </c>
      <c r="D2741" s="15" t="n">
        <v>0.25</v>
      </c>
      <c r="E2741" s="16" t="n">
        <v>558</v>
      </c>
      <c r="F2741" s="16">
        <f>D2741*E2741</f>
        <v/>
      </c>
    </row>
    <row r="2742">
      <c r="A2742" s="13" t="inlineStr">
        <is>
          <t>9999</t>
        </is>
      </c>
      <c r="B2742" s="14" t="inlineStr">
        <is>
          <t>Sundries</t>
        </is>
      </c>
      <c r="C2742" s="13" t="inlineStr">
        <is>
          <t>L.S.</t>
        </is>
      </c>
      <c r="D2742" s="15" t="n">
        <v>10.05</v>
      </c>
      <c r="E2742" s="16" t="n">
        <v>2</v>
      </c>
      <c r="F2742" s="16">
        <f>D2742*E2742</f>
        <v/>
      </c>
    </row>
    <row r="2743">
      <c r="A2743" s="17" t="inlineStr">
        <is>
          <t>Resource Total (Material + Labour + Machinery, as printed)</t>
        </is>
      </c>
      <c r="B2743" s="18" t="n"/>
      <c r="C2743" s="18" t="n"/>
      <c r="D2743" s="18" t="n"/>
      <c r="E2743" s="18" t="n"/>
      <c r="F2743" s="19">
        <f>SUM(F2737:F2742)</f>
        <v/>
      </c>
    </row>
    <row r="2744">
      <c r="A2744" s="20" t="inlineStr">
        <is>
          <t>SAY (Rs.) — final DAR rate</t>
        </is>
      </c>
      <c r="B2744" s="21" t="n"/>
      <c r="C2744" s="21" t="n"/>
      <c r="D2744" s="21" t="n"/>
      <c r="E2744" s="21" t="n"/>
      <c r="F2744" s="22" t="n">
        <v>576.15</v>
      </c>
    </row>
    <row r="2746" ht="18" customHeight="1">
      <c r="A2746" s="9" t="inlineStr">
        <is>
          <t>9.111.1</t>
        </is>
      </c>
      <c r="B2746" s="10" t="inlineStr">
        <is>
          <t>50x50 mm (base and height)</t>
        </is>
      </c>
      <c r="C2746" s="11" t="n"/>
      <c r="D2746" s="11" t="n"/>
      <c r="E2746" s="11" t="n"/>
      <c r="F2746" s="11" t="n"/>
    </row>
    <row r="2747">
      <c r="A2747" s="12" t="inlineStr">
        <is>
          <t>Rate basis: per m  (source: cost for 5 m)</t>
        </is>
      </c>
    </row>
    <row r="2748">
      <c r="A2748" s="5" t="inlineStr">
        <is>
          <t>Code</t>
        </is>
      </c>
      <c r="B2748" s="5" t="inlineStr">
        <is>
          <t>Description</t>
        </is>
      </c>
      <c r="C2748" s="5" t="inlineStr">
        <is>
          <t>Unit</t>
        </is>
      </c>
      <c r="D2748" s="5" t="inlineStr">
        <is>
          <t>Quantity</t>
        </is>
      </c>
      <c r="E2748" s="5" t="inlineStr">
        <is>
          <t>Rate (Rs.)</t>
        </is>
      </c>
      <c r="F2748" s="5" t="inlineStr">
        <is>
          <t>Amount (Rs.)</t>
        </is>
      </c>
    </row>
    <row r="2749">
      <c r="A2749" s="13" t="inlineStr">
        <is>
          <t>13.50.1</t>
        </is>
      </c>
      <c r="B2749" s="14" t="inlineStr">
        <is>
          <t>Rate as per SH: 13.50.1</t>
        </is>
      </c>
      <c r="C2749" s="13" t="inlineStr">
        <is>
          <t>sqm</t>
        </is>
      </c>
      <c r="D2749" s="15" t="n">
        <v>0.5</v>
      </c>
      <c r="E2749" s="16" t="n">
        <v>57.05</v>
      </c>
      <c r="F2749" s="16">
        <f>D2749*E2749</f>
        <v/>
      </c>
    </row>
    <row r="2750">
      <c r="A2750" s="13" t="inlineStr">
        <is>
          <t>2204</t>
        </is>
      </c>
      <c r="B2750" s="14" t="inlineStr">
        <is>
          <t>Carriage of Timber</t>
        </is>
      </c>
      <c r="C2750" s="13" t="inlineStr">
        <is>
          <t>cum</t>
        </is>
      </c>
      <c r="D2750" s="15" t="n">
        <v>0.00688</v>
      </c>
      <c r="E2750" s="16" t="n">
        <v>118.59</v>
      </c>
      <c r="F2750" s="16">
        <f>D2750*E2750</f>
        <v/>
      </c>
    </row>
    <row r="2751">
      <c r="A2751" s="13" t="inlineStr">
        <is>
          <t>0637</t>
        </is>
      </c>
      <c r="B2751" s="14" t="inlineStr">
        <is>
          <t>Bright finished or black enamelled mild steel screws 40 mm</t>
        </is>
      </c>
      <c r="C2751" s="13" t="inlineStr">
        <is>
          <t>100 Nos</t>
        </is>
      </c>
      <c r="D2751" s="15" t="n">
        <v>0.06</v>
      </c>
      <c r="E2751" s="16" t="n">
        <v>60</v>
      </c>
      <c r="F2751" s="16">
        <f>D2751*E2751</f>
        <v/>
      </c>
    </row>
    <row r="2752">
      <c r="A2752" s="13" t="inlineStr">
        <is>
          <t>0111</t>
        </is>
      </c>
      <c r="B2752" s="14" t="inlineStr">
        <is>
          <t>Carpenter 1st class</t>
        </is>
      </c>
      <c r="C2752" s="13" t="inlineStr">
        <is>
          <t>day</t>
        </is>
      </c>
      <c r="D2752" s="15" t="n">
        <v>0.75</v>
      </c>
      <c r="E2752" s="16" t="n">
        <v>738</v>
      </c>
      <c r="F2752" s="16">
        <f>D2752*E2752</f>
        <v/>
      </c>
    </row>
    <row r="2753">
      <c r="A2753" s="17" t="inlineStr">
        <is>
          <t>Resource Total (Material + Labour + Machinery, as printed)</t>
        </is>
      </c>
      <c r="B2753" s="18" t="n"/>
      <c r="C2753" s="18" t="n"/>
      <c r="D2753" s="18" t="n"/>
      <c r="E2753" s="18" t="n"/>
      <c r="F2753" s="19">
        <f>SUM(F2749:F2752)</f>
        <v/>
      </c>
    </row>
    <row r="2754">
      <c r="A2754" s="20" t="inlineStr">
        <is>
          <t>SAY (Rs.) — final DAR rate</t>
        </is>
      </c>
      <c r="B2754" s="21" t="n"/>
      <c r="C2754" s="21" t="n"/>
      <c r="D2754" s="21" t="n"/>
      <c r="E2754" s="21" t="n"/>
      <c r="F2754" s="22" t="n">
        <v>250.25</v>
      </c>
    </row>
    <row r="2756" ht="28" customHeight="1">
      <c r="A2756" s="9" t="inlineStr">
        <is>
          <t>9.112</t>
        </is>
      </c>
      <c r="B2756" s="10" t="inlineStr">
        <is>
          <t>Providing and fixing 2nd class teak wood lipping/ moulded beading or taj beading of size 18X5 mm fixed with wooden adhesive of approved qual</t>
        </is>
      </c>
      <c r="C2756" s="11" t="n"/>
      <c r="D2756" s="11" t="n"/>
      <c r="E2756" s="11" t="n"/>
      <c r="F2756" s="11" t="n"/>
    </row>
    <row r="2757">
      <c r="A2757" s="12" t="inlineStr">
        <is>
          <t>Rate basis: per m  (source: cost for 10 m)</t>
        </is>
      </c>
    </row>
    <row r="2758">
      <c r="A2758" s="5" t="inlineStr">
        <is>
          <t>Code</t>
        </is>
      </c>
      <c r="B2758" s="5" t="inlineStr">
        <is>
          <t>Description</t>
        </is>
      </c>
      <c r="C2758" s="5" t="inlineStr">
        <is>
          <t>Unit</t>
        </is>
      </c>
      <c r="D2758" s="5" t="inlineStr">
        <is>
          <t>Quantity</t>
        </is>
      </c>
      <c r="E2758" s="5" t="inlineStr">
        <is>
          <t>Rate (Rs.)</t>
        </is>
      </c>
      <c r="F2758" s="5" t="inlineStr">
        <is>
          <t>Amount (Rs.)</t>
        </is>
      </c>
    </row>
    <row r="2759">
      <c r="A2759" s="13" t="inlineStr">
        <is>
          <t>8719</t>
        </is>
      </c>
      <c r="B2759" s="14" t="inlineStr">
        <is>
          <t>2nd class teak wood lipping/ moulded beadibg or Taj beading of size 18X5mm</t>
        </is>
      </c>
      <c r="C2759" s="13" t="inlineStr">
        <is>
          <t>metre</t>
        </is>
      </c>
      <c r="D2759" s="15" t="n">
        <v>10</v>
      </c>
      <c r="E2759" s="16" t="n">
        <v>28</v>
      </c>
      <c r="F2759" s="16">
        <f>D2759*E2759</f>
        <v/>
      </c>
    </row>
    <row r="2760">
      <c r="A2760" s="13" t="inlineStr">
        <is>
          <t>0112</t>
        </is>
      </c>
      <c r="B2760" s="14" t="inlineStr">
        <is>
          <t>Carpenter 2nd class</t>
        </is>
      </c>
      <c r="C2760" s="13" t="inlineStr">
        <is>
          <t>day</t>
        </is>
      </c>
      <c r="D2760" s="15" t="n">
        <v>0.25</v>
      </c>
      <c r="E2760" s="16" t="n">
        <v>679</v>
      </c>
      <c r="F2760" s="16">
        <f>D2760*E2760</f>
        <v/>
      </c>
    </row>
    <row r="2761">
      <c r="A2761" s="13" t="inlineStr">
        <is>
          <t>0114</t>
        </is>
      </c>
      <c r="B2761" s="14" t="inlineStr">
        <is>
          <t>Beldar</t>
        </is>
      </c>
      <c r="C2761" s="13" t="inlineStr">
        <is>
          <t>day</t>
        </is>
      </c>
      <c r="D2761" s="15" t="n">
        <v>0.25</v>
      </c>
      <c r="E2761" s="16" t="n">
        <v>558</v>
      </c>
      <c r="F2761" s="16">
        <f>D2761*E2761</f>
        <v/>
      </c>
    </row>
    <row r="2762">
      <c r="A2762" s="17" t="inlineStr">
        <is>
          <t>Resource Total (Material + Labour + Machinery, as printed)</t>
        </is>
      </c>
      <c r="B2762" s="18" t="n"/>
      <c r="C2762" s="18" t="n"/>
      <c r="D2762" s="18" t="n"/>
      <c r="E2762" s="18" t="n"/>
      <c r="F2762" s="19">
        <f>SUM(F2759:F2761)</f>
        <v/>
      </c>
    </row>
    <row r="2763">
      <c r="A2763" s="20" t="inlineStr">
        <is>
          <t>SAY (Rs.) — final DAR rate</t>
        </is>
      </c>
      <c r="B2763" s="21" t="n"/>
      <c r="C2763" s="21" t="n"/>
      <c r="D2763" s="21" t="n"/>
      <c r="E2763" s="21" t="n"/>
      <c r="F2763" s="22" t="n">
        <v>78.84999999999999</v>
      </c>
    </row>
    <row r="2765" ht="28" customHeight="1">
      <c r="A2765" s="9" t="inlineStr">
        <is>
          <t>9.113</t>
        </is>
      </c>
      <c r="B2765" s="10" t="inlineStr">
        <is>
          <t xml:space="preserve">Providing and fixing bright finished 100 mm mortice lock with 6 levers without pair of handles of approved quality for aluminium door, with </t>
        </is>
      </c>
      <c r="C2765" s="11" t="n"/>
      <c r="D2765" s="11" t="n"/>
      <c r="E2765" s="11" t="n"/>
      <c r="F2765" s="11" t="n"/>
    </row>
    <row r="2766">
      <c r="A2766" s="12" t="inlineStr">
        <is>
          <t>Rate basis: per no  (source: cost for 1 no)</t>
        </is>
      </c>
    </row>
    <row r="2767">
      <c r="A2767" s="5" t="inlineStr">
        <is>
          <t>Code</t>
        </is>
      </c>
      <c r="B2767" s="5" t="inlineStr">
        <is>
          <t>Description</t>
        </is>
      </c>
      <c r="C2767" s="5" t="inlineStr">
        <is>
          <t>Unit</t>
        </is>
      </c>
      <c r="D2767" s="5" t="inlineStr">
        <is>
          <t>Quantity</t>
        </is>
      </c>
      <c r="E2767" s="5" t="inlineStr">
        <is>
          <t>Rate (Rs.)</t>
        </is>
      </c>
      <c r="F2767" s="5" t="inlineStr">
        <is>
          <t>Amount (Rs.)</t>
        </is>
      </c>
    </row>
    <row r="2768">
      <c r="A2768" s="13" t="inlineStr">
        <is>
          <t>8716</t>
        </is>
      </c>
      <c r="B2768" s="14" t="inlineStr">
        <is>
          <t>100 mm mostice lock with 6 levers for aluminium door.</t>
        </is>
      </c>
      <c r="C2768" s="13" t="inlineStr">
        <is>
          <t>each</t>
        </is>
      </c>
      <c r="D2768" s="15" t="n">
        <v>1</v>
      </c>
      <c r="E2768" s="16" t="n">
        <v>375</v>
      </c>
      <c r="F2768" s="16">
        <f>D2768*E2768</f>
        <v/>
      </c>
    </row>
    <row r="2769">
      <c r="A2769" s="13" t="inlineStr">
        <is>
          <t>0111</t>
        </is>
      </c>
      <c r="B2769" s="14" t="inlineStr">
        <is>
          <t>Carpenter 1st class</t>
        </is>
      </c>
      <c r="C2769" s="13" t="inlineStr">
        <is>
          <t>day</t>
        </is>
      </c>
      <c r="D2769" s="15" t="n">
        <v>0.13</v>
      </c>
      <c r="E2769" s="16" t="n">
        <v>738</v>
      </c>
      <c r="F2769" s="16">
        <f>D2769*E2769</f>
        <v/>
      </c>
    </row>
    <row r="2770">
      <c r="A2770" s="13" t="inlineStr">
        <is>
          <t>9999</t>
        </is>
      </c>
      <c r="B2770" s="14" t="inlineStr">
        <is>
          <t>Sundries( screws, carriage etc)</t>
        </is>
      </c>
      <c r="C2770" s="13" t="inlineStr">
        <is>
          <t>L.S.</t>
        </is>
      </c>
      <c r="D2770" s="15" t="n">
        <v>2.6</v>
      </c>
      <c r="E2770" s="16" t="n">
        <v>2</v>
      </c>
      <c r="F2770" s="16">
        <f>D2770*E2770</f>
        <v/>
      </c>
    </row>
    <row r="2771">
      <c r="A2771" s="17" t="inlineStr">
        <is>
          <t>Resource Total (Material + Labour + Machinery, as printed)</t>
        </is>
      </c>
      <c r="B2771" s="18" t="n"/>
      <c r="C2771" s="18" t="n"/>
      <c r="D2771" s="18" t="n"/>
      <c r="E2771" s="18" t="n"/>
      <c r="F2771" s="19">
        <f>SUM(F2768:F2770)</f>
        <v/>
      </c>
    </row>
    <row r="2772">
      <c r="A2772" s="20" t="inlineStr">
        <is>
          <t>SAY (Rs.) — final DAR rate</t>
        </is>
      </c>
      <c r="B2772" s="21" t="n"/>
      <c r="C2772" s="21" t="n"/>
      <c r="D2772" s="21" t="n"/>
      <c r="E2772" s="21" t="n"/>
      <c r="F2772" s="22" t="n">
        <v>637.05</v>
      </c>
    </row>
    <row r="2774" ht="18" customHeight="1">
      <c r="A2774" s="9" t="inlineStr">
        <is>
          <t>9.114.1</t>
        </is>
      </c>
      <c r="B2774" s="10" t="inlineStr">
        <is>
          <t>Triple strip vertical type</t>
        </is>
      </c>
      <c r="C2774" s="11" t="n"/>
      <c r="D2774" s="11" t="n"/>
      <c r="E2774" s="11" t="n"/>
      <c r="F2774" s="11" t="n"/>
    </row>
    <row r="2775">
      <c r="A2775" s="12" t="inlineStr">
        <is>
          <t>Rate basis: per no  (source: cost for 1 no)</t>
        </is>
      </c>
    </row>
    <row r="2776">
      <c r="A2776" s="5" t="inlineStr">
        <is>
          <t>Code</t>
        </is>
      </c>
      <c r="B2776" s="5" t="inlineStr">
        <is>
          <t>Description</t>
        </is>
      </c>
      <c r="C2776" s="5" t="inlineStr">
        <is>
          <t>Unit</t>
        </is>
      </c>
      <c r="D2776" s="5" t="inlineStr">
        <is>
          <t>Quantity</t>
        </is>
      </c>
      <c r="E2776" s="5" t="inlineStr">
        <is>
          <t>Rate (Rs.)</t>
        </is>
      </c>
      <c r="F2776" s="5" t="inlineStr">
        <is>
          <t>Amount (Rs.)</t>
        </is>
      </c>
    </row>
    <row r="2777">
      <c r="A2777" s="13" t="inlineStr">
        <is>
          <t>8714</t>
        </is>
      </c>
      <c r="B2777" s="14" t="inlineStr">
        <is>
          <t>Magenatic catcher triple strip verticle type.</t>
        </is>
      </c>
      <c r="C2777" s="13" t="inlineStr">
        <is>
          <t>each</t>
        </is>
      </c>
      <c r="D2777" s="15" t="n">
        <v>1</v>
      </c>
      <c r="E2777" s="16" t="n">
        <v>24</v>
      </c>
      <c r="F2777" s="16">
        <f>D2777*E2777</f>
        <v/>
      </c>
    </row>
    <row r="2778">
      <c r="A2778" s="13" t="inlineStr">
        <is>
          <t>9999</t>
        </is>
      </c>
      <c r="B2778" s="14" t="inlineStr">
        <is>
          <t>Sundries including screws and fixing charges.</t>
        </is>
      </c>
      <c r="C2778" s="13" t="inlineStr">
        <is>
          <t>L.S.</t>
        </is>
      </c>
      <c r="D2778" s="15" t="n">
        <v>2.6</v>
      </c>
      <c r="E2778" s="16" t="n">
        <v>2</v>
      </c>
      <c r="F2778" s="16">
        <f>D2778*E2778</f>
        <v/>
      </c>
    </row>
    <row r="2779">
      <c r="A2779" s="17" t="inlineStr">
        <is>
          <t>Resource Total (Material + Labour + Machinery, as printed)</t>
        </is>
      </c>
      <c r="B2779" s="18" t="n"/>
      <c r="C2779" s="18" t="n"/>
      <c r="D2779" s="18" t="n"/>
      <c r="E2779" s="18" t="n"/>
      <c r="F2779" s="19">
        <f>SUM(F2777:F2778)</f>
        <v/>
      </c>
    </row>
    <row r="2780">
      <c r="A2780" s="20" t="inlineStr">
        <is>
          <t>SAY (Rs.) — final DAR rate</t>
        </is>
      </c>
      <c r="B2780" s="21" t="n"/>
      <c r="C2780" s="21" t="n"/>
      <c r="D2780" s="21" t="n"/>
      <c r="E2780" s="21" t="n"/>
      <c r="F2780" s="22" t="n">
        <v>39.05</v>
      </c>
    </row>
    <row r="2782" ht="18" customHeight="1">
      <c r="A2782" s="9" t="inlineStr">
        <is>
          <t>9.114.2</t>
        </is>
      </c>
      <c r="B2782" s="10" t="inlineStr">
        <is>
          <t>Double strip (horizontal type)</t>
        </is>
      </c>
      <c r="C2782" s="11" t="n"/>
      <c r="D2782" s="11" t="n"/>
      <c r="E2782" s="11" t="n"/>
      <c r="F2782" s="11" t="n"/>
    </row>
    <row r="2783">
      <c r="A2783" s="12" t="inlineStr">
        <is>
          <t>Rate basis: per no  (source: cost for 1 no)</t>
        </is>
      </c>
    </row>
    <row r="2784">
      <c r="A2784" s="5" t="inlineStr">
        <is>
          <t>Code</t>
        </is>
      </c>
      <c r="B2784" s="5" t="inlineStr">
        <is>
          <t>Description</t>
        </is>
      </c>
      <c r="C2784" s="5" t="inlineStr">
        <is>
          <t>Unit</t>
        </is>
      </c>
      <c r="D2784" s="5" t="inlineStr">
        <is>
          <t>Quantity</t>
        </is>
      </c>
      <c r="E2784" s="5" t="inlineStr">
        <is>
          <t>Rate (Rs.)</t>
        </is>
      </c>
      <c r="F2784" s="5" t="inlineStr">
        <is>
          <t>Amount (Rs.)</t>
        </is>
      </c>
    </row>
    <row r="2785">
      <c r="A2785" s="13" t="inlineStr">
        <is>
          <t>8715</t>
        </is>
      </c>
      <c r="B2785" s="14" t="inlineStr">
        <is>
          <t>Magenatic catcher double strip horizontal type.</t>
        </is>
      </c>
      <c r="C2785" s="13" t="inlineStr">
        <is>
          <t>each</t>
        </is>
      </c>
      <c r="D2785" s="15" t="n">
        <v>1</v>
      </c>
      <c r="E2785" s="16" t="n">
        <v>18</v>
      </c>
      <c r="F2785" s="16">
        <f>D2785*E2785</f>
        <v/>
      </c>
    </row>
    <row r="2786">
      <c r="A2786" s="13" t="inlineStr">
        <is>
          <t>9999</t>
        </is>
      </c>
      <c r="B2786" s="14" t="inlineStr">
        <is>
          <t>Sundries including screws and fixing charges.</t>
        </is>
      </c>
      <c r="C2786" s="13" t="inlineStr">
        <is>
          <t>L.S.</t>
        </is>
      </c>
      <c r="D2786" s="15" t="n">
        <v>2.6</v>
      </c>
      <c r="E2786" s="16" t="n">
        <v>2</v>
      </c>
      <c r="F2786" s="16">
        <f>D2786*E2786</f>
        <v/>
      </c>
    </row>
    <row r="2787">
      <c r="A2787" s="17" t="inlineStr">
        <is>
          <t>Resource Total (Material + Labour + Machinery, as printed)</t>
        </is>
      </c>
      <c r="B2787" s="18" t="n"/>
      <c r="C2787" s="18" t="n"/>
      <c r="D2787" s="18" t="n"/>
      <c r="E2787" s="18" t="n"/>
      <c r="F2787" s="19">
        <f>SUM(F2785:F2786)</f>
        <v/>
      </c>
    </row>
    <row r="2788">
      <c r="A2788" s="20" t="inlineStr">
        <is>
          <t>SAY (Rs.) — final DAR rate</t>
        </is>
      </c>
      <c r="B2788" s="21" t="n"/>
      <c r="C2788" s="21" t="n"/>
      <c r="D2788" s="21" t="n"/>
      <c r="E2788" s="21" t="n"/>
      <c r="F2788" s="22" t="n">
        <v>31.05</v>
      </c>
    </row>
    <row r="2790" ht="28" customHeight="1">
      <c r="A2790" s="9" t="inlineStr">
        <is>
          <t>9.115</t>
        </is>
      </c>
      <c r="B2790" s="10" t="inlineStr">
        <is>
          <t>Providing and fixing powder coated telescopic drawer channels 300 mm long with necessary screws etc. complete as per directions of Engineer-</t>
        </is>
      </c>
      <c r="C2790" s="11" t="n"/>
      <c r="D2790" s="11" t="n"/>
      <c r="E2790" s="11" t="n"/>
      <c r="F2790" s="11" t="n"/>
    </row>
    <row r="2791">
      <c r="A2791" s="12" t="inlineStr">
        <is>
          <t>Rate basis: per sets  (source: cost for 10 sets)</t>
        </is>
      </c>
    </row>
    <row r="2792">
      <c r="A2792" s="5" t="inlineStr">
        <is>
          <t>Code</t>
        </is>
      </c>
      <c r="B2792" s="5" t="inlineStr">
        <is>
          <t>Description</t>
        </is>
      </c>
      <c r="C2792" s="5" t="inlineStr">
        <is>
          <t>Unit</t>
        </is>
      </c>
      <c r="D2792" s="5" t="inlineStr">
        <is>
          <t>Quantity</t>
        </is>
      </c>
      <c r="E2792" s="5" t="inlineStr">
        <is>
          <t>Rate (Rs.)</t>
        </is>
      </c>
      <c r="F2792" s="5" t="inlineStr">
        <is>
          <t>Amount (Rs.)</t>
        </is>
      </c>
    </row>
    <row r="2793">
      <c r="A2793" s="13" t="inlineStr">
        <is>
          <t>8703</t>
        </is>
      </c>
      <c r="B2793" s="14" t="inlineStr">
        <is>
          <t>Telescopic drawer channels 300mm long .</t>
        </is>
      </c>
      <c r="C2793" s="13" t="inlineStr">
        <is>
          <t>set</t>
        </is>
      </c>
      <c r="D2793" s="15" t="n">
        <v>10</v>
      </c>
      <c r="E2793" s="16" t="n">
        <v>230</v>
      </c>
      <c r="F2793" s="16">
        <f>D2793*E2793</f>
        <v/>
      </c>
    </row>
    <row r="2794">
      <c r="A2794" s="13" t="inlineStr">
        <is>
          <t>9977</t>
        </is>
      </c>
      <c r="B2794" s="14" t="inlineStr">
        <is>
          <t>CARRIAGE</t>
        </is>
      </c>
      <c r="C2794" s="13" t="inlineStr">
        <is>
          <t>L.S.</t>
        </is>
      </c>
      <c r="D2794" s="15" t="n">
        <v>19.5</v>
      </c>
      <c r="E2794" s="16" t="n">
        <v>2</v>
      </c>
      <c r="F2794" s="16">
        <f>D2794*E2794</f>
        <v/>
      </c>
    </row>
    <row r="2795">
      <c r="A2795" s="13" t="inlineStr">
        <is>
          <t>9999</t>
        </is>
      </c>
      <c r="B2795" s="14" t="inlineStr">
        <is>
          <t>Sundries including screws and fixing charges.</t>
        </is>
      </c>
      <c r="C2795" s="13" t="inlineStr">
        <is>
          <t>L.S.</t>
        </is>
      </c>
      <c r="D2795" s="15" t="n">
        <v>100.1</v>
      </c>
      <c r="E2795" s="16" t="n">
        <v>2</v>
      </c>
      <c r="F2795" s="16">
        <f>D2795*E2795</f>
        <v/>
      </c>
    </row>
    <row r="2796">
      <c r="A2796" s="17" t="inlineStr">
        <is>
          <t>Resource Total (Material + Labour + Machinery, as printed)</t>
        </is>
      </c>
      <c r="B2796" s="18" t="n"/>
      <c r="C2796" s="18" t="n"/>
      <c r="D2796" s="18" t="n"/>
      <c r="E2796" s="18" t="n"/>
      <c r="F2796" s="19">
        <f>SUM(F2793:F2795)</f>
        <v/>
      </c>
    </row>
    <row r="2797">
      <c r="A2797" s="20" t="inlineStr">
        <is>
          <t>SAY (Rs.) — final DAR rate</t>
        </is>
      </c>
      <c r="B2797" s="21" t="n"/>
      <c r="C2797" s="21" t="n"/>
      <c r="D2797" s="21" t="n"/>
      <c r="E2797" s="21" t="n"/>
      <c r="F2797" s="22" t="n">
        <v>339.75</v>
      </c>
    </row>
    <row r="2799" ht="28" customHeight="1">
      <c r="A2799" s="9" t="inlineStr">
        <is>
          <t>9.116</t>
        </is>
      </c>
      <c r="B2799" s="10" t="inlineStr">
        <is>
          <t>Providing and fixing sliding arrangement in racks/ cupboards/cabinets shutter by with stainless steel rollers to run inside C or E aluminium</t>
        </is>
      </c>
      <c r="C2799" s="11" t="n"/>
      <c r="D2799" s="11" t="n"/>
      <c r="E2799" s="11" t="n"/>
      <c r="F2799" s="11" t="n"/>
    </row>
    <row r="2800">
      <c r="A2800" s="12" t="inlineStr">
        <is>
          <t>Rate basis: per No  (source: cost for 1 No)</t>
        </is>
      </c>
    </row>
    <row r="2801">
      <c r="A2801" s="5" t="inlineStr">
        <is>
          <t>Code</t>
        </is>
      </c>
      <c r="B2801" s="5" t="inlineStr">
        <is>
          <t>Description</t>
        </is>
      </c>
      <c r="C2801" s="5" t="inlineStr">
        <is>
          <t>Unit</t>
        </is>
      </c>
      <c r="D2801" s="5" t="inlineStr">
        <is>
          <t>Quantity</t>
        </is>
      </c>
      <c r="E2801" s="5" t="inlineStr">
        <is>
          <t>Rate (Rs.)</t>
        </is>
      </c>
      <c r="F2801" s="5" t="inlineStr">
        <is>
          <t>Amount (Rs.)</t>
        </is>
      </c>
    </row>
    <row r="2802">
      <c r="A2802" s="13" t="inlineStr">
        <is>
          <t>8704</t>
        </is>
      </c>
      <c r="B2802" s="14" t="inlineStr">
        <is>
          <t>Stainless steel roller for sliding arrangment in racks/ cupboards/ cabinets shutter .</t>
        </is>
      </c>
      <c r="C2802" s="13" t="inlineStr">
        <is>
          <t>each</t>
        </is>
      </c>
      <c r="D2802" s="15" t="n">
        <v>1</v>
      </c>
      <c r="E2802" s="16" t="n">
        <v>9</v>
      </c>
      <c r="F2802" s="16">
        <f>D2802*E2802</f>
        <v/>
      </c>
    </row>
    <row r="2803">
      <c r="A2803" s="13" t="inlineStr">
        <is>
          <t>9999</t>
        </is>
      </c>
      <c r="B2803" s="14" t="inlineStr">
        <is>
          <t>Labour for fixing</t>
        </is>
      </c>
      <c r="C2803" s="13" t="inlineStr">
        <is>
          <t>L.S.</t>
        </is>
      </c>
      <c r="D2803" s="15" t="n">
        <v>1.04</v>
      </c>
      <c r="E2803" s="16" t="n">
        <v>2</v>
      </c>
      <c r="F2803" s="16">
        <f>D2803*E2803</f>
        <v/>
      </c>
    </row>
    <row r="2804">
      <c r="A2804" s="17" t="inlineStr">
        <is>
          <t>Resource Total (Material + Labour + Machinery, as printed)</t>
        </is>
      </c>
      <c r="B2804" s="18" t="n"/>
      <c r="C2804" s="18" t="n"/>
      <c r="D2804" s="18" t="n"/>
      <c r="E2804" s="18" t="n"/>
      <c r="F2804" s="19">
        <f>SUM(F2802:F2803)</f>
        <v/>
      </c>
    </row>
    <row r="2805">
      <c r="A2805" s="20" t="inlineStr">
        <is>
          <t>SAY (Rs.) — final DAR rate</t>
        </is>
      </c>
      <c r="B2805" s="21" t="n"/>
      <c r="C2805" s="21" t="n"/>
      <c r="D2805" s="21" t="n"/>
      <c r="E2805" s="21" t="n"/>
      <c r="F2805" s="22" t="n">
        <v>14.8</v>
      </c>
    </row>
    <row r="2807" ht="18" customHeight="1">
      <c r="A2807" s="9" t="inlineStr">
        <is>
          <t>9.117.1</t>
        </is>
      </c>
      <c r="B2807" s="10" t="inlineStr">
        <is>
          <t>Extruded section profile size 48x40 mm</t>
        </is>
      </c>
      <c r="C2807" s="11" t="n"/>
      <c r="D2807" s="11" t="n"/>
      <c r="E2807" s="11" t="n"/>
      <c r="F2807" s="11" t="n"/>
    </row>
    <row r="2808">
      <c r="A2808" s="12" t="inlineStr">
        <is>
          <t>Rate basis: per metre  (source: cost for 5 metre)</t>
        </is>
      </c>
    </row>
    <row r="2809">
      <c r="A2809" s="5" t="inlineStr">
        <is>
          <t>Code</t>
        </is>
      </c>
      <c r="B2809" s="5" t="inlineStr">
        <is>
          <t>Description</t>
        </is>
      </c>
      <c r="C2809" s="5" t="inlineStr">
        <is>
          <t>Unit</t>
        </is>
      </c>
      <c r="D2809" s="5" t="inlineStr">
        <is>
          <t>Quantity</t>
        </is>
      </c>
      <c r="E2809" s="5" t="inlineStr">
        <is>
          <t>Rate (Rs.)</t>
        </is>
      </c>
      <c r="F2809" s="5" t="inlineStr">
        <is>
          <t>Amount (Rs.)</t>
        </is>
      </c>
    </row>
    <row r="2810">
      <c r="A2810" s="13" t="inlineStr">
        <is>
          <t>8010</t>
        </is>
      </c>
      <c r="B2810" s="14" t="inlineStr">
        <is>
          <t>48mmX40mmX1.5mm thick Factory made door frame of PVC extruded sections in white, grey or wooden finish</t>
        </is>
      </c>
      <c r="C2810" s="13" t="inlineStr">
        <is>
          <t>metre</t>
        </is>
      </c>
      <c r="D2810" s="15" t="n">
        <v>5</v>
      </c>
      <c r="E2810" s="16" t="n">
        <v>125.79</v>
      </c>
      <c r="F2810" s="16">
        <f>D2810*E2810</f>
        <v/>
      </c>
    </row>
    <row r="2811">
      <c r="A2811" s="13" t="inlineStr">
        <is>
          <t>0156</t>
        </is>
      </c>
      <c r="B2811" s="14" t="inlineStr">
        <is>
          <t>Carpenter (average)</t>
        </is>
      </c>
      <c r="C2811" s="13" t="inlineStr">
        <is>
          <t>day</t>
        </is>
      </c>
      <c r="D2811" s="15" t="n">
        <v>0.15</v>
      </c>
      <c r="E2811" s="16" t="n">
        <v>709</v>
      </c>
      <c r="F2811" s="16">
        <f>D2811*E2811</f>
        <v/>
      </c>
    </row>
    <row r="2812">
      <c r="A2812" s="13" t="inlineStr">
        <is>
          <t>0114</t>
        </is>
      </c>
      <c r="B2812" s="14" t="inlineStr">
        <is>
          <t>Beldar</t>
        </is>
      </c>
      <c r="C2812" s="13" t="inlineStr">
        <is>
          <t>day</t>
        </is>
      </c>
      <c r="D2812" s="15" t="n">
        <v>0.15</v>
      </c>
      <c r="E2812" s="16" t="n">
        <v>558</v>
      </c>
      <c r="F2812" s="16">
        <f>D2812*E2812</f>
        <v/>
      </c>
    </row>
    <row r="2813">
      <c r="A2813" s="13" t="inlineStr">
        <is>
          <t>9999</t>
        </is>
      </c>
      <c r="B2813" s="14" t="inlineStr">
        <is>
          <t>Sundries</t>
        </is>
      </c>
      <c r="C2813" s="13" t="inlineStr">
        <is>
          <t>L.S.</t>
        </is>
      </c>
      <c r="D2813" s="15" t="n">
        <v>4.68</v>
      </c>
      <c r="E2813" s="16" t="n">
        <v>2</v>
      </c>
      <c r="F2813" s="16">
        <f>D2813*E2813</f>
        <v/>
      </c>
    </row>
    <row r="2814">
      <c r="A2814" s="17" t="inlineStr">
        <is>
          <t>Resource Total (Material + Labour + Machinery, as printed)</t>
        </is>
      </c>
      <c r="B2814" s="18" t="n"/>
      <c r="C2814" s="18" t="n"/>
      <c r="D2814" s="18" t="n"/>
      <c r="E2814" s="18" t="n"/>
      <c r="F2814" s="19">
        <f>SUM(F2810:F2813)</f>
        <v/>
      </c>
    </row>
    <row r="2815">
      <c r="A2815" s="20" t="inlineStr">
        <is>
          <t>SAY (Rs.) — final DAR rate</t>
        </is>
      </c>
      <c r="B2815" s="21" t="n"/>
      <c r="C2815" s="21" t="n"/>
      <c r="D2815" s="21" t="n"/>
      <c r="E2815" s="21" t="n"/>
      <c r="F2815" s="22" t="n">
        <v>221.65</v>
      </c>
    </row>
    <row r="2817" ht="18" customHeight="1">
      <c r="A2817" s="9" t="inlineStr">
        <is>
          <t>9.117.2</t>
        </is>
      </c>
      <c r="B2817" s="10" t="inlineStr">
        <is>
          <t>Extruded section profile size 42x50 mm</t>
        </is>
      </c>
      <c r="C2817" s="11" t="n"/>
      <c r="D2817" s="11" t="n"/>
      <c r="E2817" s="11" t="n"/>
      <c r="F2817" s="11" t="n"/>
    </row>
    <row r="2818">
      <c r="A2818" s="12" t="inlineStr">
        <is>
          <t>Rate basis: per metre  (source: cost for 5 metre)</t>
        </is>
      </c>
    </row>
    <row r="2819">
      <c r="A2819" s="5" t="inlineStr">
        <is>
          <t>Code</t>
        </is>
      </c>
      <c r="B2819" s="5" t="inlineStr">
        <is>
          <t>Description</t>
        </is>
      </c>
      <c r="C2819" s="5" t="inlineStr">
        <is>
          <t>Unit</t>
        </is>
      </c>
      <c r="D2819" s="5" t="inlineStr">
        <is>
          <t>Quantity</t>
        </is>
      </c>
      <c r="E2819" s="5" t="inlineStr">
        <is>
          <t>Rate (Rs.)</t>
        </is>
      </c>
      <c r="F2819" s="5" t="inlineStr">
        <is>
          <t>Amount (Rs.)</t>
        </is>
      </c>
    </row>
    <row r="2820">
      <c r="A2820" s="13" t="inlineStr">
        <is>
          <t>8705</t>
        </is>
      </c>
      <c r="B2820" s="14" t="inlineStr">
        <is>
          <t>50mmX42mmX2mm thick Factory made door frame of PVC extruded sections in white, grey or wooden finish</t>
        </is>
      </c>
      <c r="C2820" s="13" t="inlineStr">
        <is>
          <t>metre</t>
        </is>
      </c>
      <c r="D2820" s="15" t="n">
        <v>5</v>
      </c>
      <c r="E2820" s="16" t="n">
        <v>160</v>
      </c>
      <c r="F2820" s="16">
        <f>D2820*E2820</f>
        <v/>
      </c>
    </row>
    <row r="2821">
      <c r="A2821" s="13" t="inlineStr">
        <is>
          <t>0156</t>
        </is>
      </c>
      <c r="B2821" s="14" t="inlineStr">
        <is>
          <t>Carpenter (average)</t>
        </is>
      </c>
      <c r="C2821" s="13" t="inlineStr">
        <is>
          <t>day</t>
        </is>
      </c>
      <c r="D2821" s="15" t="n">
        <v>0.15</v>
      </c>
      <c r="E2821" s="16" t="n">
        <v>709</v>
      </c>
      <c r="F2821" s="16">
        <f>D2821*E2821</f>
        <v/>
      </c>
    </row>
    <row r="2822">
      <c r="A2822" s="13" t="inlineStr">
        <is>
          <t>0114</t>
        </is>
      </c>
      <c r="B2822" s="14" t="inlineStr">
        <is>
          <t>Beldar</t>
        </is>
      </c>
      <c r="C2822" s="13" t="inlineStr">
        <is>
          <t>day</t>
        </is>
      </c>
      <c r="D2822" s="15" t="n">
        <v>0.15</v>
      </c>
      <c r="E2822" s="16" t="n">
        <v>558</v>
      </c>
      <c r="F2822" s="16">
        <f>D2822*E2822</f>
        <v/>
      </c>
    </row>
    <row r="2823">
      <c r="A2823" s="13" t="inlineStr">
        <is>
          <t>9999</t>
        </is>
      </c>
      <c r="B2823" s="14" t="inlineStr">
        <is>
          <t>Sundries</t>
        </is>
      </c>
      <c r="C2823" s="13" t="inlineStr">
        <is>
          <t>L.S.</t>
        </is>
      </c>
      <c r="D2823" s="15" t="n">
        <v>4.68</v>
      </c>
      <c r="E2823" s="16" t="n">
        <v>2</v>
      </c>
      <c r="F2823" s="16">
        <f>D2823*E2823</f>
        <v/>
      </c>
    </row>
    <row r="2824">
      <c r="A2824" s="17" t="inlineStr">
        <is>
          <t>Resource Total (Material + Labour + Machinery, as printed)</t>
        </is>
      </c>
      <c r="B2824" s="18" t="n"/>
      <c r="C2824" s="18" t="n"/>
      <c r="D2824" s="18" t="n"/>
      <c r="E2824" s="18" t="n"/>
      <c r="F2824" s="19">
        <f>SUM(F2820:F2823)</f>
        <v/>
      </c>
    </row>
    <row r="2825">
      <c r="A2825" s="20" t="inlineStr">
        <is>
          <t>SAY (Rs.) — final DAR rate</t>
        </is>
      </c>
      <c r="B2825" s="21" t="n"/>
      <c r="C2825" s="21" t="n"/>
      <c r="D2825" s="21" t="n"/>
      <c r="E2825" s="21" t="n"/>
      <c r="F2825" s="22" t="n">
        <v>267.45</v>
      </c>
    </row>
    <row r="2827" ht="28" customHeight="1">
      <c r="A2827" s="9" t="inlineStr">
        <is>
          <t>9.118.1</t>
        </is>
      </c>
      <c r="B2827" s="10" t="inlineStr">
        <is>
          <t>24 mm thick factory made PVC door shutters made of styles and rails of a uPVC hollow section of size 59x24 mm and wall thickness 2 mm (± 0.2</t>
        </is>
      </c>
      <c r="C2827" s="11" t="n"/>
      <c r="D2827" s="11" t="n"/>
      <c r="E2827" s="11" t="n"/>
      <c r="F2827" s="11" t="n"/>
    </row>
    <row r="2828">
      <c r="A2828" s="12" t="inlineStr">
        <is>
          <t>Rate basis: per sqm  (source: cost for 2.38 sqm)</t>
        </is>
      </c>
    </row>
    <row r="2829">
      <c r="A2829" s="5" t="inlineStr">
        <is>
          <t>Code</t>
        </is>
      </c>
      <c r="B2829" s="5" t="inlineStr">
        <is>
          <t>Description</t>
        </is>
      </c>
      <c r="C2829" s="5" t="inlineStr">
        <is>
          <t>Unit</t>
        </is>
      </c>
      <c r="D2829" s="5" t="inlineStr">
        <is>
          <t>Quantity</t>
        </is>
      </c>
      <c r="E2829" s="5" t="inlineStr">
        <is>
          <t>Rate (Rs.)</t>
        </is>
      </c>
      <c r="F2829" s="5" t="inlineStr">
        <is>
          <t>Amount (Rs.)</t>
        </is>
      </c>
    </row>
    <row r="2830">
      <c r="A2830" s="13" t="inlineStr">
        <is>
          <t>8001</t>
        </is>
      </c>
      <c r="B2830" s="14" t="inlineStr">
        <is>
          <t>24 mm thick Factory made shutters with frame, rails and panels of PVC extruded sections in white, grey or wooden finish</t>
        </is>
      </c>
      <c r="C2830" s="13" t="inlineStr">
        <is>
          <t>sqm</t>
        </is>
      </c>
      <c r="D2830" s="15" t="n">
        <v>2.38</v>
      </c>
      <c r="E2830" s="16" t="n">
        <v>1085.93</v>
      </c>
      <c r="F2830" s="16">
        <f>D2830*E2830</f>
        <v/>
      </c>
    </row>
    <row r="2831">
      <c r="A2831" s="13" t="inlineStr">
        <is>
          <t>0156</t>
        </is>
      </c>
      <c r="B2831" s="14" t="inlineStr">
        <is>
          <t>Carpenter (average)</t>
        </is>
      </c>
      <c r="C2831" s="13" t="inlineStr">
        <is>
          <t>day</t>
        </is>
      </c>
      <c r="D2831" s="15" t="n">
        <v>0.4</v>
      </c>
      <c r="E2831" s="16" t="n">
        <v>709</v>
      </c>
      <c r="F2831" s="16">
        <f>D2831*E2831</f>
        <v/>
      </c>
    </row>
    <row r="2832">
      <c r="A2832" s="13" t="inlineStr">
        <is>
          <t>0114</t>
        </is>
      </c>
      <c r="B2832" s="14" t="inlineStr">
        <is>
          <t>Beldar</t>
        </is>
      </c>
      <c r="C2832" s="13" t="inlineStr">
        <is>
          <t>day</t>
        </is>
      </c>
      <c r="D2832" s="15" t="n">
        <v>0.4</v>
      </c>
      <c r="E2832" s="16" t="n">
        <v>558</v>
      </c>
      <c r="F2832" s="16">
        <f>D2832*E2832</f>
        <v/>
      </c>
    </row>
    <row r="2833">
      <c r="A2833" s="13" t="inlineStr">
        <is>
          <t>9999</t>
        </is>
      </c>
      <c r="B2833" s="14" t="inlineStr">
        <is>
          <t>Sundries</t>
        </is>
      </c>
      <c r="C2833" s="13" t="inlineStr">
        <is>
          <t>L.S.</t>
        </is>
      </c>
      <c r="D2833" s="15" t="n">
        <v>20.36</v>
      </c>
      <c r="E2833" s="16" t="n">
        <v>2</v>
      </c>
      <c r="F2833" s="16">
        <f>D2833*E2833</f>
        <v/>
      </c>
    </row>
    <row r="2834">
      <c r="A2834" s="17" t="inlineStr">
        <is>
          <t>Resource Total (Material + Labour + Machinery, as printed)</t>
        </is>
      </c>
      <c r="B2834" s="18" t="n"/>
      <c r="C2834" s="18" t="n"/>
      <c r="D2834" s="18" t="n"/>
      <c r="E2834" s="18" t="n"/>
      <c r="F2834" s="19">
        <f>SUM(F2830:F2833)</f>
        <v/>
      </c>
    </row>
    <row r="2835">
      <c r="A2835" s="20" t="inlineStr">
        <is>
          <t>SAY (Rs.) — final DAR rate</t>
        </is>
      </c>
      <c r="B2835" s="21" t="n"/>
      <c r="C2835" s="21" t="n"/>
      <c r="D2835" s="21" t="n"/>
      <c r="E2835" s="21" t="n"/>
      <c r="F2835" s="22" t="n">
        <v>1760.7</v>
      </c>
    </row>
    <row r="2837" ht="28" customHeight="1">
      <c r="A2837" s="9" t="inlineStr">
        <is>
          <t>9.118.2</t>
        </is>
      </c>
      <c r="B2837" s="10" t="inlineStr">
        <is>
          <t>30 mm thick factory made Polyvinyl Chloride (PVC) door shutter made of styles and rails of a uPVC hollow section of size 60x30 mm and wall t</t>
        </is>
      </c>
      <c r="C2837" s="11" t="n"/>
      <c r="D2837" s="11" t="n"/>
      <c r="E2837" s="11" t="n"/>
      <c r="F2837" s="11" t="n"/>
    </row>
    <row r="2838">
      <c r="A2838" s="12" t="inlineStr">
        <is>
          <t>Rate basis: per sqm  (source: cost for 2.38 sqm)</t>
        </is>
      </c>
    </row>
    <row r="2839">
      <c r="A2839" s="5" t="inlineStr">
        <is>
          <t>Code</t>
        </is>
      </c>
      <c r="B2839" s="5" t="inlineStr">
        <is>
          <t>Description</t>
        </is>
      </c>
      <c r="C2839" s="5" t="inlineStr">
        <is>
          <t>Unit</t>
        </is>
      </c>
      <c r="D2839" s="5" t="inlineStr">
        <is>
          <t>Quantity</t>
        </is>
      </c>
      <c r="E2839" s="5" t="inlineStr">
        <is>
          <t>Rate (Rs.)</t>
        </is>
      </c>
      <c r="F2839" s="5" t="inlineStr">
        <is>
          <t>Amount (Rs.)</t>
        </is>
      </c>
    </row>
    <row r="2840">
      <c r="A2840" s="13" t="inlineStr">
        <is>
          <t>8002</t>
        </is>
      </c>
      <c r="B2840" s="14" t="inlineStr">
        <is>
          <t>30 mm thick Factory made shutters with frame, rails and panels of PVC extruded sections in white, grey or wooden finish</t>
        </is>
      </c>
      <c r="C2840" s="13" t="inlineStr">
        <is>
          <t>sqm</t>
        </is>
      </c>
      <c r="D2840" s="15" t="n">
        <v>2.38</v>
      </c>
      <c r="E2840" s="16" t="n">
        <v>1248.82</v>
      </c>
      <c r="F2840" s="16">
        <f>D2840*E2840</f>
        <v/>
      </c>
    </row>
    <row r="2841">
      <c r="A2841" s="13" t="inlineStr">
        <is>
          <t>0156</t>
        </is>
      </c>
      <c r="B2841" s="14" t="inlineStr">
        <is>
          <t>Carpenter (average)</t>
        </is>
      </c>
      <c r="C2841" s="13" t="inlineStr">
        <is>
          <t>day</t>
        </is>
      </c>
      <c r="D2841" s="15" t="n">
        <v>0.4</v>
      </c>
      <c r="E2841" s="16" t="n">
        <v>709</v>
      </c>
      <c r="F2841" s="16">
        <f>D2841*E2841</f>
        <v/>
      </c>
    </row>
    <row r="2842">
      <c r="A2842" s="13" t="inlineStr">
        <is>
          <t>0114</t>
        </is>
      </c>
      <c r="B2842" s="14" t="inlineStr">
        <is>
          <t>Beldar</t>
        </is>
      </c>
      <c r="C2842" s="13" t="inlineStr">
        <is>
          <t>day</t>
        </is>
      </c>
      <c r="D2842" s="15" t="n">
        <v>0.4</v>
      </c>
      <c r="E2842" s="16" t="n">
        <v>558</v>
      </c>
      <c r="F2842" s="16">
        <f>D2842*E2842</f>
        <v/>
      </c>
    </row>
    <row r="2843">
      <c r="A2843" s="13" t="inlineStr">
        <is>
          <t>9999</t>
        </is>
      </c>
      <c r="B2843" s="14" t="inlineStr">
        <is>
          <t>Sundries</t>
        </is>
      </c>
      <c r="C2843" s="13" t="inlineStr">
        <is>
          <t>L.S.</t>
        </is>
      </c>
      <c r="D2843" s="15" t="n">
        <v>20.36</v>
      </c>
      <c r="E2843" s="16" t="n">
        <v>2</v>
      </c>
      <c r="F2843" s="16">
        <f>D2843*E2843</f>
        <v/>
      </c>
    </row>
    <row r="2844">
      <c r="A2844" s="17" t="inlineStr">
        <is>
          <t>Resource Total (Material + Labour + Machinery, as printed)</t>
        </is>
      </c>
      <c r="B2844" s="18" t="n"/>
      <c r="C2844" s="18" t="n"/>
      <c r="D2844" s="18" t="n"/>
      <c r="E2844" s="18" t="n"/>
      <c r="F2844" s="19">
        <f>SUM(F2840:F2843)</f>
        <v/>
      </c>
    </row>
    <row r="2845">
      <c r="A2845" s="20" t="inlineStr">
        <is>
          <t>SAY (Rs.) — final DAR rate</t>
        </is>
      </c>
      <c r="B2845" s="21" t="n"/>
      <c r="C2845" s="21" t="n"/>
      <c r="D2845" s="21" t="n"/>
      <c r="E2845" s="21" t="n"/>
      <c r="F2845" s="22" t="n">
        <v>1978.65</v>
      </c>
    </row>
    <row r="2847" ht="28" customHeight="1">
      <c r="A2847" s="9" t="inlineStr">
        <is>
          <t>9.118.3</t>
        </is>
      </c>
      <c r="B2847" s="10" t="inlineStr">
        <is>
          <t xml:space="preserve">25 mm thick PVC flush door shutters made out of a one piece Multi chamber extruded PVC section of the size of 762 mm X 25 mm or less as per </t>
        </is>
      </c>
      <c r="C2847" s="11" t="n"/>
      <c r="D2847" s="11" t="n"/>
      <c r="E2847" s="11" t="n"/>
      <c r="F2847" s="11" t="n"/>
    </row>
    <row r="2848">
      <c r="A2848" s="12" t="inlineStr">
        <is>
          <t>Rate basis: per sqm  (source: cost for 2.38 sqm)</t>
        </is>
      </c>
    </row>
    <row r="2849">
      <c r="A2849" s="5" t="inlineStr">
        <is>
          <t>Code</t>
        </is>
      </c>
      <c r="B2849" s="5" t="inlineStr">
        <is>
          <t>Description</t>
        </is>
      </c>
      <c r="C2849" s="5" t="inlineStr">
        <is>
          <t>Unit</t>
        </is>
      </c>
      <c r="D2849" s="5" t="inlineStr">
        <is>
          <t>Quantity</t>
        </is>
      </c>
      <c r="E2849" s="5" t="inlineStr">
        <is>
          <t>Rate (Rs.)</t>
        </is>
      </c>
      <c r="F2849" s="5" t="inlineStr">
        <is>
          <t>Amount (Rs.)</t>
        </is>
      </c>
    </row>
    <row r="2850">
      <c r="A2850" s="13" t="inlineStr">
        <is>
          <t>8706</t>
        </is>
      </c>
      <c r="B2850" s="14" t="inlineStr">
        <is>
          <t>25mm thick factory made PVC flash foor shutter i/c carriage.</t>
        </is>
      </c>
      <c r="C2850" s="13" t="inlineStr">
        <is>
          <t>sqm</t>
        </is>
      </c>
      <c r="D2850" s="15" t="n">
        <v>2.38</v>
      </c>
      <c r="E2850" s="16" t="n">
        <v>1700</v>
      </c>
      <c r="F2850" s="16">
        <f>D2850*E2850</f>
        <v/>
      </c>
    </row>
    <row r="2851">
      <c r="A2851" s="13" t="inlineStr">
        <is>
          <t>0156</t>
        </is>
      </c>
      <c r="B2851" s="14" t="inlineStr">
        <is>
          <t>Carpenter (average)</t>
        </is>
      </c>
      <c r="C2851" s="13" t="inlineStr">
        <is>
          <t>day</t>
        </is>
      </c>
      <c r="D2851" s="15" t="n">
        <v>0.4</v>
      </c>
      <c r="E2851" s="16" t="n">
        <v>709</v>
      </c>
      <c r="F2851" s="16">
        <f>D2851*E2851</f>
        <v/>
      </c>
    </row>
    <row r="2852">
      <c r="A2852" s="13" t="inlineStr">
        <is>
          <t>0114</t>
        </is>
      </c>
      <c r="B2852" s="14" t="inlineStr">
        <is>
          <t>Beldar</t>
        </is>
      </c>
      <c r="C2852" s="13" t="inlineStr">
        <is>
          <t>day</t>
        </is>
      </c>
      <c r="D2852" s="15" t="n">
        <v>0.4</v>
      </c>
      <c r="E2852" s="16" t="n">
        <v>558</v>
      </c>
      <c r="F2852" s="16">
        <f>D2852*E2852</f>
        <v/>
      </c>
    </row>
    <row r="2853">
      <c r="A2853" s="13" t="inlineStr">
        <is>
          <t>9999</t>
        </is>
      </c>
      <c r="B2853" s="14" t="inlineStr">
        <is>
          <t>Sundries</t>
        </is>
      </c>
      <c r="C2853" s="13" t="inlineStr">
        <is>
          <t>L.S.</t>
        </is>
      </c>
      <c r="D2853" s="15" t="n">
        <v>20.36</v>
      </c>
      <c r="E2853" s="16" t="n">
        <v>2</v>
      </c>
      <c r="F2853" s="16">
        <f>D2853*E2853</f>
        <v/>
      </c>
    </row>
    <row r="2854">
      <c r="A2854" s="17" t="inlineStr">
        <is>
          <t>Resource Total (Material + Labour + Machinery, as printed)</t>
        </is>
      </c>
      <c r="B2854" s="18" t="n"/>
      <c r="C2854" s="18" t="n"/>
      <c r="D2854" s="18" t="n"/>
      <c r="E2854" s="18" t="n"/>
      <c r="F2854" s="19">
        <f>SUM(F2850:F2853)</f>
        <v/>
      </c>
    </row>
    <row r="2855">
      <c r="A2855" s="20" t="inlineStr">
        <is>
          <t>SAY (Rs.) — final DAR rate</t>
        </is>
      </c>
      <c r="B2855" s="21" t="n"/>
      <c r="C2855" s="21" t="n"/>
      <c r="D2855" s="21" t="n"/>
      <c r="E2855" s="21" t="n"/>
      <c r="F2855" s="22" t="n">
        <v>2582.3</v>
      </c>
    </row>
    <row r="2857" ht="28" customHeight="1">
      <c r="A2857" s="9" t="inlineStr">
        <is>
          <t>9.119</t>
        </is>
      </c>
      <c r="B2857" s="10" t="inlineStr">
        <is>
          <t>Providing and fixing factory made P.V.C. door frame of size 50x47 mm with awall thickness of 5 mm, made out of extruded 5mm rigid PVC foam s</t>
        </is>
      </c>
      <c r="C2857" s="11" t="n"/>
      <c r="D2857" s="11" t="n"/>
      <c r="E2857" s="11" t="n"/>
      <c r="F2857" s="11" t="n"/>
    </row>
    <row r="2858">
      <c r="A2858" s="12" t="inlineStr">
        <is>
          <t>Rate basis: per nos  (source: cost for 1 nos)</t>
        </is>
      </c>
    </row>
    <row r="2859">
      <c r="A2859" s="5" t="inlineStr">
        <is>
          <t>Code</t>
        </is>
      </c>
      <c r="B2859" s="5" t="inlineStr">
        <is>
          <t>Description</t>
        </is>
      </c>
      <c r="C2859" s="5" t="inlineStr">
        <is>
          <t>Unit</t>
        </is>
      </c>
      <c r="D2859" s="5" t="inlineStr">
        <is>
          <t>Quantity</t>
        </is>
      </c>
      <c r="E2859" s="5" t="inlineStr">
        <is>
          <t>Rate (Rs.)</t>
        </is>
      </c>
      <c r="F2859" s="5" t="inlineStr">
        <is>
          <t>Amount (Rs.)</t>
        </is>
      </c>
    </row>
    <row r="2860">
      <c r="A2860" s="13" t="inlineStr">
        <is>
          <t>8011</t>
        </is>
      </c>
      <c r="B2860" s="14" t="inlineStr">
        <is>
          <t>Factory made door frame PVC extruded sheet i/c carriage</t>
        </is>
      </c>
      <c r="C2860" s="13" t="inlineStr">
        <is>
          <t>metre</t>
        </is>
      </c>
      <c r="D2860" s="15" t="n">
        <v>5</v>
      </c>
      <c r="E2860" s="16" t="n">
        <v>251.58</v>
      </c>
      <c r="F2860" s="16">
        <f>D2860*E2860</f>
        <v/>
      </c>
    </row>
    <row r="2861">
      <c r="A2861" s="13" t="inlineStr">
        <is>
          <t>0156</t>
        </is>
      </c>
      <c r="B2861" s="14" t="inlineStr">
        <is>
          <t>Carpenter (average)</t>
        </is>
      </c>
      <c r="C2861" s="13" t="inlineStr">
        <is>
          <t>day</t>
        </is>
      </c>
      <c r="D2861" s="15" t="n">
        <v>0.15</v>
      </c>
      <c r="E2861" s="16" t="n">
        <v>709</v>
      </c>
      <c r="F2861" s="16">
        <f>D2861*E2861</f>
        <v/>
      </c>
    </row>
    <row r="2862">
      <c r="A2862" s="13" t="inlineStr">
        <is>
          <t>0114</t>
        </is>
      </c>
      <c r="B2862" s="14" t="inlineStr">
        <is>
          <t>Beldar</t>
        </is>
      </c>
      <c r="C2862" s="13" t="inlineStr">
        <is>
          <t>day</t>
        </is>
      </c>
      <c r="D2862" s="15" t="n">
        <v>0.15</v>
      </c>
      <c r="E2862" s="16" t="n">
        <v>558</v>
      </c>
      <c r="F2862" s="16">
        <f>D2862*E2862</f>
        <v/>
      </c>
    </row>
    <row r="2863">
      <c r="A2863" s="13" t="inlineStr">
        <is>
          <t>9999</t>
        </is>
      </c>
      <c r="B2863" s="14" t="inlineStr">
        <is>
          <t>Sundries</t>
        </is>
      </c>
      <c r="C2863" s="13" t="inlineStr">
        <is>
          <t>L.S.</t>
        </is>
      </c>
      <c r="D2863" s="15" t="n">
        <v>7.8</v>
      </c>
      <c r="E2863" s="16" t="n">
        <v>2</v>
      </c>
      <c r="F2863" s="16">
        <f>D2863*E2863</f>
        <v/>
      </c>
    </row>
    <row r="2864">
      <c r="A2864" s="17" t="inlineStr">
        <is>
          <t>Resource Total (Material + Labour + Machinery, as printed)</t>
        </is>
      </c>
      <c r="B2864" s="18" t="n"/>
      <c r="C2864" s="18" t="n"/>
      <c r="D2864" s="18" t="n"/>
      <c r="E2864" s="18" t="n"/>
      <c r="F2864" s="19">
        <f>SUM(F2860:F2863)</f>
        <v/>
      </c>
    </row>
    <row r="2865">
      <c r="A2865" s="20" t="inlineStr">
        <is>
          <t>SAY (Rs.) — final DAR rate</t>
        </is>
      </c>
      <c r="B2865" s="21" t="n"/>
      <c r="C2865" s="21" t="n"/>
      <c r="D2865" s="21" t="n"/>
      <c r="E2865" s="21" t="n"/>
      <c r="F2865" s="22" t="n">
        <v>391.65</v>
      </c>
    </row>
    <row r="2867" ht="18" customHeight="1">
      <c r="A2867" s="9" t="inlineStr">
        <is>
          <t>9.120.1</t>
        </is>
      </c>
      <c r="B2867" s="10" t="inlineStr">
        <is>
          <t>30 mm thick plain PVC door shutters</t>
        </is>
      </c>
      <c r="C2867" s="11" t="n"/>
      <c r="D2867" s="11" t="n"/>
      <c r="E2867" s="11" t="n"/>
      <c r="F2867" s="11" t="n"/>
    </row>
    <row r="2868">
      <c r="A2868" s="12" t="inlineStr">
        <is>
          <t>Rate basis: per sqm  (source: cost for 2.38 sqm)</t>
        </is>
      </c>
    </row>
    <row r="2869">
      <c r="A2869" s="5" t="inlineStr">
        <is>
          <t>Code</t>
        </is>
      </c>
      <c r="B2869" s="5" t="inlineStr">
        <is>
          <t>Description</t>
        </is>
      </c>
      <c r="C2869" s="5" t="inlineStr">
        <is>
          <t>Unit</t>
        </is>
      </c>
      <c r="D2869" s="5" t="inlineStr">
        <is>
          <t>Quantity</t>
        </is>
      </c>
      <c r="E2869" s="5" t="inlineStr">
        <is>
          <t>Rate (Rs.)</t>
        </is>
      </c>
      <c r="F2869" s="5" t="inlineStr">
        <is>
          <t>Amount (Rs.)</t>
        </is>
      </c>
    </row>
    <row r="2870">
      <c r="A2870" s="13" t="inlineStr">
        <is>
          <t>8003</t>
        </is>
      </c>
      <c r="B2870" s="14" t="inlineStr">
        <is>
          <t>Factory made PVC rigid foam panelled shutter i/c carriage</t>
        </is>
      </c>
      <c r="C2870" s="13" t="inlineStr">
        <is>
          <t>sqm</t>
        </is>
      </c>
      <c r="D2870" s="15" t="n">
        <v>2.38</v>
      </c>
      <c r="E2870" s="16" t="n">
        <v>1547.45</v>
      </c>
      <c r="F2870" s="16">
        <f>D2870*E2870</f>
        <v/>
      </c>
    </row>
    <row r="2871">
      <c r="A2871" s="13" t="inlineStr">
        <is>
          <t>8100</t>
        </is>
      </c>
      <c r="B2871" s="14" t="inlineStr">
        <is>
          <t>Powder coated M.S. butt hinges 100mm X58mmX1.9mm</t>
        </is>
      </c>
      <c r="C2871" s="13" t="inlineStr">
        <is>
          <t>10 Nos</t>
        </is>
      </c>
      <c r="D2871" s="15" t="n">
        <v>0.4</v>
      </c>
      <c r="E2871" s="16" t="n">
        <v>123</v>
      </c>
      <c r="F2871" s="16">
        <f>D2871*E2871</f>
        <v/>
      </c>
    </row>
    <row r="2872">
      <c r="A2872" s="13" t="inlineStr">
        <is>
          <t>0637</t>
        </is>
      </c>
      <c r="B2872" s="14" t="inlineStr">
        <is>
          <t>Bright finished or black enamelled mild steel screws 40 mm</t>
        </is>
      </c>
      <c r="C2872" s="13" t="inlineStr">
        <is>
          <t>100 Nos</t>
        </is>
      </c>
      <c r="D2872" s="15" t="n">
        <v>0.48</v>
      </c>
      <c r="E2872" s="16" t="n">
        <v>60</v>
      </c>
      <c r="F2872" s="16">
        <f>D2872*E2872</f>
        <v/>
      </c>
    </row>
    <row r="2873">
      <c r="A2873" s="13" t="inlineStr">
        <is>
          <t>0640</t>
        </is>
      </c>
      <c r="B2873" s="14" t="inlineStr">
        <is>
          <t>Bright finished or black enamelled mild steel screws 20 mm</t>
        </is>
      </c>
      <c r="C2873" s="13" t="inlineStr">
        <is>
          <t>100 Nos</t>
        </is>
      </c>
      <c r="D2873" s="15" t="n">
        <v>0.08</v>
      </c>
      <c r="E2873" s="16" t="n">
        <v>30</v>
      </c>
      <c r="F2873" s="16">
        <f>D2873*E2873</f>
        <v/>
      </c>
    </row>
    <row r="2874">
      <c r="A2874" s="13" t="inlineStr">
        <is>
          <t>0156</t>
        </is>
      </c>
      <c r="B2874" s="14" t="inlineStr">
        <is>
          <t>Carpenter (average)</t>
        </is>
      </c>
      <c r="C2874" s="13" t="inlineStr">
        <is>
          <t>day</t>
        </is>
      </c>
      <c r="D2874" s="15" t="n">
        <v>0.4</v>
      </c>
      <c r="E2874" s="16" t="n">
        <v>709</v>
      </c>
      <c r="F2874" s="16">
        <f>D2874*E2874</f>
        <v/>
      </c>
    </row>
    <row r="2875">
      <c r="A2875" s="13" t="inlineStr">
        <is>
          <t>0114</t>
        </is>
      </c>
      <c r="B2875" s="14" t="inlineStr">
        <is>
          <t>Beldar</t>
        </is>
      </c>
      <c r="C2875" s="13" t="inlineStr">
        <is>
          <t>day</t>
        </is>
      </c>
      <c r="D2875" s="15" t="n">
        <v>0.4</v>
      </c>
      <c r="E2875" s="16" t="n">
        <v>558</v>
      </c>
      <c r="F2875" s="16">
        <f>D2875*E2875</f>
        <v/>
      </c>
    </row>
    <row r="2876">
      <c r="A2876" s="13" t="inlineStr">
        <is>
          <t>9999</t>
        </is>
      </c>
      <c r="B2876" s="14" t="inlineStr">
        <is>
          <t>Sundries</t>
        </is>
      </c>
      <c r="C2876" s="13" t="inlineStr">
        <is>
          <t>L.S.</t>
        </is>
      </c>
      <c r="D2876" s="15" t="n">
        <v>20.36</v>
      </c>
      <c r="E2876" s="16" t="n">
        <v>2</v>
      </c>
      <c r="F2876" s="16">
        <f>D2876*E2876</f>
        <v/>
      </c>
    </row>
    <row r="2877">
      <c r="A2877" s="17" t="inlineStr">
        <is>
          <t>Resource Total (Material + Labour + Machinery, as printed)</t>
        </is>
      </c>
      <c r="B2877" s="18" t="n"/>
      <c r="C2877" s="18" t="n"/>
      <c r="D2877" s="18" t="n"/>
      <c r="E2877" s="18" t="n"/>
      <c r="F2877" s="19">
        <f>SUM(F2870:F2876)</f>
        <v/>
      </c>
    </row>
    <row r="2878">
      <c r="A2878" s="20" t="inlineStr">
        <is>
          <t>SAY (Rs.) — final DAR rate</t>
        </is>
      </c>
      <c r="B2878" s="21" t="n"/>
      <c r="C2878" s="21" t="n"/>
      <c r="D2878" s="21" t="n"/>
      <c r="E2878" s="21" t="n"/>
      <c r="F2878" s="22" t="n">
        <v>2423.4</v>
      </c>
    </row>
    <row r="2880" ht="18" customHeight="1">
      <c r="A2880" s="9" t="inlineStr">
        <is>
          <t>9.120.2</t>
        </is>
      </c>
      <c r="B2880" s="10" t="inlineStr">
        <is>
          <t>30 mm thick pre laminated PVC door shutters</t>
        </is>
      </c>
      <c r="C2880" s="11" t="n"/>
      <c r="D2880" s="11" t="n"/>
      <c r="E2880" s="11" t="n"/>
      <c r="F2880" s="11" t="n"/>
    </row>
    <row r="2881">
      <c r="A2881" s="12" t="inlineStr">
        <is>
          <t>Rate basis: per sqm  (source: cost for 2.38 sqm)</t>
        </is>
      </c>
    </row>
    <row r="2882">
      <c r="A2882" s="5" t="inlineStr">
        <is>
          <t>Code</t>
        </is>
      </c>
      <c r="B2882" s="5" t="inlineStr">
        <is>
          <t>Description</t>
        </is>
      </c>
      <c r="C2882" s="5" t="inlineStr">
        <is>
          <t>Unit</t>
        </is>
      </c>
      <c r="D2882" s="5" t="inlineStr">
        <is>
          <t>Quantity</t>
        </is>
      </c>
      <c r="E2882" s="5" t="inlineStr">
        <is>
          <t>Rate (Rs.)</t>
        </is>
      </c>
      <c r="F2882" s="5" t="inlineStr">
        <is>
          <t>Amount (Rs.)</t>
        </is>
      </c>
    </row>
    <row r="2883">
      <c r="A2883" s="13" t="inlineStr">
        <is>
          <t>8004</t>
        </is>
      </c>
      <c r="B2883" s="14" t="inlineStr">
        <is>
          <t>Factory made PVC rigid foam panelled shutter as per IS : 4020 i/c carriage</t>
        </is>
      </c>
      <c r="C2883" s="13" t="inlineStr">
        <is>
          <t>sqm</t>
        </is>
      </c>
      <c r="D2883" s="15" t="n">
        <v>2.38</v>
      </c>
      <c r="E2883" s="16" t="n">
        <v>1547.45</v>
      </c>
      <c r="F2883" s="16">
        <f>D2883*E2883</f>
        <v/>
      </c>
    </row>
    <row r="2884">
      <c r="A2884" s="13" t="inlineStr">
        <is>
          <t>8100</t>
        </is>
      </c>
      <c r="B2884" s="14" t="inlineStr">
        <is>
          <t>Powder coated M.S. butt hinges 100mm X58mmX1.9mm</t>
        </is>
      </c>
      <c r="C2884" s="13" t="inlineStr">
        <is>
          <t>10 Nos</t>
        </is>
      </c>
      <c r="D2884" s="15" t="n">
        <v>0.4</v>
      </c>
      <c r="E2884" s="16" t="n">
        <v>123</v>
      </c>
      <c r="F2884" s="16">
        <f>D2884*E2884</f>
        <v/>
      </c>
    </row>
    <row r="2885">
      <c r="A2885" s="13" t="inlineStr">
        <is>
          <t>0637</t>
        </is>
      </c>
      <c r="B2885" s="14" t="inlineStr">
        <is>
          <t>Bright finished or black enamelled mild steel screws 40 mm</t>
        </is>
      </c>
      <c r="C2885" s="13" t="inlineStr">
        <is>
          <t>100 Nos</t>
        </is>
      </c>
      <c r="D2885" s="15" t="n">
        <v>0.48</v>
      </c>
      <c r="E2885" s="16" t="n">
        <v>60</v>
      </c>
      <c r="F2885" s="16">
        <f>D2885*E2885</f>
        <v/>
      </c>
    </row>
    <row r="2886">
      <c r="A2886" s="13" t="inlineStr">
        <is>
          <t>0640</t>
        </is>
      </c>
      <c r="B2886" s="14" t="inlineStr">
        <is>
          <t>Bright finished or black enamelled mild steel screws 20 mm</t>
        </is>
      </c>
      <c r="C2886" s="13" t="inlineStr">
        <is>
          <t>100 Nos</t>
        </is>
      </c>
      <c r="D2886" s="15" t="n">
        <v>0.08</v>
      </c>
      <c r="E2886" s="16" t="n">
        <v>30</v>
      </c>
      <c r="F2886" s="16">
        <f>D2886*E2886</f>
        <v/>
      </c>
    </row>
    <row r="2887">
      <c r="A2887" s="13" t="inlineStr">
        <is>
          <t>0156</t>
        </is>
      </c>
      <c r="B2887" s="14" t="inlineStr">
        <is>
          <t>Carpenter (average)</t>
        </is>
      </c>
      <c r="C2887" s="13" t="inlineStr">
        <is>
          <t>day</t>
        </is>
      </c>
      <c r="D2887" s="15" t="n">
        <v>0.4</v>
      </c>
      <c r="E2887" s="16" t="n">
        <v>709</v>
      </c>
      <c r="F2887" s="16">
        <f>D2887*E2887</f>
        <v/>
      </c>
    </row>
    <row r="2888">
      <c r="A2888" s="13" t="inlineStr">
        <is>
          <t>0114</t>
        </is>
      </c>
      <c r="B2888" s="14" t="inlineStr">
        <is>
          <t>Beldar</t>
        </is>
      </c>
      <c r="C2888" s="13" t="inlineStr">
        <is>
          <t>day</t>
        </is>
      </c>
      <c r="D2888" s="15" t="n">
        <v>0.4</v>
      </c>
      <c r="E2888" s="16" t="n">
        <v>558</v>
      </c>
      <c r="F2888" s="16">
        <f>D2888*E2888</f>
        <v/>
      </c>
    </row>
    <row r="2889">
      <c r="A2889" s="13" t="inlineStr">
        <is>
          <t>9999</t>
        </is>
      </c>
      <c r="B2889" s="14" t="inlineStr">
        <is>
          <t>Sundries</t>
        </is>
      </c>
      <c r="C2889" s="13" t="inlineStr">
        <is>
          <t>L.S.</t>
        </is>
      </c>
      <c r="D2889" s="15" t="n">
        <v>20.36</v>
      </c>
      <c r="E2889" s="16" t="n">
        <v>2</v>
      </c>
      <c r="F2889" s="16">
        <f>D2889*E2889</f>
        <v/>
      </c>
    </row>
    <row r="2890">
      <c r="A2890" s="17" t="inlineStr">
        <is>
          <t>Resource Total (Material + Labour + Machinery, as printed)</t>
        </is>
      </c>
      <c r="B2890" s="18" t="n"/>
      <c r="C2890" s="18" t="n"/>
      <c r="D2890" s="18" t="n"/>
      <c r="E2890" s="18" t="n"/>
      <c r="F2890" s="19">
        <f>SUM(F2883:F2889)</f>
        <v/>
      </c>
    </row>
    <row r="2891">
      <c r="A2891" s="20" t="inlineStr">
        <is>
          <t>SAY (Rs.) — final DAR rate</t>
        </is>
      </c>
      <c r="B2891" s="21" t="n"/>
      <c r="C2891" s="21" t="n"/>
      <c r="D2891" s="21" t="n"/>
      <c r="E2891" s="21" t="n"/>
      <c r="F2891" s="22" t="n">
        <v>2423.4</v>
      </c>
    </row>
    <row r="2893" ht="28" customHeight="1">
      <c r="A2893" s="9" t="inlineStr">
        <is>
          <t>9.121</t>
        </is>
      </c>
      <c r="B2893" s="10" t="inlineStr">
        <is>
          <t xml:space="preserve">Providing and fixing Fiber Glass Reinforced plastic (FRP) Door Frames of cross- section 90 mm x 45 mm having single rebate of 32 mm x 15 mm </t>
        </is>
      </c>
      <c r="C2893" s="11" t="n"/>
      <c r="D2893" s="11" t="n"/>
      <c r="E2893" s="11" t="n"/>
      <c r="F2893" s="11" t="n"/>
    </row>
    <row r="2894">
      <c r="A2894" s="12" t="inlineStr">
        <is>
          <t>Rate basis: per nos  (source: cost for 1 nos)</t>
        </is>
      </c>
    </row>
    <row r="2895">
      <c r="A2895" s="5" t="inlineStr">
        <is>
          <t>Code</t>
        </is>
      </c>
      <c r="B2895" s="5" t="inlineStr">
        <is>
          <t>Description</t>
        </is>
      </c>
      <c r="C2895" s="5" t="inlineStr">
        <is>
          <t>Unit</t>
        </is>
      </c>
      <c r="D2895" s="5" t="inlineStr">
        <is>
          <t>Quantity</t>
        </is>
      </c>
      <c r="E2895" s="5" t="inlineStr">
        <is>
          <t>Rate (Rs.)</t>
        </is>
      </c>
      <c r="F2895" s="5" t="inlineStr">
        <is>
          <t>Amount (Rs.)</t>
        </is>
      </c>
    </row>
    <row r="2896">
      <c r="A2896" s="13" t="inlineStr">
        <is>
          <t>8707</t>
        </is>
      </c>
      <c r="B2896" s="14" t="inlineStr">
        <is>
          <t>Factory made glass reinforced plastic door frame 90x45 mm i/c carriage.</t>
        </is>
      </c>
      <c r="C2896" s="13" t="inlineStr">
        <is>
          <t>metre</t>
        </is>
      </c>
      <c r="D2896" s="15" t="n">
        <v>5</v>
      </c>
      <c r="E2896" s="16" t="n">
        <v>467</v>
      </c>
      <c r="F2896" s="16">
        <f>D2896*E2896</f>
        <v/>
      </c>
    </row>
    <row r="2897">
      <c r="A2897" s="13" t="inlineStr">
        <is>
          <t>0156</t>
        </is>
      </c>
      <c r="B2897" s="14" t="inlineStr">
        <is>
          <t>Carpenter (average)</t>
        </is>
      </c>
      <c r="C2897" s="13" t="inlineStr">
        <is>
          <t>day</t>
        </is>
      </c>
      <c r="D2897" s="15" t="n">
        <v>0.15</v>
      </c>
      <c r="E2897" s="16" t="n">
        <v>709</v>
      </c>
      <c r="F2897" s="16">
        <f>D2897*E2897</f>
        <v/>
      </c>
    </row>
    <row r="2898">
      <c r="A2898" s="13" t="inlineStr">
        <is>
          <t>0114</t>
        </is>
      </c>
      <c r="B2898" s="14" t="inlineStr">
        <is>
          <t>Beldar</t>
        </is>
      </c>
      <c r="C2898" s="13" t="inlineStr">
        <is>
          <t>day</t>
        </is>
      </c>
      <c r="D2898" s="15" t="n">
        <v>0.15</v>
      </c>
      <c r="E2898" s="16" t="n">
        <v>558</v>
      </c>
      <c r="F2898" s="16">
        <f>D2898*E2898</f>
        <v/>
      </c>
    </row>
    <row r="2899">
      <c r="A2899" s="13" t="inlineStr">
        <is>
          <t>9999</t>
        </is>
      </c>
      <c r="B2899" s="14" t="inlineStr">
        <is>
          <t>Sundries</t>
        </is>
      </c>
      <c r="C2899" s="13" t="inlineStr">
        <is>
          <t>L.S.</t>
        </is>
      </c>
      <c r="D2899" s="15" t="n">
        <v>7.8</v>
      </c>
      <c r="E2899" s="16" t="n">
        <v>2</v>
      </c>
      <c r="F2899" s="16">
        <f>D2899*E2899</f>
        <v/>
      </c>
    </row>
    <row r="2900">
      <c r="A2900" s="17" t="inlineStr">
        <is>
          <t>Resource Total (Material + Labour + Machinery, as printed)</t>
        </is>
      </c>
      <c r="B2900" s="18" t="n"/>
      <c r="C2900" s="18" t="n"/>
      <c r="D2900" s="18" t="n"/>
      <c r="E2900" s="18" t="n"/>
      <c r="F2900" s="19">
        <f>SUM(F2896:F2899)</f>
        <v/>
      </c>
    </row>
    <row r="2901">
      <c r="A2901" s="20" t="inlineStr">
        <is>
          <t>SAY (Rs.) — final DAR rate</t>
        </is>
      </c>
      <c r="B2901" s="21" t="n"/>
      <c r="C2901" s="21" t="n"/>
      <c r="D2901" s="21" t="n"/>
      <c r="E2901" s="21" t="n"/>
      <c r="F2901" s="22" t="n">
        <v>679.85</v>
      </c>
    </row>
    <row r="2903" ht="28" customHeight="1">
      <c r="A2903" s="9" t="inlineStr">
        <is>
          <t>9.122.1</t>
        </is>
      </c>
      <c r="B2903" s="10" t="inlineStr">
        <is>
          <t>30 mm thick Glass Fibre Reinforced Plastic (FRP) panelled door shutter of required colour and approved brand and manufacture, made with fire</t>
        </is>
      </c>
      <c r="C2903" s="11" t="n"/>
      <c r="D2903" s="11" t="n"/>
      <c r="E2903" s="11" t="n"/>
      <c r="F2903" s="11" t="n"/>
    </row>
    <row r="2904">
      <c r="A2904" s="12" t="inlineStr">
        <is>
          <t>Rate basis: per sqm  (source: cost for 2.38 sqm)</t>
        </is>
      </c>
    </row>
    <row r="2905">
      <c r="A2905" s="5" t="inlineStr">
        <is>
          <t>Code</t>
        </is>
      </c>
      <c r="B2905" s="5" t="inlineStr">
        <is>
          <t>Description</t>
        </is>
      </c>
      <c r="C2905" s="5" t="inlineStr">
        <is>
          <t>Unit</t>
        </is>
      </c>
      <c r="D2905" s="5" t="inlineStr">
        <is>
          <t>Quantity</t>
        </is>
      </c>
      <c r="E2905" s="5" t="inlineStr">
        <is>
          <t>Rate (Rs.)</t>
        </is>
      </c>
      <c r="F2905" s="5" t="inlineStr">
        <is>
          <t>Amount (Rs.)</t>
        </is>
      </c>
    </row>
    <row r="2906">
      <c r="A2906" s="13" t="inlineStr">
        <is>
          <t>8100</t>
        </is>
      </c>
      <c r="B2906" s="14" t="inlineStr">
        <is>
          <t>Powder coated M.S. butt hinges 100mm X58mmX1.9mm</t>
        </is>
      </c>
      <c r="C2906" s="13" t="inlineStr">
        <is>
          <t>10 Nos</t>
        </is>
      </c>
      <c r="D2906" s="15" t="n">
        <v>0.4</v>
      </c>
      <c r="E2906" s="16" t="n">
        <v>123</v>
      </c>
      <c r="F2906" s="16">
        <f>D2906*E2906</f>
        <v/>
      </c>
    </row>
    <row r="2907">
      <c r="A2907" s="13" t="inlineStr">
        <is>
          <t>0637</t>
        </is>
      </c>
      <c r="B2907" s="14" t="inlineStr">
        <is>
          <t>Bright finished or black enamelled mild steel screws 40 mm</t>
        </is>
      </c>
      <c r="C2907" s="13" t="inlineStr">
        <is>
          <t>100 Nos</t>
        </is>
      </c>
      <c r="D2907" s="15" t="n">
        <v>0.48</v>
      </c>
      <c r="E2907" s="16" t="n">
        <v>60</v>
      </c>
      <c r="F2907" s="16">
        <f>D2907*E2907</f>
        <v/>
      </c>
    </row>
    <row r="2908">
      <c r="A2908" s="13" t="inlineStr">
        <is>
          <t>0640</t>
        </is>
      </c>
      <c r="B2908" s="14" t="inlineStr">
        <is>
          <t>Bright finished or black enamelled mild steel screws 20 mm</t>
        </is>
      </c>
      <c r="C2908" s="13" t="inlineStr">
        <is>
          <t>100 Nos</t>
        </is>
      </c>
      <c r="D2908" s="15" t="n">
        <v>0.08</v>
      </c>
      <c r="E2908" s="16" t="n">
        <v>30</v>
      </c>
      <c r="F2908" s="16">
        <f>D2908*E2908</f>
        <v/>
      </c>
    </row>
    <row r="2909">
      <c r="A2909" s="13" t="inlineStr">
        <is>
          <t>0156</t>
        </is>
      </c>
      <c r="B2909" s="14" t="inlineStr">
        <is>
          <t>Carpenter (average)</t>
        </is>
      </c>
      <c r="C2909" s="13" t="inlineStr">
        <is>
          <t>day</t>
        </is>
      </c>
      <c r="D2909" s="15" t="n">
        <v>0.4</v>
      </c>
      <c r="E2909" s="16" t="n">
        <v>709</v>
      </c>
      <c r="F2909" s="16">
        <f>D2909*E2909</f>
        <v/>
      </c>
    </row>
    <row r="2910">
      <c r="A2910" s="13" t="inlineStr">
        <is>
          <t>0114</t>
        </is>
      </c>
      <c r="B2910" s="14" t="inlineStr">
        <is>
          <t>Beldar</t>
        </is>
      </c>
      <c r="C2910" s="13" t="inlineStr">
        <is>
          <t>day</t>
        </is>
      </c>
      <c r="D2910" s="15" t="n">
        <v>0.4</v>
      </c>
      <c r="E2910" s="16" t="n">
        <v>558</v>
      </c>
      <c r="F2910" s="16">
        <f>D2910*E2910</f>
        <v/>
      </c>
    </row>
    <row r="2911">
      <c r="A2911" s="13" t="inlineStr">
        <is>
          <t>9999</t>
        </is>
      </c>
      <c r="B2911" s="14" t="inlineStr">
        <is>
          <t>Sundries</t>
        </is>
      </c>
      <c r="C2911" s="13" t="inlineStr">
        <is>
          <t>L.S.</t>
        </is>
      </c>
      <c r="D2911" s="15" t="n">
        <v>20.36</v>
      </c>
      <c r="E2911" s="16" t="n">
        <v>2</v>
      </c>
      <c r="F2911" s="16">
        <f>D2911*E2911</f>
        <v/>
      </c>
    </row>
    <row r="2912">
      <c r="A2912" s="17" t="inlineStr">
        <is>
          <t>Resource Total (Material + Labour + Machinery, as printed)</t>
        </is>
      </c>
      <c r="B2912" s="18" t="n"/>
      <c r="C2912" s="18" t="n"/>
      <c r="D2912" s="18" t="n"/>
      <c r="E2912" s="18" t="n"/>
      <c r="F2912" s="19">
        <f>SUM(F2906:F2911)</f>
        <v/>
      </c>
    </row>
    <row r="2913">
      <c r="A2913" s="20" t="inlineStr">
        <is>
          <t>SAY (Rs.) — final DAR rate</t>
        </is>
      </c>
      <c r="B2913" s="21" t="n"/>
      <c r="C2913" s="21" t="n"/>
      <c r="D2913" s="21" t="n"/>
      <c r="E2913" s="21" t="n"/>
      <c r="F2913" s="22" t="n">
        <v>3465.05</v>
      </c>
    </row>
    <row r="2915" ht="28" customHeight="1">
      <c r="A2915" s="9" t="inlineStr">
        <is>
          <t>9.122.2</t>
        </is>
      </c>
      <c r="B2915" s="10" t="inlineStr">
        <is>
          <t>30 mm thick Fiberglass Reinforced Plastic (F.R.P.) flush door shutter in different plain and wood finish made with fire retardant grade unsa</t>
        </is>
      </c>
      <c r="C2915" s="11" t="n"/>
      <c r="D2915" s="11" t="n"/>
      <c r="E2915" s="11" t="n"/>
      <c r="F2915" s="11" t="n"/>
    </row>
    <row r="2916">
      <c r="A2916" s="12" t="inlineStr">
        <is>
          <t>Rate basis: per sqm  (source: cost for 2.38 sqm)</t>
        </is>
      </c>
    </row>
    <row r="2917">
      <c r="A2917" s="5" t="inlineStr">
        <is>
          <t>Code</t>
        </is>
      </c>
      <c r="B2917" s="5" t="inlineStr">
        <is>
          <t>Description</t>
        </is>
      </c>
      <c r="C2917" s="5" t="inlineStr">
        <is>
          <t>Unit</t>
        </is>
      </c>
      <c r="D2917" s="5" t="inlineStr">
        <is>
          <t>Quantity</t>
        </is>
      </c>
      <c r="E2917" s="5" t="inlineStr">
        <is>
          <t>Rate (Rs.)</t>
        </is>
      </c>
      <c r="F2917" s="5" t="inlineStr">
        <is>
          <t>Amount (Rs.)</t>
        </is>
      </c>
    </row>
    <row r="2918">
      <c r="A2918" s="13" t="inlineStr">
        <is>
          <t>8100</t>
        </is>
      </c>
      <c r="B2918" s="14" t="inlineStr">
        <is>
          <t>Powder coated M.S. butt hinges 100mm X58mmX1.9mm</t>
        </is>
      </c>
      <c r="C2918" s="13" t="inlineStr">
        <is>
          <t>10 Nos</t>
        </is>
      </c>
      <c r="D2918" s="15" t="n">
        <v>0.4</v>
      </c>
      <c r="E2918" s="16" t="n">
        <v>123</v>
      </c>
      <c r="F2918" s="16">
        <f>D2918*E2918</f>
        <v/>
      </c>
    </row>
    <row r="2919">
      <c r="A2919" s="13" t="inlineStr">
        <is>
          <t>0637</t>
        </is>
      </c>
      <c r="B2919" s="14" t="inlineStr">
        <is>
          <t>Bright finished or black enamelled mild steel screws 40 mm</t>
        </is>
      </c>
      <c r="C2919" s="13" t="inlineStr">
        <is>
          <t>100 Nos</t>
        </is>
      </c>
      <c r="D2919" s="15" t="n">
        <v>0.48</v>
      </c>
      <c r="E2919" s="16" t="n">
        <v>60</v>
      </c>
      <c r="F2919" s="16">
        <f>D2919*E2919</f>
        <v/>
      </c>
    </row>
    <row r="2920">
      <c r="A2920" s="13" t="inlineStr">
        <is>
          <t>0640</t>
        </is>
      </c>
      <c r="B2920" s="14" t="inlineStr">
        <is>
          <t>Bright finished or black enamelled mild steel screws 20 mm</t>
        </is>
      </c>
      <c r="C2920" s="13" t="inlineStr">
        <is>
          <t>100 Nos</t>
        </is>
      </c>
      <c r="D2920" s="15" t="n">
        <v>0.08</v>
      </c>
      <c r="E2920" s="16" t="n">
        <v>30</v>
      </c>
      <c r="F2920" s="16">
        <f>D2920*E2920</f>
        <v/>
      </c>
    </row>
    <row r="2921">
      <c r="A2921" s="13" t="inlineStr">
        <is>
          <t>0156</t>
        </is>
      </c>
      <c r="B2921" s="14" t="inlineStr">
        <is>
          <t>Carpenter (average)</t>
        </is>
      </c>
      <c r="C2921" s="13" t="inlineStr">
        <is>
          <t>day</t>
        </is>
      </c>
      <c r="D2921" s="15" t="n">
        <v>0.4</v>
      </c>
      <c r="E2921" s="16" t="n">
        <v>709</v>
      </c>
      <c r="F2921" s="16">
        <f>D2921*E2921</f>
        <v/>
      </c>
    </row>
    <row r="2922">
      <c r="A2922" s="13" t="inlineStr">
        <is>
          <t>0114</t>
        </is>
      </c>
      <c r="B2922" s="14" t="inlineStr">
        <is>
          <t>Beldar</t>
        </is>
      </c>
      <c r="C2922" s="13" t="inlineStr">
        <is>
          <t>day</t>
        </is>
      </c>
      <c r="D2922" s="15" t="n">
        <v>0.4</v>
      </c>
      <c r="E2922" s="16" t="n">
        <v>558</v>
      </c>
      <c r="F2922" s="16">
        <f>D2922*E2922</f>
        <v/>
      </c>
    </row>
    <row r="2923">
      <c r="A2923" s="13" t="inlineStr">
        <is>
          <t>9999</t>
        </is>
      </c>
      <c r="B2923" s="14" t="inlineStr">
        <is>
          <t>Sundries</t>
        </is>
      </c>
      <c r="C2923" s="13" t="inlineStr">
        <is>
          <t>L.S.</t>
        </is>
      </c>
      <c r="D2923" s="15" t="n">
        <v>20.36</v>
      </c>
      <c r="E2923" s="16" t="n">
        <v>2</v>
      </c>
      <c r="F2923" s="16">
        <f>D2923*E2923</f>
        <v/>
      </c>
    </row>
    <row r="2924">
      <c r="A2924" s="17" t="inlineStr">
        <is>
          <t>Resource Total (Material + Labour + Machinery, as printed)</t>
        </is>
      </c>
      <c r="B2924" s="18" t="n"/>
      <c r="C2924" s="18" t="n"/>
      <c r="D2924" s="18" t="n"/>
      <c r="E2924" s="18" t="n"/>
      <c r="F2924" s="19">
        <f>SUM(F2918:F2923)</f>
        <v/>
      </c>
    </row>
    <row r="2925">
      <c r="A2925" s="20" t="inlineStr">
        <is>
          <t>SAY (Rs.) — final DAR rate</t>
        </is>
      </c>
      <c r="B2925" s="21" t="n"/>
      <c r="C2925" s="21" t="n"/>
      <c r="D2925" s="21" t="n"/>
      <c r="E2925" s="21" t="n"/>
      <c r="F2925" s="22" t="n">
        <v>3931.95</v>
      </c>
    </row>
    <row r="2927" ht="28" customHeight="1">
      <c r="A2927" s="9" t="inlineStr">
        <is>
          <t>9.123</t>
        </is>
      </c>
      <c r="B2927" s="10" t="inlineStr">
        <is>
          <t>Providing and fixing factory made door frame (single rebate) made out of single piece extruded solid PVC foam profile with homogenous fine c</t>
        </is>
      </c>
      <c r="C2927" s="11" t="n"/>
      <c r="D2927" s="11" t="n"/>
      <c r="E2927" s="11" t="n"/>
      <c r="F2927" s="11" t="n"/>
    </row>
    <row r="2928">
      <c r="A2928" s="12" t="inlineStr">
        <is>
          <t>Rate basis: per nos  (source: cost for 1 nos)</t>
        </is>
      </c>
    </row>
    <row r="2929">
      <c r="A2929" s="5" t="inlineStr">
        <is>
          <t>Code</t>
        </is>
      </c>
      <c r="B2929" s="5" t="inlineStr">
        <is>
          <t>Description</t>
        </is>
      </c>
      <c r="C2929" s="5" t="inlineStr">
        <is>
          <t>Unit</t>
        </is>
      </c>
      <c r="D2929" s="5" t="inlineStr">
        <is>
          <t>Quantity</t>
        </is>
      </c>
      <c r="E2929" s="5" t="inlineStr">
        <is>
          <t>Rate (Rs.)</t>
        </is>
      </c>
      <c r="F2929" s="5" t="inlineStr">
        <is>
          <t>Amount (Rs.)</t>
        </is>
      </c>
    </row>
    <row r="2930">
      <c r="A2930" s="13" t="inlineStr">
        <is>
          <t>8710</t>
        </is>
      </c>
      <c r="B2930" s="14" t="inlineStr">
        <is>
          <t>Factory made solid PVC door frame 60 x 30mm i/c carriage.</t>
        </is>
      </c>
      <c r="C2930" s="13" t="inlineStr">
        <is>
          <t>metre</t>
        </is>
      </c>
      <c r="D2930" s="15" t="n">
        <v>5</v>
      </c>
      <c r="E2930" s="16" t="n">
        <v>315</v>
      </c>
      <c r="F2930" s="16">
        <f>D2930*E2930</f>
        <v/>
      </c>
    </row>
    <row r="2931">
      <c r="A2931" s="13" t="inlineStr">
        <is>
          <t>0156</t>
        </is>
      </c>
      <c r="B2931" s="14" t="inlineStr">
        <is>
          <t>Carpenter (average)</t>
        </is>
      </c>
      <c r="C2931" s="13" t="inlineStr">
        <is>
          <t>day</t>
        </is>
      </c>
      <c r="D2931" s="15" t="n">
        <v>0.15</v>
      </c>
      <c r="E2931" s="16" t="n">
        <v>709</v>
      </c>
      <c r="F2931" s="16">
        <f>D2931*E2931</f>
        <v/>
      </c>
    </row>
    <row r="2932">
      <c r="A2932" s="13" t="inlineStr">
        <is>
          <t>0114</t>
        </is>
      </c>
      <c r="B2932" s="14" t="inlineStr">
        <is>
          <t>Beldar</t>
        </is>
      </c>
      <c r="C2932" s="13" t="inlineStr">
        <is>
          <t>day</t>
        </is>
      </c>
      <c r="D2932" s="15" t="n">
        <v>0.15</v>
      </c>
      <c r="E2932" s="16" t="n">
        <v>558</v>
      </c>
      <c r="F2932" s="16">
        <f>D2932*E2932</f>
        <v/>
      </c>
    </row>
    <row r="2933">
      <c r="A2933" s="13" t="inlineStr">
        <is>
          <t>9999</t>
        </is>
      </c>
      <c r="B2933" s="14" t="inlineStr">
        <is>
          <t>Sundries</t>
        </is>
      </c>
      <c r="C2933" s="13" t="inlineStr">
        <is>
          <t>L.S.</t>
        </is>
      </c>
      <c r="D2933" s="15" t="n">
        <v>7.8</v>
      </c>
      <c r="E2933" s="16" t="n">
        <v>2</v>
      </c>
      <c r="F2933" s="16">
        <f>D2933*E2933</f>
        <v/>
      </c>
    </row>
    <row r="2934">
      <c r="A2934" s="17" t="inlineStr">
        <is>
          <t>Resource Total (Material + Labour + Machinery, as printed)</t>
        </is>
      </c>
      <c r="B2934" s="18" t="n"/>
      <c r="C2934" s="18" t="n"/>
      <c r="D2934" s="18" t="n"/>
      <c r="E2934" s="18" t="n"/>
      <c r="F2934" s="19">
        <f>SUM(F2930:F2933)</f>
        <v/>
      </c>
    </row>
    <row r="2935">
      <c r="A2935" s="20" t="inlineStr">
        <is>
          <t>SAY (Rs.) — final DAR rate</t>
        </is>
      </c>
      <c r="B2935" s="21" t="n"/>
      <c r="C2935" s="21" t="n"/>
      <c r="D2935" s="21" t="n"/>
      <c r="E2935" s="21" t="n"/>
      <c r="F2935" s="22" t="n">
        <v>476.5</v>
      </c>
    </row>
    <row r="2937" ht="18" customHeight="1">
      <c r="A2937" s="9" t="inlineStr">
        <is>
          <t>9.124.1</t>
        </is>
      </c>
      <c r="B2937" s="10" t="inlineStr">
        <is>
          <t>Non decorative finish</t>
        </is>
      </c>
      <c r="C2937" s="11" t="n"/>
      <c r="D2937" s="11" t="n"/>
      <c r="E2937" s="11" t="n"/>
      <c r="F2937" s="11" t="n"/>
    </row>
    <row r="2938">
      <c r="A2938" s="12" t="inlineStr">
        <is>
          <t>Rate basis: per sqm  (source: cost for 2.38 sqm)</t>
        </is>
      </c>
    </row>
    <row r="2939">
      <c r="A2939" s="5" t="inlineStr">
        <is>
          <t>Code</t>
        </is>
      </c>
      <c r="B2939" s="5" t="inlineStr">
        <is>
          <t>Description</t>
        </is>
      </c>
      <c r="C2939" s="5" t="inlineStr">
        <is>
          <t>Unit</t>
        </is>
      </c>
      <c r="D2939" s="5" t="inlineStr">
        <is>
          <t>Quantity</t>
        </is>
      </c>
      <c r="E2939" s="5" t="inlineStr">
        <is>
          <t>Rate (Rs.)</t>
        </is>
      </c>
      <c r="F2939" s="5" t="inlineStr">
        <is>
          <t>Amount (Rs.)</t>
        </is>
      </c>
    </row>
    <row r="2940">
      <c r="A2940" s="13" t="inlineStr">
        <is>
          <t>8712</t>
        </is>
      </c>
      <c r="B2940" s="14" t="inlineStr">
        <is>
          <t>30 mm thick factory made solid PVC profile panelled door single piece extruded profile non decorative finish.</t>
        </is>
      </c>
      <c r="C2940" s="13" t="inlineStr">
        <is>
          <t>sqm</t>
        </is>
      </c>
      <c r="D2940" s="15" t="n">
        <v>2.38</v>
      </c>
      <c r="E2940" s="16" t="n">
        <v>2000</v>
      </c>
      <c r="F2940" s="16">
        <f>D2940*E2940</f>
        <v/>
      </c>
    </row>
    <row r="2941">
      <c r="A2941" s="13" t="inlineStr">
        <is>
          <t>8100</t>
        </is>
      </c>
      <c r="B2941" s="14" t="inlineStr">
        <is>
          <t>Powder coated M.S. butt hinges 100mm X58mmX1.9mm</t>
        </is>
      </c>
      <c r="C2941" s="13" t="inlineStr">
        <is>
          <t>10 Nos</t>
        </is>
      </c>
      <c r="D2941" s="15" t="n">
        <v>0.4</v>
      </c>
      <c r="E2941" s="16" t="n">
        <v>123</v>
      </c>
      <c r="F2941" s="16">
        <f>D2941*E2941</f>
        <v/>
      </c>
    </row>
    <row r="2942">
      <c r="A2942" s="13" t="inlineStr">
        <is>
          <t>0637</t>
        </is>
      </c>
      <c r="B2942" s="14" t="inlineStr">
        <is>
          <t>Bright finished or black enamelled mild steel screws 40 mm</t>
        </is>
      </c>
      <c r="C2942" s="13" t="inlineStr">
        <is>
          <t>100 Nos</t>
        </is>
      </c>
      <c r="D2942" s="15" t="n">
        <v>0.48</v>
      </c>
      <c r="E2942" s="16" t="n">
        <v>60</v>
      </c>
      <c r="F2942" s="16">
        <f>D2942*E2942</f>
        <v/>
      </c>
    </row>
    <row r="2943">
      <c r="A2943" s="13" t="inlineStr">
        <is>
          <t>0640</t>
        </is>
      </c>
      <c r="B2943" s="14" t="inlineStr">
        <is>
          <t>Bright finished or black enamelled mild steel screws 20 mm</t>
        </is>
      </c>
      <c r="C2943" s="13" t="inlineStr">
        <is>
          <t>100 Nos</t>
        </is>
      </c>
      <c r="D2943" s="15" t="n">
        <v>0.08</v>
      </c>
      <c r="E2943" s="16" t="n">
        <v>30</v>
      </c>
      <c r="F2943" s="16">
        <f>D2943*E2943</f>
        <v/>
      </c>
    </row>
    <row r="2944">
      <c r="A2944" s="13" t="inlineStr">
        <is>
          <t>0156</t>
        </is>
      </c>
      <c r="B2944" s="14" t="inlineStr">
        <is>
          <t>Carpenter (average)</t>
        </is>
      </c>
      <c r="C2944" s="13" t="inlineStr">
        <is>
          <t>day</t>
        </is>
      </c>
      <c r="D2944" s="15" t="n">
        <v>0.4</v>
      </c>
      <c r="E2944" s="16" t="n">
        <v>709</v>
      </c>
      <c r="F2944" s="16">
        <f>D2944*E2944</f>
        <v/>
      </c>
    </row>
    <row r="2945">
      <c r="A2945" s="13" t="inlineStr">
        <is>
          <t>0114</t>
        </is>
      </c>
      <c r="B2945" s="14" t="inlineStr">
        <is>
          <t>Beldar</t>
        </is>
      </c>
      <c r="C2945" s="13" t="inlineStr">
        <is>
          <t>day</t>
        </is>
      </c>
      <c r="D2945" s="15" t="n">
        <v>0.4</v>
      </c>
      <c r="E2945" s="16" t="n">
        <v>558</v>
      </c>
      <c r="F2945" s="16">
        <f>D2945*E2945</f>
        <v/>
      </c>
    </row>
    <row r="2946">
      <c r="A2946" s="13" t="inlineStr">
        <is>
          <t>9999</t>
        </is>
      </c>
      <c r="B2946" s="14" t="inlineStr">
        <is>
          <t>Sundries</t>
        </is>
      </c>
      <c r="C2946" s="13" t="inlineStr">
        <is>
          <t>L.S.</t>
        </is>
      </c>
      <c r="D2946" s="15" t="n">
        <v>20.36</v>
      </c>
      <c r="E2946" s="16" t="n">
        <v>2</v>
      </c>
      <c r="F2946" s="16">
        <f>D2946*E2946</f>
        <v/>
      </c>
    </row>
    <row r="2947">
      <c r="A2947" s="17" t="inlineStr">
        <is>
          <t>Resource Total (Material + Labour + Machinery, as printed)</t>
        </is>
      </c>
      <c r="B2947" s="18" t="n"/>
      <c r="C2947" s="18" t="n"/>
      <c r="D2947" s="18" t="n"/>
      <c r="E2947" s="18" t="n"/>
      <c r="F2947" s="19">
        <f>SUM(F2940:F2946)</f>
        <v/>
      </c>
    </row>
    <row r="2948">
      <c r="A2948" s="20" t="inlineStr">
        <is>
          <t>SAY (Rs.) — final DAR rate</t>
        </is>
      </c>
      <c r="B2948" s="21" t="n"/>
      <c r="C2948" s="21" t="n"/>
      <c r="D2948" s="21" t="n"/>
      <c r="E2948" s="21" t="n"/>
      <c r="F2948" s="22" t="n">
        <v>3028.85</v>
      </c>
    </row>
    <row r="2950" ht="18" customHeight="1">
      <c r="A2950" s="9" t="inlineStr">
        <is>
          <t>9.124.2</t>
        </is>
      </c>
      <c r="B2950" s="10" t="inlineStr">
        <is>
          <t>Decorative finish (both side wood grained finish)</t>
        </is>
      </c>
      <c r="C2950" s="11" t="n"/>
      <c r="D2950" s="11" t="n"/>
      <c r="E2950" s="11" t="n"/>
      <c r="F2950" s="11" t="n"/>
    </row>
    <row r="2951">
      <c r="A2951" s="12" t="inlineStr">
        <is>
          <t>Rate basis: per sqm  (source: cost for 2.38 sqm)</t>
        </is>
      </c>
    </row>
    <row r="2952">
      <c r="A2952" s="5" t="inlineStr">
        <is>
          <t>Code</t>
        </is>
      </c>
      <c r="B2952" s="5" t="inlineStr">
        <is>
          <t>Description</t>
        </is>
      </c>
      <c r="C2952" s="5" t="inlineStr">
        <is>
          <t>Unit</t>
        </is>
      </c>
      <c r="D2952" s="5" t="inlineStr">
        <is>
          <t>Quantity</t>
        </is>
      </c>
      <c r="E2952" s="5" t="inlineStr">
        <is>
          <t>Rate (Rs.)</t>
        </is>
      </c>
      <c r="F2952" s="5" t="inlineStr">
        <is>
          <t>Amount (Rs.)</t>
        </is>
      </c>
    </row>
    <row r="2953">
      <c r="A2953" s="13" t="inlineStr">
        <is>
          <t>8709</t>
        </is>
      </c>
      <c r="B2953" s="14" t="inlineStr">
        <is>
          <t>30 mm thick factory made solid PVC profile panelled door single piece extruded profile decorative finish (wood grain printed on both side)</t>
        </is>
      </c>
      <c r="C2953" s="13" t="inlineStr">
        <is>
          <t>sqm</t>
        </is>
      </c>
      <c r="D2953" s="15" t="n">
        <v>2.38</v>
      </c>
      <c r="E2953" s="16" t="n">
        <v>2100</v>
      </c>
      <c r="F2953" s="16">
        <f>D2953*E2953</f>
        <v/>
      </c>
    </row>
    <row r="2954">
      <c r="A2954" s="13" t="inlineStr">
        <is>
          <t>8100</t>
        </is>
      </c>
      <c r="B2954" s="14" t="inlineStr">
        <is>
          <t>Powder coated M.S. butt hinges 100mm X58mmX1.9mm</t>
        </is>
      </c>
      <c r="C2954" s="13" t="inlineStr">
        <is>
          <t>10 Nos</t>
        </is>
      </c>
      <c r="D2954" s="15" t="n">
        <v>0.4</v>
      </c>
      <c r="E2954" s="16" t="n">
        <v>123</v>
      </c>
      <c r="F2954" s="16">
        <f>D2954*E2954</f>
        <v/>
      </c>
    </row>
    <row r="2955">
      <c r="A2955" s="13" t="inlineStr">
        <is>
          <t>0637</t>
        </is>
      </c>
      <c r="B2955" s="14" t="inlineStr">
        <is>
          <t>Bright finished or black enamelled mild steel screws 40 mm</t>
        </is>
      </c>
      <c r="C2955" s="13" t="inlineStr">
        <is>
          <t>100 Nos</t>
        </is>
      </c>
      <c r="D2955" s="15" t="n">
        <v>0.48</v>
      </c>
      <c r="E2955" s="16" t="n">
        <v>60</v>
      </c>
      <c r="F2955" s="16">
        <f>D2955*E2955</f>
        <v/>
      </c>
    </row>
    <row r="2956">
      <c r="A2956" s="13" t="inlineStr">
        <is>
          <t>0640</t>
        </is>
      </c>
      <c r="B2956" s="14" t="inlineStr">
        <is>
          <t>Bright finished or black enamelled mild steel screws 20 mm</t>
        </is>
      </c>
      <c r="C2956" s="13" t="inlineStr">
        <is>
          <t>100 Nos</t>
        </is>
      </c>
      <c r="D2956" s="15" t="n">
        <v>0.08</v>
      </c>
      <c r="E2956" s="16" t="n">
        <v>30</v>
      </c>
      <c r="F2956" s="16">
        <f>D2956*E2956</f>
        <v/>
      </c>
    </row>
    <row r="2957">
      <c r="A2957" s="13" t="inlineStr">
        <is>
          <t>0156</t>
        </is>
      </c>
      <c r="B2957" s="14" t="inlineStr">
        <is>
          <t>Carpenter (average)</t>
        </is>
      </c>
      <c r="C2957" s="13" t="inlineStr">
        <is>
          <t>day</t>
        </is>
      </c>
      <c r="D2957" s="15" t="n">
        <v>0.4</v>
      </c>
      <c r="E2957" s="16" t="n">
        <v>709</v>
      </c>
      <c r="F2957" s="16">
        <f>D2957*E2957</f>
        <v/>
      </c>
    </row>
    <row r="2958">
      <c r="A2958" s="13" t="inlineStr">
        <is>
          <t>0114</t>
        </is>
      </c>
      <c r="B2958" s="14" t="inlineStr">
        <is>
          <t>Beldar</t>
        </is>
      </c>
      <c r="C2958" s="13" t="inlineStr">
        <is>
          <t>day</t>
        </is>
      </c>
      <c r="D2958" s="15" t="n">
        <v>0.4</v>
      </c>
      <c r="E2958" s="16" t="n">
        <v>558</v>
      </c>
      <c r="F2958" s="16">
        <f>D2958*E2958</f>
        <v/>
      </c>
    </row>
    <row r="2959">
      <c r="A2959" s="13" t="inlineStr">
        <is>
          <t>9999</t>
        </is>
      </c>
      <c r="B2959" s="14" t="inlineStr">
        <is>
          <t>Sundries</t>
        </is>
      </c>
      <c r="C2959" s="13" t="inlineStr">
        <is>
          <t>L.S.</t>
        </is>
      </c>
      <c r="D2959" s="15" t="n">
        <v>20.36</v>
      </c>
      <c r="E2959" s="16" t="n">
        <v>2</v>
      </c>
      <c r="F2959" s="16">
        <f>D2959*E2959</f>
        <v/>
      </c>
    </row>
    <row r="2960">
      <c r="A2960" s="17" t="inlineStr">
        <is>
          <t>Resource Total (Material + Labour + Machinery, as printed)</t>
        </is>
      </c>
      <c r="B2960" s="18" t="n"/>
      <c r="C2960" s="18" t="n"/>
      <c r="D2960" s="18" t="n"/>
      <c r="E2960" s="18" t="n"/>
      <c r="F2960" s="19">
        <f>SUM(F2953:F2959)</f>
        <v/>
      </c>
    </row>
    <row r="2961">
      <c r="A2961" s="20" t="inlineStr">
        <is>
          <t>SAY (Rs.) — final DAR rate</t>
        </is>
      </c>
      <c r="B2961" s="21" t="n"/>
      <c r="C2961" s="21" t="n"/>
      <c r="D2961" s="21" t="n"/>
      <c r="E2961" s="21" t="n"/>
      <c r="F2961" s="22" t="n">
        <v>3162.65</v>
      </c>
    </row>
    <row r="2963" ht="28" customHeight="1">
      <c r="A2963" s="9" t="inlineStr">
        <is>
          <t>9.125</t>
        </is>
      </c>
      <c r="B2963" s="10" t="inlineStr">
        <is>
          <t>Providing and fixing PVC rigid foam sheet 1 mm thick on existing door shutters (bathroom and W.C. doors) using synthetic rubber based adhesi</t>
        </is>
      </c>
      <c r="C2963" s="11" t="n"/>
      <c r="D2963" s="11" t="n"/>
      <c r="E2963" s="11" t="n"/>
      <c r="F2963" s="11" t="n"/>
    </row>
    <row r="2964">
      <c r="A2964" s="12" t="inlineStr">
        <is>
          <t>Rate basis: per x0  (source: cost for 1 x0)</t>
        </is>
      </c>
    </row>
    <row r="2965">
      <c r="A2965" s="5" t="inlineStr">
        <is>
          <t>Code</t>
        </is>
      </c>
      <c r="B2965" s="5" t="inlineStr">
        <is>
          <t>Description</t>
        </is>
      </c>
      <c r="C2965" s="5" t="inlineStr">
        <is>
          <t>Unit</t>
        </is>
      </c>
      <c r="D2965" s="5" t="inlineStr">
        <is>
          <t>Quantity</t>
        </is>
      </c>
      <c r="E2965" s="5" t="inlineStr">
        <is>
          <t>Rate (Rs.)</t>
        </is>
      </c>
      <c r="F2965" s="5" t="inlineStr">
        <is>
          <t>Amount (Rs.)</t>
        </is>
      </c>
    </row>
    <row r="2966">
      <c r="A2966" s="13" t="inlineStr">
        <is>
          <t>8006</t>
        </is>
      </c>
      <c r="B2966" s="14" t="inlineStr">
        <is>
          <t>Factory made PVC rigid foam sheet 1mm thick</t>
        </is>
      </c>
      <c r="C2966" s="13" t="inlineStr">
        <is>
          <t>sqm</t>
        </is>
      </c>
      <c r="D2966" s="15" t="n">
        <v>0.33</v>
      </c>
      <c r="E2966" s="16" t="n">
        <v>155.8</v>
      </c>
      <c r="F2966" s="16">
        <f>D2966*E2966</f>
        <v/>
      </c>
    </row>
    <row r="2967">
      <c r="A2967" s="13" t="inlineStr">
        <is>
          <t>9999</t>
        </is>
      </c>
      <c r="B2967" s="14" t="inlineStr">
        <is>
          <t>Rubber adhesive</t>
        </is>
      </c>
      <c r="C2967" s="13" t="inlineStr">
        <is>
          <t>L.S.</t>
        </is>
      </c>
      <c r="D2967" s="15" t="n">
        <v>21.84</v>
      </c>
      <c r="E2967" s="16" t="n">
        <v>2</v>
      </c>
      <c r="F2967" s="16">
        <f>D2967*E2967</f>
        <v/>
      </c>
    </row>
    <row r="2968">
      <c r="A2968" s="13" t="inlineStr">
        <is>
          <t>0111</t>
        </is>
      </c>
      <c r="B2968" s="14" t="inlineStr">
        <is>
          <t>Carpenter 1st class</t>
        </is>
      </c>
      <c r="C2968" s="13" t="inlineStr">
        <is>
          <t>day</t>
        </is>
      </c>
      <c r="D2968" s="15" t="n">
        <v>0.11</v>
      </c>
      <c r="E2968" s="16" t="n">
        <v>738</v>
      </c>
      <c r="F2968" s="16">
        <f>D2968*E2968</f>
        <v/>
      </c>
    </row>
    <row r="2969">
      <c r="A2969" s="13" t="inlineStr">
        <is>
          <t>0114</t>
        </is>
      </c>
      <c r="B2969" s="14" t="inlineStr">
        <is>
          <t>Beldar</t>
        </is>
      </c>
      <c r="C2969" s="13" t="inlineStr">
        <is>
          <t>day</t>
        </is>
      </c>
      <c r="D2969" s="15" t="n">
        <v>0.14</v>
      </c>
      <c r="E2969" s="16" t="n">
        <v>558</v>
      </c>
      <c r="F2969" s="16">
        <f>D2969*E2969</f>
        <v/>
      </c>
    </row>
    <row r="2970">
      <c r="A2970" s="13" t="inlineStr">
        <is>
          <t>0130</t>
        </is>
      </c>
      <c r="B2970" s="14" t="inlineStr">
        <is>
          <t>Mistry</t>
        </is>
      </c>
      <c r="C2970" s="13" t="inlineStr">
        <is>
          <t>day</t>
        </is>
      </c>
      <c r="D2970" s="15" t="n">
        <v>0.02</v>
      </c>
      <c r="E2970" s="16" t="n">
        <v>738</v>
      </c>
      <c r="F2970" s="16">
        <f>D2970*E2970</f>
        <v/>
      </c>
    </row>
    <row r="2971">
      <c r="A2971" s="17" t="inlineStr">
        <is>
          <t>Resource Total (Material + Labour + Machinery, as printed)</t>
        </is>
      </c>
      <c r="B2971" s="18" t="n"/>
      <c r="C2971" s="18" t="n"/>
      <c r="D2971" s="18" t="n"/>
      <c r="E2971" s="18" t="n"/>
      <c r="F2971" s="19">
        <f>SUM(F2966:F2970)</f>
        <v/>
      </c>
    </row>
    <row r="2972">
      <c r="A2972" s="20" t="inlineStr">
        <is>
          <t>SAY (Rs.) — final DAR rate</t>
        </is>
      </c>
      <c r="B2972" s="21" t="n"/>
      <c r="C2972" s="21" t="n"/>
      <c r="D2972" s="21" t="n"/>
      <c r="E2972" s="21" t="n"/>
      <c r="F2972" s="22" t="n">
        <v>1200.35</v>
      </c>
    </row>
    <row r="2974" ht="18" customHeight="1">
      <c r="A2974" s="9" t="inlineStr">
        <is>
          <t>9.126.1</t>
        </is>
      </c>
      <c r="B2974" s="10" t="inlineStr">
        <is>
          <t>Marine plywood conforming to IS: 710</t>
        </is>
      </c>
      <c r="C2974" s="11" t="n"/>
      <c r="D2974" s="11" t="n"/>
      <c r="E2974" s="11" t="n"/>
      <c r="F2974" s="11" t="n"/>
    </row>
    <row r="2975">
      <c r="A2975" s="12" t="inlineStr">
        <is>
          <t>Rate basis: per sqm  (source: cost for 2.16 sqm)</t>
        </is>
      </c>
    </row>
    <row r="2976">
      <c r="A2976" s="5" t="inlineStr">
        <is>
          <t>Code</t>
        </is>
      </c>
      <c r="B2976" s="5" t="inlineStr">
        <is>
          <t>Description</t>
        </is>
      </c>
      <c r="C2976" s="5" t="inlineStr">
        <is>
          <t>Unit</t>
        </is>
      </c>
      <c r="D2976" s="5" t="inlineStr">
        <is>
          <t>Quantity</t>
        </is>
      </c>
      <c r="E2976" s="5" t="inlineStr">
        <is>
          <t>Rate (Rs.)</t>
        </is>
      </c>
      <c r="F2976" s="5" t="inlineStr">
        <is>
          <t>Amount (Rs.)</t>
        </is>
      </c>
    </row>
    <row r="2977">
      <c r="A2977" s="13" t="inlineStr">
        <is>
          <t>8724</t>
        </is>
      </c>
      <c r="B2977" s="14" t="inlineStr">
        <is>
          <t>12mm thick marine plywood conforming to IS:710</t>
        </is>
      </c>
      <c r="C2977" s="13" t="inlineStr">
        <is>
          <t>sqm</t>
        </is>
      </c>
      <c r="D2977" s="15" t="n">
        <v>0.8</v>
      </c>
      <c r="E2977" s="16" t="n">
        <v>695</v>
      </c>
      <c r="F2977" s="16">
        <f>D2977*E2977</f>
        <v/>
      </c>
    </row>
    <row r="2978">
      <c r="A2978" s="13" t="inlineStr">
        <is>
          <t>9977</t>
        </is>
      </c>
      <c r="B2978" s="14" t="inlineStr">
        <is>
          <t>Carriage of Plywood</t>
        </is>
      </c>
      <c r="C2978" s="13" t="inlineStr">
        <is>
          <t>L.S.</t>
        </is>
      </c>
      <c r="D2978" s="15" t="n">
        <v>1.82</v>
      </c>
      <c r="E2978" s="16" t="n">
        <v>2</v>
      </c>
      <c r="F2978" s="16">
        <f>D2978*E2978</f>
        <v/>
      </c>
    </row>
    <row r="2979">
      <c r="A2979" s="13" t="inlineStr">
        <is>
          <t>0111</t>
        </is>
      </c>
      <c r="B2979" s="14" t="inlineStr">
        <is>
          <t>Carpenter 1st class</t>
        </is>
      </c>
      <c r="C2979" s="13" t="inlineStr">
        <is>
          <t>day</t>
        </is>
      </c>
      <c r="D2979" s="15" t="n">
        <v>0.57</v>
      </c>
      <c r="E2979" s="16" t="n">
        <v>738</v>
      </c>
      <c r="F2979" s="16">
        <f>D2979*E2979</f>
        <v/>
      </c>
    </row>
    <row r="2980">
      <c r="A2980" s="13" t="inlineStr">
        <is>
          <t>9999</t>
        </is>
      </c>
      <c r="B2980" s="14" t="inlineStr">
        <is>
          <t>Sundries</t>
        </is>
      </c>
      <c r="C2980" s="13" t="inlineStr">
        <is>
          <t>L.S.</t>
        </is>
      </c>
      <c r="D2980" s="15" t="n">
        <v>4.42</v>
      </c>
      <c r="E2980" s="16" t="n">
        <v>2</v>
      </c>
      <c r="F2980" s="16">
        <f>D2980*E2980</f>
        <v/>
      </c>
    </row>
    <row r="2981">
      <c r="A2981" s="17" t="inlineStr">
        <is>
          <t>Resource Total (Material + Labour + Machinery, as printed)</t>
        </is>
      </c>
      <c r="B2981" s="18" t="n"/>
      <c r="C2981" s="18" t="n"/>
      <c r="D2981" s="18" t="n"/>
      <c r="E2981" s="18" t="n"/>
      <c r="F2981" s="19">
        <f>SUM(F2977:F2980)</f>
        <v/>
      </c>
    </row>
    <row r="2982">
      <c r="A2982" s="20" t="inlineStr">
        <is>
          <t>SAY (Rs.) — final DAR rate</t>
        </is>
      </c>
      <c r="B2982" s="21" t="n"/>
      <c r="C2982" s="21" t="n"/>
      <c r="D2982" s="21" t="n"/>
      <c r="E2982" s="21" t="n"/>
      <c r="F2982" s="22" t="n">
        <v>2005.15</v>
      </c>
    </row>
    <row r="2984" ht="18" customHeight="1">
      <c r="A2984" s="9" t="inlineStr">
        <is>
          <t>9.126.2</t>
        </is>
      </c>
      <c r="B2984" s="10" t="inlineStr">
        <is>
          <t>Fire retardant plywood conforming to IS: 5509</t>
        </is>
      </c>
      <c r="C2984" s="11" t="n"/>
      <c r="D2984" s="11" t="n"/>
      <c r="E2984" s="11" t="n"/>
      <c r="F2984" s="11" t="n"/>
    </row>
    <row r="2985">
      <c r="A2985" s="12" t="inlineStr">
        <is>
          <t>Rate basis: per sqm  (source: cost for 2.16 sqm)</t>
        </is>
      </c>
    </row>
    <row r="2986">
      <c r="A2986" s="5" t="inlineStr">
        <is>
          <t>Code</t>
        </is>
      </c>
      <c r="B2986" s="5" t="inlineStr">
        <is>
          <t>Description</t>
        </is>
      </c>
      <c r="C2986" s="5" t="inlineStr">
        <is>
          <t>Unit</t>
        </is>
      </c>
      <c r="D2986" s="5" t="inlineStr">
        <is>
          <t>Quantity</t>
        </is>
      </c>
      <c r="E2986" s="5" t="inlineStr">
        <is>
          <t>Rate (Rs.)</t>
        </is>
      </c>
      <c r="F2986" s="5" t="inlineStr">
        <is>
          <t>Amount (Rs.)</t>
        </is>
      </c>
    </row>
    <row r="2987">
      <c r="A2987" s="13" t="inlineStr">
        <is>
          <t>8725</t>
        </is>
      </c>
      <c r="B2987" s="14" t="inlineStr">
        <is>
          <t>12mm thick fire retardant plywood conforming to IS: 5509.</t>
        </is>
      </c>
      <c r="C2987" s="13" t="inlineStr">
        <is>
          <t>sqm</t>
        </is>
      </c>
      <c r="D2987" s="15" t="n">
        <v>0.8</v>
      </c>
      <c r="E2987" s="16" t="n">
        <v>850</v>
      </c>
      <c r="F2987" s="16">
        <f>D2987*E2987</f>
        <v/>
      </c>
    </row>
    <row r="2988">
      <c r="A2988" s="13" t="inlineStr">
        <is>
          <t>9977</t>
        </is>
      </c>
      <c r="B2988" s="14" t="inlineStr">
        <is>
          <t>Carriage of Plywood</t>
        </is>
      </c>
      <c r="C2988" s="13" t="inlineStr">
        <is>
          <t>L.S.</t>
        </is>
      </c>
      <c r="D2988" s="15" t="n">
        <v>1.82</v>
      </c>
      <c r="E2988" s="16" t="n">
        <v>2</v>
      </c>
      <c r="F2988" s="16">
        <f>D2988*E2988</f>
        <v/>
      </c>
    </row>
    <row r="2989">
      <c r="A2989" s="13" t="inlineStr">
        <is>
          <t>0111</t>
        </is>
      </c>
      <c r="B2989" s="14" t="inlineStr">
        <is>
          <t>Carpenter 1st class</t>
        </is>
      </c>
      <c r="C2989" s="13" t="inlineStr">
        <is>
          <t>day</t>
        </is>
      </c>
      <c r="D2989" s="15" t="n">
        <v>0.57</v>
      </c>
      <c r="E2989" s="16" t="n">
        <v>738</v>
      </c>
      <c r="F2989" s="16">
        <f>D2989*E2989</f>
        <v/>
      </c>
    </row>
    <row r="2990">
      <c r="A2990" s="13" t="inlineStr">
        <is>
          <t>9999</t>
        </is>
      </c>
      <c r="B2990" s="14" t="inlineStr">
        <is>
          <t>Sundries</t>
        </is>
      </c>
      <c r="C2990" s="13" t="inlineStr">
        <is>
          <t>L.S.</t>
        </is>
      </c>
      <c r="D2990" s="15" t="n">
        <v>4.42</v>
      </c>
      <c r="E2990" s="16" t="n">
        <v>2</v>
      </c>
      <c r="F2990" s="16">
        <f>D2990*E2990</f>
        <v/>
      </c>
    </row>
    <row r="2991">
      <c r="A2991" s="17" t="inlineStr">
        <is>
          <t>Resource Total (Material + Labour + Machinery, as printed)</t>
        </is>
      </c>
      <c r="B2991" s="18" t="n"/>
      <c r="C2991" s="18" t="n"/>
      <c r="D2991" s="18" t="n"/>
      <c r="E2991" s="18" t="n"/>
      <c r="F2991" s="19">
        <f>SUM(F2987:F2990)</f>
        <v/>
      </c>
    </row>
    <row r="2992">
      <c r="A2992" s="20" t="inlineStr">
        <is>
          <t>SAY (Rs.) — final DAR rate</t>
        </is>
      </c>
      <c r="B2992" s="21" t="n"/>
      <c r="C2992" s="21" t="n"/>
      <c r="D2992" s="21" t="n"/>
      <c r="E2992" s="21" t="n"/>
      <c r="F2992" s="22" t="n">
        <v>2256.55</v>
      </c>
    </row>
    <row r="2994" ht="18" customHeight="1">
      <c r="A2994" s="9" t="inlineStr">
        <is>
          <t>9.127.1</t>
        </is>
      </c>
      <c r="B2994" s="10" t="inlineStr">
        <is>
          <t>1.5 mm thick</t>
        </is>
      </c>
      <c r="C2994" s="11" t="n"/>
      <c r="D2994" s="11" t="n"/>
      <c r="E2994" s="11" t="n"/>
      <c r="F2994" s="11" t="n"/>
    </row>
    <row r="2995">
      <c r="A2995" s="12" t="inlineStr">
        <is>
          <t>Rate basis: per sqm  (source: cost for 5 sqm)</t>
        </is>
      </c>
    </row>
    <row r="2996">
      <c r="A2996" s="5" t="inlineStr">
        <is>
          <t>Code</t>
        </is>
      </c>
      <c r="B2996" s="5" t="inlineStr">
        <is>
          <t>Description</t>
        </is>
      </c>
      <c r="C2996" s="5" t="inlineStr">
        <is>
          <t>Unit</t>
        </is>
      </c>
      <c r="D2996" s="5" t="inlineStr">
        <is>
          <t>Quantity</t>
        </is>
      </c>
      <c r="E2996" s="5" t="inlineStr">
        <is>
          <t>Rate (Rs.)</t>
        </is>
      </c>
      <c r="F2996" s="5" t="inlineStr">
        <is>
          <t>Amount (Rs.)</t>
        </is>
      </c>
    </row>
    <row r="2997">
      <c r="A2997" s="13" t="inlineStr">
        <is>
          <t>8726</t>
        </is>
      </c>
      <c r="B2997" s="14" t="inlineStr">
        <is>
          <t>1.5mm thick decorative laminated sheet</t>
        </is>
      </c>
      <c r="C2997" s="13" t="inlineStr">
        <is>
          <t>sqm</t>
        </is>
      </c>
      <c r="D2997" s="15" t="n">
        <v>5.5</v>
      </c>
      <c r="E2997" s="16" t="n">
        <v>365</v>
      </c>
      <c r="F2997" s="16">
        <f>D2997*E2997</f>
        <v/>
      </c>
    </row>
    <row r="2998">
      <c r="A2998" s="13" t="inlineStr">
        <is>
          <t>9999</t>
        </is>
      </c>
      <c r="B2998" s="14" t="inlineStr">
        <is>
          <t>Adhesive</t>
        </is>
      </c>
      <c r="C2998" s="13" t="inlineStr">
        <is>
          <t>L.S.</t>
        </is>
      </c>
      <c r="D2998" s="15" t="n">
        <v>195</v>
      </c>
      <c r="E2998" s="16" t="n">
        <v>2</v>
      </c>
      <c r="F2998" s="16">
        <f>D2998*E2998</f>
        <v/>
      </c>
    </row>
    <row r="2999">
      <c r="A2999" s="13" t="inlineStr">
        <is>
          <t>0111</t>
        </is>
      </c>
      <c r="B2999" s="14" t="inlineStr">
        <is>
          <t>Carpenter 1st class</t>
        </is>
      </c>
      <c r="C2999" s="13" t="inlineStr">
        <is>
          <t>day</t>
        </is>
      </c>
      <c r="D2999" s="15" t="n">
        <v>0.5</v>
      </c>
      <c r="E2999" s="16" t="n">
        <v>738</v>
      </c>
      <c r="F2999" s="16">
        <f>D2999*E2999</f>
        <v/>
      </c>
    </row>
    <row r="3000">
      <c r="A3000" s="13" t="inlineStr">
        <is>
          <t>0114</t>
        </is>
      </c>
      <c r="B3000" s="14" t="inlineStr">
        <is>
          <t>Beldar</t>
        </is>
      </c>
      <c r="C3000" s="13" t="inlineStr">
        <is>
          <t>day</t>
        </is>
      </c>
      <c r="D3000" s="15" t="n">
        <v>0.5</v>
      </c>
      <c r="E3000" s="16" t="n">
        <v>558</v>
      </c>
      <c r="F3000" s="16">
        <f>D3000*E3000</f>
        <v/>
      </c>
    </row>
    <row r="3001">
      <c r="A3001" s="13" t="inlineStr">
        <is>
          <t>9999</t>
        </is>
      </c>
      <c r="B3001" s="14" t="inlineStr">
        <is>
          <t>Sundries i/c nails etc.</t>
        </is>
      </c>
      <c r="C3001" s="13" t="inlineStr">
        <is>
          <t>L.S.</t>
        </is>
      </c>
      <c r="D3001" s="15" t="n">
        <v>52</v>
      </c>
      <c r="E3001" s="16" t="n">
        <v>2</v>
      </c>
      <c r="F3001" s="16">
        <f>D3001*E3001</f>
        <v/>
      </c>
    </row>
    <row r="3002">
      <c r="A3002" s="17" t="inlineStr">
        <is>
          <t>Resource Total (Material + Labour + Machinery, as printed)</t>
        </is>
      </c>
      <c r="B3002" s="18" t="n"/>
      <c r="C3002" s="18" t="n"/>
      <c r="D3002" s="18" t="n"/>
      <c r="E3002" s="18" t="n"/>
      <c r="F3002" s="19">
        <f>SUM(F2997:F3001)</f>
        <v/>
      </c>
    </row>
    <row r="3003">
      <c r="A3003" s="20" t="inlineStr">
        <is>
          <t>SAY (Rs.) — final DAR rate</t>
        </is>
      </c>
      <c r="B3003" s="21" t="n"/>
      <c r="C3003" s="21" t="n"/>
      <c r="D3003" s="21" t="n"/>
      <c r="E3003" s="21" t="n"/>
      <c r="F3003" s="22" t="n">
        <v>842.75</v>
      </c>
    </row>
    <row r="3005" ht="18" customHeight="1">
      <c r="A3005" s="9" t="inlineStr">
        <is>
          <t>9.127.2</t>
        </is>
      </c>
      <c r="B3005" s="10" t="inlineStr">
        <is>
          <t>1.0 mm thick</t>
        </is>
      </c>
      <c r="C3005" s="11" t="n"/>
      <c r="D3005" s="11" t="n"/>
      <c r="E3005" s="11" t="n"/>
      <c r="F3005" s="11" t="n"/>
    </row>
    <row r="3006">
      <c r="A3006" s="12" t="inlineStr">
        <is>
          <t>Rate basis: per sqm  (source: cost for 5 sqm)</t>
        </is>
      </c>
    </row>
    <row r="3007">
      <c r="A3007" s="5" t="inlineStr">
        <is>
          <t>Code</t>
        </is>
      </c>
      <c r="B3007" s="5" t="inlineStr">
        <is>
          <t>Description</t>
        </is>
      </c>
      <c r="C3007" s="5" t="inlineStr">
        <is>
          <t>Unit</t>
        </is>
      </c>
      <c r="D3007" s="5" t="inlineStr">
        <is>
          <t>Quantity</t>
        </is>
      </c>
      <c r="E3007" s="5" t="inlineStr">
        <is>
          <t>Rate (Rs.)</t>
        </is>
      </c>
      <c r="F3007" s="5" t="inlineStr">
        <is>
          <t>Amount (Rs.)</t>
        </is>
      </c>
    </row>
    <row r="3008">
      <c r="A3008" s="13" t="inlineStr">
        <is>
          <t>8727</t>
        </is>
      </c>
      <c r="B3008" s="14" t="inlineStr">
        <is>
          <t>1.0mm thick decorative laminated sheet</t>
        </is>
      </c>
      <c r="C3008" s="13" t="inlineStr">
        <is>
          <t>sqm</t>
        </is>
      </c>
      <c r="D3008" s="15" t="n">
        <v>5.5</v>
      </c>
      <c r="E3008" s="16" t="n">
        <v>280</v>
      </c>
      <c r="F3008" s="16">
        <f>D3008*E3008</f>
        <v/>
      </c>
    </row>
    <row r="3009">
      <c r="A3009" s="13" t="inlineStr">
        <is>
          <t>9999</t>
        </is>
      </c>
      <c r="B3009" s="14" t="inlineStr">
        <is>
          <t>Adhesive</t>
        </is>
      </c>
      <c r="C3009" s="13" t="inlineStr">
        <is>
          <t>L.S.</t>
        </is>
      </c>
      <c r="D3009" s="15" t="n">
        <v>195</v>
      </c>
      <c r="E3009" s="16" t="n">
        <v>2</v>
      </c>
      <c r="F3009" s="16">
        <f>D3009*E3009</f>
        <v/>
      </c>
    </row>
    <row r="3010">
      <c r="A3010" s="13" t="inlineStr">
        <is>
          <t>0111</t>
        </is>
      </c>
      <c r="B3010" s="14" t="inlineStr">
        <is>
          <t>Carpenter 1st class</t>
        </is>
      </c>
      <c r="C3010" s="13" t="inlineStr">
        <is>
          <t>day</t>
        </is>
      </c>
      <c r="D3010" s="15" t="n">
        <v>0.5</v>
      </c>
      <c r="E3010" s="16" t="n">
        <v>738</v>
      </c>
      <c r="F3010" s="16">
        <f>D3010*E3010</f>
        <v/>
      </c>
    </row>
    <row r="3011">
      <c r="A3011" s="13" t="inlineStr">
        <is>
          <t>0114</t>
        </is>
      </c>
      <c r="B3011" s="14" t="inlineStr">
        <is>
          <t>Beldar</t>
        </is>
      </c>
      <c r="C3011" s="13" t="inlineStr">
        <is>
          <t>day</t>
        </is>
      </c>
      <c r="D3011" s="15" t="n">
        <v>0.5</v>
      </c>
      <c r="E3011" s="16" t="n">
        <v>558</v>
      </c>
      <c r="F3011" s="16">
        <f>D3011*E3011</f>
        <v/>
      </c>
    </row>
    <row r="3012">
      <c r="A3012" s="13" t="inlineStr">
        <is>
          <t>9999</t>
        </is>
      </c>
      <c r="B3012" s="14" t="inlineStr">
        <is>
          <t>Sundries i/c nails etc.</t>
        </is>
      </c>
      <c r="C3012" s="13" t="inlineStr">
        <is>
          <t>L.S.</t>
        </is>
      </c>
      <c r="D3012" s="15" t="n">
        <v>52</v>
      </c>
      <c r="E3012" s="16" t="n">
        <v>2</v>
      </c>
      <c r="F3012" s="16">
        <f>D3012*E3012</f>
        <v/>
      </c>
    </row>
    <row r="3013">
      <c r="A3013" s="17" t="inlineStr">
        <is>
          <t>Resource Total (Material + Labour + Machinery, as printed)</t>
        </is>
      </c>
      <c r="B3013" s="18" t="n"/>
      <c r="C3013" s="18" t="n"/>
      <c r="D3013" s="18" t="n"/>
      <c r="E3013" s="18" t="n"/>
      <c r="F3013" s="19">
        <f>SUM(F3008:F3012)</f>
        <v/>
      </c>
    </row>
    <row r="3014">
      <c r="A3014" s="20" t="inlineStr">
        <is>
          <t>SAY (Rs.) — final DAR rate</t>
        </is>
      </c>
      <c r="B3014" s="21" t="n"/>
      <c r="C3014" s="21" t="n"/>
      <c r="D3014" s="21" t="n"/>
      <c r="E3014" s="21" t="n"/>
      <c r="F3014" s="22" t="n">
        <v>717.65</v>
      </c>
    </row>
    <row r="3016" ht="28" customHeight="1">
      <c r="A3016" s="9" t="inlineStr">
        <is>
          <t>9.128</t>
        </is>
      </c>
      <c r="B3016" s="10" t="inlineStr">
        <is>
          <t>Providing and fixing factory made Fiberglass Reinforced plastics (F.R.P.) chajja 4 mm thick of required colour, size and design made by Resi</t>
        </is>
      </c>
      <c r="C3016" s="11" t="n"/>
      <c r="D3016" s="11" t="n"/>
      <c r="E3016" s="11" t="n"/>
      <c r="F3016" s="11" t="n"/>
    </row>
    <row r="3017">
      <c r="A3017" s="12" t="inlineStr">
        <is>
          <t>Rate basis: per sqm  (source: cost for 0.54 sqm)</t>
        </is>
      </c>
    </row>
    <row r="3018">
      <c r="A3018" s="5" t="inlineStr">
        <is>
          <t>Code</t>
        </is>
      </c>
      <c r="B3018" s="5" t="inlineStr">
        <is>
          <t>Description</t>
        </is>
      </c>
      <c r="C3018" s="5" t="inlineStr">
        <is>
          <t>Unit</t>
        </is>
      </c>
      <c r="D3018" s="5" t="inlineStr">
        <is>
          <t>Quantity</t>
        </is>
      </c>
      <c r="E3018" s="5" t="inlineStr">
        <is>
          <t>Rate (Rs.)</t>
        </is>
      </c>
      <c r="F3018" s="5" t="inlineStr">
        <is>
          <t>Amount (Rs.)</t>
        </is>
      </c>
    </row>
    <row r="3019">
      <c r="A3019" s="13" t="inlineStr">
        <is>
          <t>8713</t>
        </is>
      </c>
      <c r="B3019" s="14" t="inlineStr">
        <is>
          <t>Fiber glass reinforced plastic chajja. including accessories</t>
        </is>
      </c>
      <c r="C3019" s="13" t="inlineStr">
        <is>
          <t>sqm</t>
        </is>
      </c>
      <c r="D3019" s="15" t="n">
        <v>0.54</v>
      </c>
      <c r="E3019" s="16" t="n">
        <v>3000</v>
      </c>
      <c r="F3019" s="16">
        <f>D3019*E3019</f>
        <v/>
      </c>
    </row>
    <row r="3020">
      <c r="A3020" s="13" t="inlineStr">
        <is>
          <t>9977</t>
        </is>
      </c>
      <c r="B3020" s="14" t="inlineStr">
        <is>
          <t>Carriage</t>
        </is>
      </c>
      <c r="C3020" s="13" t="inlineStr">
        <is>
          <t>L.S.</t>
        </is>
      </c>
      <c r="D3020" s="15" t="n">
        <v>26</v>
      </c>
      <c r="E3020" s="16" t="n">
        <v>2</v>
      </c>
      <c r="F3020" s="16">
        <f>D3020*E3020</f>
        <v/>
      </c>
    </row>
    <row r="3021">
      <c r="A3021" s="13" t="inlineStr">
        <is>
          <t>9999</t>
        </is>
      </c>
      <c r="B3021" s="14" t="inlineStr">
        <is>
          <t>fixing charges including sundries.</t>
        </is>
      </c>
      <c r="C3021" s="13" t="inlineStr">
        <is>
          <t>L.S.</t>
        </is>
      </c>
      <c r="D3021" s="15" t="n">
        <v>143</v>
      </c>
      <c r="E3021" s="16" t="n">
        <v>2</v>
      </c>
      <c r="F3021" s="16">
        <f>D3021*E3021</f>
        <v/>
      </c>
    </row>
    <row r="3022">
      <c r="A3022" s="17" t="inlineStr">
        <is>
          <t>Resource Total (Material + Labour + Machinery, as printed)</t>
        </is>
      </c>
      <c r="B3022" s="18" t="n"/>
      <c r="C3022" s="18" t="n"/>
      <c r="D3022" s="18" t="n"/>
      <c r="E3022" s="18" t="n"/>
      <c r="F3022" s="19">
        <f>SUM(F3019:F3021)</f>
        <v/>
      </c>
    </row>
    <row r="3023">
      <c r="A3023" s="20" t="inlineStr">
        <is>
          <t>SAY (Rs.) — final DAR rate</t>
        </is>
      </c>
      <c r="B3023" s="21" t="n"/>
      <c r="C3023" s="21" t="n"/>
      <c r="D3023" s="21" t="n"/>
      <c r="E3023" s="21" t="n"/>
      <c r="F3023" s="22" t="n">
        <v>4851.25</v>
      </c>
    </row>
    <row r="3025" ht="28" customHeight="1">
      <c r="A3025" s="9" t="inlineStr">
        <is>
          <t>9.129</t>
        </is>
      </c>
      <c r="B3025" s="10" t="inlineStr">
        <is>
          <t>Providing and fixing cup board shutters 25 mm thick, with Pre-laminated flat pressed three layer particle board or graded wood particle boar</t>
        </is>
      </c>
      <c r="C3025" s="11" t="n"/>
      <c r="D3025" s="11" t="n"/>
      <c r="E3025" s="11" t="n"/>
      <c r="F3025" s="11" t="n"/>
    </row>
    <row r="3026">
      <c r="A3026" s="12" t="inlineStr">
        <is>
          <t>Rate basis: per sqm  (source: cost for 2.2 sqm)</t>
        </is>
      </c>
    </row>
    <row r="3027">
      <c r="A3027" s="5" t="inlineStr">
        <is>
          <t>Code</t>
        </is>
      </c>
      <c r="B3027" s="5" t="inlineStr">
        <is>
          <t>Description</t>
        </is>
      </c>
      <c r="C3027" s="5" t="inlineStr">
        <is>
          <t>Unit</t>
        </is>
      </c>
      <c r="D3027" s="5" t="inlineStr">
        <is>
          <t>Quantity</t>
        </is>
      </c>
      <c r="E3027" s="5" t="inlineStr">
        <is>
          <t>Rate (Rs.)</t>
        </is>
      </c>
      <c r="F3027" s="5" t="inlineStr">
        <is>
          <t>Amount (Rs.)</t>
        </is>
      </c>
    </row>
    <row r="3028">
      <c r="A3028" s="13" t="inlineStr">
        <is>
          <t>7272</t>
        </is>
      </c>
      <c r="B3028" s="14" t="inlineStr">
        <is>
          <t>25 mm thick melamine faced prelam inated three layer particle board</t>
        </is>
      </c>
      <c r="C3028" s="13" t="inlineStr">
        <is>
          <t>sqm</t>
        </is>
      </c>
      <c r="D3028" s="15" t="n">
        <v>2.2</v>
      </c>
      <c r="E3028" s="16" t="n">
        <v>900</v>
      </c>
      <c r="F3028" s="16">
        <f>D3028*E3028</f>
        <v/>
      </c>
    </row>
    <row r="3029">
      <c r="A3029" s="13" t="inlineStr">
        <is>
          <t>9977</t>
        </is>
      </c>
      <c r="B3029" s="14" t="inlineStr">
        <is>
          <t>CARRIAGE</t>
        </is>
      </c>
      <c r="C3029" s="13" t="inlineStr">
        <is>
          <t>L.S.</t>
        </is>
      </c>
      <c r="D3029" s="15" t="n">
        <v>29.64</v>
      </c>
      <c r="E3029" s="16" t="n">
        <v>2</v>
      </c>
      <c r="F3029" s="16">
        <f>D3029*E3029</f>
        <v/>
      </c>
    </row>
    <row r="3030">
      <c r="A3030" s="13" t="inlineStr">
        <is>
          <t>8678</t>
        </is>
      </c>
      <c r="B3030" s="14" t="inlineStr">
        <is>
          <t>1mm thick 35mm wide bright finished stainless steel piano hinges .</t>
        </is>
      </c>
      <c r="C3030" s="13" t="inlineStr">
        <is>
          <t>metre</t>
        </is>
      </c>
      <c r="D3030" s="15" t="n">
        <v>4.4</v>
      </c>
      <c r="E3030" s="16" t="n">
        <v>42</v>
      </c>
      <c r="F3030" s="16">
        <f>D3030*E3030</f>
        <v/>
      </c>
    </row>
    <row r="3031">
      <c r="A3031" s="13" t="inlineStr">
        <is>
          <t>0685</t>
        </is>
      </c>
      <c r="B3031" s="14" t="inlineStr">
        <is>
          <t>Oxidised mild steel screws 25 mm</t>
        </is>
      </c>
      <c r="C3031" s="13" t="inlineStr">
        <is>
          <t>100 Nos</t>
        </is>
      </c>
      <c r="D3031" s="15" t="n">
        <v>1.25</v>
      </c>
      <c r="E3031" s="16" t="n">
        <v>36</v>
      </c>
      <c r="F3031" s="16">
        <f>D3031*E3031</f>
        <v/>
      </c>
    </row>
    <row r="3032">
      <c r="A3032" s="13" t="inlineStr">
        <is>
          <t>0111</t>
        </is>
      </c>
      <c r="B3032" s="14" t="inlineStr">
        <is>
          <t>Carpenter 1st class</t>
        </is>
      </c>
      <c r="C3032" s="13" t="inlineStr">
        <is>
          <t>day</t>
        </is>
      </c>
      <c r="D3032" s="15" t="n">
        <v>0.5</v>
      </c>
      <c r="E3032" s="16" t="n">
        <v>738</v>
      </c>
      <c r="F3032" s="16">
        <f>D3032*E3032</f>
        <v/>
      </c>
    </row>
    <row r="3033">
      <c r="A3033" s="13" t="inlineStr">
        <is>
          <t>0114</t>
        </is>
      </c>
      <c r="B3033" s="14" t="inlineStr">
        <is>
          <t>Beldar</t>
        </is>
      </c>
      <c r="C3033" s="13" t="inlineStr">
        <is>
          <t>day</t>
        </is>
      </c>
      <c r="D3033" s="15" t="n">
        <v>0.5</v>
      </c>
      <c r="E3033" s="16" t="n">
        <v>558</v>
      </c>
      <c r="F3033" s="16">
        <f>D3033*E3033</f>
        <v/>
      </c>
    </row>
    <row r="3034">
      <c r="A3034" s="13" t="inlineStr">
        <is>
          <t>0130</t>
        </is>
      </c>
      <c r="B3034" s="14" t="inlineStr">
        <is>
          <t>Mistry</t>
        </is>
      </c>
      <c r="C3034" s="13" t="inlineStr">
        <is>
          <t>day</t>
        </is>
      </c>
      <c r="D3034" s="15" t="n">
        <v>0.07000000000000001</v>
      </c>
      <c r="E3034" s="16" t="n">
        <v>738</v>
      </c>
      <c r="F3034" s="16">
        <f>D3034*E3034</f>
        <v/>
      </c>
    </row>
    <row r="3035">
      <c r="A3035" s="13" t="inlineStr">
        <is>
          <t>7271</t>
        </is>
      </c>
      <c r="B3035" s="14" t="inlineStr">
        <is>
          <t>IInd class teak wood lipping 25 mm wide x 12 mm thick</t>
        </is>
      </c>
      <c r="C3035" s="13" t="inlineStr">
        <is>
          <t>metre</t>
        </is>
      </c>
      <c r="D3035" s="15" t="n">
        <v>7</v>
      </c>
      <c r="E3035" s="16" t="n">
        <v>29</v>
      </c>
      <c r="F3035" s="16">
        <f>D3035*E3035</f>
        <v/>
      </c>
    </row>
    <row r="3036">
      <c r="A3036" s="17" t="inlineStr">
        <is>
          <t>Resource Total (Material + Labour + Machinery, as printed)</t>
        </is>
      </c>
      <c r="B3036" s="18" t="n"/>
      <c r="C3036" s="18" t="n"/>
      <c r="D3036" s="18" t="n"/>
      <c r="E3036" s="18" t="n"/>
      <c r="F3036" s="19">
        <f>SUM(F3028:F3035)</f>
        <v/>
      </c>
    </row>
    <row r="3037">
      <c r="A3037" s="20" t="inlineStr">
        <is>
          <t>SAY (Rs.) — final DAR rate</t>
        </is>
      </c>
      <c r="B3037" s="21" t="n"/>
      <c r="C3037" s="21" t="n"/>
      <c r="D3037" s="21" t="n"/>
      <c r="E3037" s="21" t="n"/>
      <c r="F3037" s="22" t="n">
        <v>1928.9</v>
      </c>
    </row>
    <row r="3039" ht="18" customHeight="1">
      <c r="A3039" s="9" t="inlineStr">
        <is>
          <t>9.130.1</t>
        </is>
      </c>
      <c r="B3039" s="10" t="inlineStr">
        <is>
          <t>With decorative veneering on one side and commercial veneering on other side</t>
        </is>
      </c>
      <c r="C3039" s="11" t="n"/>
      <c r="D3039" s="11" t="n"/>
      <c r="E3039" s="11" t="n"/>
      <c r="F3039" s="11" t="n"/>
    </row>
    <row r="3040">
      <c r="A3040" s="12" t="inlineStr">
        <is>
          <t>Rate basis: per sqm  (source: cost for 2.2 sqm)</t>
        </is>
      </c>
    </row>
    <row r="3041">
      <c r="A3041" s="5" t="inlineStr">
        <is>
          <t>Code</t>
        </is>
      </c>
      <c r="B3041" s="5" t="inlineStr">
        <is>
          <t>Description</t>
        </is>
      </c>
      <c r="C3041" s="5" t="inlineStr">
        <is>
          <t>Unit</t>
        </is>
      </c>
      <c r="D3041" s="5" t="inlineStr">
        <is>
          <t>Quantity</t>
        </is>
      </c>
      <c r="E3041" s="5" t="inlineStr">
        <is>
          <t>Rate (Rs.)</t>
        </is>
      </c>
      <c r="F3041" s="5" t="inlineStr">
        <is>
          <t>Amount (Rs.)</t>
        </is>
      </c>
    </row>
    <row r="3042">
      <c r="A3042" s="13" t="inlineStr">
        <is>
          <t>7269</t>
        </is>
      </c>
      <c r="B3042" s="14" t="inlineStr">
        <is>
          <t>25 mm thick particle board</t>
        </is>
      </c>
      <c r="C3042" s="13" t="inlineStr">
        <is>
          <t>sqm</t>
        </is>
      </c>
      <c r="D3042" s="15" t="n">
        <v>2.2</v>
      </c>
      <c r="E3042" s="16" t="n">
        <v>460</v>
      </c>
      <c r="F3042" s="16">
        <f>D3042*E3042</f>
        <v/>
      </c>
    </row>
    <row r="3043">
      <c r="A3043" s="13" t="inlineStr">
        <is>
          <t>0346</t>
        </is>
      </c>
      <c r="B3043" s="14" t="inlineStr">
        <is>
          <t>Extra for veneered particle board with Teak veneering on one side and commercial veneered on other side</t>
        </is>
      </c>
      <c r="C3043" s="13" t="inlineStr">
        <is>
          <t>sqm</t>
        </is>
      </c>
      <c r="D3043" s="15" t="n">
        <v>2.2</v>
      </c>
      <c r="E3043" s="16" t="n">
        <v>230</v>
      </c>
      <c r="F3043" s="16">
        <f>D3043*E3043</f>
        <v/>
      </c>
    </row>
    <row r="3044">
      <c r="A3044" s="13" t="inlineStr">
        <is>
          <t>9977</t>
        </is>
      </c>
      <c r="B3044" s="14" t="inlineStr">
        <is>
          <t>CARRIAGE</t>
        </is>
      </c>
      <c r="C3044" s="13" t="inlineStr">
        <is>
          <t>L.S.</t>
        </is>
      </c>
      <c r="D3044" s="15" t="n">
        <v>29.64</v>
      </c>
      <c r="E3044" s="16" t="n">
        <v>2</v>
      </c>
      <c r="F3044" s="16">
        <f>D3044*E3044</f>
        <v/>
      </c>
    </row>
    <row r="3045">
      <c r="A3045" s="13" t="inlineStr">
        <is>
          <t>8678</t>
        </is>
      </c>
      <c r="B3045" s="14" t="inlineStr">
        <is>
          <t>1mm thick 35mm wide bright finished stainless steel piano hinges .</t>
        </is>
      </c>
      <c r="C3045" s="13" t="inlineStr">
        <is>
          <t>metre</t>
        </is>
      </c>
      <c r="D3045" s="15" t="n">
        <v>4.4</v>
      </c>
      <c r="E3045" s="16" t="n">
        <v>42</v>
      </c>
      <c r="F3045" s="16">
        <f>D3045*E3045</f>
        <v/>
      </c>
    </row>
    <row r="3046">
      <c r="A3046" s="13" t="inlineStr">
        <is>
          <t>0685</t>
        </is>
      </c>
      <c r="B3046" s="14" t="inlineStr">
        <is>
          <t>Oxidised mild steel screws 25 mm</t>
        </is>
      </c>
      <c r="C3046" s="13" t="inlineStr">
        <is>
          <t>100 Nos</t>
        </is>
      </c>
      <c r="D3046" s="15" t="n">
        <v>1.25</v>
      </c>
      <c r="E3046" s="16" t="n">
        <v>36</v>
      </c>
      <c r="F3046" s="16">
        <f>D3046*E3046</f>
        <v/>
      </c>
    </row>
    <row r="3047">
      <c r="A3047" s="13" t="inlineStr">
        <is>
          <t>0111</t>
        </is>
      </c>
      <c r="B3047" s="14" t="inlineStr">
        <is>
          <t>Carpenter 1st class</t>
        </is>
      </c>
      <c r="C3047" s="13" t="inlineStr">
        <is>
          <t>day</t>
        </is>
      </c>
      <c r="D3047" s="15" t="n">
        <v>0.5</v>
      </c>
      <c r="E3047" s="16" t="n">
        <v>738</v>
      </c>
      <c r="F3047" s="16">
        <f>D3047*E3047</f>
        <v/>
      </c>
    </row>
    <row r="3048">
      <c r="A3048" s="13" t="inlineStr">
        <is>
          <t>0114</t>
        </is>
      </c>
      <c r="B3048" s="14" t="inlineStr">
        <is>
          <t>Beldar</t>
        </is>
      </c>
      <c r="C3048" s="13" t="inlineStr">
        <is>
          <t>day</t>
        </is>
      </c>
      <c r="D3048" s="15" t="n">
        <v>0.5</v>
      </c>
      <c r="E3048" s="16" t="n">
        <v>558</v>
      </c>
      <c r="F3048" s="16">
        <f>D3048*E3048</f>
        <v/>
      </c>
    </row>
    <row r="3049">
      <c r="A3049" s="13" t="inlineStr">
        <is>
          <t>0130</t>
        </is>
      </c>
      <c r="B3049" s="14" t="inlineStr">
        <is>
          <t>Mistry</t>
        </is>
      </c>
      <c r="C3049" s="13" t="inlineStr">
        <is>
          <t>day</t>
        </is>
      </c>
      <c r="D3049" s="15" t="n">
        <v>0.07000000000000001</v>
      </c>
      <c r="E3049" s="16" t="n">
        <v>738</v>
      </c>
      <c r="F3049" s="16">
        <f>D3049*E3049</f>
        <v/>
      </c>
    </row>
    <row r="3050">
      <c r="A3050" s="13" t="inlineStr">
        <is>
          <t>7271</t>
        </is>
      </c>
      <c r="B3050" s="14" t="inlineStr">
        <is>
          <t>IInd class teak wood lipping 25 mm wide x 12 mm thick</t>
        </is>
      </c>
      <c r="C3050" s="13" t="inlineStr">
        <is>
          <t>metre</t>
        </is>
      </c>
      <c r="D3050" s="15" t="n">
        <v>7</v>
      </c>
      <c r="E3050" s="16" t="n">
        <v>29</v>
      </c>
      <c r="F3050" s="16">
        <f>D3050*E3050</f>
        <v/>
      </c>
    </row>
    <row r="3051">
      <c r="A3051" s="17" t="inlineStr">
        <is>
          <t>Resource Total (Material + Labour + Machinery, as printed)</t>
        </is>
      </c>
      <c r="B3051" s="18" t="n"/>
      <c r="C3051" s="18" t="n"/>
      <c r="D3051" s="18" t="n"/>
      <c r="E3051" s="18" t="n"/>
      <c r="F3051" s="19">
        <f>SUM(F3042:F3050)</f>
        <v/>
      </c>
    </row>
    <row r="3052">
      <c r="A3052" s="20" t="inlineStr">
        <is>
          <t>SAY (Rs.) — final DAR rate</t>
        </is>
      </c>
      <c r="B3052" s="21" t="n"/>
      <c r="C3052" s="21" t="n"/>
      <c r="D3052" s="21" t="n"/>
      <c r="E3052" s="21" t="n"/>
      <c r="F3052" s="22" t="n">
        <v>1647.95</v>
      </c>
    </row>
    <row r="3054" ht="18" customHeight="1">
      <c r="A3054" s="9" t="inlineStr">
        <is>
          <t>9.130.2</t>
        </is>
      </c>
      <c r="B3054" s="10" t="inlineStr">
        <is>
          <t>With non decorative veneering on both sides</t>
        </is>
      </c>
      <c r="C3054" s="11" t="n"/>
      <c r="D3054" s="11" t="n"/>
      <c r="E3054" s="11" t="n"/>
      <c r="F3054" s="11" t="n"/>
    </row>
    <row r="3055">
      <c r="A3055" s="12" t="inlineStr">
        <is>
          <t>Rate basis: per sqm  (source: cost for 2.2 sqm)</t>
        </is>
      </c>
    </row>
    <row r="3056">
      <c r="A3056" s="5" t="inlineStr">
        <is>
          <t>Code</t>
        </is>
      </c>
      <c r="B3056" s="5" t="inlineStr">
        <is>
          <t>Description</t>
        </is>
      </c>
      <c r="C3056" s="5" t="inlineStr">
        <is>
          <t>Unit</t>
        </is>
      </c>
      <c r="D3056" s="5" t="inlineStr">
        <is>
          <t>Quantity</t>
        </is>
      </c>
      <c r="E3056" s="5" t="inlineStr">
        <is>
          <t>Rate (Rs.)</t>
        </is>
      </c>
      <c r="F3056" s="5" t="inlineStr">
        <is>
          <t>Amount (Rs.)</t>
        </is>
      </c>
    </row>
    <row r="3057">
      <c r="A3057" s="13" t="inlineStr">
        <is>
          <t>7269</t>
        </is>
      </c>
      <c r="B3057" s="14" t="inlineStr">
        <is>
          <t>25 mm thick particle board</t>
        </is>
      </c>
      <c r="C3057" s="13" t="inlineStr">
        <is>
          <t>sqm</t>
        </is>
      </c>
      <c r="D3057" s="15" t="n">
        <v>2.2</v>
      </c>
      <c r="E3057" s="16" t="n">
        <v>460</v>
      </c>
      <c r="F3057" s="16">
        <f>D3057*E3057</f>
        <v/>
      </c>
    </row>
    <row r="3058">
      <c r="A3058" s="13" t="inlineStr">
        <is>
          <t>0347</t>
        </is>
      </c>
      <c r="B3058" s="14" t="inlineStr">
        <is>
          <t>Extra for veneered particle board with Commercial veneering on both sides</t>
        </is>
      </c>
      <c r="C3058" s="13" t="inlineStr">
        <is>
          <t>sqm</t>
        </is>
      </c>
      <c r="D3058" s="15" t="n">
        <v>2.2</v>
      </c>
      <c r="E3058" s="16" t="n">
        <v>155</v>
      </c>
      <c r="F3058" s="16">
        <f>D3058*E3058</f>
        <v/>
      </c>
    </row>
    <row r="3059">
      <c r="A3059" s="13" t="inlineStr">
        <is>
          <t>9977</t>
        </is>
      </c>
      <c r="B3059" s="14" t="inlineStr">
        <is>
          <t>CARRIAGE</t>
        </is>
      </c>
      <c r="C3059" s="13" t="inlineStr">
        <is>
          <t>L.S.</t>
        </is>
      </c>
      <c r="D3059" s="15" t="n">
        <v>29.64</v>
      </c>
      <c r="E3059" s="16" t="n">
        <v>2</v>
      </c>
      <c r="F3059" s="16">
        <f>D3059*E3059</f>
        <v/>
      </c>
    </row>
    <row r="3060">
      <c r="A3060" s="13" t="inlineStr">
        <is>
          <t>8678</t>
        </is>
      </c>
      <c r="B3060" s="14" t="inlineStr">
        <is>
          <t>1mm thick 35mm wide bright finished stainless steel piano hinges .</t>
        </is>
      </c>
      <c r="C3060" s="13" t="inlineStr">
        <is>
          <t>metre</t>
        </is>
      </c>
      <c r="D3060" s="15" t="n">
        <v>4.4</v>
      </c>
      <c r="E3060" s="16" t="n">
        <v>42</v>
      </c>
      <c r="F3060" s="16">
        <f>D3060*E3060</f>
        <v/>
      </c>
    </row>
    <row r="3061">
      <c r="A3061" s="13" t="inlineStr">
        <is>
          <t>0685</t>
        </is>
      </c>
      <c r="B3061" s="14" t="inlineStr">
        <is>
          <t>Oxidised mild steel screws 25 mm</t>
        </is>
      </c>
      <c r="C3061" s="13" t="inlineStr">
        <is>
          <t>100 Nos</t>
        </is>
      </c>
      <c r="D3061" s="15" t="n">
        <v>1.25</v>
      </c>
      <c r="E3061" s="16" t="n">
        <v>36</v>
      </c>
      <c r="F3061" s="16">
        <f>D3061*E3061</f>
        <v/>
      </c>
    </row>
    <row r="3062">
      <c r="A3062" s="13" t="inlineStr">
        <is>
          <t>0111</t>
        </is>
      </c>
      <c r="B3062" s="14" t="inlineStr">
        <is>
          <t>Carpenter 1st class</t>
        </is>
      </c>
      <c r="C3062" s="13" t="inlineStr">
        <is>
          <t>day</t>
        </is>
      </c>
      <c r="D3062" s="15" t="n">
        <v>0.5</v>
      </c>
      <c r="E3062" s="16" t="n">
        <v>738</v>
      </c>
      <c r="F3062" s="16">
        <f>D3062*E3062</f>
        <v/>
      </c>
    </row>
    <row r="3063">
      <c r="A3063" s="13" t="inlineStr">
        <is>
          <t>0114</t>
        </is>
      </c>
      <c r="B3063" s="14" t="inlineStr">
        <is>
          <t>Beldar</t>
        </is>
      </c>
      <c r="C3063" s="13" t="inlineStr">
        <is>
          <t>day</t>
        </is>
      </c>
      <c r="D3063" s="15" t="n">
        <v>0.5</v>
      </c>
      <c r="E3063" s="16" t="n">
        <v>558</v>
      </c>
      <c r="F3063" s="16">
        <f>D3063*E3063</f>
        <v/>
      </c>
    </row>
    <row r="3064">
      <c r="A3064" s="13" t="inlineStr">
        <is>
          <t>0130</t>
        </is>
      </c>
      <c r="B3064" s="14" t="inlineStr">
        <is>
          <t>Mistry</t>
        </is>
      </c>
      <c r="C3064" s="13" t="inlineStr">
        <is>
          <t>day</t>
        </is>
      </c>
      <c r="D3064" s="15" t="n">
        <v>0.07000000000000001</v>
      </c>
      <c r="E3064" s="16" t="n">
        <v>738</v>
      </c>
      <c r="F3064" s="16">
        <f>D3064*E3064</f>
        <v/>
      </c>
    </row>
    <row r="3065">
      <c r="A3065" s="13" t="inlineStr">
        <is>
          <t>7271</t>
        </is>
      </c>
      <c r="B3065" s="14" t="inlineStr">
        <is>
          <t>IInd class teak wood lipping 25 mm wide x 12 mm thick</t>
        </is>
      </c>
      <c r="C3065" s="13" t="inlineStr">
        <is>
          <t>metre</t>
        </is>
      </c>
      <c r="D3065" s="15" t="n">
        <v>7</v>
      </c>
      <c r="E3065" s="16" t="n">
        <v>29</v>
      </c>
      <c r="F3065" s="16">
        <f>D3065*E3065</f>
        <v/>
      </c>
    </row>
    <row r="3066">
      <c r="A3066" s="17" t="inlineStr">
        <is>
          <t>Resource Total (Material + Labour + Machinery, as printed)</t>
        </is>
      </c>
      <c r="B3066" s="18" t="n"/>
      <c r="C3066" s="18" t="n"/>
      <c r="D3066" s="18" t="n"/>
      <c r="E3066" s="18" t="n"/>
      <c r="F3066" s="19">
        <f>SUM(F3057:F3065)</f>
        <v/>
      </c>
    </row>
    <row r="3067">
      <c r="A3067" s="20" t="inlineStr">
        <is>
          <t>SAY (Rs.) — final DAR rate</t>
        </is>
      </c>
      <c r="B3067" s="21" t="n"/>
      <c r="C3067" s="21" t="n"/>
      <c r="D3067" s="21" t="n"/>
      <c r="E3067" s="21" t="n"/>
      <c r="F3067" s="22" t="n">
        <v>1547.6</v>
      </c>
    </row>
    <row r="3069" ht="18" customHeight="1">
      <c r="A3069" s="9" t="inlineStr">
        <is>
          <t>9.131.1</t>
        </is>
      </c>
      <c r="B3069" s="10" t="inlineStr">
        <is>
          <t>25 mm thick</t>
        </is>
      </c>
      <c r="C3069" s="11" t="n"/>
      <c r="D3069" s="11" t="n"/>
      <c r="E3069" s="11" t="n"/>
      <c r="F3069" s="11" t="n"/>
    </row>
    <row r="3070">
      <c r="A3070" s="12" t="inlineStr">
        <is>
          <t>Rate basis: per sqm  (source: cost for 2.1 sqm)</t>
        </is>
      </c>
    </row>
    <row r="3071">
      <c r="A3071" s="5" t="inlineStr">
        <is>
          <t>Code</t>
        </is>
      </c>
      <c r="B3071" s="5" t="inlineStr">
        <is>
          <t>Description</t>
        </is>
      </c>
      <c r="C3071" s="5" t="inlineStr">
        <is>
          <t>Unit</t>
        </is>
      </c>
      <c r="D3071" s="5" t="inlineStr">
        <is>
          <t>Quantity</t>
        </is>
      </c>
      <c r="E3071" s="5" t="inlineStr">
        <is>
          <t>Rate (Rs.)</t>
        </is>
      </c>
      <c r="F3071" s="5" t="inlineStr">
        <is>
          <t>Amount (Rs.)</t>
        </is>
      </c>
    </row>
    <row r="3072">
      <c r="A3072" s="13" t="inlineStr">
        <is>
          <t>7445</t>
        </is>
      </c>
      <c r="B3072" s="14" t="inlineStr">
        <is>
          <t>25 mm prelaminated flush door both side decorative</t>
        </is>
      </c>
      <c r="C3072" s="13" t="inlineStr">
        <is>
          <t>sqm</t>
        </is>
      </c>
      <c r="D3072" s="15" t="n">
        <v>2.21</v>
      </c>
      <c r="E3072" s="16" t="n">
        <v>800</v>
      </c>
      <c r="F3072" s="16">
        <f>D3072*E3072</f>
        <v/>
      </c>
    </row>
    <row r="3073">
      <c r="A3073" s="13" t="inlineStr">
        <is>
          <t>7443</t>
        </is>
      </c>
      <c r="B3073" s="14" t="inlineStr">
        <is>
          <t>Aluminium single cleat of size 30x32x3</t>
        </is>
      </c>
      <c r="C3073" s="13" t="inlineStr">
        <is>
          <t>each</t>
        </is>
      </c>
      <c r="D3073" s="15" t="n">
        <v>4</v>
      </c>
      <c r="E3073" s="16" t="n">
        <v>14</v>
      </c>
      <c r="F3073" s="16">
        <f>D3073*E3073</f>
        <v/>
      </c>
    </row>
    <row r="3074">
      <c r="A3074" s="13" t="inlineStr">
        <is>
          <t>7444</t>
        </is>
      </c>
      <c r="B3074" s="14" t="inlineStr">
        <is>
          <t>Aluminium grip strip of size 50x12x2</t>
        </is>
      </c>
      <c r="C3074" s="13" t="inlineStr">
        <is>
          <t>each</t>
        </is>
      </c>
      <c r="D3074" s="15" t="n">
        <v>8</v>
      </c>
      <c r="E3074" s="16" t="n">
        <v>11</v>
      </c>
      <c r="F3074" s="16">
        <f>D3074*E3074</f>
        <v/>
      </c>
    </row>
    <row r="3075">
      <c r="A3075" s="13" t="inlineStr">
        <is>
          <t>0834</t>
        </is>
      </c>
      <c r="B3075" s="14" t="inlineStr">
        <is>
          <t>Synthetic enamel paint in all shades except black or chocolate shade</t>
        </is>
      </c>
      <c r="C3075" s="13" t="inlineStr">
        <is>
          <t>litre</t>
        </is>
      </c>
      <c r="D3075" s="15" t="n">
        <v>0.15</v>
      </c>
      <c r="E3075" s="16" t="n">
        <v>160</v>
      </c>
      <c r="F3075" s="16">
        <f>D3075*E3075</f>
        <v/>
      </c>
    </row>
    <row r="3076">
      <c r="A3076" s="13" t="inlineStr">
        <is>
          <t>9988</t>
        </is>
      </c>
      <c r="B3076" s="14" t="inlineStr">
        <is>
          <t>Carriage of materials including loading and unloading</t>
        </is>
      </c>
      <c r="C3076" s="13" t="inlineStr">
        <is>
          <t>L.S.</t>
        </is>
      </c>
      <c r="D3076" s="15" t="n">
        <v>19.5</v>
      </c>
      <c r="E3076" s="16" t="n">
        <v>2</v>
      </c>
      <c r="F3076" s="16">
        <f>D3076*E3076</f>
        <v/>
      </c>
    </row>
    <row r="3077">
      <c r="A3077" s="13" t="inlineStr">
        <is>
          <t>9999</t>
        </is>
      </c>
      <c r="B3077" s="14" t="inlineStr">
        <is>
          <t>Sundries and screws etc.</t>
        </is>
      </c>
      <c r="C3077" s="13" t="inlineStr">
        <is>
          <t>L.S.</t>
        </is>
      </c>
      <c r="D3077" s="15" t="n">
        <v>39</v>
      </c>
      <c r="E3077" s="16" t="n">
        <v>2</v>
      </c>
      <c r="F3077" s="16">
        <f>D3077*E3077</f>
        <v/>
      </c>
    </row>
    <row r="3078">
      <c r="A3078" s="13" t="inlineStr">
        <is>
          <t>0112</t>
        </is>
      </c>
      <c r="B3078" s="14" t="inlineStr">
        <is>
          <t>Carpenter 2nd class</t>
        </is>
      </c>
      <c r="C3078" s="13" t="inlineStr">
        <is>
          <t>day</t>
        </is>
      </c>
      <c r="D3078" s="15" t="n">
        <v>0.27</v>
      </c>
      <c r="E3078" s="16" t="n">
        <v>679</v>
      </c>
      <c r="F3078" s="16">
        <f>D3078*E3078</f>
        <v/>
      </c>
    </row>
    <row r="3079">
      <c r="A3079" s="13" t="inlineStr">
        <is>
          <t>0114</t>
        </is>
      </c>
      <c r="B3079" s="14" t="inlineStr">
        <is>
          <t>Beldar</t>
        </is>
      </c>
      <c r="C3079" s="13" t="inlineStr">
        <is>
          <t>day</t>
        </is>
      </c>
      <c r="D3079" s="15" t="n">
        <v>0.3</v>
      </c>
      <c r="E3079" s="16" t="n">
        <v>558</v>
      </c>
      <c r="F3079" s="16">
        <f>D3079*E3079</f>
        <v/>
      </c>
    </row>
    <row r="3080">
      <c r="A3080" s="17" t="inlineStr">
        <is>
          <t>Resource Total (Material + Labour + Machinery, as printed)</t>
        </is>
      </c>
      <c r="B3080" s="18" t="n"/>
      <c r="C3080" s="18" t="n"/>
      <c r="D3080" s="18" t="n"/>
      <c r="E3080" s="18" t="n"/>
      <c r="F3080" s="19">
        <f>SUM(F3072:F3079)</f>
        <v/>
      </c>
    </row>
    <row r="3081">
      <c r="A3081" s="20" t="inlineStr">
        <is>
          <t>SAY (Rs.) — final DAR rate</t>
        </is>
      </c>
      <c r="B3081" s="21" t="n"/>
      <c r="C3081" s="21" t="n"/>
      <c r="D3081" s="21" t="n"/>
      <c r="E3081" s="21" t="n"/>
      <c r="F3081" s="22" t="n">
        <v>1531.45</v>
      </c>
    </row>
    <row r="3083" ht="28" customHeight="1">
      <c r="A3083" s="9" t="inlineStr">
        <is>
          <t>9.132</t>
        </is>
      </c>
      <c r="B3083" s="10" t="inlineStr">
        <is>
          <t>Providing and fixing aluminum U beading of required size to Pre-laminated/flush door shutter, including fixing etc. complete as per directio</t>
        </is>
      </c>
      <c r="C3083" s="11" t="n"/>
      <c r="D3083" s="11" t="n"/>
      <c r="E3083" s="11" t="n"/>
      <c r="F3083" s="11" t="n"/>
    </row>
    <row r="3084">
      <c r="A3084" s="12" t="inlineStr">
        <is>
          <t>Rate basis: per kg  (source: cost for 1 kg)</t>
        </is>
      </c>
    </row>
    <row r="3085">
      <c r="A3085" s="5" t="inlineStr">
        <is>
          <t>Code</t>
        </is>
      </c>
      <c r="B3085" s="5" t="inlineStr">
        <is>
          <t>Description</t>
        </is>
      </c>
      <c r="C3085" s="5" t="inlineStr">
        <is>
          <t>Unit</t>
        </is>
      </c>
      <c r="D3085" s="5" t="inlineStr">
        <is>
          <t>Quantity</t>
        </is>
      </c>
      <c r="E3085" s="5" t="inlineStr">
        <is>
          <t>Rate (Rs.)</t>
        </is>
      </c>
      <c r="F3085" s="5" t="inlineStr">
        <is>
          <t>Amount (Rs.)</t>
        </is>
      </c>
    </row>
    <row r="3086">
      <c r="A3086" s="13" t="inlineStr">
        <is>
          <t>7449</t>
        </is>
      </c>
      <c r="B3086" s="14" t="inlineStr">
        <is>
          <t>Aluminium U beading</t>
        </is>
      </c>
      <c r="C3086" s="13" t="inlineStr">
        <is>
          <t>kilogram</t>
        </is>
      </c>
      <c r="D3086" s="15" t="n">
        <v>1.1</v>
      </c>
      <c r="E3086" s="16" t="n">
        <v>210</v>
      </c>
      <c r="F3086" s="16">
        <f>D3086*E3086</f>
        <v/>
      </c>
    </row>
    <row r="3087">
      <c r="A3087" s="13" t="inlineStr">
        <is>
          <t>9999</t>
        </is>
      </c>
      <c r="B3087" s="14" t="inlineStr">
        <is>
          <t>Anodized 15 micron</t>
        </is>
      </c>
      <c r="C3087" s="13" t="inlineStr">
        <is>
          <t>L.S.</t>
        </is>
      </c>
      <c r="D3087" s="15" t="n">
        <v>65</v>
      </c>
      <c r="E3087" s="16" t="n">
        <v>2</v>
      </c>
      <c r="F3087" s="16">
        <f>D3087*E3087</f>
        <v/>
      </c>
    </row>
    <row r="3088">
      <c r="A3088" s="17" t="inlineStr">
        <is>
          <t>Resource Total (Material + Labour + Machinery, as printed)</t>
        </is>
      </c>
      <c r="B3088" s="18" t="n"/>
      <c r="C3088" s="18" t="n"/>
      <c r="D3088" s="18" t="n"/>
      <c r="E3088" s="18" t="n"/>
      <c r="F3088" s="19">
        <f>SUM(F3086:F3087)</f>
        <v/>
      </c>
    </row>
    <row r="3089">
      <c r="A3089" s="20" t="inlineStr">
        <is>
          <t>SAY (Rs.) — final DAR rate</t>
        </is>
      </c>
      <c r="B3089" s="21" t="n"/>
      <c r="C3089" s="21" t="n"/>
      <c r="D3089" s="21" t="n"/>
      <c r="E3089" s="21" t="n"/>
      <c r="F3089" s="22" t="n">
        <v>517.8</v>
      </c>
    </row>
    <row r="3091" ht="18" customHeight="1">
      <c r="A3091" s="9" t="inlineStr">
        <is>
          <t>9.133.1.1</t>
        </is>
      </c>
      <c r="B3091" s="10" t="inlineStr">
        <is>
          <t>10 mm thick</t>
        </is>
      </c>
      <c r="C3091" s="11" t="n"/>
      <c r="D3091" s="11" t="n"/>
      <c r="E3091" s="11" t="n"/>
      <c r="F3091" s="11" t="n"/>
    </row>
    <row r="3092">
      <c r="A3092" s="12" t="inlineStr">
        <is>
          <t>Rate basis: per m  (source: cost for 3.66 m)</t>
        </is>
      </c>
    </row>
    <row r="3093">
      <c r="A3093" s="5" t="inlineStr">
        <is>
          <t>Code</t>
        </is>
      </c>
      <c r="B3093" s="5" t="inlineStr">
        <is>
          <t>Description</t>
        </is>
      </c>
      <c r="C3093" s="5" t="inlineStr">
        <is>
          <t>Unit</t>
        </is>
      </c>
      <c r="D3093" s="5" t="inlineStr">
        <is>
          <t>Quantity</t>
        </is>
      </c>
      <c r="E3093" s="5" t="inlineStr">
        <is>
          <t>Rate (Rs.)</t>
        </is>
      </c>
      <c r="F3093" s="5" t="inlineStr">
        <is>
          <t>Amount (Rs.)</t>
        </is>
      </c>
    </row>
    <row r="3094">
      <c r="A3094" s="13" t="inlineStr">
        <is>
          <t>8700</t>
        </is>
      </c>
      <c r="B3094" s="14" t="inlineStr">
        <is>
          <t>10 mm thick calcium silicate board.</t>
        </is>
      </c>
      <c r="C3094" s="13" t="inlineStr">
        <is>
          <t>sqm</t>
        </is>
      </c>
      <c r="D3094" s="15" t="n">
        <v>12.28</v>
      </c>
      <c r="E3094" s="16" t="n">
        <v>420</v>
      </c>
      <c r="F3094" s="16">
        <f>D3094*E3094</f>
        <v/>
      </c>
    </row>
    <row r="3095">
      <c r="A3095" s="13" t="inlineStr">
        <is>
          <t>8720</t>
        </is>
      </c>
      <c r="B3095" s="14" t="inlineStr">
        <is>
          <t>Ceiling sections 0.55 mm thick having a knurled web of 51.55mm and two flanges of 26mm each with lips of 10.55mm.</t>
        </is>
      </c>
      <c r="C3095" s="13" t="inlineStr">
        <is>
          <t>metre</t>
        </is>
      </c>
      <c r="D3095" s="15" t="n">
        <v>19.66</v>
      </c>
      <c r="E3095" s="16" t="n">
        <v>35</v>
      </c>
      <c r="F3095" s="16">
        <f>D3095*E3095</f>
        <v/>
      </c>
    </row>
    <row r="3096">
      <c r="A3096" s="13" t="inlineStr">
        <is>
          <t>8721</t>
        </is>
      </c>
      <c r="B3096" s="14" t="inlineStr">
        <is>
          <t>Perimeter channel having one flange of 20mm and another flange of 30mm with thickness of 0.55mm and web of length 27mm</t>
        </is>
      </c>
      <c r="C3096" s="13" t="inlineStr">
        <is>
          <t>metre</t>
        </is>
      </c>
      <c r="D3096" s="15" t="n">
        <v>9.6</v>
      </c>
      <c r="E3096" s="16" t="n">
        <v>22</v>
      </c>
      <c r="F3096" s="16">
        <f>D3096*E3096</f>
        <v/>
      </c>
    </row>
    <row r="3097">
      <c r="A3097" s="13" t="inlineStr">
        <is>
          <t>8722</t>
        </is>
      </c>
      <c r="B3097" s="14" t="inlineStr">
        <is>
          <t>Nylon sleeves &amp; wooden screws (40mm)</t>
        </is>
      </c>
      <c r="C3097" s="13" t="inlineStr">
        <is>
          <t>each</t>
        </is>
      </c>
      <c r="D3097" s="15" t="n">
        <v>42</v>
      </c>
      <c r="E3097" s="16" t="n">
        <v>2</v>
      </c>
      <c r="F3097" s="16">
        <f>D3097*E3097</f>
        <v/>
      </c>
    </row>
    <row r="3098">
      <c r="A3098" s="13" t="inlineStr">
        <is>
          <t>8723</t>
        </is>
      </c>
      <c r="B3098" s="14" t="inlineStr">
        <is>
          <t>Counter sunk ribbed head screw 25 mm</t>
        </is>
      </c>
      <c r="C3098" s="13" t="inlineStr">
        <is>
          <t>100 Nos</t>
        </is>
      </c>
      <c r="D3098" s="15" t="n">
        <v>1.76</v>
      </c>
      <c r="E3098" s="16" t="n">
        <v>68</v>
      </c>
      <c r="F3098" s="16">
        <f>D3098*E3098</f>
        <v/>
      </c>
    </row>
    <row r="3099">
      <c r="A3099" s="13" t="inlineStr">
        <is>
          <t>9999</t>
        </is>
      </c>
      <c r="B3099" s="14" t="inlineStr">
        <is>
          <t>Jointing compound</t>
        </is>
      </c>
      <c r="C3099" s="13" t="inlineStr">
        <is>
          <t>L.S.</t>
        </is>
      </c>
      <c r="D3099" s="15" t="n">
        <v>20.8</v>
      </c>
      <c r="E3099" s="16" t="n">
        <v>2</v>
      </c>
      <c r="F3099" s="16">
        <f>D3099*E3099</f>
        <v/>
      </c>
    </row>
    <row r="3100">
      <c r="A3100" s="13" t="inlineStr">
        <is>
          <t>9999</t>
        </is>
      </c>
      <c r="B3100" s="14" t="inlineStr">
        <is>
          <t>Sundries i/c rawl plug, scaffolfing etc.</t>
        </is>
      </c>
      <c r="C3100" s="13" t="inlineStr">
        <is>
          <t>L.S.</t>
        </is>
      </c>
      <c r="D3100" s="15" t="n">
        <v>52</v>
      </c>
      <c r="E3100" s="16" t="n">
        <v>2</v>
      </c>
      <c r="F3100" s="16">
        <f>D3100*E3100</f>
        <v/>
      </c>
    </row>
    <row r="3101">
      <c r="A3101" s="13" t="inlineStr">
        <is>
          <t>9977</t>
        </is>
      </c>
      <c r="B3101" s="14" t="inlineStr">
        <is>
          <t>Carriage of materials</t>
        </is>
      </c>
      <c r="C3101" s="13" t="inlineStr">
        <is>
          <t>L.S.</t>
        </is>
      </c>
      <c r="D3101" s="15" t="n">
        <v>26</v>
      </c>
      <c r="E3101" s="16" t="n">
        <v>2</v>
      </c>
      <c r="F3101" s="16">
        <f>D3101*E3101</f>
        <v/>
      </c>
    </row>
    <row r="3102">
      <c r="A3102" s="13" t="inlineStr">
        <is>
          <t>0111</t>
        </is>
      </c>
      <c r="B3102" s="14" t="inlineStr">
        <is>
          <t>Carpenter 1st class</t>
        </is>
      </c>
      <c r="C3102" s="13" t="inlineStr">
        <is>
          <t>day</t>
        </is>
      </c>
      <c r="D3102" s="15" t="n">
        <v>3.8</v>
      </c>
      <c r="E3102" s="16" t="n">
        <v>738</v>
      </c>
      <c r="F3102" s="16">
        <f>D3102*E3102</f>
        <v/>
      </c>
    </row>
    <row r="3103">
      <c r="A3103" s="13" t="inlineStr">
        <is>
          <t>0114</t>
        </is>
      </c>
      <c r="B3103" s="14" t="inlineStr">
        <is>
          <t>Beldar</t>
        </is>
      </c>
      <c r="C3103" s="13" t="inlineStr">
        <is>
          <t>day</t>
        </is>
      </c>
      <c r="D3103" s="15" t="n">
        <v>4.6</v>
      </c>
      <c r="E3103" s="16" t="n">
        <v>558</v>
      </c>
      <c r="F3103" s="16">
        <f>D3103*E3103</f>
        <v/>
      </c>
    </row>
    <row r="3104">
      <c r="A3104" s="17" t="inlineStr">
        <is>
          <t>Resource Total (Material + Labour + Machinery, as printed)</t>
        </is>
      </c>
      <c r="B3104" s="18" t="n"/>
      <c r="C3104" s="18" t="n"/>
      <c r="D3104" s="18" t="n"/>
      <c r="E3104" s="18" t="n"/>
      <c r="F3104" s="19">
        <f>SUM(F3094:F3103)</f>
        <v/>
      </c>
    </row>
    <row r="3105">
      <c r="A3105" s="20" t="inlineStr">
        <is>
          <t>SAY (Rs.) — final DAR rate</t>
        </is>
      </c>
      <c r="B3105" s="21" t="n"/>
      <c r="C3105" s="21" t="n"/>
      <c r="D3105" s="21" t="n"/>
      <c r="E3105" s="21" t="n"/>
      <c r="F3105" s="22" t="n">
        <v>1420.45</v>
      </c>
    </row>
    <row r="3107" ht="18" customHeight="1">
      <c r="A3107" s="9" t="inlineStr">
        <is>
          <t>9.133.2.1</t>
        </is>
      </c>
      <c r="B3107" s="10" t="inlineStr">
        <is>
          <t>8 mm thick cement fibre board as per IS : 14862</t>
        </is>
      </c>
      <c r="C3107" s="11" t="n"/>
      <c r="D3107" s="11" t="n"/>
      <c r="E3107" s="11" t="n"/>
      <c r="F3107" s="11" t="n"/>
    </row>
    <row r="3108">
      <c r="A3108" s="12" t="inlineStr">
        <is>
          <t>Rate basis: per m  (source: cost for 3.66 m)</t>
        </is>
      </c>
    </row>
    <row r="3109">
      <c r="A3109" s="5" t="inlineStr">
        <is>
          <t>Code</t>
        </is>
      </c>
      <c r="B3109" s="5" t="inlineStr">
        <is>
          <t>Description</t>
        </is>
      </c>
      <c r="C3109" s="5" t="inlineStr">
        <is>
          <t>Unit</t>
        </is>
      </c>
      <c r="D3109" s="5" t="inlineStr">
        <is>
          <t>Quantity</t>
        </is>
      </c>
      <c r="E3109" s="5" t="inlineStr">
        <is>
          <t>Rate (Rs.)</t>
        </is>
      </c>
      <c r="F3109" s="5" t="inlineStr">
        <is>
          <t>Amount (Rs.)</t>
        </is>
      </c>
    </row>
    <row r="3110">
      <c r="A3110" s="13" t="inlineStr">
        <is>
          <t>0237</t>
        </is>
      </c>
      <c r="B3110" s="14" t="inlineStr">
        <is>
          <t>Multi purpose fibre (high impact poly propelene reinforced) cement board 8mm thick.</t>
        </is>
      </c>
      <c r="C3110" s="13" t="inlineStr">
        <is>
          <t>sqm</t>
        </is>
      </c>
      <c r="D3110" s="15" t="n">
        <v>12.28</v>
      </c>
      <c r="E3110" s="16" t="n">
        <v>220</v>
      </c>
      <c r="F3110" s="16">
        <f>D3110*E3110</f>
        <v/>
      </c>
    </row>
    <row r="3111">
      <c r="A3111" s="13" t="inlineStr">
        <is>
          <t>8720</t>
        </is>
      </c>
      <c r="B3111" s="14" t="inlineStr">
        <is>
          <t>Ceiling sections 0.55 mm thick having a knurled web of 51.55mm and two flanges of 26mm each with lips of 10.55mm.</t>
        </is>
      </c>
      <c r="C3111" s="13" t="inlineStr">
        <is>
          <t>metre</t>
        </is>
      </c>
      <c r="D3111" s="15" t="n">
        <v>19.66</v>
      </c>
      <c r="E3111" s="16" t="n">
        <v>35</v>
      </c>
      <c r="F3111" s="16">
        <f>D3111*E3111</f>
        <v/>
      </c>
    </row>
    <row r="3112">
      <c r="A3112" s="13" t="inlineStr">
        <is>
          <t>8721</t>
        </is>
      </c>
      <c r="B3112" s="14" t="inlineStr">
        <is>
          <t>Perimeter channel having one flange of 20mm and another flange of 30mm with thickness of 0.55mm and web of length 27mm.</t>
        </is>
      </c>
      <c r="C3112" s="13" t="inlineStr">
        <is>
          <t>metre</t>
        </is>
      </c>
      <c r="D3112" s="15" t="n">
        <v>9.6</v>
      </c>
      <c r="E3112" s="16" t="n">
        <v>22</v>
      </c>
      <c r="F3112" s="16">
        <f>D3112*E3112</f>
        <v/>
      </c>
    </row>
    <row r="3113">
      <c r="A3113" s="13" t="inlineStr">
        <is>
          <t>8722</t>
        </is>
      </c>
      <c r="B3113" s="14" t="inlineStr">
        <is>
          <t>Nylon sleeves &amp; wooden screws (40mm)</t>
        </is>
      </c>
      <c r="C3113" s="13" t="inlineStr">
        <is>
          <t>each</t>
        </is>
      </c>
      <c r="D3113" s="15" t="n">
        <v>42</v>
      </c>
      <c r="E3113" s="16" t="n">
        <v>2</v>
      </c>
      <c r="F3113" s="16">
        <f>D3113*E3113</f>
        <v/>
      </c>
    </row>
    <row r="3114">
      <c r="A3114" s="13" t="inlineStr">
        <is>
          <t>8723</t>
        </is>
      </c>
      <c r="B3114" s="14" t="inlineStr">
        <is>
          <t>Counter sunk ribbed head screw 25 mm</t>
        </is>
      </c>
      <c r="C3114" s="13" t="inlineStr">
        <is>
          <t>100 Nos</t>
        </is>
      </c>
      <c r="D3114" s="15" t="n">
        <v>1.76</v>
      </c>
      <c r="E3114" s="16" t="n">
        <v>68</v>
      </c>
      <c r="F3114" s="16">
        <f>D3114*E3114</f>
        <v/>
      </c>
    </row>
    <row r="3115">
      <c r="A3115" s="13" t="inlineStr">
        <is>
          <t>9999</t>
        </is>
      </c>
      <c r="B3115" s="14" t="inlineStr">
        <is>
          <t>Jointing compound</t>
        </is>
      </c>
      <c r="C3115" s="13" t="inlineStr">
        <is>
          <t>L.S.</t>
        </is>
      </c>
      <c r="D3115" s="15" t="n">
        <v>20.8</v>
      </c>
      <c r="E3115" s="16" t="n">
        <v>2</v>
      </c>
      <c r="F3115" s="16">
        <f>D3115*E3115</f>
        <v/>
      </c>
    </row>
    <row r="3116">
      <c r="A3116" s="13" t="inlineStr">
        <is>
          <t>9999</t>
        </is>
      </c>
      <c r="B3116" s="14" t="inlineStr">
        <is>
          <t>Sundries i/c rawl plug, scaffolfing etc.</t>
        </is>
      </c>
      <c r="C3116" s="13" t="inlineStr">
        <is>
          <t>L.S.</t>
        </is>
      </c>
      <c r="D3116" s="15" t="n">
        <v>52</v>
      </c>
      <c r="E3116" s="16" t="n">
        <v>2</v>
      </c>
      <c r="F3116" s="16">
        <f>D3116*E3116</f>
        <v/>
      </c>
    </row>
    <row r="3117">
      <c r="A3117" s="13" t="inlineStr">
        <is>
          <t>9977</t>
        </is>
      </c>
      <c r="B3117" s="14" t="inlineStr">
        <is>
          <t>Carriage of materials</t>
        </is>
      </c>
      <c r="C3117" s="13" t="inlineStr">
        <is>
          <t>L.S.</t>
        </is>
      </c>
      <c r="D3117" s="15" t="n">
        <v>26</v>
      </c>
      <c r="E3117" s="16" t="n">
        <v>2</v>
      </c>
      <c r="F3117" s="16">
        <f>D3117*E3117</f>
        <v/>
      </c>
    </row>
    <row r="3118">
      <c r="A3118" s="13" t="inlineStr">
        <is>
          <t>0111</t>
        </is>
      </c>
      <c r="B3118" s="14" t="inlineStr">
        <is>
          <t>Carpenter 1st class</t>
        </is>
      </c>
      <c r="C3118" s="13" t="inlineStr">
        <is>
          <t>day</t>
        </is>
      </c>
      <c r="D3118" s="15" t="n">
        <v>3.8</v>
      </c>
      <c r="E3118" s="16" t="n">
        <v>738</v>
      </c>
      <c r="F3118" s="16">
        <f>D3118*E3118</f>
        <v/>
      </c>
    </row>
    <row r="3119">
      <c r="A3119" s="13" t="inlineStr">
        <is>
          <t>0114</t>
        </is>
      </c>
      <c r="B3119" s="14" t="inlineStr">
        <is>
          <t>Beldar</t>
        </is>
      </c>
      <c r="C3119" s="13" t="inlineStr">
        <is>
          <t>day</t>
        </is>
      </c>
      <c r="D3119" s="15" t="n">
        <v>4.6</v>
      </c>
      <c r="E3119" s="16" t="n">
        <v>558</v>
      </c>
      <c r="F3119" s="16">
        <f>D3119*E3119</f>
        <v/>
      </c>
    </row>
    <row r="3120">
      <c r="A3120" s="17" t="inlineStr">
        <is>
          <t>Resource Total (Material + Labour + Machinery, as printed)</t>
        </is>
      </c>
      <c r="B3120" s="18" t="n"/>
      <c r="C3120" s="18" t="n"/>
      <c r="D3120" s="18" t="n"/>
      <c r="E3120" s="18" t="n"/>
      <c r="F3120" s="19">
        <f>SUM(F3110:F3119)</f>
        <v/>
      </c>
    </row>
    <row r="3121">
      <c r="A3121" s="20" t="inlineStr">
        <is>
          <t>SAY (Rs.) — final DAR rate</t>
        </is>
      </c>
      <c r="B3121" s="21" t="n"/>
      <c r="C3121" s="21" t="n"/>
      <c r="D3121" s="21" t="n"/>
      <c r="E3121" s="21" t="n"/>
      <c r="F3121" s="22" t="n">
        <v>1126</v>
      </c>
    </row>
    <row r="3123" ht="18" customHeight="1">
      <c r="A3123" s="9" t="inlineStr">
        <is>
          <t>9.133.2.2</t>
        </is>
      </c>
      <c r="B3123" s="10" t="inlineStr">
        <is>
          <t>8 mm thick Cement bonded wood particle board as per IS:14276</t>
        </is>
      </c>
      <c r="C3123" s="11" t="n"/>
      <c r="D3123" s="11" t="n"/>
      <c r="E3123" s="11" t="n"/>
      <c r="F3123" s="11" t="n"/>
    </row>
    <row r="3124">
      <c r="A3124" s="12" t="inlineStr">
        <is>
          <t>Rate basis: per m  (source: cost for 3.66 m)</t>
        </is>
      </c>
    </row>
    <row r="3125">
      <c r="A3125" s="5" t="inlineStr">
        <is>
          <t>Code</t>
        </is>
      </c>
      <c r="B3125" s="5" t="inlineStr">
        <is>
          <t>Description</t>
        </is>
      </c>
      <c r="C3125" s="5" t="inlineStr">
        <is>
          <t>Unit</t>
        </is>
      </c>
      <c r="D3125" s="5" t="inlineStr">
        <is>
          <t>Quantity</t>
        </is>
      </c>
      <c r="E3125" s="5" t="inlineStr">
        <is>
          <t>Rate (Rs.)</t>
        </is>
      </c>
      <c r="F3125" s="5" t="inlineStr">
        <is>
          <t>Amount (Rs.)</t>
        </is>
      </c>
    </row>
    <row r="3126">
      <c r="A3126" s="13" t="inlineStr">
        <is>
          <t>0243</t>
        </is>
      </c>
      <c r="B3126" s="14" t="inlineStr">
        <is>
          <t>Multipurpose cement bonded wood particle board 8mm thick</t>
        </is>
      </c>
      <c r="C3126" s="13" t="inlineStr">
        <is>
          <t>Sqm</t>
        </is>
      </c>
      <c r="D3126" s="15" t="n">
        <v>12.28</v>
      </c>
      <c r="E3126" s="16" t="n">
        <v>215</v>
      </c>
      <c r="F3126" s="16">
        <f>D3126*E3126</f>
        <v/>
      </c>
    </row>
    <row r="3127">
      <c r="A3127" s="13" t="inlineStr">
        <is>
          <t>8720</t>
        </is>
      </c>
      <c r="B3127" s="14" t="inlineStr">
        <is>
          <t>Ceiling sections 0.55 mm thick having a knurled web of 51.55 mm and two flanges of 26 mm each with lips of 10.55 mm</t>
        </is>
      </c>
      <c r="C3127" s="13" t="inlineStr">
        <is>
          <t>metre</t>
        </is>
      </c>
      <c r="D3127" s="15" t="n">
        <v>19.66</v>
      </c>
      <c r="E3127" s="16" t="n">
        <v>35</v>
      </c>
      <c r="F3127" s="16">
        <f>D3127*E3127</f>
        <v/>
      </c>
    </row>
    <row r="3128">
      <c r="A3128" s="13" t="inlineStr">
        <is>
          <t>8721</t>
        </is>
      </c>
      <c r="B3128" s="14" t="inlineStr">
        <is>
          <t>Perimeter channel having one flange of 20 mm and another flange of 30 mm with thickness of 0.55 mm and web of length 27 mm</t>
        </is>
      </c>
      <c r="C3128" s="13" t="inlineStr">
        <is>
          <t>metre</t>
        </is>
      </c>
      <c r="D3128" s="15" t="n">
        <v>9.6</v>
      </c>
      <c r="E3128" s="16" t="n">
        <v>22</v>
      </c>
      <c r="F3128" s="16">
        <f>D3128*E3128</f>
        <v/>
      </c>
    </row>
    <row r="3129">
      <c r="A3129" s="13" t="inlineStr">
        <is>
          <t>8722</t>
        </is>
      </c>
      <c r="B3129" s="14" t="inlineStr">
        <is>
          <t>Nylon sleeves &amp; wooden screws (40 mm)</t>
        </is>
      </c>
      <c r="C3129" s="13" t="inlineStr">
        <is>
          <t>each</t>
        </is>
      </c>
      <c r="D3129" s="15" t="n">
        <v>42</v>
      </c>
      <c r="E3129" s="16" t="n">
        <v>2</v>
      </c>
      <c r="F3129" s="16">
        <f>D3129*E3129</f>
        <v/>
      </c>
    </row>
    <row r="3130">
      <c r="A3130" s="13" t="inlineStr">
        <is>
          <t>8723</t>
        </is>
      </c>
      <c r="B3130" s="14" t="inlineStr">
        <is>
          <t>Counter sunk ribbed head screw 25 mm</t>
        </is>
      </c>
      <c r="C3130" s="13" t="inlineStr">
        <is>
          <t>100 Nos</t>
        </is>
      </c>
      <c r="D3130" s="15" t="n">
        <v>1.76</v>
      </c>
      <c r="E3130" s="16" t="n">
        <v>68</v>
      </c>
      <c r="F3130" s="16">
        <f>D3130*E3130</f>
        <v/>
      </c>
    </row>
    <row r="3131">
      <c r="A3131" s="13" t="inlineStr">
        <is>
          <t>0111</t>
        </is>
      </c>
      <c r="B3131" s="14" t="inlineStr">
        <is>
          <t>Carpenter 1 st class</t>
        </is>
      </c>
      <c r="C3131" s="13" t="inlineStr">
        <is>
          <t>day</t>
        </is>
      </c>
      <c r="D3131" s="15" t="n">
        <v>3.8</v>
      </c>
      <c r="E3131" s="16" t="n">
        <v>738</v>
      </c>
      <c r="F3131" s="16">
        <f>D3131*E3131</f>
        <v/>
      </c>
    </row>
    <row r="3132">
      <c r="A3132" s="13" t="inlineStr">
        <is>
          <t>0114</t>
        </is>
      </c>
      <c r="B3132" s="14" t="inlineStr">
        <is>
          <t>Beldar</t>
        </is>
      </c>
      <c r="C3132" s="13" t="inlineStr">
        <is>
          <t>day</t>
        </is>
      </c>
      <c r="D3132" s="15" t="n">
        <v>4.6</v>
      </c>
      <c r="E3132" s="16" t="n">
        <v>558</v>
      </c>
      <c r="F3132" s="16">
        <f>D3132*E3132</f>
        <v/>
      </c>
    </row>
    <row r="3133">
      <c r="A3133" s="17" t="inlineStr">
        <is>
          <t>Resource Total (Material + Labour + Machinery, as printed)</t>
        </is>
      </c>
      <c r="B3133" s="18" t="n"/>
      <c r="C3133" s="18" t="n"/>
      <c r="D3133" s="18" t="n"/>
      <c r="E3133" s="18" t="n"/>
      <c r="F3133" s="19">
        <f>SUM(F3126:F3132)</f>
        <v/>
      </c>
    </row>
    <row r="3134">
      <c r="A3134" s="20" t="inlineStr">
        <is>
          <t>SAY (Rs.) — final DAR rate</t>
        </is>
      </c>
      <c r="B3134" s="21" t="n"/>
      <c r="C3134" s="21" t="n"/>
      <c r="D3134" s="21" t="n"/>
      <c r="E3134" s="21" t="n"/>
      <c r="F3134" s="22" t="n">
        <v>1118.65</v>
      </c>
    </row>
    <row r="3136" ht="18" customHeight="1">
      <c r="A3136" s="9" t="inlineStr">
        <is>
          <t>9.133.3.1</t>
        </is>
      </c>
      <c r="B3136" s="10" t="inlineStr">
        <is>
          <t>12.5 mm thick</t>
        </is>
      </c>
      <c r="C3136" s="11" t="n"/>
      <c r="D3136" s="11" t="n"/>
      <c r="E3136" s="11" t="n"/>
      <c r="F3136" s="11" t="n"/>
    </row>
    <row r="3137">
      <c r="A3137" s="12" t="inlineStr">
        <is>
          <t>Rate basis: per m  (source: cost for 3.66 m)</t>
        </is>
      </c>
    </row>
    <row r="3138">
      <c r="A3138" s="5" t="inlineStr">
        <is>
          <t>Code</t>
        </is>
      </c>
      <c r="B3138" s="5" t="inlineStr">
        <is>
          <t>Description</t>
        </is>
      </c>
      <c r="C3138" s="5" t="inlineStr">
        <is>
          <t>Unit</t>
        </is>
      </c>
      <c r="D3138" s="5" t="inlineStr">
        <is>
          <t>Quantity</t>
        </is>
      </c>
      <c r="E3138" s="5" t="inlineStr">
        <is>
          <t>Rate (Rs.)</t>
        </is>
      </c>
      <c r="F3138" s="5" t="inlineStr">
        <is>
          <t>Amount (Rs.)</t>
        </is>
      </c>
    </row>
    <row r="3139">
      <c r="A3139" s="13" t="inlineStr">
        <is>
          <t>7009</t>
        </is>
      </c>
      <c r="B3139" s="14" t="inlineStr">
        <is>
          <t>12.5 mm thick Plain Gypsum plaster board</t>
        </is>
      </c>
      <c r="C3139" s="13" t="inlineStr">
        <is>
          <t>sqm</t>
        </is>
      </c>
      <c r="D3139" s="15" t="n">
        <v>12.28</v>
      </c>
      <c r="E3139" s="16" t="n">
        <v>155</v>
      </c>
      <c r="F3139" s="16">
        <f>D3139*E3139</f>
        <v/>
      </c>
    </row>
    <row r="3140">
      <c r="A3140" s="13" t="inlineStr">
        <is>
          <t>8720</t>
        </is>
      </c>
      <c r="B3140" s="14" t="inlineStr">
        <is>
          <t>Ceiling sections 0.55 mm thick having a knurled web of 51.55mm and two flanges of 26mm each with lips of 10.55mm.</t>
        </is>
      </c>
      <c r="C3140" s="13" t="inlineStr">
        <is>
          <t>metre</t>
        </is>
      </c>
      <c r="D3140" s="15" t="n">
        <v>19.66</v>
      </c>
      <c r="E3140" s="16" t="n">
        <v>35</v>
      </c>
      <c r="F3140" s="16">
        <f>D3140*E3140</f>
        <v/>
      </c>
    </row>
    <row r="3141">
      <c r="A3141" s="13" t="inlineStr">
        <is>
          <t>8721</t>
        </is>
      </c>
      <c r="B3141" s="14" t="inlineStr">
        <is>
          <t>Perimeter channel having one flange of 20mm and another flange of 30mm with thickness of 0.55mm and web of length 27mm.</t>
        </is>
      </c>
      <c r="C3141" s="13" t="inlineStr">
        <is>
          <t>metre</t>
        </is>
      </c>
      <c r="D3141" s="15" t="n">
        <v>9.6</v>
      </c>
      <c r="E3141" s="16" t="n">
        <v>22</v>
      </c>
      <c r="F3141" s="16">
        <f>D3141*E3141</f>
        <v/>
      </c>
    </row>
    <row r="3142">
      <c r="A3142" s="13" t="inlineStr">
        <is>
          <t>8722</t>
        </is>
      </c>
      <c r="B3142" s="14" t="inlineStr">
        <is>
          <t>Nylon sleeves &amp; wooden screws (40mm)</t>
        </is>
      </c>
      <c r="C3142" s="13" t="inlineStr">
        <is>
          <t>each</t>
        </is>
      </c>
      <c r="D3142" s="15" t="n">
        <v>42</v>
      </c>
      <c r="E3142" s="16" t="n">
        <v>2</v>
      </c>
      <c r="F3142" s="16">
        <f>D3142*E3142</f>
        <v/>
      </c>
    </row>
    <row r="3143">
      <c r="A3143" s="13" t="inlineStr">
        <is>
          <t>8723</t>
        </is>
      </c>
      <c r="B3143" s="14" t="inlineStr">
        <is>
          <t>Counter sunk ribbed head screw 25 mm</t>
        </is>
      </c>
      <c r="C3143" s="13" t="inlineStr">
        <is>
          <t>100 Nos</t>
        </is>
      </c>
      <c r="D3143" s="15" t="n">
        <v>1.76</v>
      </c>
      <c r="E3143" s="16" t="n">
        <v>68</v>
      </c>
      <c r="F3143" s="16">
        <f>D3143*E3143</f>
        <v/>
      </c>
    </row>
    <row r="3144">
      <c r="A3144" s="13" t="inlineStr">
        <is>
          <t>9999</t>
        </is>
      </c>
      <c r="B3144" s="14" t="inlineStr">
        <is>
          <t>Jointing compound</t>
        </is>
      </c>
      <c r="C3144" s="13" t="inlineStr">
        <is>
          <t>L.S.</t>
        </is>
      </c>
      <c r="D3144" s="15" t="n">
        <v>20.8</v>
      </c>
      <c r="E3144" s="16" t="n">
        <v>2</v>
      </c>
      <c r="F3144" s="16">
        <f>D3144*E3144</f>
        <v/>
      </c>
    </row>
    <row r="3145">
      <c r="A3145" s="13" t="inlineStr">
        <is>
          <t>9999</t>
        </is>
      </c>
      <c r="B3145" s="14" t="inlineStr">
        <is>
          <t>Sundries i/c rawl plug, scaffolfing etc.</t>
        </is>
      </c>
      <c r="C3145" s="13" t="inlineStr">
        <is>
          <t>L.S.</t>
        </is>
      </c>
      <c r="D3145" s="15" t="n">
        <v>52</v>
      </c>
      <c r="E3145" s="16" t="n">
        <v>2</v>
      </c>
      <c r="F3145" s="16">
        <f>D3145*E3145</f>
        <v/>
      </c>
    </row>
    <row r="3146">
      <c r="A3146" s="13" t="inlineStr">
        <is>
          <t>9977</t>
        </is>
      </c>
      <c r="B3146" s="14" t="inlineStr">
        <is>
          <t>Carriage of materials</t>
        </is>
      </c>
      <c r="C3146" s="13" t="inlineStr">
        <is>
          <t>L.S.</t>
        </is>
      </c>
      <c r="D3146" s="15" t="n">
        <v>26</v>
      </c>
      <c r="E3146" s="16" t="n">
        <v>2</v>
      </c>
      <c r="F3146" s="16">
        <f>D3146*E3146</f>
        <v/>
      </c>
    </row>
    <row r="3147">
      <c r="A3147" s="13" t="inlineStr">
        <is>
          <t>0111</t>
        </is>
      </c>
      <c r="B3147" s="14" t="inlineStr">
        <is>
          <t>Carpenter 1st class</t>
        </is>
      </c>
      <c r="C3147" s="13" t="inlineStr">
        <is>
          <t>day</t>
        </is>
      </c>
      <c r="D3147" s="15" t="n">
        <v>3.8</v>
      </c>
      <c r="E3147" s="16" t="n">
        <v>738</v>
      </c>
      <c r="F3147" s="16">
        <f>D3147*E3147</f>
        <v/>
      </c>
    </row>
    <row r="3148">
      <c r="A3148" s="13" t="inlineStr">
        <is>
          <t>0114</t>
        </is>
      </c>
      <c r="B3148" s="14" t="inlineStr">
        <is>
          <t>Beldar</t>
        </is>
      </c>
      <c r="C3148" s="13" t="inlineStr">
        <is>
          <t>day</t>
        </is>
      </c>
      <c r="D3148" s="15" t="n">
        <v>4.6</v>
      </c>
      <c r="E3148" s="16" t="n">
        <v>558</v>
      </c>
      <c r="F3148" s="16">
        <f>D3148*E3148</f>
        <v/>
      </c>
    </row>
    <row r="3149">
      <c r="A3149" s="17" t="inlineStr">
        <is>
          <t>Resource Total (Material + Labour + Machinery, as printed)</t>
        </is>
      </c>
      <c r="B3149" s="18" t="n"/>
      <c r="C3149" s="18" t="n"/>
      <c r="D3149" s="18" t="n"/>
      <c r="E3149" s="18" t="n"/>
      <c r="F3149" s="19">
        <f>SUM(F3139:F3148)</f>
        <v/>
      </c>
    </row>
    <row r="3150">
      <c r="A3150" s="20" t="inlineStr">
        <is>
          <t>SAY (Rs.) — final DAR rate</t>
        </is>
      </c>
      <c r="B3150" s="21" t="n"/>
      <c r="C3150" s="21" t="n"/>
      <c r="D3150" s="21" t="n"/>
      <c r="E3150" s="21" t="n"/>
      <c r="F3150" s="22" t="n">
        <v>1030.35</v>
      </c>
    </row>
    <row r="3152" ht="18" customHeight="1">
      <c r="A3152" s="9" t="inlineStr">
        <is>
          <t>9.134.1.1.1</t>
        </is>
      </c>
      <c r="B3152" s="10" t="inlineStr">
        <is>
          <t>Second class teak wood</t>
        </is>
      </c>
      <c r="C3152" s="11" t="n"/>
      <c r="D3152" s="11" t="n"/>
      <c r="E3152" s="11" t="n"/>
      <c r="F3152" s="11" t="n"/>
    </row>
    <row r="3153">
      <c r="A3153" s="12" t="inlineStr">
        <is>
          <t>Rate basis: per sqm  (source: cost for 2.16 sqm)</t>
        </is>
      </c>
    </row>
    <row r="3154">
      <c r="A3154" s="5" t="inlineStr">
        <is>
          <t>Code</t>
        </is>
      </c>
      <c r="B3154" s="5" t="inlineStr">
        <is>
          <t>Description</t>
        </is>
      </c>
      <c r="C3154" s="5" t="inlineStr">
        <is>
          <t>Unit</t>
        </is>
      </c>
      <c r="D3154" s="5" t="inlineStr">
        <is>
          <t>Quantity</t>
        </is>
      </c>
      <c r="E3154" s="5" t="inlineStr">
        <is>
          <t>Rate (Rs.)</t>
        </is>
      </c>
      <c r="F3154" s="5" t="inlineStr">
        <is>
          <t>Amount (Rs.)</t>
        </is>
      </c>
    </row>
    <row r="3155">
      <c r="A3155" s="13" t="inlineStr">
        <is>
          <t>8737</t>
        </is>
      </c>
      <c r="B3155" s="14" t="inlineStr">
        <is>
          <t>Stainless steel wire guage (Grade-304) aperture 1.4mm and 0.50 mm dia wire</t>
        </is>
      </c>
      <c r="C3155" s="13" t="inlineStr">
        <is>
          <t>sqm</t>
        </is>
      </c>
      <c r="D3155" s="15" t="n">
        <v>1.41</v>
      </c>
      <c r="E3155" s="16" t="n">
        <v>400</v>
      </c>
      <c r="F3155" s="16">
        <f>D3155*E3155</f>
        <v/>
      </c>
    </row>
    <row r="3156">
      <c r="A3156" s="13" t="inlineStr">
        <is>
          <t>0595</t>
        </is>
      </c>
      <c r="B3156" s="14" t="inlineStr">
        <is>
          <t>Bright finished or black enamelled mild steel butt hinges 100x58x1.90 mm</t>
        </is>
      </c>
      <c r="C3156" s="13" t="inlineStr">
        <is>
          <t>10 Nos</t>
        </is>
      </c>
      <c r="D3156" s="15" t="n">
        <v>0.6</v>
      </c>
      <c r="E3156" s="16" t="n">
        <v>80</v>
      </c>
      <c r="F3156" s="16">
        <f>D3156*E3156</f>
        <v/>
      </c>
    </row>
    <row r="3157">
      <c r="A3157" s="13" t="inlineStr">
        <is>
          <t>0597</t>
        </is>
      </c>
      <c r="B3157" s="14" t="inlineStr">
        <is>
          <t>Bright finished or black enamelled mild steel butt hinges50x37x1.50 mm</t>
        </is>
      </c>
      <c r="C3157" s="13" t="inlineStr">
        <is>
          <t>10 Nos</t>
        </is>
      </c>
      <c r="D3157" s="15" t="n">
        <v>0.2</v>
      </c>
      <c r="E3157" s="16" t="n">
        <v>49</v>
      </c>
      <c r="F3157" s="16">
        <f>D3157*E3157</f>
        <v/>
      </c>
    </row>
    <row r="3158">
      <c r="A3158" s="13" t="inlineStr">
        <is>
          <t>0637</t>
        </is>
      </c>
      <c r="B3158" s="14" t="inlineStr">
        <is>
          <t>Bright finished or black enamelled mild steel screws 40 mm</t>
        </is>
      </c>
      <c r="C3158" s="13" t="inlineStr">
        <is>
          <t>100 Nos</t>
        </is>
      </c>
      <c r="D3158" s="15" t="n">
        <v>0.48</v>
      </c>
      <c r="E3158" s="16" t="n">
        <v>60</v>
      </c>
      <c r="F3158" s="16">
        <f>D3158*E3158</f>
        <v/>
      </c>
    </row>
    <row r="3159">
      <c r="A3159" s="13" t="inlineStr">
        <is>
          <t>0640</t>
        </is>
      </c>
      <c r="B3159" s="14" t="inlineStr">
        <is>
          <t>Bright finished or black enamelled mild steel screws 20 mm</t>
        </is>
      </c>
      <c r="C3159" s="13" t="inlineStr">
        <is>
          <t>100 Nos</t>
        </is>
      </c>
      <c r="D3159" s="15" t="n">
        <v>0.08</v>
      </c>
      <c r="E3159" s="16" t="n">
        <v>30</v>
      </c>
      <c r="F3159" s="16">
        <f>D3159*E3159</f>
        <v/>
      </c>
    </row>
    <row r="3160">
      <c r="A3160" s="13" t="inlineStr">
        <is>
          <t>2204</t>
        </is>
      </c>
      <c r="B3160" s="14" t="inlineStr">
        <is>
          <t>Carriage of Timber</t>
        </is>
      </c>
      <c r="C3160" s="13" t="inlineStr">
        <is>
          <t>cum</t>
        </is>
      </c>
      <c r="D3160" s="15" t="n">
        <v>0.0514</v>
      </c>
      <c r="E3160" s="16" t="n">
        <v>118.59</v>
      </c>
      <c r="F3160" s="16">
        <f>D3160*E3160</f>
        <v/>
      </c>
    </row>
    <row r="3161">
      <c r="A3161" s="13" t="inlineStr">
        <is>
          <t>0111</t>
        </is>
      </c>
      <c r="B3161" s="14" t="inlineStr">
        <is>
          <t>Carpenter 1st class</t>
        </is>
      </c>
      <c r="C3161" s="13" t="inlineStr">
        <is>
          <t>day</t>
        </is>
      </c>
      <c r="D3161" s="15" t="n">
        <v>1.3</v>
      </c>
      <c r="E3161" s="16" t="n">
        <v>738</v>
      </c>
      <c r="F3161" s="16">
        <f>D3161*E3161</f>
        <v/>
      </c>
    </row>
    <row r="3162">
      <c r="A3162" s="13" t="inlineStr">
        <is>
          <t>0112</t>
        </is>
      </c>
      <c r="B3162" s="14" t="inlineStr">
        <is>
          <t>Carpenter 2nd class</t>
        </is>
      </c>
      <c r="C3162" s="13" t="inlineStr">
        <is>
          <t>day</t>
        </is>
      </c>
      <c r="D3162" s="15" t="n">
        <v>0.9</v>
      </c>
      <c r="E3162" s="16" t="n">
        <v>679</v>
      </c>
      <c r="F3162" s="16">
        <f>D3162*E3162</f>
        <v/>
      </c>
    </row>
    <row r="3163">
      <c r="A3163" s="13" t="inlineStr">
        <is>
          <t>0114</t>
        </is>
      </c>
      <c r="B3163" s="14" t="inlineStr">
        <is>
          <t>Beldar</t>
        </is>
      </c>
      <c r="C3163" s="13" t="inlineStr">
        <is>
          <t>day</t>
        </is>
      </c>
      <c r="D3163" s="15" t="n">
        <v>1.05</v>
      </c>
      <c r="E3163" s="16" t="n">
        <v>558</v>
      </c>
      <c r="F3163" s="16">
        <f>D3163*E3163</f>
        <v/>
      </c>
    </row>
    <row r="3164">
      <c r="A3164" s="13" t="inlineStr">
        <is>
          <t>0130</t>
        </is>
      </c>
      <c r="B3164" s="14" t="inlineStr">
        <is>
          <t>Mistry</t>
        </is>
      </c>
      <c r="C3164" s="13" t="inlineStr">
        <is>
          <t>day</t>
        </is>
      </c>
      <c r="D3164" s="15" t="n">
        <v>0.105</v>
      </c>
      <c r="E3164" s="16" t="n">
        <v>738</v>
      </c>
      <c r="F3164" s="16">
        <f>D3164*E3164</f>
        <v/>
      </c>
    </row>
    <row r="3165">
      <c r="A3165" s="13" t="inlineStr">
        <is>
          <t>9999</t>
        </is>
      </c>
      <c r="B3165" s="14" t="inlineStr">
        <is>
          <t>Sundries</t>
        </is>
      </c>
      <c r="C3165" s="13" t="inlineStr">
        <is>
          <t>L.S.</t>
        </is>
      </c>
      <c r="D3165" s="15" t="n">
        <v>33.8</v>
      </c>
      <c r="E3165" s="16" t="n">
        <v>2</v>
      </c>
      <c r="F3165" s="16">
        <f>D3165*E3165</f>
        <v/>
      </c>
    </row>
    <row r="3166">
      <c r="A3166" s="17" t="inlineStr">
        <is>
          <t>Resource Total (Material + Labour + Machinery, as printed)</t>
        </is>
      </c>
      <c r="B3166" s="18" t="n"/>
      <c r="C3166" s="18" t="n"/>
      <c r="D3166" s="18" t="n"/>
      <c r="E3166" s="18" t="n"/>
      <c r="F3166" s="19">
        <f>SUM(F3155:F3165)</f>
        <v/>
      </c>
    </row>
    <row r="3167">
      <c r="A3167" s="20" t="inlineStr">
        <is>
          <t>SAY (Rs.) — final DAR rate</t>
        </is>
      </c>
      <c r="B3167" s="21" t="n"/>
      <c r="C3167" s="21" t="n"/>
      <c r="D3167" s="21" t="n"/>
      <c r="E3167" s="21" t="n"/>
      <c r="F3167" s="22" t="n">
        <v>4352.2</v>
      </c>
    </row>
    <row r="3169" ht="18" customHeight="1">
      <c r="A3169" s="9" t="inlineStr">
        <is>
          <t>9.134.1.1.2</t>
        </is>
      </c>
      <c r="B3169" s="10" t="inlineStr">
        <is>
          <t>Kiln seasoned and chemically treated hollock wood</t>
        </is>
      </c>
      <c r="C3169" s="11" t="n"/>
      <c r="D3169" s="11" t="n"/>
      <c r="E3169" s="11" t="n"/>
      <c r="F3169" s="11" t="n"/>
    </row>
    <row r="3170">
      <c r="A3170" s="12" t="inlineStr">
        <is>
          <t>Rate basis: per sqm  (source: cost for 2.16 sqm)</t>
        </is>
      </c>
    </row>
    <row r="3171">
      <c r="A3171" s="5" t="inlineStr">
        <is>
          <t>Code</t>
        </is>
      </c>
      <c r="B3171" s="5" t="inlineStr">
        <is>
          <t>Description</t>
        </is>
      </c>
      <c r="C3171" s="5" t="inlineStr">
        <is>
          <t>Unit</t>
        </is>
      </c>
      <c r="D3171" s="5" t="inlineStr">
        <is>
          <t>Quantity</t>
        </is>
      </c>
      <c r="E3171" s="5" t="inlineStr">
        <is>
          <t>Rate (Rs.)</t>
        </is>
      </c>
      <c r="F3171" s="5" t="inlineStr">
        <is>
          <t>Amount (Rs.)</t>
        </is>
      </c>
    </row>
    <row r="3172">
      <c r="A3172" s="13" t="inlineStr">
        <is>
          <t>2204</t>
        </is>
      </c>
      <c r="B3172" s="14" t="inlineStr">
        <is>
          <t>Carriage of Timber</t>
        </is>
      </c>
      <c r="C3172" s="13" t="inlineStr">
        <is>
          <t>cum</t>
        </is>
      </c>
      <c r="D3172" s="15" t="n">
        <v>0.0514</v>
      </c>
      <c r="E3172" s="16" t="n">
        <v>118.59</v>
      </c>
      <c r="F3172" s="16">
        <f>D3172*E3172</f>
        <v/>
      </c>
    </row>
    <row r="3173">
      <c r="A3173" s="13" t="inlineStr">
        <is>
          <t>2504</t>
        </is>
      </c>
      <c r="B3173" s="14" t="inlineStr">
        <is>
          <t>Kiln seasoning of timber</t>
        </is>
      </c>
      <c r="C3173" s="13" t="inlineStr">
        <is>
          <t>cum</t>
        </is>
      </c>
      <c r="D3173" s="15" t="n">
        <v>0.0514</v>
      </c>
      <c r="E3173" s="16" t="n">
        <v>750</v>
      </c>
      <c r="F3173" s="16">
        <f>D3173*E3173</f>
        <v/>
      </c>
    </row>
    <row r="3174">
      <c r="A3174" s="13" t="inlineStr">
        <is>
          <t>9999</t>
        </is>
      </c>
      <c r="B3174" s="14" t="inlineStr">
        <is>
          <t>Chemical treatment</t>
        </is>
      </c>
      <c r="C3174" s="13" t="inlineStr">
        <is>
          <t>L.S.</t>
        </is>
      </c>
      <c r="D3174" s="15" t="n">
        <v>8.970000000000001</v>
      </c>
      <c r="E3174" s="16" t="n">
        <v>2</v>
      </c>
      <c r="F3174" s="16">
        <f>D3174*E3174</f>
        <v/>
      </c>
    </row>
    <row r="3175">
      <c r="A3175" s="13" t="inlineStr">
        <is>
          <t>8737</t>
        </is>
      </c>
      <c r="B3175" s="14" t="inlineStr">
        <is>
          <t>Stainless steel wire guage (Grade-304) aperture 1.4mm and 0.50 mm dia wire</t>
        </is>
      </c>
      <c r="C3175" s="13" t="inlineStr">
        <is>
          <t>sqm</t>
        </is>
      </c>
      <c r="D3175" s="15" t="n">
        <v>1.41</v>
      </c>
      <c r="E3175" s="16" t="n">
        <v>400</v>
      </c>
      <c r="F3175" s="16">
        <f>D3175*E3175</f>
        <v/>
      </c>
    </row>
    <row r="3176">
      <c r="A3176" s="13" t="inlineStr">
        <is>
          <t>0595</t>
        </is>
      </c>
      <c r="B3176" s="14" t="inlineStr">
        <is>
          <t>Bright finished or black enamelled mild steel butt hinges 100x58x1.90 mm</t>
        </is>
      </c>
      <c r="C3176" s="13" t="inlineStr">
        <is>
          <t>10 Nos</t>
        </is>
      </c>
      <c r="D3176" s="15" t="n">
        <v>0.6</v>
      </c>
      <c r="E3176" s="16" t="n">
        <v>80</v>
      </c>
      <c r="F3176" s="16">
        <f>D3176*E3176</f>
        <v/>
      </c>
    </row>
    <row r="3177">
      <c r="A3177" s="13" t="inlineStr">
        <is>
          <t>0597</t>
        </is>
      </c>
      <c r="B3177" s="14" t="inlineStr">
        <is>
          <t>Bright finished or black enamelled mild steel butt hinges50x37x1.50 mm</t>
        </is>
      </c>
      <c r="C3177" s="13" t="inlineStr">
        <is>
          <t>10 Nos</t>
        </is>
      </c>
      <c r="D3177" s="15" t="n">
        <v>0.2</v>
      </c>
      <c r="E3177" s="16" t="n">
        <v>49</v>
      </c>
      <c r="F3177" s="16">
        <f>D3177*E3177</f>
        <v/>
      </c>
    </row>
    <row r="3178">
      <c r="A3178" s="13" t="inlineStr">
        <is>
          <t>0637</t>
        </is>
      </c>
      <c r="B3178" s="14" t="inlineStr">
        <is>
          <t>Bright finished or black enamelled mild steel screws 40 mm</t>
        </is>
      </c>
      <c r="C3178" s="13" t="inlineStr">
        <is>
          <t>100 Nos</t>
        </is>
      </c>
      <c r="D3178" s="15" t="n">
        <v>0.48</v>
      </c>
      <c r="E3178" s="16" t="n">
        <v>60</v>
      </c>
      <c r="F3178" s="16">
        <f>D3178*E3178</f>
        <v/>
      </c>
    </row>
    <row r="3179">
      <c r="A3179" s="13" t="inlineStr">
        <is>
          <t>0640</t>
        </is>
      </c>
      <c r="B3179" s="14" t="inlineStr">
        <is>
          <t>Bright finished or black enamelled mild steel screws 20 mm</t>
        </is>
      </c>
      <c r="C3179" s="13" t="inlineStr">
        <is>
          <t>100 Nos</t>
        </is>
      </c>
      <c r="D3179" s="15" t="n">
        <v>0.08</v>
      </c>
      <c r="E3179" s="16" t="n">
        <v>30</v>
      </c>
      <c r="F3179" s="16">
        <f>D3179*E3179</f>
        <v/>
      </c>
    </row>
    <row r="3180">
      <c r="A3180" s="13" t="inlineStr">
        <is>
          <t>0111</t>
        </is>
      </c>
      <c r="B3180" s="14" t="inlineStr">
        <is>
          <t>Carpenter 1st class</t>
        </is>
      </c>
      <c r="C3180" s="13" t="inlineStr">
        <is>
          <t>day</t>
        </is>
      </c>
      <c r="D3180" s="15" t="n">
        <v>1.3</v>
      </c>
      <c r="E3180" s="16" t="n">
        <v>738</v>
      </c>
      <c r="F3180" s="16">
        <f>D3180*E3180</f>
        <v/>
      </c>
    </row>
    <row r="3181">
      <c r="A3181" s="13" t="inlineStr">
        <is>
          <t>0112</t>
        </is>
      </c>
      <c r="B3181" s="14" t="inlineStr">
        <is>
          <t>Carpenter 2nd class</t>
        </is>
      </c>
      <c r="C3181" s="13" t="inlineStr">
        <is>
          <t>day</t>
        </is>
      </c>
      <c r="D3181" s="15" t="n">
        <v>0.9</v>
      </c>
      <c r="E3181" s="16" t="n">
        <v>679</v>
      </c>
      <c r="F3181" s="16">
        <f>D3181*E3181</f>
        <v/>
      </c>
    </row>
    <row r="3182">
      <c r="A3182" s="13" t="inlineStr">
        <is>
          <t>0114</t>
        </is>
      </c>
      <c r="B3182" s="14" t="inlineStr">
        <is>
          <t>Beldar</t>
        </is>
      </c>
      <c r="C3182" s="13" t="inlineStr">
        <is>
          <t>day</t>
        </is>
      </c>
      <c r="D3182" s="15" t="n">
        <v>1.05</v>
      </c>
      <c r="E3182" s="16" t="n">
        <v>558</v>
      </c>
      <c r="F3182" s="16">
        <f>D3182*E3182</f>
        <v/>
      </c>
    </row>
    <row r="3183">
      <c r="A3183" s="13" t="inlineStr">
        <is>
          <t>0130</t>
        </is>
      </c>
      <c r="B3183" s="14" t="inlineStr">
        <is>
          <t>Mistry</t>
        </is>
      </c>
      <c r="C3183" s="13" t="inlineStr">
        <is>
          <t>day</t>
        </is>
      </c>
      <c r="D3183" s="15" t="n">
        <v>0.105</v>
      </c>
      <c r="E3183" s="16" t="n">
        <v>738</v>
      </c>
      <c r="F3183" s="16">
        <f>D3183*E3183</f>
        <v/>
      </c>
    </row>
    <row r="3184">
      <c r="A3184" s="13" t="inlineStr">
        <is>
          <t>9999</t>
        </is>
      </c>
      <c r="B3184" s="14" t="inlineStr">
        <is>
          <t>Sundries</t>
        </is>
      </c>
      <c r="C3184" s="13" t="inlineStr">
        <is>
          <t>L.S.</t>
        </is>
      </c>
      <c r="D3184" s="15" t="n">
        <v>33.8</v>
      </c>
      <c r="E3184" s="16" t="n">
        <v>2</v>
      </c>
      <c r="F3184" s="16">
        <f>D3184*E3184</f>
        <v/>
      </c>
    </row>
    <row r="3185">
      <c r="A3185" s="17" t="inlineStr">
        <is>
          <t>Resource Total (Material + Labour + Machinery, as printed)</t>
        </is>
      </c>
      <c r="B3185" s="18" t="n"/>
      <c r="C3185" s="18" t="n"/>
      <c r="D3185" s="18" t="n"/>
      <c r="E3185" s="18" t="n"/>
      <c r="F3185" s="19">
        <f>SUM(F3172:F3184)</f>
        <v/>
      </c>
    </row>
    <row r="3186">
      <c r="A3186" s="20" t="inlineStr">
        <is>
          <t>SAY (Rs.) — final DAR rate</t>
        </is>
      </c>
      <c r="B3186" s="21" t="n"/>
      <c r="C3186" s="21" t="n"/>
      <c r="D3186" s="21" t="n"/>
      <c r="E3186" s="21" t="n"/>
      <c r="F3186" s="22" t="n">
        <v>3110.5</v>
      </c>
    </row>
    <row r="3188" ht="18" customHeight="1">
      <c r="A3188" s="9" t="inlineStr">
        <is>
          <t>9.134.1.1.3</t>
        </is>
      </c>
      <c r="B3188" s="10" t="inlineStr">
        <is>
          <t>Kiln seasoned selected class of sheesham wood</t>
        </is>
      </c>
      <c r="C3188" s="11" t="n"/>
      <c r="D3188" s="11" t="n"/>
      <c r="E3188" s="11" t="n"/>
      <c r="F3188" s="11" t="n"/>
    </row>
    <row r="3189">
      <c r="A3189" s="12" t="inlineStr">
        <is>
          <t>Rate basis: per sqm  (source: cost for 2.16 sqm)</t>
        </is>
      </c>
    </row>
    <row r="3190">
      <c r="A3190" s="5" t="inlineStr">
        <is>
          <t>Code</t>
        </is>
      </c>
      <c r="B3190" s="5" t="inlineStr">
        <is>
          <t>Description</t>
        </is>
      </c>
      <c r="C3190" s="5" t="inlineStr">
        <is>
          <t>Unit</t>
        </is>
      </c>
      <c r="D3190" s="5" t="inlineStr">
        <is>
          <t>Quantity</t>
        </is>
      </c>
      <c r="E3190" s="5" t="inlineStr">
        <is>
          <t>Rate (Rs.)</t>
        </is>
      </c>
      <c r="F3190" s="5" t="inlineStr">
        <is>
          <t>Amount (Rs.)</t>
        </is>
      </c>
    </row>
    <row r="3191">
      <c r="A3191" s="13" t="inlineStr">
        <is>
          <t>2204</t>
        </is>
      </c>
      <c r="B3191" s="14" t="inlineStr">
        <is>
          <t>Carriage of Timber</t>
        </is>
      </c>
      <c r="C3191" s="13" t="inlineStr">
        <is>
          <t>cum</t>
        </is>
      </c>
      <c r="D3191" s="15" t="n">
        <v>0.0514</v>
      </c>
      <c r="E3191" s="16" t="n">
        <v>118.59</v>
      </c>
      <c r="F3191" s="16">
        <f>D3191*E3191</f>
        <v/>
      </c>
    </row>
    <row r="3192">
      <c r="A3192" s="13" t="inlineStr">
        <is>
          <t>2504</t>
        </is>
      </c>
      <c r="B3192" s="14" t="inlineStr">
        <is>
          <t>Kiln seasoning of timber</t>
        </is>
      </c>
      <c r="C3192" s="13" t="inlineStr">
        <is>
          <t>cum</t>
        </is>
      </c>
      <c r="D3192" s="15" t="n">
        <v>0.0514</v>
      </c>
      <c r="E3192" s="16" t="n">
        <v>750</v>
      </c>
      <c r="F3192" s="16">
        <f>D3192*E3192</f>
        <v/>
      </c>
    </row>
    <row r="3193">
      <c r="A3193" s="13" t="inlineStr">
        <is>
          <t>8737</t>
        </is>
      </c>
      <c r="B3193" s="14" t="inlineStr">
        <is>
          <t>Stainless steel wire guage (Grade-304) aperture 1.4mm and 0.50 mm dia wire</t>
        </is>
      </c>
      <c r="C3193" s="13" t="inlineStr">
        <is>
          <t>sqm</t>
        </is>
      </c>
      <c r="D3193" s="15" t="n">
        <v>1.41</v>
      </c>
      <c r="E3193" s="16" t="n">
        <v>400</v>
      </c>
      <c r="F3193" s="16">
        <f>D3193*E3193</f>
        <v/>
      </c>
    </row>
    <row r="3194">
      <c r="A3194" s="13" t="inlineStr">
        <is>
          <t>0595</t>
        </is>
      </c>
      <c r="B3194" s="14" t="inlineStr">
        <is>
          <t>Bright finished or black enamelled mild steel butt hinges 100x58x1.90 mm</t>
        </is>
      </c>
      <c r="C3194" s="13" t="inlineStr">
        <is>
          <t>10 Nos</t>
        </is>
      </c>
      <c r="D3194" s="15" t="n">
        <v>0.6</v>
      </c>
      <c r="E3194" s="16" t="n">
        <v>80</v>
      </c>
      <c r="F3194" s="16">
        <f>D3194*E3194</f>
        <v/>
      </c>
    </row>
    <row r="3195">
      <c r="A3195" s="13" t="inlineStr">
        <is>
          <t>0597</t>
        </is>
      </c>
      <c r="B3195" s="14" t="inlineStr">
        <is>
          <t>Bright finished or black enamelled mild steel butt hinges50x37x1.50 mm</t>
        </is>
      </c>
      <c r="C3195" s="13" t="inlineStr">
        <is>
          <t>10 Nos</t>
        </is>
      </c>
      <c r="D3195" s="15" t="n">
        <v>0.2</v>
      </c>
      <c r="E3195" s="16" t="n">
        <v>49</v>
      </c>
      <c r="F3195" s="16">
        <f>D3195*E3195</f>
        <v/>
      </c>
    </row>
    <row r="3196">
      <c r="A3196" s="13" t="inlineStr">
        <is>
          <t>0637</t>
        </is>
      </c>
      <c r="B3196" s="14" t="inlineStr">
        <is>
          <t>Bright finished or black enamelled mild steel screws 40 mm</t>
        </is>
      </c>
      <c r="C3196" s="13" t="inlineStr">
        <is>
          <t>100 Nos</t>
        </is>
      </c>
      <c r="D3196" s="15" t="n">
        <v>0.48</v>
      </c>
      <c r="E3196" s="16" t="n">
        <v>60</v>
      </c>
      <c r="F3196" s="16">
        <f>D3196*E3196</f>
        <v/>
      </c>
    </row>
    <row r="3197">
      <c r="A3197" s="13" t="inlineStr">
        <is>
          <t>0640</t>
        </is>
      </c>
      <c r="B3197" s="14" t="inlineStr">
        <is>
          <t>Bright finished or black enamelled mild steel screws 20 mm</t>
        </is>
      </c>
      <c r="C3197" s="13" t="inlineStr">
        <is>
          <t>100 Nos</t>
        </is>
      </c>
      <c r="D3197" s="15" t="n">
        <v>0.08</v>
      </c>
      <c r="E3197" s="16" t="n">
        <v>30</v>
      </c>
      <c r="F3197" s="16">
        <f>D3197*E3197</f>
        <v/>
      </c>
    </row>
    <row r="3198">
      <c r="A3198" s="13" t="inlineStr">
        <is>
          <t>0111</t>
        </is>
      </c>
      <c r="B3198" s="14" t="inlineStr">
        <is>
          <t>Carpenter 1st class</t>
        </is>
      </c>
      <c r="C3198" s="13" t="inlineStr">
        <is>
          <t>day</t>
        </is>
      </c>
      <c r="D3198" s="15" t="n">
        <v>1.3</v>
      </c>
      <c r="E3198" s="16" t="n">
        <v>738</v>
      </c>
      <c r="F3198" s="16">
        <f>D3198*E3198</f>
        <v/>
      </c>
    </row>
    <row r="3199">
      <c r="A3199" s="13" t="inlineStr">
        <is>
          <t>0112</t>
        </is>
      </c>
      <c r="B3199" s="14" t="inlineStr">
        <is>
          <t>Carpenter 2nd class</t>
        </is>
      </c>
      <c r="C3199" s="13" t="inlineStr">
        <is>
          <t>day</t>
        </is>
      </c>
      <c r="D3199" s="15" t="n">
        <v>0.9</v>
      </c>
      <c r="E3199" s="16" t="n">
        <v>679</v>
      </c>
      <c r="F3199" s="16">
        <f>D3199*E3199</f>
        <v/>
      </c>
    </row>
    <row r="3200">
      <c r="A3200" s="13" t="inlineStr">
        <is>
          <t>0114</t>
        </is>
      </c>
      <c r="B3200" s="14" t="inlineStr">
        <is>
          <t>Beldar</t>
        </is>
      </c>
      <c r="C3200" s="13" t="inlineStr">
        <is>
          <t>day</t>
        </is>
      </c>
      <c r="D3200" s="15" t="n">
        <v>1.05</v>
      </c>
      <c r="E3200" s="16" t="n">
        <v>558</v>
      </c>
      <c r="F3200" s="16">
        <f>D3200*E3200</f>
        <v/>
      </c>
    </row>
    <row r="3201">
      <c r="A3201" s="13" t="inlineStr">
        <is>
          <t>0130</t>
        </is>
      </c>
      <c r="B3201" s="14" t="inlineStr">
        <is>
          <t>Mistry</t>
        </is>
      </c>
      <c r="C3201" s="13" t="inlineStr">
        <is>
          <t>day</t>
        </is>
      </c>
      <c r="D3201" s="15" t="n">
        <v>0.105</v>
      </c>
      <c r="E3201" s="16" t="n">
        <v>738</v>
      </c>
      <c r="F3201" s="16">
        <f>D3201*E3201</f>
        <v/>
      </c>
    </row>
    <row r="3202">
      <c r="A3202" s="13" t="inlineStr">
        <is>
          <t>9999</t>
        </is>
      </c>
      <c r="B3202" s="14" t="inlineStr">
        <is>
          <t>Sundries</t>
        </is>
      </c>
      <c r="C3202" s="13" t="inlineStr">
        <is>
          <t>L.S.</t>
        </is>
      </c>
      <c r="D3202" s="15" t="n">
        <v>33.8</v>
      </c>
      <c r="E3202" s="16" t="n">
        <v>2</v>
      </c>
      <c r="F3202" s="16">
        <f>D3202*E3202</f>
        <v/>
      </c>
    </row>
    <row r="3203">
      <c r="A3203" s="17" t="inlineStr">
        <is>
          <t>Resource Total (Material + Labour + Machinery, as printed)</t>
        </is>
      </c>
      <c r="B3203" s="18" t="n"/>
      <c r="C3203" s="18" t="n"/>
      <c r="D3203" s="18" t="n"/>
      <c r="E3203" s="18" t="n"/>
      <c r="F3203" s="19">
        <f>SUM(F3191:F3202)</f>
        <v/>
      </c>
    </row>
    <row r="3204">
      <c r="A3204" s="20" t="inlineStr">
        <is>
          <t>SAY (Rs.) — final DAR rate</t>
        </is>
      </c>
      <c r="B3204" s="21" t="n"/>
      <c r="C3204" s="21" t="n"/>
      <c r="D3204" s="21" t="n"/>
      <c r="E3204" s="21" t="n"/>
      <c r="F3204" s="22" t="n">
        <v>3927.2</v>
      </c>
    </row>
    <row r="3206" ht="18" customHeight="1">
      <c r="A3206" s="9" t="inlineStr">
        <is>
          <t>9.134.1.2.1</t>
        </is>
      </c>
      <c r="B3206" s="10" t="inlineStr">
        <is>
          <t>Second class teak wood</t>
        </is>
      </c>
      <c r="C3206" s="11" t="n"/>
      <c r="D3206" s="11" t="n"/>
      <c r="E3206" s="11" t="n"/>
      <c r="F3206" s="11" t="n"/>
    </row>
    <row r="3207">
      <c r="A3207" s="12" t="inlineStr">
        <is>
          <t>Rate basis: per sqm  (source: cost for 2.16 sqm)</t>
        </is>
      </c>
    </row>
    <row r="3208">
      <c r="A3208" s="5" t="inlineStr">
        <is>
          <t>Code</t>
        </is>
      </c>
      <c r="B3208" s="5" t="inlineStr">
        <is>
          <t>Description</t>
        </is>
      </c>
      <c r="C3208" s="5" t="inlineStr">
        <is>
          <t>Unit</t>
        </is>
      </c>
      <c r="D3208" s="5" t="inlineStr">
        <is>
          <t>Quantity</t>
        </is>
      </c>
      <c r="E3208" s="5" t="inlineStr">
        <is>
          <t>Rate (Rs.)</t>
        </is>
      </c>
      <c r="F3208" s="5" t="inlineStr">
        <is>
          <t>Amount (Rs.)</t>
        </is>
      </c>
    </row>
    <row r="3209">
      <c r="A3209" s="13" t="inlineStr">
        <is>
          <t>8737</t>
        </is>
      </c>
      <c r="B3209" s="14" t="inlineStr">
        <is>
          <t>Stainless steel wire guage (Grade-304) aperture 1.4mm and 0.50 mm dia wire</t>
        </is>
      </c>
      <c r="C3209" s="13" t="inlineStr">
        <is>
          <t>sqm</t>
        </is>
      </c>
      <c r="D3209" s="15" t="n">
        <v>1.41</v>
      </c>
      <c r="E3209" s="16" t="n">
        <v>400</v>
      </c>
      <c r="F3209" s="16">
        <f>D3209*E3209</f>
        <v/>
      </c>
    </row>
    <row r="3210">
      <c r="A3210" s="13" t="inlineStr">
        <is>
          <t>8220</t>
        </is>
      </c>
      <c r="B3210" s="14" t="inlineStr">
        <is>
          <t>Stainless steel butt hinges (heavy weight) 100x60x2.5 mm IS : 12817 marked</t>
        </is>
      </c>
      <c r="C3210" s="13" t="inlineStr">
        <is>
          <t>10 Nos</t>
        </is>
      </c>
      <c r="D3210" s="15" t="n">
        <v>0.6</v>
      </c>
      <c r="E3210" s="16" t="n">
        <v>255</v>
      </c>
      <c r="F3210" s="16">
        <f>D3210*E3210</f>
        <v/>
      </c>
    </row>
    <row r="3211">
      <c r="A3211" s="13" t="inlineStr">
        <is>
          <t>8218</t>
        </is>
      </c>
      <c r="B3211" s="14" t="inlineStr">
        <is>
          <t>Stainless steel butt hinges 50x37x 1.5 mm IS : 12817 marked</t>
        </is>
      </c>
      <c r="C3211" s="13" t="inlineStr">
        <is>
          <t>10 Nos</t>
        </is>
      </c>
      <c r="D3211" s="15" t="n">
        <v>0.2</v>
      </c>
      <c r="E3211" s="16" t="n">
        <v>135</v>
      </c>
      <c r="F3211" s="16">
        <f>D3211*E3211</f>
        <v/>
      </c>
    </row>
    <row r="3212">
      <c r="A3212" s="13" t="inlineStr">
        <is>
          <t>8211</t>
        </is>
      </c>
      <c r="B3212" s="14" t="inlineStr">
        <is>
          <t>Stainless steel screws 40 mm</t>
        </is>
      </c>
      <c r="C3212" s="13" t="inlineStr">
        <is>
          <t>100 Nos</t>
        </is>
      </c>
      <c r="D3212" s="15" t="n">
        <v>0.48</v>
      </c>
      <c r="E3212" s="16" t="n">
        <v>215</v>
      </c>
      <c r="F3212" s="16">
        <f>D3212*E3212</f>
        <v/>
      </c>
    </row>
    <row r="3213">
      <c r="A3213" s="13" t="inlineStr">
        <is>
          <t>8214</t>
        </is>
      </c>
      <c r="B3213" s="14" t="inlineStr">
        <is>
          <t>Stainless steel screws 20 mm</t>
        </is>
      </c>
      <c r="C3213" s="13" t="inlineStr">
        <is>
          <t>100 Nos</t>
        </is>
      </c>
      <c r="D3213" s="15" t="n">
        <v>0.08</v>
      </c>
      <c r="E3213" s="16" t="n">
        <v>125</v>
      </c>
      <c r="F3213" s="16">
        <f>D3213*E3213</f>
        <v/>
      </c>
    </row>
    <row r="3214">
      <c r="A3214" s="13" t="inlineStr">
        <is>
          <t>2204</t>
        </is>
      </c>
      <c r="B3214" s="14" t="inlineStr">
        <is>
          <t>Carriage of Timber</t>
        </is>
      </c>
      <c r="C3214" s="13" t="inlineStr">
        <is>
          <t>cum</t>
        </is>
      </c>
      <c r="D3214" s="15" t="n">
        <v>0.0514</v>
      </c>
      <c r="E3214" s="16" t="n">
        <v>118.59</v>
      </c>
      <c r="F3214" s="16">
        <f>D3214*E3214</f>
        <v/>
      </c>
    </row>
    <row r="3215">
      <c r="A3215" s="13" t="inlineStr">
        <is>
          <t>0111</t>
        </is>
      </c>
      <c r="B3215" s="14" t="inlineStr">
        <is>
          <t>Carpenter 1st class</t>
        </is>
      </c>
      <c r="C3215" s="13" t="inlineStr">
        <is>
          <t>day</t>
        </is>
      </c>
      <c r="D3215" s="15" t="n">
        <v>1.3</v>
      </c>
      <c r="E3215" s="16" t="n">
        <v>738</v>
      </c>
      <c r="F3215" s="16">
        <f>D3215*E3215</f>
        <v/>
      </c>
    </row>
    <row r="3216">
      <c r="A3216" s="13" t="inlineStr">
        <is>
          <t>0112</t>
        </is>
      </c>
      <c r="B3216" s="14" t="inlineStr">
        <is>
          <t>Carpenter 2nd class</t>
        </is>
      </c>
      <c r="C3216" s="13" t="inlineStr">
        <is>
          <t>day</t>
        </is>
      </c>
      <c r="D3216" s="15" t="n">
        <v>0.9</v>
      </c>
      <c r="E3216" s="16" t="n">
        <v>679</v>
      </c>
      <c r="F3216" s="16">
        <f>D3216*E3216</f>
        <v/>
      </c>
    </row>
    <row r="3217">
      <c r="A3217" s="13" t="inlineStr">
        <is>
          <t>0114</t>
        </is>
      </c>
      <c r="B3217" s="14" t="inlineStr">
        <is>
          <t>Beldar</t>
        </is>
      </c>
      <c r="C3217" s="13" t="inlineStr">
        <is>
          <t>day</t>
        </is>
      </c>
      <c r="D3217" s="15" t="n">
        <v>1.05</v>
      </c>
      <c r="E3217" s="16" t="n">
        <v>558</v>
      </c>
      <c r="F3217" s="16">
        <f>D3217*E3217</f>
        <v/>
      </c>
    </row>
    <row r="3218">
      <c r="A3218" s="13" t="inlineStr">
        <is>
          <t>0130</t>
        </is>
      </c>
      <c r="B3218" s="14" t="inlineStr">
        <is>
          <t>Mistry</t>
        </is>
      </c>
      <c r="C3218" s="13" t="inlineStr">
        <is>
          <t>day</t>
        </is>
      </c>
      <c r="D3218" s="15" t="n">
        <v>0.105</v>
      </c>
      <c r="E3218" s="16" t="n">
        <v>738</v>
      </c>
      <c r="F3218" s="16">
        <f>D3218*E3218</f>
        <v/>
      </c>
    </row>
    <row r="3219">
      <c r="A3219" s="13" t="inlineStr">
        <is>
          <t>9999</t>
        </is>
      </c>
      <c r="B3219" s="14" t="inlineStr">
        <is>
          <t>Sundries</t>
        </is>
      </c>
      <c r="C3219" s="13" t="inlineStr">
        <is>
          <t>L.S.</t>
        </is>
      </c>
      <c r="D3219" s="15" t="n">
        <v>33.8</v>
      </c>
      <c r="E3219" s="16" t="n">
        <v>2</v>
      </c>
      <c r="F3219" s="16">
        <f>D3219*E3219</f>
        <v/>
      </c>
    </row>
    <row r="3220">
      <c r="A3220" s="17" t="inlineStr">
        <is>
          <t>Resource Total (Material + Labour + Machinery, as printed)</t>
        </is>
      </c>
      <c r="B3220" s="18" t="n"/>
      <c r="C3220" s="18" t="n"/>
      <c r="D3220" s="18" t="n"/>
      <c r="E3220" s="18" t="n"/>
      <c r="F3220" s="19">
        <f>SUM(F3209:F3219)</f>
        <v/>
      </c>
    </row>
    <row r="3221">
      <c r="A3221" s="20" t="inlineStr">
        <is>
          <t>SAY (Rs.) — final DAR rate</t>
        </is>
      </c>
      <c r="B3221" s="21" t="n"/>
      <c r="C3221" s="21" t="n"/>
      <c r="D3221" s="21" t="n"/>
      <c r="E3221" s="21" t="n"/>
      <c r="F3221" s="22" t="n">
        <v>4478.7</v>
      </c>
    </row>
    <row r="3223" ht="18" customHeight="1">
      <c r="A3223" s="9" t="inlineStr">
        <is>
          <t>9.134.1.2.2</t>
        </is>
      </c>
      <c r="B3223" s="10" t="inlineStr">
        <is>
          <t>Kiln seasoned and chemically treated hollock wood</t>
        </is>
      </c>
      <c r="C3223" s="11" t="n"/>
      <c r="D3223" s="11" t="n"/>
      <c r="E3223" s="11" t="n"/>
      <c r="F3223" s="11" t="n"/>
    </row>
    <row r="3224">
      <c r="A3224" s="12" t="inlineStr">
        <is>
          <t>Rate basis: per sqm  (source: cost for 2.16 sqm)</t>
        </is>
      </c>
    </row>
    <row r="3225">
      <c r="A3225" s="5" t="inlineStr">
        <is>
          <t>Code</t>
        </is>
      </c>
      <c r="B3225" s="5" t="inlineStr">
        <is>
          <t>Description</t>
        </is>
      </c>
      <c r="C3225" s="5" t="inlineStr">
        <is>
          <t>Unit</t>
        </is>
      </c>
      <c r="D3225" s="5" t="inlineStr">
        <is>
          <t>Quantity</t>
        </is>
      </c>
      <c r="E3225" s="5" t="inlineStr">
        <is>
          <t>Rate (Rs.)</t>
        </is>
      </c>
      <c r="F3225" s="5" t="inlineStr">
        <is>
          <t>Amount (Rs.)</t>
        </is>
      </c>
    </row>
    <row r="3226">
      <c r="A3226" s="13" t="inlineStr">
        <is>
          <t>2504</t>
        </is>
      </c>
      <c r="B3226" s="14" t="inlineStr">
        <is>
          <t>Kiln seasoning of timber</t>
        </is>
      </c>
      <c r="C3226" s="13" t="inlineStr">
        <is>
          <t>cum</t>
        </is>
      </c>
      <c r="D3226" s="15" t="n">
        <v>0.0514</v>
      </c>
      <c r="E3226" s="16" t="n">
        <v>750</v>
      </c>
      <c r="F3226" s="16">
        <f>D3226*E3226</f>
        <v/>
      </c>
    </row>
    <row r="3227">
      <c r="A3227" s="13" t="inlineStr">
        <is>
          <t>9999</t>
        </is>
      </c>
      <c r="B3227" s="14" t="inlineStr">
        <is>
          <t>Chemical treatment</t>
        </is>
      </c>
      <c r="C3227" s="13" t="inlineStr">
        <is>
          <t>L.S.</t>
        </is>
      </c>
      <c r="D3227" s="15" t="n">
        <v>8.970000000000001</v>
      </c>
      <c r="E3227" s="16" t="n">
        <v>2</v>
      </c>
      <c r="F3227" s="16">
        <f>D3227*E3227</f>
        <v/>
      </c>
    </row>
    <row r="3228">
      <c r="A3228" s="13" t="inlineStr">
        <is>
          <t>8737</t>
        </is>
      </c>
      <c r="B3228" s="14" t="inlineStr">
        <is>
          <t>Stainless steel wire guage (Grade-304) aperture 1.4mm and 0.50 mm dia wire</t>
        </is>
      </c>
      <c r="C3228" s="13" t="inlineStr">
        <is>
          <t>sqm</t>
        </is>
      </c>
      <c r="D3228" s="15" t="n">
        <v>1.41</v>
      </c>
      <c r="E3228" s="16" t="n">
        <v>400</v>
      </c>
      <c r="F3228" s="16">
        <f>D3228*E3228</f>
        <v/>
      </c>
    </row>
    <row r="3229">
      <c r="A3229" s="13" t="inlineStr">
        <is>
          <t>8220</t>
        </is>
      </c>
      <c r="B3229" s="14" t="inlineStr">
        <is>
          <t>Stainless steel butt hinges (heavy weight) 100x60x2.5 mm IS : 12817 marked</t>
        </is>
      </c>
      <c r="C3229" s="13" t="inlineStr">
        <is>
          <t>10 Nos</t>
        </is>
      </c>
      <c r="D3229" s="15" t="n">
        <v>0.6</v>
      </c>
      <c r="E3229" s="16" t="n">
        <v>255</v>
      </c>
      <c r="F3229" s="16">
        <f>D3229*E3229</f>
        <v/>
      </c>
    </row>
    <row r="3230">
      <c r="A3230" s="13" t="inlineStr">
        <is>
          <t>8218</t>
        </is>
      </c>
      <c r="B3230" s="14" t="inlineStr">
        <is>
          <t>Stainless steel butt hinges 50x37x 1.5 mm IS : 12817 marked</t>
        </is>
      </c>
      <c r="C3230" s="13" t="inlineStr">
        <is>
          <t>10 Nos</t>
        </is>
      </c>
      <c r="D3230" s="15" t="n">
        <v>0.2</v>
      </c>
      <c r="E3230" s="16" t="n">
        <v>135</v>
      </c>
      <c r="F3230" s="16">
        <f>D3230*E3230</f>
        <v/>
      </c>
    </row>
    <row r="3231">
      <c r="A3231" s="13" t="inlineStr">
        <is>
          <t>8211</t>
        </is>
      </c>
      <c r="B3231" s="14" t="inlineStr">
        <is>
          <t>Stainless steel screws 40 mm</t>
        </is>
      </c>
      <c r="C3231" s="13" t="inlineStr">
        <is>
          <t>100 Nos</t>
        </is>
      </c>
      <c r="D3231" s="15" t="n">
        <v>0.48</v>
      </c>
      <c r="E3231" s="16" t="n">
        <v>215</v>
      </c>
      <c r="F3231" s="16">
        <f>D3231*E3231</f>
        <v/>
      </c>
    </row>
    <row r="3232">
      <c r="A3232" s="13" t="inlineStr">
        <is>
          <t>8214</t>
        </is>
      </c>
      <c r="B3232" s="14" t="inlineStr">
        <is>
          <t>Stainless steel screws 20 mm</t>
        </is>
      </c>
      <c r="C3232" s="13" t="inlineStr">
        <is>
          <t>100 Nos</t>
        </is>
      </c>
      <c r="D3232" s="15" t="n">
        <v>0.08</v>
      </c>
      <c r="E3232" s="16" t="n">
        <v>125</v>
      </c>
      <c r="F3232" s="16">
        <f>D3232*E3232</f>
        <v/>
      </c>
    </row>
    <row r="3233">
      <c r="A3233" s="13" t="inlineStr">
        <is>
          <t>2204</t>
        </is>
      </c>
      <c r="B3233" s="14" t="inlineStr">
        <is>
          <t>Carriage of Timber</t>
        </is>
      </c>
      <c r="C3233" s="13" t="inlineStr">
        <is>
          <t>cum</t>
        </is>
      </c>
      <c r="D3233" s="15" t="n">
        <v>0.0514</v>
      </c>
      <c r="E3233" s="16" t="n">
        <v>118.59</v>
      </c>
      <c r="F3233" s="16">
        <f>D3233*E3233</f>
        <v/>
      </c>
    </row>
    <row r="3234">
      <c r="A3234" s="13" t="inlineStr">
        <is>
          <t>0111</t>
        </is>
      </c>
      <c r="B3234" s="14" t="inlineStr">
        <is>
          <t>Carpenter 1st class</t>
        </is>
      </c>
      <c r="C3234" s="13" t="inlineStr">
        <is>
          <t>day</t>
        </is>
      </c>
      <c r="D3234" s="15" t="n">
        <v>1.3</v>
      </c>
      <c r="E3234" s="16" t="n">
        <v>738</v>
      </c>
      <c r="F3234" s="16">
        <f>D3234*E3234</f>
        <v/>
      </c>
    </row>
    <row r="3235">
      <c r="A3235" s="13" t="inlineStr">
        <is>
          <t>0112</t>
        </is>
      </c>
      <c r="B3235" s="14" t="inlineStr">
        <is>
          <t>Carpenter 2nd class</t>
        </is>
      </c>
      <c r="C3235" s="13" t="inlineStr">
        <is>
          <t>day</t>
        </is>
      </c>
      <c r="D3235" s="15" t="n">
        <v>0.9</v>
      </c>
      <c r="E3235" s="16" t="n">
        <v>679</v>
      </c>
      <c r="F3235" s="16">
        <f>D3235*E3235</f>
        <v/>
      </c>
    </row>
    <row r="3236">
      <c r="A3236" s="13" t="inlineStr">
        <is>
          <t>0114</t>
        </is>
      </c>
      <c r="B3236" s="14" t="inlineStr">
        <is>
          <t>Beldar</t>
        </is>
      </c>
      <c r="C3236" s="13" t="inlineStr">
        <is>
          <t>day</t>
        </is>
      </c>
      <c r="D3236" s="15" t="n">
        <v>1.05</v>
      </c>
      <c r="E3236" s="16" t="n">
        <v>558</v>
      </c>
      <c r="F3236" s="16">
        <f>D3236*E3236</f>
        <v/>
      </c>
    </row>
    <row r="3237">
      <c r="A3237" s="13" t="inlineStr">
        <is>
          <t>0130</t>
        </is>
      </c>
      <c r="B3237" s="14" t="inlineStr">
        <is>
          <t>Mistry</t>
        </is>
      </c>
      <c r="C3237" s="13" t="inlineStr">
        <is>
          <t>day</t>
        </is>
      </c>
      <c r="D3237" s="15" t="n">
        <v>0.105</v>
      </c>
      <c r="E3237" s="16" t="n">
        <v>738</v>
      </c>
      <c r="F3237" s="16">
        <f>D3237*E3237</f>
        <v/>
      </c>
    </row>
    <row r="3238">
      <c r="A3238" s="13" t="inlineStr">
        <is>
          <t>9999</t>
        </is>
      </c>
      <c r="B3238" s="14" t="inlineStr">
        <is>
          <t>Sundries</t>
        </is>
      </c>
      <c r="C3238" s="13" t="inlineStr">
        <is>
          <t>L.S.</t>
        </is>
      </c>
      <c r="D3238" s="15" t="n">
        <v>33.8</v>
      </c>
      <c r="E3238" s="16" t="n">
        <v>2</v>
      </c>
      <c r="F3238" s="16">
        <f>D3238*E3238</f>
        <v/>
      </c>
    </row>
    <row r="3239">
      <c r="A3239" s="17" t="inlineStr">
        <is>
          <t>Resource Total (Material + Labour + Machinery, as printed)</t>
        </is>
      </c>
      <c r="B3239" s="18" t="n"/>
      <c r="C3239" s="18" t="n"/>
      <c r="D3239" s="18" t="n"/>
      <c r="E3239" s="18" t="n"/>
      <c r="F3239" s="19">
        <f>SUM(F3226:F3238)</f>
        <v/>
      </c>
    </row>
    <row r="3240">
      <c r="A3240" s="20" t="inlineStr">
        <is>
          <t>SAY (Rs.) — final DAR rate</t>
        </is>
      </c>
      <c r="B3240" s="21" t="n"/>
      <c r="C3240" s="21" t="n"/>
      <c r="D3240" s="21" t="n"/>
      <c r="E3240" s="21" t="n"/>
      <c r="F3240" s="22" t="n">
        <v>3237</v>
      </c>
    </row>
    <row r="3242" ht="18" customHeight="1">
      <c r="A3242" s="9" t="inlineStr">
        <is>
          <t>9.134.1.2.3</t>
        </is>
      </c>
      <c r="B3242" s="10" t="inlineStr">
        <is>
          <t>Kiln seasoned selected class of sheesham wood</t>
        </is>
      </c>
      <c r="C3242" s="11" t="n"/>
      <c r="D3242" s="11" t="n"/>
      <c r="E3242" s="11" t="n"/>
      <c r="F3242" s="11" t="n"/>
    </row>
    <row r="3243">
      <c r="A3243" s="12" t="inlineStr">
        <is>
          <t>Rate basis: per sqm  (source: cost for 2.16 sqm)</t>
        </is>
      </c>
    </row>
    <row r="3244">
      <c r="A3244" s="5" t="inlineStr">
        <is>
          <t>Code</t>
        </is>
      </c>
      <c r="B3244" s="5" t="inlineStr">
        <is>
          <t>Description</t>
        </is>
      </c>
      <c r="C3244" s="5" t="inlineStr">
        <is>
          <t>Unit</t>
        </is>
      </c>
      <c r="D3244" s="5" t="inlineStr">
        <is>
          <t>Quantity</t>
        </is>
      </c>
      <c r="E3244" s="5" t="inlineStr">
        <is>
          <t>Rate (Rs.)</t>
        </is>
      </c>
      <c r="F3244" s="5" t="inlineStr">
        <is>
          <t>Amount (Rs.)</t>
        </is>
      </c>
    </row>
    <row r="3245">
      <c r="A3245" s="13" t="inlineStr">
        <is>
          <t>2504</t>
        </is>
      </c>
      <c r="B3245" s="14" t="inlineStr">
        <is>
          <t>Kiln seasoning of timber</t>
        </is>
      </c>
      <c r="C3245" s="13" t="inlineStr">
        <is>
          <t>cum</t>
        </is>
      </c>
      <c r="D3245" s="15" t="n">
        <v>0.0514</v>
      </c>
      <c r="E3245" s="16" t="n">
        <v>750</v>
      </c>
      <c r="F3245" s="16">
        <f>D3245*E3245</f>
        <v/>
      </c>
    </row>
    <row r="3246">
      <c r="A3246" s="13" t="inlineStr">
        <is>
          <t>8737</t>
        </is>
      </c>
      <c r="B3246" s="14" t="inlineStr">
        <is>
          <t>Stainless steel wire guage (Grade-304) aperture 1.4mm and 0.50 mm dia wire</t>
        </is>
      </c>
      <c r="C3246" s="13" t="inlineStr">
        <is>
          <t>sqm</t>
        </is>
      </c>
      <c r="D3246" s="15" t="n">
        <v>1.41</v>
      </c>
      <c r="E3246" s="16" t="n">
        <v>400</v>
      </c>
      <c r="F3246" s="16">
        <f>D3246*E3246</f>
        <v/>
      </c>
    </row>
    <row r="3247">
      <c r="A3247" s="13" t="inlineStr">
        <is>
          <t>8220</t>
        </is>
      </c>
      <c r="B3247" s="14" t="inlineStr">
        <is>
          <t>Stainless steel butt hinges (heavy weight) 100x60x2.5 mm IS : 12817 marked</t>
        </is>
      </c>
      <c r="C3247" s="13" t="inlineStr">
        <is>
          <t>10 Nos</t>
        </is>
      </c>
      <c r="D3247" s="15" t="n">
        <v>0.6</v>
      </c>
      <c r="E3247" s="16" t="n">
        <v>255</v>
      </c>
      <c r="F3247" s="16">
        <f>D3247*E3247</f>
        <v/>
      </c>
    </row>
    <row r="3248">
      <c r="A3248" s="13" t="inlineStr">
        <is>
          <t>8218</t>
        </is>
      </c>
      <c r="B3248" s="14" t="inlineStr">
        <is>
          <t>Stainless steel butt hinges 50x37x 1.5 mm IS : 12817 marked</t>
        </is>
      </c>
      <c r="C3248" s="13" t="inlineStr">
        <is>
          <t>10 Nos</t>
        </is>
      </c>
      <c r="D3248" s="15" t="n">
        <v>0.2</v>
      </c>
      <c r="E3248" s="16" t="n">
        <v>135</v>
      </c>
      <c r="F3248" s="16">
        <f>D3248*E3248</f>
        <v/>
      </c>
    </row>
    <row r="3249">
      <c r="A3249" s="13" t="inlineStr">
        <is>
          <t>8211</t>
        </is>
      </c>
      <c r="B3249" s="14" t="inlineStr">
        <is>
          <t>Stainless steel screws 40 mm</t>
        </is>
      </c>
      <c r="C3249" s="13" t="inlineStr">
        <is>
          <t>100 Nos</t>
        </is>
      </c>
      <c r="D3249" s="15" t="n">
        <v>0.48</v>
      </c>
      <c r="E3249" s="16" t="n">
        <v>215</v>
      </c>
      <c r="F3249" s="16">
        <f>D3249*E3249</f>
        <v/>
      </c>
    </row>
    <row r="3250">
      <c r="A3250" s="13" t="inlineStr">
        <is>
          <t>8214</t>
        </is>
      </c>
      <c r="B3250" s="14" t="inlineStr">
        <is>
          <t>Stainless steel screws 20 mm</t>
        </is>
      </c>
      <c r="C3250" s="13" t="inlineStr">
        <is>
          <t>100 Nos</t>
        </is>
      </c>
      <c r="D3250" s="15" t="n">
        <v>0.08</v>
      </c>
      <c r="E3250" s="16" t="n">
        <v>125</v>
      </c>
      <c r="F3250" s="16">
        <f>D3250*E3250</f>
        <v/>
      </c>
    </row>
    <row r="3251">
      <c r="A3251" s="13" t="inlineStr">
        <is>
          <t>2204</t>
        </is>
      </c>
      <c r="B3251" s="14" t="inlineStr">
        <is>
          <t>Carriage of Timber</t>
        </is>
      </c>
      <c r="C3251" s="13" t="inlineStr">
        <is>
          <t>cum</t>
        </is>
      </c>
      <c r="D3251" s="15" t="n">
        <v>0.0514</v>
      </c>
      <c r="E3251" s="16" t="n">
        <v>118.59</v>
      </c>
      <c r="F3251" s="16">
        <f>D3251*E3251</f>
        <v/>
      </c>
    </row>
    <row r="3252">
      <c r="A3252" s="13" t="inlineStr">
        <is>
          <t>0111</t>
        </is>
      </c>
      <c r="B3252" s="14" t="inlineStr">
        <is>
          <t>Carpenter 1st class</t>
        </is>
      </c>
      <c r="C3252" s="13" t="inlineStr">
        <is>
          <t>day</t>
        </is>
      </c>
      <c r="D3252" s="15" t="n">
        <v>1.3</v>
      </c>
      <c r="E3252" s="16" t="n">
        <v>738</v>
      </c>
      <c r="F3252" s="16">
        <f>D3252*E3252</f>
        <v/>
      </c>
    </row>
    <row r="3253">
      <c r="A3253" s="13" t="inlineStr">
        <is>
          <t>0112</t>
        </is>
      </c>
      <c r="B3253" s="14" t="inlineStr">
        <is>
          <t>Carpenter 2nd class</t>
        </is>
      </c>
      <c r="C3253" s="13" t="inlineStr">
        <is>
          <t>day</t>
        </is>
      </c>
      <c r="D3253" s="15" t="n">
        <v>0.9</v>
      </c>
      <c r="E3253" s="16" t="n">
        <v>679</v>
      </c>
      <c r="F3253" s="16">
        <f>D3253*E3253</f>
        <v/>
      </c>
    </row>
    <row r="3254">
      <c r="A3254" s="13" t="inlineStr">
        <is>
          <t>0114</t>
        </is>
      </c>
      <c r="B3254" s="14" t="inlineStr">
        <is>
          <t>Beldar</t>
        </is>
      </c>
      <c r="C3254" s="13" t="inlineStr">
        <is>
          <t>day</t>
        </is>
      </c>
      <c r="D3254" s="15" t="n">
        <v>1.05</v>
      </c>
      <c r="E3254" s="16" t="n">
        <v>558</v>
      </c>
      <c r="F3254" s="16">
        <f>D3254*E3254</f>
        <v/>
      </c>
    </row>
    <row r="3255">
      <c r="A3255" s="13" t="inlineStr">
        <is>
          <t>0130</t>
        </is>
      </c>
      <c r="B3255" s="14" t="inlineStr">
        <is>
          <t>Mistry</t>
        </is>
      </c>
      <c r="C3255" s="13" t="inlineStr">
        <is>
          <t>day</t>
        </is>
      </c>
      <c r="D3255" s="15" t="n">
        <v>0.105</v>
      </c>
      <c r="E3255" s="16" t="n">
        <v>738</v>
      </c>
      <c r="F3255" s="16">
        <f>D3255*E3255</f>
        <v/>
      </c>
    </row>
    <row r="3256">
      <c r="A3256" s="13" t="inlineStr">
        <is>
          <t>9999</t>
        </is>
      </c>
      <c r="B3256" s="14" t="inlineStr">
        <is>
          <t>Sundries</t>
        </is>
      </c>
      <c r="C3256" s="13" t="inlineStr">
        <is>
          <t>L.S.</t>
        </is>
      </c>
      <c r="D3256" s="15" t="n">
        <v>33.8</v>
      </c>
      <c r="E3256" s="16" t="n">
        <v>2</v>
      </c>
      <c r="F3256" s="16">
        <f>D3256*E3256</f>
        <v/>
      </c>
    </row>
    <row r="3257">
      <c r="A3257" s="17" t="inlineStr">
        <is>
          <t>Resource Total (Material + Labour + Machinery, as printed)</t>
        </is>
      </c>
      <c r="B3257" s="18" t="n"/>
      <c r="C3257" s="18" t="n"/>
      <c r="D3257" s="18" t="n"/>
      <c r="E3257" s="18" t="n"/>
      <c r="F3257" s="19">
        <f>SUM(F3245:F3256)</f>
        <v/>
      </c>
    </row>
    <row r="3258">
      <c r="A3258" s="20" t="inlineStr">
        <is>
          <t>SAY (Rs.) — final DAR rate</t>
        </is>
      </c>
      <c r="B3258" s="21" t="n"/>
      <c r="C3258" s="21" t="n"/>
      <c r="D3258" s="21" t="n"/>
      <c r="E3258" s="21" t="n"/>
      <c r="F3258" s="22" t="n">
        <v>4053.65</v>
      </c>
    </row>
    <row r="3260" ht="18" customHeight="1">
      <c r="A3260" s="9" t="inlineStr">
        <is>
          <t>9.134.2.1.1</t>
        </is>
      </c>
      <c r="B3260" s="10" t="inlineStr">
        <is>
          <t>Second class teak wood</t>
        </is>
      </c>
      <c r="C3260" s="11" t="n"/>
      <c r="D3260" s="11" t="n"/>
      <c r="E3260" s="11" t="n"/>
      <c r="F3260" s="11" t="n"/>
    </row>
    <row r="3261">
      <c r="A3261" s="12" t="inlineStr">
        <is>
          <t>Rate basis: per sqm  (source: cost for 2.16 sqm)</t>
        </is>
      </c>
    </row>
    <row r="3262">
      <c r="A3262" s="5" t="inlineStr">
        <is>
          <t>Code</t>
        </is>
      </c>
      <c r="B3262" s="5" t="inlineStr">
        <is>
          <t>Description</t>
        </is>
      </c>
      <c r="C3262" s="5" t="inlineStr">
        <is>
          <t>Unit</t>
        </is>
      </c>
      <c r="D3262" s="5" t="inlineStr">
        <is>
          <t>Quantity</t>
        </is>
      </c>
      <c r="E3262" s="5" t="inlineStr">
        <is>
          <t>Rate (Rs.)</t>
        </is>
      </c>
      <c r="F3262" s="5" t="inlineStr">
        <is>
          <t>Amount (Rs.)</t>
        </is>
      </c>
    </row>
    <row r="3263">
      <c r="A3263" s="13" t="inlineStr">
        <is>
          <t>2204</t>
        </is>
      </c>
      <c r="B3263" s="14" t="inlineStr">
        <is>
          <t>Carriage of Timber</t>
        </is>
      </c>
      <c r="C3263" s="13" t="inlineStr">
        <is>
          <t>cum</t>
        </is>
      </c>
      <c r="D3263" s="15" t="n">
        <v>0.044</v>
      </c>
      <c r="E3263" s="16" t="n">
        <v>118.59</v>
      </c>
      <c r="F3263" s="16">
        <f>D3263*E3263</f>
        <v/>
      </c>
    </row>
    <row r="3264">
      <c r="A3264" s="13" t="inlineStr">
        <is>
          <t>8737</t>
        </is>
      </c>
      <c r="B3264" s="14" t="inlineStr">
        <is>
          <t>Stainless steel wire guage (Grade-304) aperture 1.4mm and 0.50 mm dia wire</t>
        </is>
      </c>
      <c r="C3264" s="13" t="inlineStr">
        <is>
          <t>sqm</t>
        </is>
      </c>
      <c r="D3264" s="15" t="n">
        <v>1.41</v>
      </c>
      <c r="E3264" s="16" t="n">
        <v>400</v>
      </c>
      <c r="F3264" s="16">
        <f>D3264*E3264</f>
        <v/>
      </c>
    </row>
    <row r="3265">
      <c r="A3265" s="13" t="inlineStr">
        <is>
          <t>0595</t>
        </is>
      </c>
      <c r="B3265" s="14" t="inlineStr">
        <is>
          <t>Bright finished or black enamelled mild steel butt hinges 100x58x1.90 mm</t>
        </is>
      </c>
      <c r="C3265" s="13" t="inlineStr">
        <is>
          <t>10 Nos</t>
        </is>
      </c>
      <c r="D3265" s="15" t="n">
        <v>0.6</v>
      </c>
      <c r="E3265" s="16" t="n">
        <v>80</v>
      </c>
      <c r="F3265" s="16">
        <f>D3265*E3265</f>
        <v/>
      </c>
    </row>
    <row r="3266">
      <c r="A3266" s="13" t="inlineStr">
        <is>
          <t>0597</t>
        </is>
      </c>
      <c r="B3266" s="14" t="inlineStr">
        <is>
          <t>Bright finished or black enamelled mild steel butt hinges50x37x1.50 mm</t>
        </is>
      </c>
      <c r="C3266" s="13" t="inlineStr">
        <is>
          <t>10 Nos</t>
        </is>
      </c>
      <c r="D3266" s="15" t="n">
        <v>0.2</v>
      </c>
      <c r="E3266" s="16" t="n">
        <v>49</v>
      </c>
      <c r="F3266" s="16">
        <f>D3266*E3266</f>
        <v/>
      </c>
    </row>
    <row r="3267">
      <c r="A3267" s="13" t="inlineStr">
        <is>
          <t>0637</t>
        </is>
      </c>
      <c r="B3267" s="14" t="inlineStr">
        <is>
          <t>Bright finished or black enamelled mild steel screws 40 mm</t>
        </is>
      </c>
      <c r="C3267" s="13" t="inlineStr">
        <is>
          <t>100 Nos</t>
        </is>
      </c>
      <c r="D3267" s="15" t="n">
        <v>0.48</v>
      </c>
      <c r="E3267" s="16" t="n">
        <v>60</v>
      </c>
      <c r="F3267" s="16">
        <f>D3267*E3267</f>
        <v/>
      </c>
    </row>
    <row r="3268">
      <c r="A3268" s="13" t="inlineStr">
        <is>
          <t>0640</t>
        </is>
      </c>
      <c r="B3268" s="14" t="inlineStr">
        <is>
          <t>Bright finished or black enamelled mild steel screws 20 mm</t>
        </is>
      </c>
      <c r="C3268" s="13" t="inlineStr">
        <is>
          <t>100 Nos</t>
        </is>
      </c>
      <c r="D3268" s="15" t="n">
        <v>0.08</v>
      </c>
      <c r="E3268" s="16" t="n">
        <v>30</v>
      </c>
      <c r="F3268" s="16">
        <f>D3268*E3268</f>
        <v/>
      </c>
    </row>
    <row r="3269">
      <c r="A3269" s="13" t="inlineStr">
        <is>
          <t>0111</t>
        </is>
      </c>
      <c r="B3269" s="14" t="inlineStr">
        <is>
          <t>Carpenter 1st class</t>
        </is>
      </c>
      <c r="C3269" s="13" t="inlineStr">
        <is>
          <t>day</t>
        </is>
      </c>
      <c r="D3269" s="15" t="n">
        <v>1.2</v>
      </c>
      <c r="E3269" s="16" t="n">
        <v>738</v>
      </c>
      <c r="F3269" s="16">
        <f>D3269*E3269</f>
        <v/>
      </c>
    </row>
    <row r="3270">
      <c r="A3270" s="13" t="inlineStr">
        <is>
          <t>0112</t>
        </is>
      </c>
      <c r="B3270" s="14" t="inlineStr">
        <is>
          <t>Carpenter 2nd class</t>
        </is>
      </c>
      <c r="C3270" s="13" t="inlineStr">
        <is>
          <t>day</t>
        </is>
      </c>
      <c r="D3270" s="15" t="n">
        <v>0.8</v>
      </c>
      <c r="E3270" s="16" t="n">
        <v>679</v>
      </c>
      <c r="F3270" s="16">
        <f>D3270*E3270</f>
        <v/>
      </c>
    </row>
    <row r="3271">
      <c r="A3271" s="13" t="inlineStr">
        <is>
          <t>0114</t>
        </is>
      </c>
      <c r="B3271" s="14" t="inlineStr">
        <is>
          <t>Beldar</t>
        </is>
      </c>
      <c r="C3271" s="13" t="inlineStr">
        <is>
          <t>day</t>
        </is>
      </c>
      <c r="D3271" s="15" t="n">
        <v>1</v>
      </c>
      <c r="E3271" s="16" t="n">
        <v>558</v>
      </c>
      <c r="F3271" s="16">
        <f>D3271*E3271</f>
        <v/>
      </c>
    </row>
    <row r="3272">
      <c r="A3272" s="13" t="inlineStr">
        <is>
          <t>0130</t>
        </is>
      </c>
      <c r="B3272" s="14" t="inlineStr">
        <is>
          <t>Mistry</t>
        </is>
      </c>
      <c r="C3272" s="13" t="inlineStr">
        <is>
          <t>day</t>
        </is>
      </c>
      <c r="D3272" s="15" t="n">
        <v>0.1</v>
      </c>
      <c r="E3272" s="16" t="n">
        <v>738</v>
      </c>
      <c r="F3272" s="16">
        <f>D3272*E3272</f>
        <v/>
      </c>
    </row>
    <row r="3273">
      <c r="A3273" s="13" t="inlineStr">
        <is>
          <t>9999</t>
        </is>
      </c>
      <c r="B3273" s="14" t="inlineStr">
        <is>
          <t>Sundries</t>
        </is>
      </c>
      <c r="C3273" s="13" t="inlineStr">
        <is>
          <t>L.S.</t>
        </is>
      </c>
      <c r="D3273" s="15" t="n">
        <v>33.8</v>
      </c>
      <c r="E3273" s="16" t="n">
        <v>2</v>
      </c>
      <c r="F3273" s="16">
        <f>D3273*E3273</f>
        <v/>
      </c>
    </row>
    <row r="3274">
      <c r="A3274" s="17" t="inlineStr">
        <is>
          <t>Resource Total (Material + Labour + Machinery, as printed)</t>
        </is>
      </c>
      <c r="B3274" s="18" t="n"/>
      <c r="C3274" s="18" t="n"/>
      <c r="D3274" s="18" t="n"/>
      <c r="E3274" s="18" t="n"/>
      <c r="F3274" s="19">
        <f>SUM(F3263:F3273)</f>
        <v/>
      </c>
    </row>
    <row r="3275">
      <c r="A3275" s="20" t="inlineStr">
        <is>
          <t>SAY (Rs.) — final DAR rate</t>
        </is>
      </c>
      <c r="B3275" s="21" t="n"/>
      <c r="C3275" s="21" t="n"/>
      <c r="D3275" s="21" t="n"/>
      <c r="E3275" s="21" t="n"/>
      <c r="F3275" s="22" t="n">
        <v>3881.75</v>
      </c>
    </row>
    <row r="3277" ht="18" customHeight="1">
      <c r="A3277" s="9" t="inlineStr">
        <is>
          <t>9.134.2.1.2</t>
        </is>
      </c>
      <c r="B3277" s="10" t="inlineStr">
        <is>
          <t>Kiln seasoned and chemically treated hollock wood</t>
        </is>
      </c>
      <c r="C3277" s="11" t="n"/>
      <c r="D3277" s="11" t="n"/>
      <c r="E3277" s="11" t="n"/>
      <c r="F3277" s="11" t="n"/>
    </row>
    <row r="3278">
      <c r="A3278" s="12" t="inlineStr">
        <is>
          <t>Rate basis: per sqm  (source: cost for 2.16 sqm)</t>
        </is>
      </c>
    </row>
    <row r="3279">
      <c r="A3279" s="5" t="inlineStr">
        <is>
          <t>Code</t>
        </is>
      </c>
      <c r="B3279" s="5" t="inlineStr">
        <is>
          <t>Description</t>
        </is>
      </c>
      <c r="C3279" s="5" t="inlineStr">
        <is>
          <t>Unit</t>
        </is>
      </c>
      <c r="D3279" s="5" t="inlineStr">
        <is>
          <t>Quantity</t>
        </is>
      </c>
      <c r="E3279" s="5" t="inlineStr">
        <is>
          <t>Rate (Rs.)</t>
        </is>
      </c>
      <c r="F3279" s="5" t="inlineStr">
        <is>
          <t>Amount (Rs.)</t>
        </is>
      </c>
    </row>
    <row r="3280">
      <c r="A3280" s="13" t="inlineStr">
        <is>
          <t>2204</t>
        </is>
      </c>
      <c r="B3280" s="14" t="inlineStr">
        <is>
          <t>Carriage of Timber</t>
        </is>
      </c>
      <c r="C3280" s="13" t="inlineStr">
        <is>
          <t>cum</t>
        </is>
      </c>
      <c r="D3280" s="15" t="n">
        <v>0.044</v>
      </c>
      <c r="E3280" s="16" t="n">
        <v>118.59</v>
      </c>
      <c r="F3280" s="16">
        <f>D3280*E3280</f>
        <v/>
      </c>
    </row>
    <row r="3281">
      <c r="A3281" s="13" t="inlineStr">
        <is>
          <t>2504</t>
        </is>
      </c>
      <c r="B3281" s="14" t="inlineStr">
        <is>
          <t>Kiln seasoning of timber</t>
        </is>
      </c>
      <c r="C3281" s="13" t="inlineStr">
        <is>
          <t>cum</t>
        </is>
      </c>
      <c r="D3281" s="15" t="n">
        <v>0.044</v>
      </c>
      <c r="E3281" s="16" t="n">
        <v>750</v>
      </c>
      <c r="F3281" s="16">
        <f>D3281*E3281</f>
        <v/>
      </c>
    </row>
    <row r="3282">
      <c r="A3282" s="13" t="inlineStr">
        <is>
          <t>9999</t>
        </is>
      </c>
      <c r="B3282" s="14" t="inlineStr">
        <is>
          <t>Chemical treatment</t>
        </is>
      </c>
      <c r="C3282" s="13" t="inlineStr">
        <is>
          <t>L.S.</t>
        </is>
      </c>
      <c r="D3282" s="15" t="n">
        <v>8.970000000000001</v>
      </c>
      <c r="E3282" s="16" t="n">
        <v>2</v>
      </c>
      <c r="F3282" s="16">
        <f>D3282*E3282</f>
        <v/>
      </c>
    </row>
    <row r="3283">
      <c r="A3283" s="13" t="inlineStr">
        <is>
          <t>8737</t>
        </is>
      </c>
      <c r="B3283" s="14" t="inlineStr">
        <is>
          <t>Stainless steel wire guage (Grade-304) aperture 1.4mm and 0.50 mm dia wire</t>
        </is>
      </c>
      <c r="C3283" s="13" t="inlineStr">
        <is>
          <t>sqm</t>
        </is>
      </c>
      <c r="D3283" s="15" t="n">
        <v>1.41</v>
      </c>
      <c r="E3283" s="16" t="n">
        <v>400</v>
      </c>
      <c r="F3283" s="16">
        <f>D3283*E3283</f>
        <v/>
      </c>
    </row>
    <row r="3284">
      <c r="A3284" s="13" t="inlineStr">
        <is>
          <t>0595</t>
        </is>
      </c>
      <c r="B3284" s="14" t="inlineStr">
        <is>
          <t>Bright finished or black enamelled mild steel butt hinges 100x58x1.90 mm</t>
        </is>
      </c>
      <c r="C3284" s="13" t="inlineStr">
        <is>
          <t>10 Nos</t>
        </is>
      </c>
      <c r="D3284" s="15" t="n">
        <v>0.6</v>
      </c>
      <c r="E3284" s="16" t="n">
        <v>80</v>
      </c>
      <c r="F3284" s="16">
        <f>D3284*E3284</f>
        <v/>
      </c>
    </row>
    <row r="3285">
      <c r="A3285" s="13" t="inlineStr">
        <is>
          <t>0597</t>
        </is>
      </c>
      <c r="B3285" s="14" t="inlineStr">
        <is>
          <t>Bright finished or black enamelled mild steel butt hinges50x37x1.50 mm</t>
        </is>
      </c>
      <c r="C3285" s="13" t="inlineStr">
        <is>
          <t>10 Nos</t>
        </is>
      </c>
      <c r="D3285" s="15" t="n">
        <v>0.2</v>
      </c>
      <c r="E3285" s="16" t="n">
        <v>49</v>
      </c>
      <c r="F3285" s="16">
        <f>D3285*E3285</f>
        <v/>
      </c>
    </row>
    <row r="3286">
      <c r="A3286" s="13" t="inlineStr">
        <is>
          <t>0637</t>
        </is>
      </c>
      <c r="B3286" s="14" t="inlineStr">
        <is>
          <t>Bright finished or black enamelled mild steel screws 40 mm</t>
        </is>
      </c>
      <c r="C3286" s="13" t="inlineStr">
        <is>
          <t>100 Nos</t>
        </is>
      </c>
      <c r="D3286" s="15" t="n">
        <v>0.48</v>
      </c>
      <c r="E3286" s="16" t="n">
        <v>60</v>
      </c>
      <c r="F3286" s="16">
        <f>D3286*E3286</f>
        <v/>
      </c>
    </row>
    <row r="3287">
      <c r="A3287" s="13" t="inlineStr">
        <is>
          <t>0640</t>
        </is>
      </c>
      <c r="B3287" s="14" t="inlineStr">
        <is>
          <t>Bright finished or black enamelled mild steel screws 20 mm</t>
        </is>
      </c>
      <c r="C3287" s="13" t="inlineStr">
        <is>
          <t>100 Nos</t>
        </is>
      </c>
      <c r="D3287" s="15" t="n">
        <v>0.08</v>
      </c>
      <c r="E3287" s="16" t="n">
        <v>30</v>
      </c>
      <c r="F3287" s="16">
        <f>D3287*E3287</f>
        <v/>
      </c>
    </row>
    <row r="3288">
      <c r="A3288" s="13" t="inlineStr">
        <is>
          <t>0111</t>
        </is>
      </c>
      <c r="B3288" s="14" t="inlineStr">
        <is>
          <t>Carpenter 1st class</t>
        </is>
      </c>
      <c r="C3288" s="13" t="inlineStr">
        <is>
          <t>day</t>
        </is>
      </c>
      <c r="D3288" s="15" t="n">
        <v>1.2</v>
      </c>
      <c r="E3288" s="16" t="n">
        <v>738</v>
      </c>
      <c r="F3288" s="16">
        <f>D3288*E3288</f>
        <v/>
      </c>
    </row>
    <row r="3289">
      <c r="A3289" s="13" t="inlineStr">
        <is>
          <t>0112</t>
        </is>
      </c>
      <c r="B3289" s="14" t="inlineStr">
        <is>
          <t>Carpenter 2nd class</t>
        </is>
      </c>
      <c r="C3289" s="13" t="inlineStr">
        <is>
          <t>day</t>
        </is>
      </c>
      <c r="D3289" s="15" t="n">
        <v>0.8</v>
      </c>
      <c r="E3289" s="16" t="n">
        <v>679</v>
      </c>
      <c r="F3289" s="16">
        <f>D3289*E3289</f>
        <v/>
      </c>
    </row>
    <row r="3290">
      <c r="A3290" s="13" t="inlineStr">
        <is>
          <t>0114</t>
        </is>
      </c>
      <c r="B3290" s="14" t="inlineStr">
        <is>
          <t>Beldar</t>
        </is>
      </c>
      <c r="C3290" s="13" t="inlineStr">
        <is>
          <t>day</t>
        </is>
      </c>
      <c r="D3290" s="15" t="n">
        <v>1</v>
      </c>
      <c r="E3290" s="16" t="n">
        <v>558</v>
      </c>
      <c r="F3290" s="16">
        <f>D3290*E3290</f>
        <v/>
      </c>
    </row>
    <row r="3291">
      <c r="A3291" s="13" t="inlineStr">
        <is>
          <t>0130</t>
        </is>
      </c>
      <c r="B3291" s="14" t="inlineStr">
        <is>
          <t>Mistry</t>
        </is>
      </c>
      <c r="C3291" s="13" t="inlineStr">
        <is>
          <t>day</t>
        </is>
      </c>
      <c r="D3291" s="15" t="n">
        <v>0.1</v>
      </c>
      <c r="E3291" s="16" t="n">
        <v>738</v>
      </c>
      <c r="F3291" s="16">
        <f>D3291*E3291</f>
        <v/>
      </c>
    </row>
    <row r="3292">
      <c r="A3292" s="13" t="inlineStr">
        <is>
          <t>9999</t>
        </is>
      </c>
      <c r="B3292" s="14" t="inlineStr">
        <is>
          <t>Sundries</t>
        </is>
      </c>
      <c r="C3292" s="13" t="inlineStr">
        <is>
          <t>L.S.</t>
        </is>
      </c>
      <c r="D3292" s="15" t="n">
        <v>33.8</v>
      </c>
      <c r="E3292" s="16" t="n">
        <v>2</v>
      </c>
      <c r="F3292" s="16">
        <f>D3292*E3292</f>
        <v/>
      </c>
    </row>
    <row r="3293">
      <c r="A3293" s="17" t="inlineStr">
        <is>
          <t>Resource Total (Material + Labour + Machinery, as printed)</t>
        </is>
      </c>
      <c r="B3293" s="18" t="n"/>
      <c r="C3293" s="18" t="n"/>
      <c r="D3293" s="18" t="n"/>
      <c r="E3293" s="18" t="n"/>
      <c r="F3293" s="19">
        <f>SUM(F3280:F3292)</f>
        <v/>
      </c>
    </row>
    <row r="3294">
      <c r="A3294" s="20" t="inlineStr">
        <is>
          <t>SAY (Rs.) — final DAR rate</t>
        </is>
      </c>
      <c r="B3294" s="21" t="n"/>
      <c r="C3294" s="21" t="n"/>
      <c r="D3294" s="21" t="n"/>
      <c r="E3294" s="21" t="n"/>
      <c r="F3294" s="22" t="n">
        <v>2820.4</v>
      </c>
    </row>
    <row r="3296" ht="18" customHeight="1">
      <c r="A3296" s="9" t="inlineStr">
        <is>
          <t>9.134.2.1.3</t>
        </is>
      </c>
      <c r="B3296" s="10" t="inlineStr">
        <is>
          <t>Kiln seasoned selected class of sheesham wood</t>
        </is>
      </c>
      <c r="C3296" s="11" t="n"/>
      <c r="D3296" s="11" t="n"/>
      <c r="E3296" s="11" t="n"/>
      <c r="F3296" s="11" t="n"/>
    </row>
    <row r="3297">
      <c r="A3297" s="12" t="inlineStr">
        <is>
          <t>Rate basis: per sqm  (source: cost for 2.16 sqm)</t>
        </is>
      </c>
    </row>
    <row r="3298">
      <c r="A3298" s="5" t="inlineStr">
        <is>
          <t>Code</t>
        </is>
      </c>
      <c r="B3298" s="5" t="inlineStr">
        <is>
          <t>Description</t>
        </is>
      </c>
      <c r="C3298" s="5" t="inlineStr">
        <is>
          <t>Unit</t>
        </is>
      </c>
      <c r="D3298" s="5" t="inlineStr">
        <is>
          <t>Quantity</t>
        </is>
      </c>
      <c r="E3298" s="5" t="inlineStr">
        <is>
          <t>Rate (Rs.)</t>
        </is>
      </c>
      <c r="F3298" s="5" t="inlineStr">
        <is>
          <t>Amount (Rs.)</t>
        </is>
      </c>
    </row>
    <row r="3299">
      <c r="A3299" s="13" t="inlineStr">
        <is>
          <t>2204</t>
        </is>
      </c>
      <c r="B3299" s="14" t="inlineStr">
        <is>
          <t>Carriage of Timber</t>
        </is>
      </c>
      <c r="C3299" s="13" t="inlineStr">
        <is>
          <t>cum</t>
        </is>
      </c>
      <c r="D3299" s="15" t="n">
        <v>0.044</v>
      </c>
      <c r="E3299" s="16" t="n">
        <v>118.59</v>
      </c>
      <c r="F3299" s="16">
        <f>D3299*E3299</f>
        <v/>
      </c>
    </row>
    <row r="3300">
      <c r="A3300" s="13" t="inlineStr">
        <is>
          <t>2504</t>
        </is>
      </c>
      <c r="B3300" s="14" t="inlineStr">
        <is>
          <t>Kiln seasoning of timber</t>
        </is>
      </c>
      <c r="C3300" s="13" t="inlineStr">
        <is>
          <t>cum</t>
        </is>
      </c>
      <c r="D3300" s="15" t="n">
        <v>0.044</v>
      </c>
      <c r="E3300" s="16" t="n">
        <v>750</v>
      </c>
      <c r="F3300" s="16">
        <f>D3300*E3300</f>
        <v/>
      </c>
    </row>
    <row r="3301">
      <c r="A3301" s="13" t="inlineStr">
        <is>
          <t>8737</t>
        </is>
      </c>
      <c r="B3301" s="14" t="inlineStr">
        <is>
          <t>Stainless steel wire guage (Grade-304) aperture 1.4mm and 0.50 mm dia wire</t>
        </is>
      </c>
      <c r="C3301" s="13" t="inlineStr">
        <is>
          <t>sqm</t>
        </is>
      </c>
      <c r="D3301" s="15" t="n">
        <v>1.41</v>
      </c>
      <c r="E3301" s="16" t="n">
        <v>400</v>
      </c>
      <c r="F3301" s="16">
        <f>D3301*E3301</f>
        <v/>
      </c>
    </row>
    <row r="3302">
      <c r="A3302" s="13" t="inlineStr">
        <is>
          <t>0595</t>
        </is>
      </c>
      <c r="B3302" s="14" t="inlineStr">
        <is>
          <t>Bright finished or black enamelled mild steel butt hinges 100x58x1.90 mm</t>
        </is>
      </c>
      <c r="C3302" s="13" t="inlineStr">
        <is>
          <t>10 Nos</t>
        </is>
      </c>
      <c r="D3302" s="15" t="n">
        <v>0.6</v>
      </c>
      <c r="E3302" s="16" t="n">
        <v>80</v>
      </c>
      <c r="F3302" s="16">
        <f>D3302*E3302</f>
        <v/>
      </c>
    </row>
    <row r="3303">
      <c r="A3303" s="13" t="inlineStr">
        <is>
          <t>0597</t>
        </is>
      </c>
      <c r="B3303" s="14" t="inlineStr">
        <is>
          <t>Bright finished or black enamelled mild steel butt hinges50x37x1.50 mm</t>
        </is>
      </c>
      <c r="C3303" s="13" t="inlineStr">
        <is>
          <t>10 Nos</t>
        </is>
      </c>
      <c r="D3303" s="15" t="n">
        <v>0.2</v>
      </c>
      <c r="E3303" s="16" t="n">
        <v>49</v>
      </c>
      <c r="F3303" s="16">
        <f>D3303*E3303</f>
        <v/>
      </c>
    </row>
    <row r="3304">
      <c r="A3304" s="13" t="inlineStr">
        <is>
          <t>0637</t>
        </is>
      </c>
      <c r="B3304" s="14" t="inlineStr">
        <is>
          <t>Bright finished or black enamelled mild steel screws 40 mm</t>
        </is>
      </c>
      <c r="C3304" s="13" t="inlineStr">
        <is>
          <t>100 Nos</t>
        </is>
      </c>
      <c r="D3304" s="15" t="n">
        <v>0.48</v>
      </c>
      <c r="E3304" s="16" t="n">
        <v>60</v>
      </c>
      <c r="F3304" s="16">
        <f>D3304*E3304</f>
        <v/>
      </c>
    </row>
    <row r="3305">
      <c r="A3305" s="13" t="inlineStr">
        <is>
          <t>0640</t>
        </is>
      </c>
      <c r="B3305" s="14" t="inlineStr">
        <is>
          <t>Bright finished or black enamelled mild steel screws 20 mm</t>
        </is>
      </c>
      <c r="C3305" s="13" t="inlineStr">
        <is>
          <t>100 Nos</t>
        </is>
      </c>
      <c r="D3305" s="15" t="n">
        <v>0.08</v>
      </c>
      <c r="E3305" s="16" t="n">
        <v>30</v>
      </c>
      <c r="F3305" s="16">
        <f>D3305*E3305</f>
        <v/>
      </c>
    </row>
    <row r="3306">
      <c r="A3306" s="13" t="inlineStr">
        <is>
          <t>0111</t>
        </is>
      </c>
      <c r="B3306" s="14" t="inlineStr">
        <is>
          <t>Carpenter 1st class</t>
        </is>
      </c>
      <c r="C3306" s="13" t="inlineStr">
        <is>
          <t>day</t>
        </is>
      </c>
      <c r="D3306" s="15" t="n">
        <v>1.2</v>
      </c>
      <c r="E3306" s="16" t="n">
        <v>738</v>
      </c>
      <c r="F3306" s="16">
        <f>D3306*E3306</f>
        <v/>
      </c>
    </row>
    <row r="3307">
      <c r="A3307" s="13" t="inlineStr">
        <is>
          <t>0112</t>
        </is>
      </c>
      <c r="B3307" s="14" t="inlineStr">
        <is>
          <t>Carpenter 2nd class</t>
        </is>
      </c>
      <c r="C3307" s="13" t="inlineStr">
        <is>
          <t>day</t>
        </is>
      </c>
      <c r="D3307" s="15" t="n">
        <v>0.8</v>
      </c>
      <c r="E3307" s="16" t="n">
        <v>679</v>
      </c>
      <c r="F3307" s="16">
        <f>D3307*E3307</f>
        <v/>
      </c>
    </row>
    <row r="3308">
      <c r="A3308" s="13" t="inlineStr">
        <is>
          <t>0114</t>
        </is>
      </c>
      <c r="B3308" s="14" t="inlineStr">
        <is>
          <t>Beldar</t>
        </is>
      </c>
      <c r="C3308" s="13" t="inlineStr">
        <is>
          <t>day</t>
        </is>
      </c>
      <c r="D3308" s="15" t="n">
        <v>1</v>
      </c>
      <c r="E3308" s="16" t="n">
        <v>558</v>
      </c>
      <c r="F3308" s="16">
        <f>D3308*E3308</f>
        <v/>
      </c>
    </row>
    <row r="3309">
      <c r="A3309" s="13" t="inlineStr">
        <is>
          <t>0130</t>
        </is>
      </c>
      <c r="B3309" s="14" t="inlineStr">
        <is>
          <t>Mistry</t>
        </is>
      </c>
      <c r="C3309" s="13" t="inlineStr">
        <is>
          <t>day</t>
        </is>
      </c>
      <c r="D3309" s="15" t="n">
        <v>0.1</v>
      </c>
      <c r="E3309" s="16" t="n">
        <v>738</v>
      </c>
      <c r="F3309" s="16">
        <f>D3309*E3309</f>
        <v/>
      </c>
    </row>
    <row r="3310">
      <c r="A3310" s="13" t="inlineStr">
        <is>
          <t>9999</t>
        </is>
      </c>
      <c r="B3310" s="14" t="inlineStr">
        <is>
          <t>Sundries</t>
        </is>
      </c>
      <c r="C3310" s="13" t="inlineStr">
        <is>
          <t>L.S.</t>
        </is>
      </c>
      <c r="D3310" s="15" t="n">
        <v>33.8</v>
      </c>
      <c r="E3310" s="16" t="n">
        <v>2</v>
      </c>
      <c r="F3310" s="16">
        <f>D3310*E3310</f>
        <v/>
      </c>
    </row>
    <row r="3311">
      <c r="A3311" s="17" t="inlineStr">
        <is>
          <t>Resource Total (Material + Labour + Machinery, as printed)</t>
        </is>
      </c>
      <c r="B3311" s="18" t="n"/>
      <c r="C3311" s="18" t="n"/>
      <c r="D3311" s="18" t="n"/>
      <c r="E3311" s="18" t="n"/>
      <c r="F3311" s="19">
        <f>SUM(F3299:F3310)</f>
        <v/>
      </c>
    </row>
    <row r="3312">
      <c r="A3312" s="20" t="inlineStr">
        <is>
          <t>SAY (Rs.) — final DAR rate</t>
        </is>
      </c>
      <c r="B3312" s="21" t="n"/>
      <c r="C3312" s="21" t="n"/>
      <c r="D3312" s="21" t="n"/>
      <c r="E3312" s="21" t="n"/>
      <c r="F3312" s="22" t="n">
        <v>3517.9</v>
      </c>
    </row>
    <row r="3314" ht="18" customHeight="1">
      <c r="A3314" s="9" t="inlineStr">
        <is>
          <t>9.134.2.2.1</t>
        </is>
      </c>
      <c r="B3314" s="10" t="inlineStr">
        <is>
          <t>Second class teak wood</t>
        </is>
      </c>
      <c r="C3314" s="11" t="n"/>
      <c r="D3314" s="11" t="n"/>
      <c r="E3314" s="11" t="n"/>
      <c r="F3314" s="11" t="n"/>
    </row>
    <row r="3315">
      <c r="A3315" s="12" t="inlineStr">
        <is>
          <t>Rate basis: per sqm  (source: cost for 2.16 sqm)</t>
        </is>
      </c>
    </row>
    <row r="3316">
      <c r="A3316" s="5" t="inlineStr">
        <is>
          <t>Code</t>
        </is>
      </c>
      <c r="B3316" s="5" t="inlineStr">
        <is>
          <t>Description</t>
        </is>
      </c>
      <c r="C3316" s="5" t="inlineStr">
        <is>
          <t>Unit</t>
        </is>
      </c>
      <c r="D3316" s="5" t="inlineStr">
        <is>
          <t>Quantity</t>
        </is>
      </c>
      <c r="E3316" s="5" t="inlineStr">
        <is>
          <t>Rate (Rs.)</t>
        </is>
      </c>
      <c r="F3316" s="5" t="inlineStr">
        <is>
          <t>Amount (Rs.)</t>
        </is>
      </c>
    </row>
    <row r="3317">
      <c r="A3317" s="13" t="inlineStr">
        <is>
          <t>2204</t>
        </is>
      </c>
      <c r="B3317" s="14" t="inlineStr">
        <is>
          <t>Carriage of Timber</t>
        </is>
      </c>
      <c r="C3317" s="13" t="inlineStr">
        <is>
          <t>cum</t>
        </is>
      </c>
      <c r="D3317" s="15" t="n">
        <v>0.044</v>
      </c>
      <c r="E3317" s="16" t="n">
        <v>118.59</v>
      </c>
      <c r="F3317" s="16">
        <f>D3317*E3317</f>
        <v/>
      </c>
    </row>
    <row r="3318">
      <c r="A3318" s="13" t="inlineStr">
        <is>
          <t>8737</t>
        </is>
      </c>
      <c r="B3318" s="14" t="inlineStr">
        <is>
          <t>Stainless steel wire guage (Grade-304) aperture 1.4mm and 0.50 mm dia wire</t>
        </is>
      </c>
      <c r="C3318" s="13" t="inlineStr">
        <is>
          <t>sqm</t>
        </is>
      </c>
      <c r="D3318" s="15" t="n">
        <v>1.41</v>
      </c>
      <c r="E3318" s="16" t="n">
        <v>400</v>
      </c>
      <c r="F3318" s="16">
        <f>D3318*E3318</f>
        <v/>
      </c>
    </row>
    <row r="3319">
      <c r="A3319" s="13" t="inlineStr">
        <is>
          <t>8220</t>
        </is>
      </c>
      <c r="B3319" s="14" t="inlineStr">
        <is>
          <t>Stainless steel butt hinges (heavy weight) 100x60x2.5 mm IS : 12817 marked</t>
        </is>
      </c>
      <c r="C3319" s="13" t="inlineStr">
        <is>
          <t>10 Nos</t>
        </is>
      </c>
      <c r="D3319" s="15" t="n">
        <v>0.6</v>
      </c>
      <c r="E3319" s="16" t="n">
        <v>255</v>
      </c>
      <c r="F3319" s="16">
        <f>D3319*E3319</f>
        <v/>
      </c>
    </row>
    <row r="3320">
      <c r="A3320" s="13" t="inlineStr">
        <is>
          <t>8218</t>
        </is>
      </c>
      <c r="B3320" s="14" t="inlineStr">
        <is>
          <t>Stainless steel butt hinges 50x37x 1.5 mm IS : 12817 marked</t>
        </is>
      </c>
      <c r="C3320" s="13" t="inlineStr">
        <is>
          <t>10 Nos</t>
        </is>
      </c>
      <c r="D3320" s="15" t="n">
        <v>0.2</v>
      </c>
      <c r="E3320" s="16" t="n">
        <v>135</v>
      </c>
      <c r="F3320" s="16">
        <f>D3320*E3320</f>
        <v/>
      </c>
    </row>
    <row r="3321">
      <c r="A3321" s="13" t="inlineStr">
        <is>
          <t>8211</t>
        </is>
      </c>
      <c r="B3321" s="14" t="inlineStr">
        <is>
          <t>Stainless steel screws 40 mm</t>
        </is>
      </c>
      <c r="C3321" s="13" t="inlineStr">
        <is>
          <t>100 Nos</t>
        </is>
      </c>
      <c r="D3321" s="15" t="n">
        <v>0.48</v>
      </c>
      <c r="E3321" s="16" t="n">
        <v>215</v>
      </c>
      <c r="F3321" s="16">
        <f>D3321*E3321</f>
        <v/>
      </c>
    </row>
    <row r="3322">
      <c r="A3322" s="13" t="inlineStr">
        <is>
          <t>8214</t>
        </is>
      </c>
      <c r="B3322" s="14" t="inlineStr">
        <is>
          <t>Stainless steel screws 20 mm</t>
        </is>
      </c>
      <c r="C3322" s="13" t="inlineStr">
        <is>
          <t>100 Nos</t>
        </is>
      </c>
      <c r="D3322" s="15" t="n">
        <v>0.08</v>
      </c>
      <c r="E3322" s="16" t="n">
        <v>125</v>
      </c>
      <c r="F3322" s="16">
        <f>D3322*E3322</f>
        <v/>
      </c>
    </row>
    <row r="3323">
      <c r="A3323" s="13" t="inlineStr">
        <is>
          <t>0111</t>
        </is>
      </c>
      <c r="B3323" s="14" t="inlineStr">
        <is>
          <t>Carpenter 1st class</t>
        </is>
      </c>
      <c r="C3323" s="13" t="inlineStr">
        <is>
          <t>day</t>
        </is>
      </c>
      <c r="D3323" s="15" t="n">
        <v>1.2</v>
      </c>
      <c r="E3323" s="16" t="n">
        <v>738</v>
      </c>
      <c r="F3323" s="16">
        <f>D3323*E3323</f>
        <v/>
      </c>
    </row>
    <row r="3324">
      <c r="A3324" s="13" t="inlineStr">
        <is>
          <t>0112</t>
        </is>
      </c>
      <c r="B3324" s="14" t="inlineStr">
        <is>
          <t>Carpenter 2nd class</t>
        </is>
      </c>
      <c r="C3324" s="13" t="inlineStr">
        <is>
          <t>day</t>
        </is>
      </c>
      <c r="D3324" s="15" t="n">
        <v>0.8</v>
      </c>
      <c r="E3324" s="16" t="n">
        <v>679</v>
      </c>
      <c r="F3324" s="16">
        <f>D3324*E3324</f>
        <v/>
      </c>
    </row>
    <row r="3325">
      <c r="A3325" s="13" t="inlineStr">
        <is>
          <t>0114</t>
        </is>
      </c>
      <c r="B3325" s="14" t="inlineStr">
        <is>
          <t>Beldar</t>
        </is>
      </c>
      <c r="C3325" s="13" t="inlineStr">
        <is>
          <t>day</t>
        </is>
      </c>
      <c r="D3325" s="15" t="n">
        <v>1</v>
      </c>
      <c r="E3325" s="16" t="n">
        <v>558</v>
      </c>
      <c r="F3325" s="16">
        <f>D3325*E3325</f>
        <v/>
      </c>
    </row>
    <row r="3326">
      <c r="A3326" s="13" t="inlineStr">
        <is>
          <t>0130</t>
        </is>
      </c>
      <c r="B3326" s="14" t="inlineStr">
        <is>
          <t>Mistry</t>
        </is>
      </c>
      <c r="C3326" s="13" t="inlineStr">
        <is>
          <t>day</t>
        </is>
      </c>
      <c r="D3326" s="15" t="n">
        <v>0.1</v>
      </c>
      <c r="E3326" s="16" t="n">
        <v>738</v>
      </c>
      <c r="F3326" s="16">
        <f>D3326*E3326</f>
        <v/>
      </c>
    </row>
    <row r="3327">
      <c r="A3327" s="13" t="inlineStr">
        <is>
          <t>9999</t>
        </is>
      </c>
      <c r="B3327" s="14" t="inlineStr">
        <is>
          <t>Sundries</t>
        </is>
      </c>
      <c r="C3327" s="13" t="inlineStr">
        <is>
          <t>L.S.</t>
        </is>
      </c>
      <c r="D3327" s="15" t="n">
        <v>33.8</v>
      </c>
      <c r="E3327" s="16" t="n">
        <v>2</v>
      </c>
      <c r="F3327" s="16">
        <f>D3327*E3327</f>
        <v/>
      </c>
    </row>
    <row r="3328">
      <c r="A3328" s="17" t="inlineStr">
        <is>
          <t>Resource Total (Material + Labour + Machinery, as printed)</t>
        </is>
      </c>
      <c r="B3328" s="18" t="n"/>
      <c r="C3328" s="18" t="n"/>
      <c r="D3328" s="18" t="n"/>
      <c r="E3328" s="18" t="n"/>
      <c r="F3328" s="19">
        <f>SUM(F3317:F3327)</f>
        <v/>
      </c>
    </row>
    <row r="3329">
      <c r="A3329" s="20" t="inlineStr">
        <is>
          <t>SAY (Rs.) — final DAR rate</t>
        </is>
      </c>
      <c r="B3329" s="21" t="n"/>
      <c r="C3329" s="21" t="n"/>
      <c r="D3329" s="21" t="n"/>
      <c r="E3329" s="21" t="n"/>
      <c r="F3329" s="22" t="n">
        <v>4008.25</v>
      </c>
    </row>
    <row r="3331" ht="18" customHeight="1">
      <c r="A3331" s="9" t="inlineStr">
        <is>
          <t>9.134.2.2.2</t>
        </is>
      </c>
      <c r="B3331" s="10" t="inlineStr">
        <is>
          <t>Kiln seasoned and chemically treated hollock wood</t>
        </is>
      </c>
      <c r="C3331" s="11" t="n"/>
      <c r="D3331" s="11" t="n"/>
      <c r="E3331" s="11" t="n"/>
      <c r="F3331" s="11" t="n"/>
    </row>
    <row r="3332">
      <c r="A3332" s="12" t="inlineStr">
        <is>
          <t>Rate basis: per sqm  (source: cost for 2.16 sqm)</t>
        </is>
      </c>
    </row>
    <row r="3333">
      <c r="A3333" s="5" t="inlineStr">
        <is>
          <t>Code</t>
        </is>
      </c>
      <c r="B3333" s="5" t="inlineStr">
        <is>
          <t>Description</t>
        </is>
      </c>
      <c r="C3333" s="5" t="inlineStr">
        <is>
          <t>Unit</t>
        </is>
      </c>
      <c r="D3333" s="5" t="inlineStr">
        <is>
          <t>Quantity</t>
        </is>
      </c>
      <c r="E3333" s="5" t="inlineStr">
        <is>
          <t>Rate (Rs.)</t>
        </is>
      </c>
      <c r="F3333" s="5" t="inlineStr">
        <is>
          <t>Amount (Rs.)</t>
        </is>
      </c>
    </row>
    <row r="3334">
      <c r="A3334" s="13" t="inlineStr">
        <is>
          <t>2504</t>
        </is>
      </c>
      <c r="B3334" s="14" t="inlineStr">
        <is>
          <t>Kiln seasoning of timber</t>
        </is>
      </c>
      <c r="C3334" s="13" t="inlineStr">
        <is>
          <t>cum</t>
        </is>
      </c>
      <c r="D3334" s="15" t="n">
        <v>0.044</v>
      </c>
      <c r="E3334" s="16" t="n">
        <v>750</v>
      </c>
      <c r="F3334" s="16">
        <f>D3334*E3334</f>
        <v/>
      </c>
    </row>
    <row r="3335">
      <c r="A3335" s="13" t="inlineStr">
        <is>
          <t>9999</t>
        </is>
      </c>
      <c r="B3335" s="14" t="inlineStr">
        <is>
          <t>Chemical treatment</t>
        </is>
      </c>
      <c r="C3335" s="13" t="inlineStr">
        <is>
          <t>L.S.</t>
        </is>
      </c>
      <c r="D3335" s="15" t="n">
        <v>9.1</v>
      </c>
      <c r="E3335" s="16" t="n">
        <v>2</v>
      </c>
      <c r="F3335" s="16">
        <f>D3335*E3335</f>
        <v/>
      </c>
    </row>
    <row r="3336">
      <c r="A3336" s="13" t="inlineStr">
        <is>
          <t>2204</t>
        </is>
      </c>
      <c r="B3336" s="14" t="inlineStr">
        <is>
          <t>Carriage of Timber</t>
        </is>
      </c>
      <c r="C3336" s="13" t="inlineStr">
        <is>
          <t>cum</t>
        </is>
      </c>
      <c r="D3336" s="15" t="n">
        <v>0.044</v>
      </c>
      <c r="E3336" s="16" t="n">
        <v>118.59</v>
      </c>
      <c r="F3336" s="16">
        <f>D3336*E3336</f>
        <v/>
      </c>
    </row>
    <row r="3337">
      <c r="A3337" s="13" t="inlineStr">
        <is>
          <t>8737</t>
        </is>
      </c>
      <c r="B3337" s="14" t="inlineStr">
        <is>
          <t>Stainless steel wire guage (Grade-304) aperture 1.4mm and 0.50 mm dia wire</t>
        </is>
      </c>
      <c r="C3337" s="13" t="inlineStr">
        <is>
          <t>sqm</t>
        </is>
      </c>
      <c r="D3337" s="15" t="n">
        <v>1.41</v>
      </c>
      <c r="E3337" s="16" t="n">
        <v>400</v>
      </c>
      <c r="F3337" s="16">
        <f>D3337*E3337</f>
        <v/>
      </c>
    </row>
    <row r="3338">
      <c r="A3338" s="13" t="inlineStr">
        <is>
          <t>8220</t>
        </is>
      </c>
      <c r="B3338" s="14" t="inlineStr">
        <is>
          <t>Stainless steel butt hinges (heavy weight) 100x60x2.5 mm IS : 12817 marked</t>
        </is>
      </c>
      <c r="C3338" s="13" t="inlineStr">
        <is>
          <t>10 Nos</t>
        </is>
      </c>
      <c r="D3338" s="15" t="n">
        <v>0.6</v>
      </c>
      <c r="E3338" s="16" t="n">
        <v>255</v>
      </c>
      <c r="F3338" s="16">
        <f>D3338*E3338</f>
        <v/>
      </c>
    </row>
    <row r="3339">
      <c r="A3339" s="13" t="inlineStr">
        <is>
          <t>8218</t>
        </is>
      </c>
      <c r="B3339" s="14" t="inlineStr">
        <is>
          <t>Stainless steel butt hinges 50x37x 1.5 mm IS : 12817 marked</t>
        </is>
      </c>
      <c r="C3339" s="13" t="inlineStr">
        <is>
          <t>10 Nos</t>
        </is>
      </c>
      <c r="D3339" s="15" t="n">
        <v>0.2</v>
      </c>
      <c r="E3339" s="16" t="n">
        <v>135</v>
      </c>
      <c r="F3339" s="16">
        <f>D3339*E3339</f>
        <v/>
      </c>
    </row>
    <row r="3340">
      <c r="A3340" s="13" t="inlineStr">
        <is>
          <t>8211</t>
        </is>
      </c>
      <c r="B3340" s="14" t="inlineStr">
        <is>
          <t>Stainless steel screws 40 mm</t>
        </is>
      </c>
      <c r="C3340" s="13" t="inlineStr">
        <is>
          <t>100 Nos</t>
        </is>
      </c>
      <c r="D3340" s="15" t="n">
        <v>0.48</v>
      </c>
      <c r="E3340" s="16" t="n">
        <v>215</v>
      </c>
      <c r="F3340" s="16">
        <f>D3340*E3340</f>
        <v/>
      </c>
    </row>
    <row r="3341">
      <c r="A3341" s="13" t="inlineStr">
        <is>
          <t>8214</t>
        </is>
      </c>
      <c r="B3341" s="14" t="inlineStr">
        <is>
          <t>Stainless steel screws 20 mm</t>
        </is>
      </c>
      <c r="C3341" s="13" t="inlineStr">
        <is>
          <t>100 Nos</t>
        </is>
      </c>
      <c r="D3341" s="15" t="n">
        <v>0.08</v>
      </c>
      <c r="E3341" s="16" t="n">
        <v>125</v>
      </c>
      <c r="F3341" s="16">
        <f>D3341*E3341</f>
        <v/>
      </c>
    </row>
    <row r="3342">
      <c r="A3342" s="13" t="inlineStr">
        <is>
          <t>0111</t>
        </is>
      </c>
      <c r="B3342" s="14" t="inlineStr">
        <is>
          <t>Carpenter 1st class</t>
        </is>
      </c>
      <c r="C3342" s="13" t="inlineStr">
        <is>
          <t>day</t>
        </is>
      </c>
      <c r="D3342" s="15" t="n">
        <v>1.2</v>
      </c>
      <c r="E3342" s="16" t="n">
        <v>738</v>
      </c>
      <c r="F3342" s="16">
        <f>D3342*E3342</f>
        <v/>
      </c>
    </row>
    <row r="3343">
      <c r="A3343" s="13" t="inlineStr">
        <is>
          <t>0112</t>
        </is>
      </c>
      <c r="B3343" s="14" t="inlineStr">
        <is>
          <t>Carpenter 2nd class</t>
        </is>
      </c>
      <c r="C3343" s="13" t="inlineStr">
        <is>
          <t>day</t>
        </is>
      </c>
      <c r="D3343" s="15" t="n">
        <v>0.8</v>
      </c>
      <c r="E3343" s="16" t="n">
        <v>679</v>
      </c>
      <c r="F3343" s="16">
        <f>D3343*E3343</f>
        <v/>
      </c>
    </row>
    <row r="3344">
      <c r="A3344" s="13" t="inlineStr">
        <is>
          <t>0114</t>
        </is>
      </c>
      <c r="B3344" s="14" t="inlineStr">
        <is>
          <t>Beldar</t>
        </is>
      </c>
      <c r="C3344" s="13" t="inlineStr">
        <is>
          <t>day</t>
        </is>
      </c>
      <c r="D3344" s="15" t="n">
        <v>1</v>
      </c>
      <c r="E3344" s="16" t="n">
        <v>558</v>
      </c>
      <c r="F3344" s="16">
        <f>D3344*E3344</f>
        <v/>
      </c>
    </row>
    <row r="3345">
      <c r="A3345" s="13" t="inlineStr">
        <is>
          <t>0130</t>
        </is>
      </c>
      <c r="B3345" s="14" t="inlineStr">
        <is>
          <t>Mistry</t>
        </is>
      </c>
      <c r="C3345" s="13" t="inlineStr">
        <is>
          <t>day</t>
        </is>
      </c>
      <c r="D3345" s="15" t="n">
        <v>0.1</v>
      </c>
      <c r="E3345" s="16" t="n">
        <v>738</v>
      </c>
      <c r="F3345" s="16">
        <f>D3345*E3345</f>
        <v/>
      </c>
    </row>
    <row r="3346">
      <c r="A3346" s="13" t="inlineStr">
        <is>
          <t>9999</t>
        </is>
      </c>
      <c r="B3346" s="14" t="inlineStr">
        <is>
          <t>Sundries</t>
        </is>
      </c>
      <c r="C3346" s="13" t="inlineStr">
        <is>
          <t>L.S.</t>
        </is>
      </c>
      <c r="D3346" s="15" t="n">
        <v>33.8</v>
      </c>
      <c r="E3346" s="16" t="n">
        <v>2</v>
      </c>
      <c r="F3346" s="16">
        <f>D3346*E3346</f>
        <v/>
      </c>
    </row>
    <row r="3347">
      <c r="A3347" s="17" t="inlineStr">
        <is>
          <t>Resource Total (Material + Labour + Machinery, as printed)</t>
        </is>
      </c>
      <c r="B3347" s="18" t="n"/>
      <c r="C3347" s="18" t="n"/>
      <c r="D3347" s="18" t="n"/>
      <c r="E3347" s="18" t="n"/>
      <c r="F3347" s="19">
        <f>SUM(F3334:F3346)</f>
        <v/>
      </c>
    </row>
    <row r="3348">
      <c r="A3348" s="20" t="inlineStr">
        <is>
          <t>SAY (Rs.) — final DAR rate</t>
        </is>
      </c>
      <c r="B3348" s="21" t="n"/>
      <c r="C3348" s="21" t="n"/>
      <c r="D3348" s="21" t="n"/>
      <c r="E3348" s="21" t="n"/>
      <c r="F3348" s="22" t="n">
        <v>2947.05</v>
      </c>
    </row>
    <row r="3350" ht="18" customHeight="1">
      <c r="A3350" s="9" t="inlineStr">
        <is>
          <t>9.134.2.2.3</t>
        </is>
      </c>
      <c r="B3350" s="10" t="inlineStr">
        <is>
          <t>Kiln seasoned selected class of sheesham wood</t>
        </is>
      </c>
      <c r="C3350" s="11" t="n"/>
      <c r="D3350" s="11" t="n"/>
      <c r="E3350" s="11" t="n"/>
      <c r="F3350" s="11" t="n"/>
    </row>
    <row r="3351">
      <c r="A3351" s="12" t="inlineStr">
        <is>
          <t>Rate basis: per sqm  (source: cost for 2.16 sqm)</t>
        </is>
      </c>
    </row>
    <row r="3352">
      <c r="A3352" s="5" t="inlineStr">
        <is>
          <t>Code</t>
        </is>
      </c>
      <c r="B3352" s="5" t="inlineStr">
        <is>
          <t>Description</t>
        </is>
      </c>
      <c r="C3352" s="5" t="inlineStr">
        <is>
          <t>Unit</t>
        </is>
      </c>
      <c r="D3352" s="5" t="inlineStr">
        <is>
          <t>Quantity</t>
        </is>
      </c>
      <c r="E3352" s="5" t="inlineStr">
        <is>
          <t>Rate (Rs.)</t>
        </is>
      </c>
      <c r="F3352" s="5" t="inlineStr">
        <is>
          <t>Amount (Rs.)</t>
        </is>
      </c>
    </row>
    <row r="3353">
      <c r="A3353" s="13" t="inlineStr">
        <is>
          <t>2504</t>
        </is>
      </c>
      <c r="B3353" s="14" t="inlineStr">
        <is>
          <t>Kiln seasoning of timber</t>
        </is>
      </c>
      <c r="C3353" s="13" t="inlineStr">
        <is>
          <t>cum</t>
        </is>
      </c>
      <c r="D3353" s="15" t="n">
        <v>0.044</v>
      </c>
      <c r="E3353" s="16" t="n">
        <v>750</v>
      </c>
      <c r="F3353" s="16">
        <f>D3353*E3353</f>
        <v/>
      </c>
    </row>
    <row r="3354">
      <c r="A3354" s="13" t="inlineStr">
        <is>
          <t>2204</t>
        </is>
      </c>
      <c r="B3354" s="14" t="inlineStr">
        <is>
          <t>Carriage of Timber</t>
        </is>
      </c>
      <c r="C3354" s="13" t="inlineStr">
        <is>
          <t>cum</t>
        </is>
      </c>
      <c r="D3354" s="15" t="n">
        <v>0.044</v>
      </c>
      <c r="E3354" s="16" t="n">
        <v>118.59</v>
      </c>
      <c r="F3354" s="16">
        <f>D3354*E3354</f>
        <v/>
      </c>
    </row>
    <row r="3355">
      <c r="A3355" s="13" t="inlineStr">
        <is>
          <t>8737</t>
        </is>
      </c>
      <c r="B3355" s="14" t="inlineStr">
        <is>
          <t>Stainless steel wire guage (Grade-304) aperture 1.4mm and 0.50 mm dia wire</t>
        </is>
      </c>
      <c r="C3355" s="13" t="inlineStr">
        <is>
          <t>sqm</t>
        </is>
      </c>
      <c r="D3355" s="15" t="n">
        <v>1.41</v>
      </c>
      <c r="E3355" s="16" t="n">
        <v>400</v>
      </c>
      <c r="F3355" s="16">
        <f>D3355*E3355</f>
        <v/>
      </c>
    </row>
    <row r="3356">
      <c r="A3356" s="13" t="inlineStr">
        <is>
          <t>8220</t>
        </is>
      </c>
      <c r="B3356" s="14" t="inlineStr">
        <is>
          <t>Stainless steel butt hinges (heavy weight) 100x60x2.5 mm IS : 12817 marked</t>
        </is>
      </c>
      <c r="C3356" s="13" t="inlineStr">
        <is>
          <t>10 Nos</t>
        </is>
      </c>
      <c r="D3356" s="15" t="n">
        <v>0.6</v>
      </c>
      <c r="E3356" s="16" t="n">
        <v>255</v>
      </c>
      <c r="F3356" s="16">
        <f>D3356*E3356</f>
        <v/>
      </c>
    </row>
    <row r="3357">
      <c r="A3357" s="13" t="inlineStr">
        <is>
          <t>8218</t>
        </is>
      </c>
      <c r="B3357" s="14" t="inlineStr">
        <is>
          <t>Stainless steel butt hinges 50x37x 1.5 mm IS : 12817 marked</t>
        </is>
      </c>
      <c r="C3357" s="13" t="inlineStr">
        <is>
          <t>10 Nos</t>
        </is>
      </c>
      <c r="D3357" s="15" t="n">
        <v>0.2</v>
      </c>
      <c r="E3357" s="16" t="n">
        <v>135</v>
      </c>
      <c r="F3357" s="16">
        <f>D3357*E3357</f>
        <v/>
      </c>
    </row>
    <row r="3358">
      <c r="A3358" s="13" t="inlineStr">
        <is>
          <t>8211</t>
        </is>
      </c>
      <c r="B3358" s="14" t="inlineStr">
        <is>
          <t>Stainless steel screws 40 mm</t>
        </is>
      </c>
      <c r="C3358" s="13" t="inlineStr">
        <is>
          <t>100 Nos</t>
        </is>
      </c>
      <c r="D3358" s="15" t="n">
        <v>0.48</v>
      </c>
      <c r="E3358" s="16" t="n">
        <v>215</v>
      </c>
      <c r="F3358" s="16">
        <f>D3358*E3358</f>
        <v/>
      </c>
    </row>
    <row r="3359">
      <c r="A3359" s="13" t="inlineStr">
        <is>
          <t>8214</t>
        </is>
      </c>
      <c r="B3359" s="14" t="inlineStr">
        <is>
          <t>Stainless steel screws 20 mm</t>
        </is>
      </c>
      <c r="C3359" s="13" t="inlineStr">
        <is>
          <t>100 Nos</t>
        </is>
      </c>
      <c r="D3359" s="15" t="n">
        <v>0.08</v>
      </c>
      <c r="E3359" s="16" t="n">
        <v>125</v>
      </c>
      <c r="F3359" s="16">
        <f>D3359*E3359</f>
        <v/>
      </c>
    </row>
    <row r="3360">
      <c r="A3360" s="13" t="inlineStr">
        <is>
          <t>0111</t>
        </is>
      </c>
      <c r="B3360" s="14" t="inlineStr">
        <is>
          <t>Carpenter 1st class</t>
        </is>
      </c>
      <c r="C3360" s="13" t="inlineStr">
        <is>
          <t>day</t>
        </is>
      </c>
      <c r="D3360" s="15" t="n">
        <v>1.2</v>
      </c>
      <c r="E3360" s="16" t="n">
        <v>738</v>
      </c>
      <c r="F3360" s="16">
        <f>D3360*E3360</f>
        <v/>
      </c>
    </row>
    <row r="3361">
      <c r="A3361" s="13" t="inlineStr">
        <is>
          <t>0112</t>
        </is>
      </c>
      <c r="B3361" s="14" t="inlineStr">
        <is>
          <t>Carpenter 2nd class</t>
        </is>
      </c>
      <c r="C3361" s="13" t="inlineStr">
        <is>
          <t>day</t>
        </is>
      </c>
      <c r="D3361" s="15" t="n">
        <v>0.8</v>
      </c>
      <c r="E3361" s="16" t="n">
        <v>679</v>
      </c>
      <c r="F3361" s="16">
        <f>D3361*E3361</f>
        <v/>
      </c>
    </row>
    <row r="3362">
      <c r="A3362" s="13" t="inlineStr">
        <is>
          <t>0114</t>
        </is>
      </c>
      <c r="B3362" s="14" t="inlineStr">
        <is>
          <t>Beldar</t>
        </is>
      </c>
      <c r="C3362" s="13" t="inlineStr">
        <is>
          <t>day</t>
        </is>
      </c>
      <c r="D3362" s="15" t="n">
        <v>1</v>
      </c>
      <c r="E3362" s="16" t="n">
        <v>558</v>
      </c>
      <c r="F3362" s="16">
        <f>D3362*E3362</f>
        <v/>
      </c>
    </row>
    <row r="3363">
      <c r="A3363" s="13" t="inlineStr">
        <is>
          <t>0130</t>
        </is>
      </c>
      <c r="B3363" s="14" t="inlineStr">
        <is>
          <t>Mistry</t>
        </is>
      </c>
      <c r="C3363" s="13" t="inlineStr">
        <is>
          <t>day</t>
        </is>
      </c>
      <c r="D3363" s="15" t="n">
        <v>0.1</v>
      </c>
      <c r="E3363" s="16" t="n">
        <v>738</v>
      </c>
      <c r="F3363" s="16">
        <f>D3363*E3363</f>
        <v/>
      </c>
    </row>
    <row r="3364">
      <c r="A3364" s="13" t="inlineStr">
        <is>
          <t>9999</t>
        </is>
      </c>
      <c r="B3364" s="14" t="inlineStr">
        <is>
          <t>Sundries</t>
        </is>
      </c>
      <c r="C3364" s="13" t="inlineStr">
        <is>
          <t>L.S.</t>
        </is>
      </c>
      <c r="D3364" s="15" t="n">
        <v>33.8</v>
      </c>
      <c r="E3364" s="16" t="n">
        <v>2</v>
      </c>
      <c r="F3364" s="16">
        <f>D3364*E3364</f>
        <v/>
      </c>
    </row>
    <row r="3365">
      <c r="A3365" s="17" t="inlineStr">
        <is>
          <t>Resource Total (Material + Labour + Machinery, as printed)</t>
        </is>
      </c>
      <c r="B3365" s="18" t="n"/>
      <c r="C3365" s="18" t="n"/>
      <c r="D3365" s="18" t="n"/>
      <c r="E3365" s="18" t="n"/>
      <c r="F3365" s="19">
        <f>SUM(F3353:F3364)</f>
        <v/>
      </c>
    </row>
    <row r="3366">
      <c r="A3366" s="20" t="inlineStr">
        <is>
          <t>SAY (Rs.) — final DAR rate</t>
        </is>
      </c>
      <c r="B3366" s="21" t="n"/>
      <c r="C3366" s="21" t="n"/>
      <c r="D3366" s="21" t="n"/>
      <c r="E3366" s="21" t="n"/>
      <c r="F3366" s="22" t="n">
        <v>3644.4</v>
      </c>
    </row>
    <row r="3368" ht="18" customHeight="1">
      <c r="A3368" s="9" t="inlineStr">
        <is>
          <t>9.135.1</t>
        </is>
      </c>
      <c r="B3368" s="10" t="inlineStr">
        <is>
          <t>With 2nd class teak wood beading 62X19 mm</t>
        </is>
      </c>
      <c r="C3368" s="11" t="n"/>
      <c r="D3368" s="11" t="n"/>
      <c r="E3368" s="11" t="n"/>
      <c r="F3368" s="11" t="n"/>
    </row>
    <row r="3369">
      <c r="A3369" s="12" t="inlineStr">
        <is>
          <t>Rate basis: per sqm  (source: cost for 1.54 sqm)</t>
        </is>
      </c>
    </row>
    <row r="3370">
      <c r="A3370" s="5" t="inlineStr">
        <is>
          <t>Code</t>
        </is>
      </c>
      <c r="B3370" s="5" t="inlineStr">
        <is>
          <t>Description</t>
        </is>
      </c>
      <c r="C3370" s="5" t="inlineStr">
        <is>
          <t>Unit</t>
        </is>
      </c>
      <c r="D3370" s="5" t="inlineStr">
        <is>
          <t>Quantity</t>
        </is>
      </c>
      <c r="E3370" s="5" t="inlineStr">
        <is>
          <t>Rate (Rs.)</t>
        </is>
      </c>
      <c r="F3370" s="5" t="inlineStr">
        <is>
          <t>Amount (Rs.)</t>
        </is>
      </c>
    </row>
    <row r="3371">
      <c r="A3371" s="13" t="inlineStr">
        <is>
          <t>8737</t>
        </is>
      </c>
      <c r="B3371" s="14" t="inlineStr">
        <is>
          <t>Stainless steel wire guage (Grade-304) aperture 1.4mm and 0.50 mm dia wire</t>
        </is>
      </c>
      <c r="C3371" s="13" t="inlineStr">
        <is>
          <t>sqm</t>
        </is>
      </c>
      <c r="D3371" s="15" t="n">
        <v>1.69</v>
      </c>
      <c r="E3371" s="16" t="n">
        <v>400</v>
      </c>
      <c r="F3371" s="16">
        <f>D3371*E3371</f>
        <v/>
      </c>
    </row>
    <row r="3372">
      <c r="A3372" s="13" t="inlineStr">
        <is>
          <t>9977</t>
        </is>
      </c>
      <c r="B3372" s="14" t="inlineStr">
        <is>
          <t>Carriage of wire fabric</t>
        </is>
      </c>
      <c r="C3372" s="13" t="inlineStr">
        <is>
          <t>L.S.</t>
        </is>
      </c>
      <c r="D3372" s="15" t="n">
        <v>1.82</v>
      </c>
      <c r="E3372" s="16" t="n">
        <v>2</v>
      </c>
      <c r="F3372" s="16">
        <f>D3372*E3372</f>
        <v/>
      </c>
    </row>
    <row r="3373">
      <c r="A3373" s="13" t="inlineStr">
        <is>
          <t>2204</t>
        </is>
      </c>
      <c r="B3373" s="14" t="inlineStr">
        <is>
          <t>Carriage of Timber</t>
        </is>
      </c>
      <c r="C3373" s="13" t="inlineStr">
        <is>
          <t>cum</t>
        </is>
      </c>
      <c r="D3373" s="15" t="n">
        <v>0.006</v>
      </c>
      <c r="E3373" s="16" t="n">
        <v>118.59</v>
      </c>
      <c r="F3373" s="16">
        <f>D3373*E3373</f>
        <v/>
      </c>
    </row>
    <row r="3374">
      <c r="A3374" s="13" t="inlineStr">
        <is>
          <t>0112</t>
        </is>
      </c>
      <c r="B3374" s="14" t="inlineStr">
        <is>
          <t>Carpenter 2nd class</t>
        </is>
      </c>
      <c r="C3374" s="13" t="inlineStr">
        <is>
          <t>day</t>
        </is>
      </c>
      <c r="D3374" s="15" t="n">
        <v>0.33</v>
      </c>
      <c r="E3374" s="16" t="n">
        <v>679</v>
      </c>
      <c r="F3374" s="16">
        <f>D3374*E3374</f>
        <v/>
      </c>
    </row>
    <row r="3375">
      <c r="A3375" s="13" t="inlineStr">
        <is>
          <t>0114</t>
        </is>
      </c>
      <c r="B3375" s="14" t="inlineStr">
        <is>
          <t>Beldar</t>
        </is>
      </c>
      <c r="C3375" s="13" t="inlineStr">
        <is>
          <t>day</t>
        </is>
      </c>
      <c r="D3375" s="15" t="n">
        <v>0.25</v>
      </c>
      <c r="E3375" s="16" t="n">
        <v>558</v>
      </c>
      <c r="F3375" s="16">
        <f>D3375*E3375</f>
        <v/>
      </c>
    </row>
    <row r="3376">
      <c r="A3376" s="13" t="inlineStr">
        <is>
          <t>9999</t>
        </is>
      </c>
      <c r="B3376" s="14" t="inlineStr">
        <is>
          <t>Sundries</t>
        </is>
      </c>
      <c r="C3376" s="13" t="inlineStr">
        <is>
          <t>L.S.</t>
        </is>
      </c>
      <c r="D3376" s="15" t="n">
        <v>19.76</v>
      </c>
      <c r="E3376" s="16" t="n">
        <v>2</v>
      </c>
      <c r="F3376" s="16">
        <f>D3376*E3376</f>
        <v/>
      </c>
    </row>
    <row r="3377">
      <c r="A3377" s="17" t="inlineStr">
        <is>
          <t>Resource Total (Material + Labour + Machinery, as printed)</t>
        </is>
      </c>
      <c r="B3377" s="18" t="n"/>
      <c r="C3377" s="18" t="n"/>
      <c r="D3377" s="18" t="n"/>
      <c r="E3377" s="18" t="n"/>
      <c r="F3377" s="19">
        <f>SUM(F3371:F3376)</f>
        <v/>
      </c>
    </row>
    <row r="3378">
      <c r="A3378" s="20" t="inlineStr">
        <is>
          <t>SAY (Rs.) — final DAR rate</t>
        </is>
      </c>
      <c r="B3378" s="21" t="n"/>
      <c r="C3378" s="21" t="n"/>
      <c r="D3378" s="21" t="n"/>
      <c r="E3378" s="21" t="n"/>
      <c r="F3378" s="22" t="n">
        <v>1353.6</v>
      </c>
    </row>
    <row r="3380" ht="18" customHeight="1">
      <c r="A3380" s="9" t="inlineStr">
        <is>
          <t>9.135.2</t>
        </is>
      </c>
      <c r="B3380" s="10" t="inlineStr">
        <is>
          <t>With 12 mm mild steel U beading</t>
        </is>
      </c>
      <c r="C3380" s="11" t="n"/>
      <c r="D3380" s="11" t="n"/>
      <c r="E3380" s="11" t="n"/>
      <c r="F3380" s="11" t="n"/>
    </row>
    <row r="3381">
      <c r="A3381" s="12" t="inlineStr">
        <is>
          <t>Rate basis: per sqm  (source: cost for 1.54 sqm)</t>
        </is>
      </c>
    </row>
    <row r="3382">
      <c r="A3382" s="5" t="inlineStr">
        <is>
          <t>Code</t>
        </is>
      </c>
      <c r="B3382" s="5" t="inlineStr">
        <is>
          <t>Description</t>
        </is>
      </c>
      <c r="C3382" s="5" t="inlineStr">
        <is>
          <t>Unit</t>
        </is>
      </c>
      <c r="D3382" s="5" t="inlineStr">
        <is>
          <t>Quantity</t>
        </is>
      </c>
      <c r="E3382" s="5" t="inlineStr">
        <is>
          <t>Rate (Rs.)</t>
        </is>
      </c>
      <c r="F3382" s="5" t="inlineStr">
        <is>
          <t>Amount (Rs.)</t>
        </is>
      </c>
    </row>
    <row r="3383">
      <c r="A3383" s="13" t="inlineStr">
        <is>
          <t>8737</t>
        </is>
      </c>
      <c r="B3383" s="14" t="inlineStr">
        <is>
          <t>Stainless steel wire guage (Grade-304) aperture 1.4mm and 0.50 mm dia wire</t>
        </is>
      </c>
      <c r="C3383" s="13" t="inlineStr">
        <is>
          <t>sqm</t>
        </is>
      </c>
      <c r="D3383" s="15" t="n">
        <v>1.69</v>
      </c>
      <c r="E3383" s="16" t="n">
        <v>400</v>
      </c>
      <c r="F3383" s="16">
        <f>D3383*E3383</f>
        <v/>
      </c>
    </row>
    <row r="3384">
      <c r="A3384" s="13" t="inlineStr">
        <is>
          <t>9977</t>
        </is>
      </c>
      <c r="B3384" s="14" t="inlineStr">
        <is>
          <t>Carriage of wire fabric</t>
        </is>
      </c>
      <c r="C3384" s="13" t="inlineStr">
        <is>
          <t>L.S.</t>
        </is>
      </c>
      <c r="D3384" s="15" t="n">
        <v>1.82</v>
      </c>
      <c r="E3384" s="16" t="n">
        <v>2</v>
      </c>
      <c r="F3384" s="16">
        <f>D3384*E3384</f>
        <v/>
      </c>
    </row>
    <row r="3385">
      <c r="A3385" s="13" t="inlineStr">
        <is>
          <t>7349</t>
        </is>
      </c>
      <c r="B3385" s="14" t="inlineStr">
        <is>
          <t>12 mm M.S. 'U' beading</t>
        </is>
      </c>
      <c r="C3385" s="13" t="inlineStr">
        <is>
          <t>metre</t>
        </is>
      </c>
      <c r="D3385" s="15" t="n">
        <v>5</v>
      </c>
      <c r="E3385" s="16" t="n">
        <v>14</v>
      </c>
      <c r="F3385" s="16">
        <f>D3385*E3385</f>
        <v/>
      </c>
    </row>
    <row r="3386">
      <c r="A3386" s="13" t="inlineStr">
        <is>
          <t>0112</t>
        </is>
      </c>
      <c r="B3386" s="14" t="inlineStr">
        <is>
          <t>Carpenter 2nd class</t>
        </is>
      </c>
      <c r="C3386" s="13" t="inlineStr">
        <is>
          <t>day</t>
        </is>
      </c>
      <c r="D3386" s="15" t="n">
        <v>0.33</v>
      </c>
      <c r="E3386" s="16" t="n">
        <v>679</v>
      </c>
      <c r="F3386" s="16">
        <f>D3386*E3386</f>
        <v/>
      </c>
    </row>
    <row r="3387">
      <c r="A3387" s="13" t="inlineStr">
        <is>
          <t>0114</t>
        </is>
      </c>
      <c r="B3387" s="14" t="inlineStr">
        <is>
          <t>Beldar</t>
        </is>
      </c>
      <c r="C3387" s="13" t="inlineStr">
        <is>
          <t>day</t>
        </is>
      </c>
      <c r="D3387" s="15" t="n">
        <v>0.25</v>
      </c>
      <c r="E3387" s="16" t="n">
        <v>558</v>
      </c>
      <c r="F3387" s="16">
        <f>D3387*E3387</f>
        <v/>
      </c>
    </row>
    <row r="3388">
      <c r="A3388" s="13" t="inlineStr">
        <is>
          <t>9999</t>
        </is>
      </c>
      <c r="B3388" s="14" t="inlineStr">
        <is>
          <t>Sundries</t>
        </is>
      </c>
      <c r="C3388" s="13" t="inlineStr">
        <is>
          <t>L.S.</t>
        </is>
      </c>
      <c r="D3388" s="15" t="n">
        <v>19.76</v>
      </c>
      <c r="E3388" s="16" t="n">
        <v>2</v>
      </c>
      <c r="F3388" s="16">
        <f>D3388*E3388</f>
        <v/>
      </c>
    </row>
    <row r="3389">
      <c r="A3389" s="17" t="inlineStr">
        <is>
          <t>Resource Total (Material + Labour + Machinery, as printed)</t>
        </is>
      </c>
      <c r="B3389" s="18" t="n"/>
      <c r="C3389" s="18" t="n"/>
      <c r="D3389" s="18" t="n"/>
      <c r="E3389" s="18" t="n"/>
      <c r="F3389" s="19">
        <f>SUM(F3383:F3388)</f>
        <v/>
      </c>
    </row>
    <row r="3390">
      <c r="A3390" s="20" t="inlineStr">
        <is>
          <t>SAY (Rs.) — final DAR rate</t>
        </is>
      </c>
      <c r="B3390" s="21" t="n"/>
      <c r="C3390" s="21" t="n"/>
      <c r="D3390" s="21" t="n"/>
      <c r="E3390" s="21" t="n"/>
      <c r="F3390" s="22" t="n">
        <v>1001.5</v>
      </c>
    </row>
    <row r="3392" ht="28" customHeight="1">
      <c r="A3392" s="9" t="inlineStr">
        <is>
          <t>9.136</t>
        </is>
      </c>
      <c r="B3392" s="10" t="inlineStr">
        <is>
          <t>Providing and fixing fire resistant door frame of section 143 x 57 mm having built in rebate made out of 16 SWG G.I. sheet (zinc coating not</t>
        </is>
      </c>
      <c r="C3392" s="11" t="n"/>
      <c r="D3392" s="11" t="n"/>
      <c r="E3392" s="11" t="n"/>
      <c r="F3392" s="11" t="n"/>
    </row>
    <row r="3393">
      <c r="A3393" s="12" t="inlineStr">
        <is>
          <t>Rate basis: per 0  (source: cost for 330 0)</t>
        </is>
      </c>
    </row>
    <row r="3394">
      <c r="A3394" s="5" t="inlineStr">
        <is>
          <t>Code</t>
        </is>
      </c>
      <c r="B3394" s="5" t="inlineStr">
        <is>
          <t>Description</t>
        </is>
      </c>
      <c r="C3394" s="5" t="inlineStr">
        <is>
          <t>Unit</t>
        </is>
      </c>
      <c r="D3394" s="5" t="inlineStr">
        <is>
          <t>Quantity</t>
        </is>
      </c>
      <c r="E3394" s="5" t="inlineStr">
        <is>
          <t>Rate (Rs.)</t>
        </is>
      </c>
      <c r="F3394" s="5" t="inlineStr">
        <is>
          <t>Amount (Rs.)</t>
        </is>
      </c>
    </row>
    <row r="3395">
      <c r="A3395" s="13" t="inlineStr">
        <is>
          <t>8738</t>
        </is>
      </c>
      <c r="B3395" s="14" t="inlineStr">
        <is>
          <t>Factory made door frame fire rated ( 60 minutes) made with 16 SWG G.I. Sheet of section 143 mm x 57 mm duly filled with vermuculite based concrete mix</t>
        </is>
      </c>
      <c r="C3395" s="13" t="inlineStr">
        <is>
          <t>metre</t>
        </is>
      </c>
      <c r="D3395" s="15" t="n">
        <v>9.1</v>
      </c>
      <c r="E3395" s="16" t="n">
        <v>1050</v>
      </c>
      <c r="F3395" s="16">
        <f>D3395*E3395</f>
        <v/>
      </c>
    </row>
    <row r="3396">
      <c r="A3396" s="13" t="inlineStr">
        <is>
          <t>9999</t>
        </is>
      </c>
      <c r="B3396" s="14" t="inlineStr">
        <is>
          <t>Labour for fixing</t>
        </is>
      </c>
      <c r="C3396" s="13" t="inlineStr">
        <is>
          <t>L.S.</t>
        </is>
      </c>
      <c r="D3396" s="15" t="n">
        <v>130</v>
      </c>
      <c r="E3396" s="16" t="n">
        <v>2</v>
      </c>
      <c r="F3396" s="16">
        <f>D3396*E3396</f>
        <v/>
      </c>
    </row>
    <row r="3397">
      <c r="A3397" s="13" t="inlineStr">
        <is>
          <t>9988</t>
        </is>
      </c>
      <c r="B3397" s="14" t="inlineStr">
        <is>
          <t>Sundries and carriage</t>
        </is>
      </c>
      <c r="C3397" s="13" t="inlineStr">
        <is>
          <t>L.S.</t>
        </is>
      </c>
      <c r="D3397" s="15" t="n">
        <v>4.23</v>
      </c>
      <c r="E3397" s="16" t="n">
        <v>2</v>
      </c>
      <c r="F3397" s="16">
        <f>D3397*E3397</f>
        <v/>
      </c>
    </row>
    <row r="3398">
      <c r="A3398" s="17" t="inlineStr">
        <is>
          <t>Resource Total (Material + Labour + Machinery, as printed)</t>
        </is>
      </c>
      <c r="B3398" s="18" t="n"/>
      <c r="C3398" s="18" t="n"/>
      <c r="D3398" s="18" t="n"/>
      <c r="E3398" s="18" t="n"/>
      <c r="F3398" s="19">
        <f>SUM(F3395:F3397)</f>
        <v/>
      </c>
    </row>
    <row r="3399">
      <c r="A3399" s="20" t="inlineStr">
        <is>
          <t>SAY (Rs.) — final DAR rate</t>
        </is>
      </c>
      <c r="B3399" s="21" t="n"/>
      <c r="C3399" s="21" t="n"/>
      <c r="D3399" s="21" t="n"/>
      <c r="E3399" s="21" t="n"/>
      <c r="F3399" s="22" t="n">
        <v>1444.3</v>
      </c>
    </row>
    <row r="3401" ht="28" customHeight="1">
      <c r="A3401" s="9" t="inlineStr">
        <is>
          <t>9.137</t>
        </is>
      </c>
      <c r="B3401" s="10" t="inlineStr">
        <is>
          <t>Providing and fixing 50 mm thick glazed fire resistant door shutters of 60 minutes fire rating conforming to IS:3614 (Part-II), tested and c</t>
        </is>
      </c>
      <c r="C3401" s="11" t="n"/>
      <c r="D3401" s="11" t="n"/>
      <c r="E3401" s="11" t="n"/>
      <c r="F3401" s="11" t="n"/>
    </row>
    <row r="3402">
      <c r="A3402" s="12" t="inlineStr">
        <is>
          <t>Rate basis: per sqm  (source: cost for 3.5 sqm)</t>
        </is>
      </c>
    </row>
    <row r="3403">
      <c r="A3403" s="5" t="inlineStr">
        <is>
          <t>Code</t>
        </is>
      </c>
      <c r="B3403" s="5" t="inlineStr">
        <is>
          <t>Description</t>
        </is>
      </c>
      <c r="C3403" s="5" t="inlineStr">
        <is>
          <t>Unit</t>
        </is>
      </c>
      <c r="D3403" s="5" t="inlineStr">
        <is>
          <t>Quantity</t>
        </is>
      </c>
      <c r="E3403" s="5" t="inlineStr">
        <is>
          <t>Rate (Rs.)</t>
        </is>
      </c>
      <c r="F3403" s="5" t="inlineStr">
        <is>
          <t>Amount (Rs.)</t>
        </is>
      </c>
    </row>
    <row r="3404">
      <c r="A3404" s="13" t="inlineStr">
        <is>
          <t>8739</t>
        </is>
      </c>
      <c r="B3404" s="14" t="inlineStr">
        <is>
          <t>Fire rated door shuttere made with 16 SWG G.I. sheet( 60 minutes) without panel</t>
        </is>
      </c>
      <c r="C3404" s="13" t="inlineStr">
        <is>
          <t>sqm</t>
        </is>
      </c>
      <c r="D3404" s="15" t="n">
        <v>3.5</v>
      </c>
      <c r="E3404" s="16" t="n">
        <v>4500</v>
      </c>
      <c r="F3404" s="16">
        <f>D3404*E3404</f>
        <v/>
      </c>
    </row>
    <row r="3405">
      <c r="A3405" s="13" t="inlineStr">
        <is>
          <t>9999</t>
        </is>
      </c>
      <c r="B3405" s="14" t="inlineStr">
        <is>
          <t>Labour for fixing</t>
        </is>
      </c>
      <c r="C3405" s="13" t="inlineStr">
        <is>
          <t>L.S.</t>
        </is>
      </c>
      <c r="D3405" s="15" t="n">
        <v>180</v>
      </c>
      <c r="E3405" s="16" t="n">
        <v>2</v>
      </c>
      <c r="F3405" s="16">
        <f>D3405*E3405</f>
        <v/>
      </c>
    </row>
    <row r="3406">
      <c r="A3406" s="13" t="inlineStr">
        <is>
          <t>9988</t>
        </is>
      </c>
      <c r="B3406" s="14" t="inlineStr">
        <is>
          <t>Sundries &amp; Carriage</t>
        </is>
      </c>
      <c r="C3406" s="13" t="inlineStr">
        <is>
          <t>L.S.</t>
        </is>
      </c>
      <c r="D3406" s="15" t="n">
        <v>10</v>
      </c>
      <c r="E3406" s="16" t="n">
        <v>2</v>
      </c>
      <c r="F3406" s="16">
        <f>D3406*E3406</f>
        <v/>
      </c>
    </row>
    <row r="3407">
      <c r="A3407" s="17" t="inlineStr">
        <is>
          <t>Resource Total (Material + Labour + Machinery, as printed)</t>
        </is>
      </c>
      <c r="B3407" s="18" t="n"/>
      <c r="C3407" s="18" t="n"/>
      <c r="D3407" s="18" t="n"/>
      <c r="E3407" s="18" t="n"/>
      <c r="F3407" s="19">
        <f>SUM(F3404:F3406)</f>
        <v/>
      </c>
    </row>
    <row r="3408">
      <c r="A3408" s="20" t="inlineStr">
        <is>
          <t>SAY (Rs.) — final DAR rate</t>
        </is>
      </c>
      <c r="B3408" s="21" t="n"/>
      <c r="C3408" s="21" t="n"/>
      <c r="D3408" s="21" t="n"/>
      <c r="E3408" s="21" t="n"/>
      <c r="F3408" s="22" t="n">
        <v>6166</v>
      </c>
    </row>
    <row r="3410" ht="28" customHeight="1">
      <c r="A3410" s="9" t="inlineStr">
        <is>
          <t>9.138</t>
        </is>
      </c>
      <c r="B3410" s="10" t="inlineStr">
        <is>
          <t>Providing and fixing glazing in fire resistant door shutters, fixed panels &amp; partitions etc., with G.I. beading made out of 1.6 mm thick G.I</t>
        </is>
      </c>
      <c r="C3410" s="11" t="n"/>
      <c r="D3410" s="11" t="n"/>
      <c r="E3410" s="11" t="n"/>
      <c r="F3410" s="11" t="n"/>
    </row>
    <row r="3411">
      <c r="A3411" s="12" t="inlineStr">
        <is>
          <t>Rate basis: per sqm  (source: cost for 2.46 sqm)</t>
        </is>
      </c>
    </row>
    <row r="3412">
      <c r="A3412" s="5" t="inlineStr">
        <is>
          <t>Code</t>
        </is>
      </c>
      <c r="B3412" s="5" t="inlineStr">
        <is>
          <t>Description</t>
        </is>
      </c>
      <c r="C3412" s="5" t="inlineStr">
        <is>
          <t>Unit</t>
        </is>
      </c>
      <c r="D3412" s="5" t="inlineStr">
        <is>
          <t>Quantity</t>
        </is>
      </c>
      <c r="E3412" s="5" t="inlineStr">
        <is>
          <t>Rate (Rs.)</t>
        </is>
      </c>
      <c r="F3412" s="5" t="inlineStr">
        <is>
          <t>Amount (Rs.)</t>
        </is>
      </c>
    </row>
    <row r="3413">
      <c r="A3413" s="13" t="inlineStr">
        <is>
          <t>8760</t>
        </is>
      </c>
      <c r="B3413" s="14" t="inlineStr">
        <is>
          <t>Glass panes of required thickness having 60 minutes of fire resistance both integrity and radiation control (EW 60) and minimum 20 minutes of Insulation (EI 20)</t>
        </is>
      </c>
      <c r="C3413" s="13" t="inlineStr">
        <is>
          <t>sqm</t>
        </is>
      </c>
      <c r="D3413" s="15" t="n">
        <v>2.46</v>
      </c>
      <c r="E3413" s="16" t="n">
        <v>22500</v>
      </c>
      <c r="F3413" s="16">
        <f>D3413*E3413</f>
        <v/>
      </c>
    </row>
    <row r="3414">
      <c r="A3414" s="13" t="inlineStr">
        <is>
          <t>2641</t>
        </is>
      </c>
      <c r="B3414" s="14" t="inlineStr">
        <is>
          <t>G.I. U beading of 1.6 mm thick G.I. Sheet with M4x38mm SS screws</t>
        </is>
      </c>
      <c r="C3414" s="13" t="inlineStr">
        <is>
          <t>metre</t>
        </is>
      </c>
      <c r="D3414" s="15" t="n">
        <v>9.91</v>
      </c>
      <c r="E3414" s="16" t="n">
        <v>245</v>
      </c>
      <c r="F3414" s="16">
        <f>D3414*E3414</f>
        <v/>
      </c>
    </row>
    <row r="3415">
      <c r="A3415" s="13" t="inlineStr">
        <is>
          <t>2642</t>
        </is>
      </c>
      <c r="B3415" s="14" t="inlineStr">
        <is>
          <t>Ceramic tape 5x20 mm size</t>
        </is>
      </c>
      <c r="C3415" s="13" t="inlineStr">
        <is>
          <t>metre</t>
        </is>
      </c>
      <c r="D3415" s="15" t="n">
        <v>19.82</v>
      </c>
      <c r="E3415" s="16" t="n">
        <v>410</v>
      </c>
      <c r="F3415" s="16">
        <f>D3415*E3415</f>
        <v/>
      </c>
    </row>
    <row r="3416">
      <c r="A3416" s="13" t="inlineStr">
        <is>
          <t>9999</t>
        </is>
      </c>
      <c r="B3416" s="14" t="inlineStr">
        <is>
          <t>For fixing in position all complete</t>
        </is>
      </c>
      <c r="C3416" s="13" t="inlineStr">
        <is>
          <t>L.S.</t>
        </is>
      </c>
      <c r="D3416" s="15" t="n">
        <v>180</v>
      </c>
      <c r="E3416" s="16" t="n">
        <v>2</v>
      </c>
      <c r="F3416" s="16">
        <f>D3416*E3416</f>
        <v/>
      </c>
    </row>
    <row r="3417">
      <c r="A3417" s="13" t="inlineStr">
        <is>
          <t>9999</t>
        </is>
      </c>
      <c r="B3417" s="14" t="inlineStr">
        <is>
          <t>Sundries and carriage &amp; Calcium Silicate Blocks</t>
        </is>
      </c>
      <c r="C3417" s="13" t="inlineStr">
        <is>
          <t>L.S.</t>
        </is>
      </c>
      <c r="D3417" s="15" t="n">
        <v>10</v>
      </c>
      <c r="E3417" s="16" t="n">
        <v>2</v>
      </c>
      <c r="F3417" s="16">
        <f>D3417*E3417</f>
        <v/>
      </c>
    </row>
    <row r="3418">
      <c r="A3418" s="17" t="inlineStr">
        <is>
          <t>Resource Total (Material + Labour + Machinery, as printed)</t>
        </is>
      </c>
      <c r="B3418" s="18" t="n"/>
      <c r="C3418" s="18" t="n"/>
      <c r="D3418" s="18" t="n"/>
      <c r="E3418" s="18" t="n"/>
      <c r="F3418" s="19">
        <f>SUM(F3413:F3417)</f>
        <v/>
      </c>
    </row>
    <row r="3419">
      <c r="A3419" s="20" t="inlineStr">
        <is>
          <t>SAY (Rs.) — final DAR rate</t>
        </is>
      </c>
      <c r="B3419" s="21" t="n"/>
      <c r="C3419" s="21" t="n"/>
      <c r="D3419" s="21" t="n"/>
      <c r="E3419" s="21" t="n"/>
      <c r="F3419" s="22" t="n">
        <v>36050.45</v>
      </c>
    </row>
    <row r="3421" ht="28" customHeight="1">
      <c r="A3421" s="9" t="inlineStr">
        <is>
          <t>9.139</t>
        </is>
      </c>
      <c r="B3421" s="10" t="inlineStr">
        <is>
          <t>Providing and fixing panic bar / latch (Double point) fitted with a single body, Trim Latch &amp; Lock on back side of the Panic Latch of repute</t>
        </is>
      </c>
      <c r="C3421" s="11" t="n"/>
      <c r="D3421" s="11" t="n"/>
      <c r="E3421" s="11" t="n"/>
      <c r="F3421" s="11" t="n"/>
    </row>
    <row r="3422">
      <c r="A3422" s="12" t="inlineStr">
        <is>
          <t>Rate basis: per Nos  (source: cost for 1 Nos)</t>
        </is>
      </c>
    </row>
    <row r="3423">
      <c r="A3423" s="5" t="inlineStr">
        <is>
          <t>Code</t>
        </is>
      </c>
      <c r="B3423" s="5" t="inlineStr">
        <is>
          <t>Description</t>
        </is>
      </c>
      <c r="C3423" s="5" t="inlineStr">
        <is>
          <t>Unit</t>
        </is>
      </c>
      <c r="D3423" s="5" t="inlineStr">
        <is>
          <t>Quantity</t>
        </is>
      </c>
      <c r="E3423" s="5" t="inlineStr">
        <is>
          <t>Rate (Rs.)</t>
        </is>
      </c>
      <c r="F3423" s="5" t="inlineStr">
        <is>
          <t>Amount (Rs.)</t>
        </is>
      </c>
    </row>
    <row r="3424">
      <c r="A3424" s="13" t="inlineStr">
        <is>
          <t>8744</t>
        </is>
      </c>
      <c r="B3424" s="14" t="inlineStr">
        <is>
          <t>Panic Bar / latch (Double point)</t>
        </is>
      </c>
      <c r="C3424" s="13" t="inlineStr">
        <is>
          <t>each</t>
        </is>
      </c>
      <c r="D3424" s="15" t="n">
        <v>1</v>
      </c>
      <c r="E3424" s="16" t="n">
        <v>5200</v>
      </c>
      <c r="F3424" s="16">
        <f>D3424*E3424</f>
        <v/>
      </c>
    </row>
    <row r="3425">
      <c r="A3425" s="13" t="inlineStr">
        <is>
          <t>0111</t>
        </is>
      </c>
      <c r="B3425" s="14" t="inlineStr">
        <is>
          <t>Carpenter 1st class</t>
        </is>
      </c>
      <c r="C3425" s="13" t="inlineStr">
        <is>
          <t>day</t>
        </is>
      </c>
      <c r="D3425" s="15" t="n">
        <v>0.17</v>
      </c>
      <c r="E3425" s="16" t="n">
        <v>738</v>
      </c>
      <c r="F3425" s="16">
        <f>D3425*E3425</f>
        <v/>
      </c>
    </row>
    <row r="3426">
      <c r="A3426" s="13" t="inlineStr">
        <is>
          <t>9977</t>
        </is>
      </c>
      <c r="B3426" s="14" t="inlineStr">
        <is>
          <t>Sundries (screws and carriage)</t>
        </is>
      </c>
      <c r="C3426" s="13" t="inlineStr">
        <is>
          <t>L.S.</t>
        </is>
      </c>
      <c r="D3426" s="15" t="n">
        <v>3.64</v>
      </c>
      <c r="E3426" s="16" t="n">
        <v>2</v>
      </c>
      <c r="F3426" s="16">
        <f>D3426*E3426</f>
        <v/>
      </c>
    </row>
    <row r="3427">
      <c r="A3427" s="17" t="inlineStr">
        <is>
          <t>Resource Total (Material + Labour + Machinery, as printed)</t>
        </is>
      </c>
      <c r="B3427" s="18" t="n"/>
      <c r="C3427" s="18" t="n"/>
      <c r="D3427" s="18" t="n"/>
      <c r="E3427" s="18" t="n"/>
      <c r="F3427" s="19">
        <f>SUM(F3424:F3426)</f>
        <v/>
      </c>
    </row>
    <row r="3428">
      <c r="A3428" s="20" t="inlineStr">
        <is>
          <t>SAY (Rs.) — final DAR rate</t>
        </is>
      </c>
      <c r="B3428" s="21" t="n"/>
      <c r="C3428" s="21" t="n"/>
      <c r="D3428" s="21" t="n"/>
      <c r="E3428" s="21" t="n"/>
      <c r="F3428" s="22" t="n">
        <v>7134.85</v>
      </c>
    </row>
    <row r="3430" ht="18" customHeight="1">
      <c r="A3430" s="9" t="inlineStr">
        <is>
          <t>9.140.1</t>
        </is>
      </c>
      <c r="B3430" s="10" t="inlineStr">
        <is>
          <t>12mm thick commercial ply conforming to IS : 1328 BWR type</t>
        </is>
      </c>
      <c r="C3430" s="11" t="n"/>
      <c r="D3430" s="11" t="n"/>
      <c r="E3430" s="11" t="n"/>
      <c r="F3430" s="11" t="n"/>
    </row>
    <row r="3431">
      <c r="A3431" s="12" t="inlineStr">
        <is>
          <t>Rate basis: per sqm  (source: cost for 10 sqm)</t>
        </is>
      </c>
    </row>
    <row r="3432">
      <c r="A3432" s="5" t="inlineStr">
        <is>
          <t>Code</t>
        </is>
      </c>
      <c r="B3432" s="5" t="inlineStr">
        <is>
          <t>Description</t>
        </is>
      </c>
      <c r="C3432" s="5" t="inlineStr">
        <is>
          <t>Unit</t>
        </is>
      </c>
      <c r="D3432" s="5" t="inlineStr">
        <is>
          <t>Quantity</t>
        </is>
      </c>
      <c r="E3432" s="5" t="inlineStr">
        <is>
          <t>Rate (Rs.)</t>
        </is>
      </c>
      <c r="F3432" s="5" t="inlineStr">
        <is>
          <t>Amount (Rs.)</t>
        </is>
      </c>
    </row>
    <row r="3433">
      <c r="A3433" s="13" t="inlineStr">
        <is>
          <t>13.50.1</t>
        </is>
      </c>
      <c r="B3433" s="14" t="inlineStr">
        <is>
          <t>Rate as per SH: 13.50.1</t>
        </is>
      </c>
      <c r="C3433" s="13" t="inlineStr">
        <is>
          <t>sqm</t>
        </is>
      </c>
      <c r="D3433" s="15" t="n">
        <v>10</v>
      </c>
      <c r="E3433" s="16" t="n">
        <v>57.05</v>
      </c>
      <c r="F3433" s="16">
        <f>D3433*E3433</f>
        <v/>
      </c>
    </row>
    <row r="3434">
      <c r="A3434" s="13" t="inlineStr">
        <is>
          <t>2413</t>
        </is>
      </c>
      <c r="B3434" s="14" t="inlineStr">
        <is>
          <t>12 mm commercial ply</t>
        </is>
      </c>
      <c r="C3434" s="13" t="inlineStr">
        <is>
          <t>sqm</t>
        </is>
      </c>
      <c r="D3434" s="15" t="n">
        <v>11</v>
      </c>
      <c r="E3434" s="16" t="n">
        <v>500</v>
      </c>
      <c r="F3434" s="16">
        <f>D3434*E3434</f>
        <v/>
      </c>
    </row>
    <row r="3435">
      <c r="A3435" s="13" t="inlineStr">
        <is>
          <t>9999</t>
        </is>
      </c>
      <c r="B3435" s="14" t="inlineStr">
        <is>
          <t>Sundries and screws etc.</t>
        </is>
      </c>
      <c r="C3435" s="13" t="inlineStr">
        <is>
          <t>L.S.</t>
        </is>
      </c>
      <c r="D3435" s="15" t="n">
        <v>40.1</v>
      </c>
      <c r="E3435" s="16" t="n">
        <v>2</v>
      </c>
      <c r="F3435" s="16">
        <f>D3435*E3435</f>
        <v/>
      </c>
    </row>
    <row r="3436">
      <c r="A3436" s="13" t="inlineStr">
        <is>
          <t>0156</t>
        </is>
      </c>
      <c r="B3436" s="14" t="inlineStr">
        <is>
          <t>Carpenter (average)</t>
        </is>
      </c>
      <c r="C3436" s="13" t="inlineStr">
        <is>
          <t>day</t>
        </is>
      </c>
      <c r="D3436" s="15" t="n">
        <v>1.28</v>
      </c>
      <c r="E3436" s="16" t="n">
        <v>709</v>
      </c>
      <c r="F3436" s="16">
        <f>D3436*E3436</f>
        <v/>
      </c>
    </row>
    <row r="3437">
      <c r="A3437" s="13" t="inlineStr">
        <is>
          <t>0114</t>
        </is>
      </c>
      <c r="B3437" s="14" t="inlineStr">
        <is>
          <t>Beldar</t>
        </is>
      </c>
      <c r="C3437" s="13" t="inlineStr">
        <is>
          <t>day</t>
        </is>
      </c>
      <c r="D3437" s="15" t="n">
        <v>1.43</v>
      </c>
      <c r="E3437" s="16" t="n">
        <v>558</v>
      </c>
      <c r="F3437" s="16">
        <f>D3437*E3437</f>
        <v/>
      </c>
    </row>
    <row r="3438">
      <c r="A3438" s="13" t="inlineStr">
        <is>
          <t>9988</t>
        </is>
      </c>
      <c r="B3438" s="14" t="inlineStr">
        <is>
          <t>Sundries and carriage</t>
        </is>
      </c>
      <c r="C3438" s="13" t="inlineStr">
        <is>
          <t>L.S.</t>
        </is>
      </c>
      <c r="D3438" s="15" t="n">
        <v>33.56</v>
      </c>
      <c r="E3438" s="16" t="n">
        <v>2</v>
      </c>
      <c r="F3438" s="16">
        <f>D3438*E3438</f>
        <v/>
      </c>
    </row>
    <row r="3439">
      <c r="A3439" s="17" t="inlineStr">
        <is>
          <t>Resource Total (Material + Labour + Machinery, as printed)</t>
        </is>
      </c>
      <c r="B3439" s="18" t="n"/>
      <c r="C3439" s="18" t="n"/>
      <c r="D3439" s="18" t="n"/>
      <c r="E3439" s="18" t="n"/>
      <c r="F3439" s="19">
        <f>SUM(F3433:F3438)</f>
        <v/>
      </c>
    </row>
    <row r="3440">
      <c r="A3440" s="20" t="inlineStr">
        <is>
          <t>SAY (Rs.) — final DAR rate</t>
        </is>
      </c>
      <c r="B3440" s="21" t="n"/>
      <c r="C3440" s="21" t="n"/>
      <c r="D3440" s="21" t="n"/>
      <c r="E3440" s="21" t="n"/>
      <c r="F3440" s="22" t="n">
        <v>1040.8</v>
      </c>
    </row>
    <row r="3442" ht="28" customHeight="1">
      <c r="A3442" s="9" t="inlineStr">
        <is>
          <t>9.141</t>
        </is>
      </c>
      <c r="B3442" s="10" t="inlineStr">
        <is>
          <t>Providing and fixing PVC Door Frame of size 50x47 mm with a wall thickness of 5 mm (± 0.2 mm), made out of single piece extruded PVC profile</t>
        </is>
      </c>
      <c r="C3442" s="11" t="n"/>
      <c r="D3442" s="11" t="n"/>
      <c r="E3442" s="11" t="n"/>
      <c r="F3442" s="11" t="n"/>
    </row>
    <row r="3443">
      <c r="A3443" s="12" t="inlineStr">
        <is>
          <t>Rate basis: per nos  (source: cost for 1 nos)</t>
        </is>
      </c>
    </row>
    <row r="3444">
      <c r="A3444" s="5" t="inlineStr">
        <is>
          <t>Code</t>
        </is>
      </c>
      <c r="B3444" s="5" t="inlineStr">
        <is>
          <t>Description</t>
        </is>
      </c>
      <c r="C3444" s="5" t="inlineStr">
        <is>
          <t>Unit</t>
        </is>
      </c>
      <c r="D3444" s="5" t="inlineStr">
        <is>
          <t>Quantity</t>
        </is>
      </c>
      <c r="E3444" s="5" t="inlineStr">
        <is>
          <t>Rate (Rs.)</t>
        </is>
      </c>
      <c r="F3444" s="5" t="inlineStr">
        <is>
          <t>Amount (Rs.)</t>
        </is>
      </c>
    </row>
    <row r="3445">
      <c r="A3445" s="13" t="inlineStr">
        <is>
          <t>0156</t>
        </is>
      </c>
      <c r="B3445" s="14" t="inlineStr">
        <is>
          <t>Carpenter (average)</t>
        </is>
      </c>
      <c r="C3445" s="13" t="inlineStr">
        <is>
          <t>day</t>
        </is>
      </c>
      <c r="D3445" s="15" t="n">
        <v>0.15</v>
      </c>
      <c r="E3445" s="16" t="n">
        <v>709</v>
      </c>
      <c r="F3445" s="16">
        <f>D3445*E3445</f>
        <v/>
      </c>
    </row>
    <row r="3446">
      <c r="A3446" s="13" t="inlineStr">
        <is>
          <t>0114</t>
        </is>
      </c>
      <c r="B3446" s="14" t="inlineStr">
        <is>
          <t>Beldar</t>
        </is>
      </c>
      <c r="C3446" s="13" t="inlineStr">
        <is>
          <t>day</t>
        </is>
      </c>
      <c r="D3446" s="15" t="n">
        <v>0.15</v>
      </c>
      <c r="E3446" s="16" t="n">
        <v>558</v>
      </c>
      <c r="F3446" s="16">
        <f>D3446*E3446</f>
        <v/>
      </c>
    </row>
    <row r="3447">
      <c r="A3447" s="13" t="inlineStr">
        <is>
          <t>9999</t>
        </is>
      </c>
      <c r="B3447" s="14" t="inlineStr">
        <is>
          <t>Sundries</t>
        </is>
      </c>
      <c r="C3447" s="13" t="inlineStr">
        <is>
          <t>L.S.</t>
        </is>
      </c>
      <c r="D3447" s="15" t="n">
        <v>11.65</v>
      </c>
      <c r="E3447" s="16" t="n">
        <v>2</v>
      </c>
      <c r="F3447" s="16">
        <f>D3447*E3447</f>
        <v/>
      </c>
    </row>
    <row r="3448">
      <c r="A3448" s="17" t="inlineStr">
        <is>
          <t>Resource Total (Material + Labour + Machinery, as printed)</t>
        </is>
      </c>
      <c r="B3448" s="18" t="n"/>
      <c r="C3448" s="18" t="n"/>
      <c r="D3448" s="18" t="n"/>
      <c r="E3448" s="18" t="n"/>
      <c r="F3448" s="19">
        <f>SUM(F3445:F3447)</f>
        <v/>
      </c>
    </row>
    <row r="3449">
      <c r="A3449" s="20" t="inlineStr">
        <is>
          <t>SAY (Rs.) — final DAR rate</t>
        </is>
      </c>
      <c r="B3449" s="21" t="n"/>
      <c r="C3449" s="21" t="n"/>
      <c r="D3449" s="21" t="n"/>
      <c r="E3449" s="21" t="n"/>
      <c r="F3449" s="22" t="n">
        <v>456.8</v>
      </c>
    </row>
    <row r="3451" ht="18" customHeight="1">
      <c r="A3451" s="9" t="inlineStr">
        <is>
          <t>9.142.1</t>
        </is>
      </c>
      <c r="B3451" s="10" t="inlineStr">
        <is>
          <t>Non decorative finish (matt finish)</t>
        </is>
      </c>
      <c r="C3451" s="11" t="n"/>
      <c r="D3451" s="11" t="n"/>
      <c r="E3451" s="11" t="n"/>
      <c r="F3451" s="11" t="n"/>
    </row>
    <row r="3452">
      <c r="A3452" s="12" t="inlineStr">
        <is>
          <t>Rate basis: per sqm  (source: cost for 2.38 sqm)</t>
        </is>
      </c>
    </row>
    <row r="3453">
      <c r="A3453" s="5" t="inlineStr">
        <is>
          <t>Code</t>
        </is>
      </c>
      <c r="B3453" s="5" t="inlineStr">
        <is>
          <t>Description</t>
        </is>
      </c>
      <c r="C3453" s="5" t="inlineStr">
        <is>
          <t>Unit</t>
        </is>
      </c>
      <c r="D3453" s="5" t="inlineStr">
        <is>
          <t>Quantity</t>
        </is>
      </c>
      <c r="E3453" s="5" t="inlineStr">
        <is>
          <t>Rate (Rs.)</t>
        </is>
      </c>
      <c r="F3453" s="5" t="inlineStr">
        <is>
          <t>Amount (Rs.)</t>
        </is>
      </c>
    </row>
    <row r="3454">
      <c r="A3454" s="13" t="inlineStr">
        <is>
          <t>8735</t>
        </is>
      </c>
      <c r="B3454" s="14" t="inlineStr">
        <is>
          <t>35 mm thick factory made solid panel PVC door shutter of single pieceextruded profile non decorative finished (Matt finished)</t>
        </is>
      </c>
      <c r="C3454" s="13" t="inlineStr">
        <is>
          <t>sqm</t>
        </is>
      </c>
      <c r="D3454" s="15" t="n">
        <v>2.38</v>
      </c>
      <c r="E3454" s="16" t="n">
        <v>2150</v>
      </c>
      <c r="F3454" s="16">
        <f>D3454*E3454</f>
        <v/>
      </c>
    </row>
    <row r="3455">
      <c r="A3455" s="13" t="inlineStr">
        <is>
          <t>8100</t>
        </is>
      </c>
      <c r="B3455" s="14" t="inlineStr">
        <is>
          <t>Powder coated M.S. butt hinges 100mm X58mmX1.9mm</t>
        </is>
      </c>
      <c r="C3455" s="13" t="inlineStr">
        <is>
          <t>10 Nos</t>
        </is>
      </c>
      <c r="D3455" s="15" t="n">
        <v>0.4</v>
      </c>
      <c r="E3455" s="16" t="n">
        <v>123</v>
      </c>
      <c r="F3455" s="16">
        <f>D3455*E3455</f>
        <v/>
      </c>
    </row>
    <row r="3456">
      <c r="A3456" s="13" t="inlineStr">
        <is>
          <t>0637</t>
        </is>
      </c>
      <c r="B3456" s="14" t="inlineStr">
        <is>
          <t>Bright finished or black enamelled mild steel screws 40 mm</t>
        </is>
      </c>
      <c r="C3456" s="13" t="inlineStr">
        <is>
          <t>100 Nos</t>
        </is>
      </c>
      <c r="D3456" s="15" t="n">
        <v>0.48</v>
      </c>
      <c r="E3456" s="16" t="n">
        <v>60</v>
      </c>
      <c r="F3456" s="16">
        <f>D3456*E3456</f>
        <v/>
      </c>
    </row>
    <row r="3457">
      <c r="A3457" s="13" t="inlineStr">
        <is>
          <t>0640</t>
        </is>
      </c>
      <c r="B3457" s="14" t="inlineStr">
        <is>
          <t>Bright finished or black enamelled mild steel screws 20 mm</t>
        </is>
      </c>
      <c r="C3457" s="13" t="inlineStr">
        <is>
          <t>100 Nos</t>
        </is>
      </c>
      <c r="D3457" s="15" t="n">
        <v>0.08</v>
      </c>
      <c r="E3457" s="16" t="n">
        <v>30</v>
      </c>
      <c r="F3457" s="16">
        <f>D3457*E3457</f>
        <v/>
      </c>
    </row>
    <row r="3458">
      <c r="A3458" s="13" t="inlineStr">
        <is>
          <t>0156</t>
        </is>
      </c>
      <c r="B3458" s="14" t="inlineStr">
        <is>
          <t>Carpenter (average)</t>
        </is>
      </c>
      <c r="C3458" s="13" t="inlineStr">
        <is>
          <t>day</t>
        </is>
      </c>
      <c r="D3458" s="15" t="n">
        <v>0.4</v>
      </c>
      <c r="E3458" s="16" t="n">
        <v>709</v>
      </c>
      <c r="F3458" s="16">
        <f>D3458*E3458</f>
        <v/>
      </c>
    </row>
    <row r="3459">
      <c r="A3459" s="13" t="inlineStr">
        <is>
          <t>0114</t>
        </is>
      </c>
      <c r="B3459" s="14" t="inlineStr">
        <is>
          <t>Beldar</t>
        </is>
      </c>
      <c r="C3459" s="13" t="inlineStr">
        <is>
          <t>day</t>
        </is>
      </c>
      <c r="D3459" s="15" t="n">
        <v>0.4</v>
      </c>
      <c r="E3459" s="16" t="n">
        <v>558</v>
      </c>
      <c r="F3459" s="16">
        <f>D3459*E3459</f>
        <v/>
      </c>
    </row>
    <row r="3460">
      <c r="A3460" s="13" t="inlineStr">
        <is>
          <t>9999</t>
        </is>
      </c>
      <c r="B3460" s="14" t="inlineStr">
        <is>
          <t>Sundries</t>
        </is>
      </c>
      <c r="C3460" s="13" t="inlineStr">
        <is>
          <t>L.S.</t>
        </is>
      </c>
      <c r="D3460" s="15" t="n">
        <v>30.35</v>
      </c>
      <c r="E3460" s="16" t="n">
        <v>2</v>
      </c>
      <c r="F3460" s="16">
        <f>D3460*E3460</f>
        <v/>
      </c>
    </row>
    <row r="3461">
      <c r="A3461" s="17" t="inlineStr">
        <is>
          <t>Resource Total (Material + Labour + Machinery, as printed)</t>
        </is>
      </c>
      <c r="B3461" s="18" t="n"/>
      <c r="C3461" s="18" t="n"/>
      <c r="D3461" s="18" t="n"/>
      <c r="E3461" s="18" t="n"/>
      <c r="F3461" s="19">
        <f>SUM(F3454:F3460)</f>
        <v/>
      </c>
    </row>
    <row r="3462">
      <c r="A3462" s="20" t="inlineStr">
        <is>
          <t>SAY (Rs.) — final DAR rate</t>
        </is>
      </c>
      <c r="B3462" s="21" t="n"/>
      <c r="C3462" s="21" t="n"/>
      <c r="D3462" s="21" t="n"/>
      <c r="E3462" s="21" t="n"/>
      <c r="F3462" s="22" t="n">
        <v>3240.8</v>
      </c>
    </row>
    <row r="3464" ht="18" customHeight="1">
      <c r="A3464" s="9" t="inlineStr">
        <is>
          <t>9.142.2</t>
        </is>
      </c>
      <c r="B3464" s="10" t="inlineStr">
        <is>
          <t>Decorative finish (wood grained finish)</t>
        </is>
      </c>
      <c r="C3464" s="11" t="n"/>
      <c r="D3464" s="11" t="n"/>
      <c r="E3464" s="11" t="n"/>
      <c r="F3464" s="11" t="n"/>
    </row>
    <row r="3465">
      <c r="A3465" s="12" t="inlineStr">
        <is>
          <t>Rate basis: per sqm  (source: cost for 2.38 sqm)</t>
        </is>
      </c>
    </row>
    <row r="3466">
      <c r="A3466" s="5" t="inlineStr">
        <is>
          <t>Code</t>
        </is>
      </c>
      <c r="B3466" s="5" t="inlineStr">
        <is>
          <t>Description</t>
        </is>
      </c>
      <c r="C3466" s="5" t="inlineStr">
        <is>
          <t>Unit</t>
        </is>
      </c>
      <c r="D3466" s="5" t="inlineStr">
        <is>
          <t>Quantity</t>
        </is>
      </c>
      <c r="E3466" s="5" t="inlineStr">
        <is>
          <t>Rate (Rs.)</t>
        </is>
      </c>
      <c r="F3466" s="5" t="inlineStr">
        <is>
          <t>Amount (Rs.)</t>
        </is>
      </c>
    </row>
    <row r="3467">
      <c r="A3467" s="13" t="inlineStr">
        <is>
          <t>8736</t>
        </is>
      </c>
      <c r="B3467" s="14" t="inlineStr">
        <is>
          <t>35 mm thick factory made solid panel PVC door shutter of single pieceextruded profile decorative finished (Wood grand finished)</t>
        </is>
      </c>
      <c r="C3467" s="13" t="inlineStr">
        <is>
          <t>sqm</t>
        </is>
      </c>
      <c r="D3467" s="15" t="n">
        <v>2.38</v>
      </c>
      <c r="E3467" s="16" t="n">
        <v>2600</v>
      </c>
      <c r="F3467" s="16">
        <f>D3467*E3467</f>
        <v/>
      </c>
    </row>
    <row r="3468">
      <c r="A3468" s="13" t="inlineStr">
        <is>
          <t>8100</t>
        </is>
      </c>
      <c r="B3468" s="14" t="inlineStr">
        <is>
          <t>Powder coated M.S. butt hinges 100mm X58mmX1.9mm</t>
        </is>
      </c>
      <c r="C3468" s="13" t="inlineStr">
        <is>
          <t>10 Nos</t>
        </is>
      </c>
      <c r="D3468" s="15" t="n">
        <v>0.4</v>
      </c>
      <c r="E3468" s="16" t="n">
        <v>123</v>
      </c>
      <c r="F3468" s="16">
        <f>D3468*E3468</f>
        <v/>
      </c>
    </row>
    <row r="3469">
      <c r="A3469" s="13" t="inlineStr">
        <is>
          <t>0637</t>
        </is>
      </c>
      <c r="B3469" s="14" t="inlineStr">
        <is>
          <t>Bright finished or black enamelled mild steel screws 40 mm</t>
        </is>
      </c>
      <c r="C3469" s="13" t="inlineStr">
        <is>
          <t>100 Nos</t>
        </is>
      </c>
      <c r="D3469" s="15" t="n">
        <v>0.48</v>
      </c>
      <c r="E3469" s="16" t="n">
        <v>60</v>
      </c>
      <c r="F3469" s="16">
        <f>D3469*E3469</f>
        <v/>
      </c>
    </row>
    <row r="3470">
      <c r="A3470" s="13" t="inlineStr">
        <is>
          <t>0640</t>
        </is>
      </c>
      <c r="B3470" s="14" t="inlineStr">
        <is>
          <t>Bright finished or black enamelled mild steel screws 20 mm</t>
        </is>
      </c>
      <c r="C3470" s="13" t="inlineStr">
        <is>
          <t>100 Nos</t>
        </is>
      </c>
      <c r="D3470" s="15" t="n">
        <v>0.08</v>
      </c>
      <c r="E3470" s="16" t="n">
        <v>30</v>
      </c>
      <c r="F3470" s="16">
        <f>D3470*E3470</f>
        <v/>
      </c>
    </row>
    <row r="3471">
      <c r="A3471" s="13" t="inlineStr">
        <is>
          <t>0156</t>
        </is>
      </c>
      <c r="B3471" s="14" t="inlineStr">
        <is>
          <t>Carpenter (average)</t>
        </is>
      </c>
      <c r="C3471" s="13" t="inlineStr">
        <is>
          <t>day</t>
        </is>
      </c>
      <c r="D3471" s="15" t="n">
        <v>0.4</v>
      </c>
      <c r="E3471" s="16" t="n">
        <v>709</v>
      </c>
      <c r="F3471" s="16">
        <f>D3471*E3471</f>
        <v/>
      </c>
    </row>
    <row r="3472">
      <c r="A3472" s="13" t="inlineStr">
        <is>
          <t>0114</t>
        </is>
      </c>
      <c r="B3472" s="14" t="inlineStr">
        <is>
          <t>Beldar</t>
        </is>
      </c>
      <c r="C3472" s="13" t="inlineStr">
        <is>
          <t>day</t>
        </is>
      </c>
      <c r="D3472" s="15" t="n">
        <v>0.4</v>
      </c>
      <c r="E3472" s="16" t="n">
        <v>558</v>
      </c>
      <c r="F3472" s="16">
        <f>D3472*E3472</f>
        <v/>
      </c>
    </row>
    <row r="3473">
      <c r="A3473" s="13" t="inlineStr">
        <is>
          <t>9999</t>
        </is>
      </c>
      <c r="B3473" s="14" t="inlineStr">
        <is>
          <t>Sundries</t>
        </is>
      </c>
      <c r="C3473" s="13" t="inlineStr">
        <is>
          <t>L.S.</t>
        </is>
      </c>
      <c r="D3473" s="15" t="n">
        <v>30.35</v>
      </c>
      <c r="E3473" s="16" t="n">
        <v>2</v>
      </c>
      <c r="F3473" s="16">
        <f>D3473*E3473</f>
        <v/>
      </c>
    </row>
    <row r="3474">
      <c r="A3474" s="17" t="inlineStr">
        <is>
          <t>Resource Total (Material + Labour + Machinery, as printed)</t>
        </is>
      </c>
      <c r="B3474" s="18" t="n"/>
      <c r="C3474" s="18" t="n"/>
      <c r="D3474" s="18" t="n"/>
      <c r="E3474" s="18" t="n"/>
      <c r="F3474" s="19">
        <f>SUM(F3467:F3473)</f>
        <v/>
      </c>
    </row>
    <row r="3475">
      <c r="A3475" s="20" t="inlineStr">
        <is>
          <t>SAY (Rs.) — final DAR rate</t>
        </is>
      </c>
      <c r="B3475" s="21" t="n"/>
      <c r="C3475" s="21" t="n"/>
      <c r="D3475" s="21" t="n"/>
      <c r="E3475" s="21" t="n"/>
      <c r="F3475" s="22" t="n">
        <v>3842.85</v>
      </c>
    </row>
    <row r="3477" ht="28" customHeight="1">
      <c r="A3477" s="9" t="inlineStr">
        <is>
          <t>9.143</t>
        </is>
      </c>
      <c r="B3477" s="10" t="inlineStr">
        <is>
          <t>Providing and Fixing factory made uPVC door frame, made of uPVC exturded sections, of size 65 mm x 55 mm with wall thickness 2.0 mm (± 0.2 m</t>
        </is>
      </c>
      <c r="C3477" s="11" t="n"/>
      <c r="D3477" s="11" t="n"/>
      <c r="E3477" s="11" t="n"/>
      <c r="F3477" s="11" t="n"/>
    </row>
    <row r="3478">
      <c r="A3478" s="12" t="inlineStr">
        <is>
          <t>Rate basis: per nos  (source: cost for 1 nos)</t>
        </is>
      </c>
    </row>
    <row r="3479">
      <c r="A3479" s="5" t="inlineStr">
        <is>
          <t>Code</t>
        </is>
      </c>
      <c r="B3479" s="5" t="inlineStr">
        <is>
          <t>Description</t>
        </is>
      </c>
      <c r="C3479" s="5" t="inlineStr">
        <is>
          <t>Unit</t>
        </is>
      </c>
      <c r="D3479" s="5" t="inlineStr">
        <is>
          <t>Quantity</t>
        </is>
      </c>
      <c r="E3479" s="5" t="inlineStr">
        <is>
          <t>Rate (Rs.)</t>
        </is>
      </c>
      <c r="F3479" s="5" t="inlineStr">
        <is>
          <t>Amount (Rs.)</t>
        </is>
      </c>
    </row>
    <row r="3480">
      <c r="A3480" s="13" t="inlineStr">
        <is>
          <t>8745</t>
        </is>
      </c>
      <c r="B3480" s="14" t="inlineStr">
        <is>
          <t>65mm x 55mm x 2mm thick Factory made door frame of PVC extruded section in white,grey or wooden finish</t>
        </is>
      </c>
      <c r="C3480" s="13" t="inlineStr">
        <is>
          <t>metre</t>
        </is>
      </c>
      <c r="D3480" s="15" t="n">
        <v>5</v>
      </c>
      <c r="E3480" s="16" t="n">
        <v>355</v>
      </c>
      <c r="F3480" s="16">
        <f>D3480*E3480</f>
        <v/>
      </c>
    </row>
    <row r="3481">
      <c r="A3481" s="13" t="inlineStr">
        <is>
          <t>0156</t>
        </is>
      </c>
      <c r="B3481" s="14" t="inlineStr">
        <is>
          <t>Carpenter (average)</t>
        </is>
      </c>
      <c r="C3481" s="13" t="inlineStr">
        <is>
          <t>day</t>
        </is>
      </c>
      <c r="D3481" s="15" t="n">
        <v>0.15</v>
      </c>
      <c r="E3481" s="16" t="n">
        <v>709</v>
      </c>
      <c r="F3481" s="16">
        <f>D3481*E3481</f>
        <v/>
      </c>
    </row>
    <row r="3482">
      <c r="A3482" s="13" t="inlineStr">
        <is>
          <t>0114</t>
        </is>
      </c>
      <c r="B3482" s="14" t="inlineStr">
        <is>
          <t>Beldar</t>
        </is>
      </c>
      <c r="C3482" s="13" t="inlineStr">
        <is>
          <t>day</t>
        </is>
      </c>
      <c r="D3482" s="15" t="n">
        <v>0.15</v>
      </c>
      <c r="E3482" s="16" t="n">
        <v>558</v>
      </c>
      <c r="F3482" s="16">
        <f>D3482*E3482</f>
        <v/>
      </c>
    </row>
    <row r="3483">
      <c r="A3483" s="13" t="inlineStr">
        <is>
          <t>9999</t>
        </is>
      </c>
      <c r="B3483" s="14" t="inlineStr">
        <is>
          <t>Sundries</t>
        </is>
      </c>
      <c r="C3483" s="13" t="inlineStr">
        <is>
          <t>L.S.</t>
        </is>
      </c>
      <c r="D3483" s="15" t="n">
        <v>4.68</v>
      </c>
      <c r="E3483" s="16" t="n">
        <v>2</v>
      </c>
      <c r="F3483" s="16">
        <f>D3483*E3483</f>
        <v/>
      </c>
    </row>
    <row r="3484">
      <c r="A3484" s="17" t="inlineStr">
        <is>
          <t>Resource Total (Material + Labour + Machinery, as printed)</t>
        </is>
      </c>
      <c r="B3484" s="18" t="n"/>
      <c r="C3484" s="18" t="n"/>
      <c r="D3484" s="18" t="n"/>
      <c r="E3484" s="18" t="n"/>
      <c r="F3484" s="19">
        <f>SUM(F3480:F3483)</f>
        <v/>
      </c>
    </row>
    <row r="3485">
      <c r="A3485" s="20" t="inlineStr">
        <is>
          <t>SAY (Rs.) — final DAR rate</t>
        </is>
      </c>
      <c r="B3485" s="21" t="n"/>
      <c r="C3485" s="21" t="n"/>
      <c r="D3485" s="21" t="n"/>
      <c r="E3485" s="21" t="n"/>
      <c r="F3485" s="22" t="n">
        <v>528.35</v>
      </c>
    </row>
    <row r="3487" ht="28" customHeight="1">
      <c r="A3487" s="9" t="inlineStr">
        <is>
          <t>9.144</t>
        </is>
      </c>
      <c r="B3487" s="10" t="inlineStr">
        <is>
          <t>Providing and fixing 37 mm thick factory made PVC door shutter, styles and rails made of PVC hollow section of size 100 mm x 37 mm with wall</t>
        </is>
      </c>
      <c r="C3487" s="11" t="n"/>
      <c r="D3487" s="11" t="n"/>
      <c r="E3487" s="11" t="n"/>
      <c r="F3487" s="11" t="n"/>
    </row>
    <row r="3488">
      <c r="A3488" s="12" t="inlineStr">
        <is>
          <t>Rate basis: per sqm  (source: cost for 2.38 sqm)</t>
        </is>
      </c>
    </row>
    <row r="3489">
      <c r="A3489" s="5" t="inlineStr">
        <is>
          <t>Code</t>
        </is>
      </c>
      <c r="B3489" s="5" t="inlineStr">
        <is>
          <t>Description</t>
        </is>
      </c>
      <c r="C3489" s="5" t="inlineStr">
        <is>
          <t>Unit</t>
        </is>
      </c>
      <c r="D3489" s="5" t="inlineStr">
        <is>
          <t>Quantity</t>
        </is>
      </c>
      <c r="E3489" s="5" t="inlineStr">
        <is>
          <t>Rate (Rs.)</t>
        </is>
      </c>
      <c r="F3489" s="5" t="inlineStr">
        <is>
          <t>Amount (Rs.)</t>
        </is>
      </c>
    </row>
    <row r="3490">
      <c r="A3490" s="13" t="inlineStr">
        <is>
          <t>0156</t>
        </is>
      </c>
      <c r="B3490" s="14" t="inlineStr">
        <is>
          <t>Carpenter (average)</t>
        </is>
      </c>
      <c r="C3490" s="13" t="inlineStr">
        <is>
          <t>day</t>
        </is>
      </c>
      <c r="D3490" s="15" t="n">
        <v>0.4</v>
      </c>
      <c r="E3490" s="16" t="n">
        <v>709</v>
      </c>
      <c r="F3490" s="16">
        <f>D3490*E3490</f>
        <v/>
      </c>
    </row>
    <row r="3491">
      <c r="A3491" s="13" t="inlineStr">
        <is>
          <t>0114</t>
        </is>
      </c>
      <c r="B3491" s="14" t="inlineStr">
        <is>
          <t>Beldar</t>
        </is>
      </c>
      <c r="C3491" s="13" t="inlineStr">
        <is>
          <t>day</t>
        </is>
      </c>
      <c r="D3491" s="15" t="n">
        <v>0.4</v>
      </c>
      <c r="E3491" s="16" t="n">
        <v>558</v>
      </c>
      <c r="F3491" s="16">
        <f>D3491*E3491</f>
        <v/>
      </c>
    </row>
    <row r="3492">
      <c r="A3492" s="13" t="inlineStr">
        <is>
          <t>9999</t>
        </is>
      </c>
      <c r="B3492" s="14" t="inlineStr">
        <is>
          <t>Sundries</t>
        </is>
      </c>
      <c r="C3492" s="13" t="inlineStr">
        <is>
          <t>L.S.</t>
        </is>
      </c>
      <c r="D3492" s="15" t="n">
        <v>20.36</v>
      </c>
      <c r="E3492" s="16" t="n">
        <v>2</v>
      </c>
      <c r="F3492" s="16">
        <f>D3492*E3492</f>
        <v/>
      </c>
    </row>
    <row r="3493">
      <c r="A3493" s="17" t="inlineStr">
        <is>
          <t>Resource Total (Material + Labour + Machinery, as printed)</t>
        </is>
      </c>
      <c r="B3493" s="18" t="n"/>
      <c r="C3493" s="18" t="n"/>
      <c r="D3493" s="18" t="n"/>
      <c r="E3493" s="18" t="n"/>
      <c r="F3493" s="19">
        <f>SUM(F3490:F3492)</f>
        <v/>
      </c>
    </row>
    <row r="3494">
      <c r="A3494" s="20" t="inlineStr">
        <is>
          <t>SAY (Rs.) — final DAR rate</t>
        </is>
      </c>
      <c r="B3494" s="21" t="n"/>
      <c r="C3494" s="21" t="n"/>
      <c r="D3494" s="21" t="n"/>
      <c r="E3494" s="21" t="n"/>
      <c r="F3494" s="22" t="n">
        <v>3518.85</v>
      </c>
    </row>
    <row r="3496" ht="28" customHeight="1">
      <c r="A3496" s="9" t="inlineStr">
        <is>
          <t>9.145</t>
        </is>
      </c>
      <c r="B3496" s="10" t="inlineStr">
        <is>
          <t>Providing and Fixing factory made PVC door frame made of PVC extruded sections of size 75 mm x 53 mm, having wall thickness 2.0 mm (± 0.2 mm</t>
        </is>
      </c>
      <c r="C3496" s="11" t="n"/>
      <c r="D3496" s="11" t="n"/>
      <c r="E3496" s="11" t="n"/>
      <c r="F3496" s="11" t="n"/>
    </row>
    <row r="3497">
      <c r="A3497" s="12" t="inlineStr">
        <is>
          <t>Rate basis: per nos  (source: cost for 1 nos)</t>
        </is>
      </c>
    </row>
    <row r="3498">
      <c r="A3498" s="5" t="inlineStr">
        <is>
          <t>Code</t>
        </is>
      </c>
      <c r="B3498" s="5" t="inlineStr">
        <is>
          <t>Description</t>
        </is>
      </c>
      <c r="C3498" s="5" t="inlineStr">
        <is>
          <t>Unit</t>
        </is>
      </c>
      <c r="D3498" s="5" t="inlineStr">
        <is>
          <t>Quantity</t>
        </is>
      </c>
      <c r="E3498" s="5" t="inlineStr">
        <is>
          <t>Rate (Rs.)</t>
        </is>
      </c>
      <c r="F3498" s="5" t="inlineStr">
        <is>
          <t>Amount (Rs.)</t>
        </is>
      </c>
    </row>
    <row r="3499">
      <c r="A3499" s="13" t="inlineStr">
        <is>
          <t>8747</t>
        </is>
      </c>
      <c r="B3499" s="14" t="inlineStr">
        <is>
          <t>75mm x 53mm x 2.0mm thick Factory made door frame of PVC extruded section in white,grey or wooden finish</t>
        </is>
      </c>
      <c r="C3499" s="13" t="inlineStr">
        <is>
          <t>metre</t>
        </is>
      </c>
      <c r="D3499" s="15" t="n">
        <v>5</v>
      </c>
      <c r="E3499" s="16" t="n">
        <v>400</v>
      </c>
      <c r="F3499" s="16">
        <f>D3499*E3499</f>
        <v/>
      </c>
    </row>
    <row r="3500">
      <c r="A3500" s="13" t="inlineStr">
        <is>
          <t>0156</t>
        </is>
      </c>
      <c r="B3500" s="14" t="inlineStr">
        <is>
          <t>Carpenter (average)</t>
        </is>
      </c>
      <c r="C3500" s="13" t="inlineStr">
        <is>
          <t>day</t>
        </is>
      </c>
      <c r="D3500" s="15" t="n">
        <v>0.15</v>
      </c>
      <c r="E3500" s="16" t="n">
        <v>709</v>
      </c>
      <c r="F3500" s="16">
        <f>D3500*E3500</f>
        <v/>
      </c>
    </row>
    <row r="3501">
      <c r="A3501" s="13" t="inlineStr">
        <is>
          <t>0114</t>
        </is>
      </c>
      <c r="B3501" s="14" t="inlineStr">
        <is>
          <t>Beldar</t>
        </is>
      </c>
      <c r="C3501" s="13" t="inlineStr">
        <is>
          <t>day</t>
        </is>
      </c>
      <c r="D3501" s="15" t="n">
        <v>0.15</v>
      </c>
      <c r="E3501" s="16" t="n">
        <v>558</v>
      </c>
      <c r="F3501" s="16">
        <f>D3501*E3501</f>
        <v/>
      </c>
    </row>
    <row r="3502">
      <c r="A3502" s="13" t="inlineStr">
        <is>
          <t>9999</t>
        </is>
      </c>
      <c r="B3502" s="14" t="inlineStr">
        <is>
          <t>Sundries</t>
        </is>
      </c>
      <c r="C3502" s="13" t="inlineStr">
        <is>
          <t>L.S.</t>
        </is>
      </c>
      <c r="D3502" s="15" t="n">
        <v>4.68</v>
      </c>
      <c r="E3502" s="16" t="n">
        <v>2</v>
      </c>
      <c r="F3502" s="16">
        <f>D3502*E3502</f>
        <v/>
      </c>
    </row>
    <row r="3503">
      <c r="A3503" s="17" t="inlineStr">
        <is>
          <t>Resource Total (Material + Labour + Machinery, as printed)</t>
        </is>
      </c>
      <c r="B3503" s="18" t="n"/>
      <c r="C3503" s="18" t="n"/>
      <c r="D3503" s="18" t="n"/>
      <c r="E3503" s="18" t="n"/>
      <c r="F3503" s="19">
        <f>SUM(F3499:F3502)</f>
        <v/>
      </c>
    </row>
    <row r="3504">
      <c r="A3504" s="20" t="inlineStr">
        <is>
          <t>SAY (Rs.) — final DAR rate</t>
        </is>
      </c>
      <c r="B3504" s="21" t="n"/>
      <c r="C3504" s="21" t="n"/>
      <c r="D3504" s="21" t="n"/>
      <c r="E3504" s="21" t="n"/>
      <c r="F3504" s="22" t="n">
        <v>588.55</v>
      </c>
    </row>
    <row r="3506" ht="28" customHeight="1">
      <c r="A3506" s="9" t="inlineStr">
        <is>
          <t>9.146</t>
        </is>
      </c>
      <c r="B3506" s="10" t="inlineStr">
        <is>
          <t>Providing and fixing 37 mm thick factory made PVC Door shutter, styles and rails made of PVC hollow extruded printed and laminated section h</t>
        </is>
      </c>
      <c r="C3506" s="11" t="n"/>
      <c r="D3506" s="11" t="n"/>
      <c r="E3506" s="11" t="n"/>
      <c r="F3506" s="11" t="n"/>
    </row>
    <row r="3507">
      <c r="A3507" s="12" t="inlineStr">
        <is>
          <t>Rate basis: per sqm  (source: cost for 2.38 sqm)</t>
        </is>
      </c>
    </row>
    <row r="3508">
      <c r="A3508" s="5" t="inlineStr">
        <is>
          <t>Code</t>
        </is>
      </c>
      <c r="B3508" s="5" t="inlineStr">
        <is>
          <t>Description</t>
        </is>
      </c>
      <c r="C3508" s="5" t="inlineStr">
        <is>
          <t>Unit</t>
        </is>
      </c>
      <c r="D3508" s="5" t="inlineStr">
        <is>
          <t>Quantity</t>
        </is>
      </c>
      <c r="E3508" s="5" t="inlineStr">
        <is>
          <t>Rate (Rs.)</t>
        </is>
      </c>
      <c r="F3508" s="5" t="inlineStr">
        <is>
          <t>Amount (Rs.)</t>
        </is>
      </c>
    </row>
    <row r="3509">
      <c r="A3509" s="13" t="inlineStr">
        <is>
          <t>8748</t>
        </is>
      </c>
      <c r="B3509" s="14" t="inlineStr">
        <is>
          <t>37 mm thick Factory made fusion welded shutter with style,rails and panels of PVC extruded section in wooden finish.</t>
        </is>
      </c>
      <c r="C3509" s="13" t="inlineStr">
        <is>
          <t>sqm</t>
        </is>
      </c>
      <c r="D3509" s="15" t="n">
        <v>2.38</v>
      </c>
      <c r="E3509" s="16" t="n">
        <v>2600</v>
      </c>
      <c r="F3509" s="16">
        <f>D3509*E3509</f>
        <v/>
      </c>
    </row>
    <row r="3510">
      <c r="A3510" s="13" t="inlineStr">
        <is>
          <t>0156</t>
        </is>
      </c>
      <c r="B3510" s="14" t="inlineStr">
        <is>
          <t>Carpenter (average)</t>
        </is>
      </c>
      <c r="C3510" s="13" t="inlineStr">
        <is>
          <t>day</t>
        </is>
      </c>
      <c r="D3510" s="15" t="n">
        <v>0.4</v>
      </c>
      <c r="E3510" s="16" t="n">
        <v>709</v>
      </c>
      <c r="F3510" s="16">
        <f>D3510*E3510</f>
        <v/>
      </c>
    </row>
    <row r="3511">
      <c r="A3511" s="13" t="inlineStr">
        <is>
          <t>0114</t>
        </is>
      </c>
      <c r="B3511" s="14" t="inlineStr">
        <is>
          <t>Beldar</t>
        </is>
      </c>
      <c r="C3511" s="13" t="inlineStr">
        <is>
          <t>day</t>
        </is>
      </c>
      <c r="D3511" s="15" t="n">
        <v>0.4</v>
      </c>
      <c r="E3511" s="16" t="n">
        <v>558</v>
      </c>
      <c r="F3511" s="16">
        <f>D3511*E3511</f>
        <v/>
      </c>
    </row>
    <row r="3512">
      <c r="A3512" s="13" t="inlineStr">
        <is>
          <t>9999</t>
        </is>
      </c>
      <c r="B3512" s="14" t="inlineStr">
        <is>
          <t>Sundries</t>
        </is>
      </c>
      <c r="C3512" s="13" t="inlineStr">
        <is>
          <t>L.S.</t>
        </is>
      </c>
      <c r="D3512" s="15" t="n">
        <v>20.36</v>
      </c>
      <c r="E3512" s="16" t="n">
        <v>2</v>
      </c>
      <c r="F3512" s="16">
        <f>D3512*E3512</f>
        <v/>
      </c>
    </row>
    <row r="3513">
      <c r="A3513" s="17" t="inlineStr">
        <is>
          <t>Resource Total (Material + Labour + Machinery, as printed)</t>
        </is>
      </c>
      <c r="B3513" s="18" t="n"/>
      <c r="C3513" s="18" t="n"/>
      <c r="D3513" s="18" t="n"/>
      <c r="E3513" s="18" t="n"/>
      <c r="F3513" s="19">
        <f>SUM(F3509:F3512)</f>
        <v/>
      </c>
    </row>
    <row r="3514">
      <c r="A3514" s="20" t="inlineStr">
        <is>
          <t>SAY (Rs.) — final DAR rate</t>
        </is>
      </c>
      <c r="B3514" s="21" t="n"/>
      <c r="C3514" s="21" t="n"/>
      <c r="D3514" s="21" t="n"/>
      <c r="E3514" s="21" t="n"/>
      <c r="F3514" s="22" t="n">
        <v>3786.45</v>
      </c>
    </row>
    <row r="3516" ht="28" customHeight="1">
      <c r="A3516" s="9" t="inlineStr">
        <is>
          <t>9.147A.1</t>
        </is>
      </c>
      <c r="B3516" s="10" t="inlineStr">
        <is>
          <t>Casement window single panel with S.S. friction hinges (300 x 19 x 1.9 mm), made of (small series) frame 47 x 50 mm &amp; sash 47 x 68 mm both h</t>
        </is>
      </c>
      <c r="C3516" s="11" t="n"/>
      <c r="D3516" s="11" t="n"/>
      <c r="E3516" s="11" t="n"/>
      <c r="F3516" s="11" t="n"/>
    </row>
    <row r="3517">
      <c r="A3517" s="12" t="inlineStr">
        <is>
          <t>Rate basis: per sqm  (source: cost for 0.68 sqm)</t>
        </is>
      </c>
    </row>
    <row r="3518">
      <c r="A3518" s="5" t="inlineStr">
        <is>
          <t>Code</t>
        </is>
      </c>
      <c r="B3518" s="5" t="inlineStr">
        <is>
          <t>Description</t>
        </is>
      </c>
      <c r="C3518" s="5" t="inlineStr">
        <is>
          <t>Unit</t>
        </is>
      </c>
      <c r="D3518" s="5" t="inlineStr">
        <is>
          <t>Quantity</t>
        </is>
      </c>
      <c r="E3518" s="5" t="inlineStr">
        <is>
          <t>Rate (Rs.)</t>
        </is>
      </c>
      <c r="F3518" s="5" t="inlineStr">
        <is>
          <t>Amount (Rs.)</t>
        </is>
      </c>
    </row>
    <row r="3519">
      <c r="A3519" s="13" t="inlineStr">
        <is>
          <t>8121</t>
        </is>
      </c>
      <c r="B3519" s="14" t="inlineStr">
        <is>
          <t>uPVC extruded (small series) casement window frame size 47x50mm i/c 5% wastage</t>
        </is>
      </c>
      <c r="C3519" s="13" t="inlineStr">
        <is>
          <t>metre</t>
        </is>
      </c>
      <c r="D3519" s="15" t="n">
        <v>3.89</v>
      </c>
      <c r="E3519" s="16" t="n">
        <v>258.3</v>
      </c>
      <c r="F3519" s="16">
        <f>D3519*E3519</f>
        <v/>
      </c>
    </row>
    <row r="3520">
      <c r="A3520" s="13" t="inlineStr">
        <is>
          <t>8122</t>
        </is>
      </c>
      <c r="B3520" s="14" t="inlineStr">
        <is>
          <t>uPVC extruded (small series) casement window sash/window mullion size 47x68 mm i/c 5% wastage</t>
        </is>
      </c>
      <c r="C3520" s="13" t="inlineStr">
        <is>
          <t>metre</t>
        </is>
      </c>
      <c r="D3520" s="15" t="n">
        <v>3.68</v>
      </c>
      <c r="E3520" s="16" t="n">
        <v>282.9</v>
      </c>
      <c r="F3520" s="16">
        <f>D3520*E3520</f>
        <v/>
      </c>
    </row>
    <row r="3521">
      <c r="A3521" s="13" t="inlineStr">
        <is>
          <t>8125</t>
        </is>
      </c>
      <c r="B3521" s="14" t="inlineStr">
        <is>
          <t>uPVC extruded glazing bead of appropriate dimension for small series casement window Sash</t>
        </is>
      </c>
      <c r="C3521" s="13" t="inlineStr">
        <is>
          <t>metre</t>
        </is>
      </c>
      <c r="D3521" s="15" t="n">
        <v>3.49</v>
      </c>
      <c r="E3521" s="16" t="n">
        <v>98.40000000000001</v>
      </c>
      <c r="F3521" s="16">
        <f>D3521*E3521</f>
        <v/>
      </c>
    </row>
    <row r="3522">
      <c r="A3522" s="13" t="inlineStr">
        <is>
          <t>3991</t>
        </is>
      </c>
      <c r="B3522" s="14" t="inlineStr">
        <is>
          <t>Galvanized iron (1.6 ± 0.2 mm) thick reinforcement for small series casement window frame, sash, mullion i/c 5% wastage</t>
        </is>
      </c>
      <c r="C3522" s="13" t="inlineStr">
        <is>
          <t>metre</t>
        </is>
      </c>
      <c r="D3522" s="15" t="n">
        <v>6.97</v>
      </c>
      <c r="E3522" s="16" t="n">
        <v>66</v>
      </c>
      <c r="F3522" s="16">
        <f>D3522*E3522</f>
        <v/>
      </c>
    </row>
    <row r="3523">
      <c r="A3523" s="13" t="inlineStr">
        <is>
          <t>7390</t>
        </is>
      </c>
      <c r="B3523" s="14" t="inlineStr">
        <is>
          <t>EPDM Gasket for uPVC window i/c 5% wastage</t>
        </is>
      </c>
      <c r="C3523" s="13" t="inlineStr">
        <is>
          <t>metre</t>
        </is>
      </c>
      <c r="D3523" s="15" t="n">
        <v>14.55</v>
      </c>
      <c r="E3523" s="16" t="n">
        <v>19</v>
      </c>
      <c r="F3523" s="16">
        <f>D3523*E3523</f>
        <v/>
      </c>
    </row>
    <row r="3524">
      <c r="A3524" s="13" t="inlineStr">
        <is>
          <t>3995</t>
        </is>
      </c>
      <c r="B3524" s="14" t="inlineStr">
        <is>
          <t>G.I fasteners 100 x 8 mm</t>
        </is>
      </c>
      <c r="C3524" s="13" t="inlineStr">
        <is>
          <t>each</t>
        </is>
      </c>
      <c r="D3524" s="15" t="n">
        <v>8</v>
      </c>
      <c r="E3524" s="16" t="n">
        <v>14</v>
      </c>
      <c r="F3524" s="16">
        <f>D3524*E3524</f>
        <v/>
      </c>
    </row>
    <row r="3525">
      <c r="A3525" s="13" t="inlineStr">
        <is>
          <t>8757</t>
        </is>
      </c>
      <c r="B3525" s="14" t="inlineStr">
        <is>
          <t>Stainless steel friction hinges (SS-304 grade) size 300 x 19 x 1.9 mm for uPVC window</t>
        </is>
      </c>
      <c r="C3525" s="13" t="inlineStr">
        <is>
          <t>each</t>
        </is>
      </c>
      <c r="D3525" s="15" t="n">
        <v>2</v>
      </c>
      <c r="E3525" s="16" t="n">
        <v>245</v>
      </c>
      <c r="F3525" s="16">
        <f>D3525*E3525</f>
        <v/>
      </c>
    </row>
    <row r="3526">
      <c r="A3526" s="13" t="inlineStr">
        <is>
          <t>8750</t>
        </is>
      </c>
      <c r="B3526" s="14" t="inlineStr">
        <is>
          <t>Zinc alloy (white powder coated) casement handle for uPVC window</t>
        </is>
      </c>
      <c r="C3526" s="13" t="inlineStr">
        <is>
          <t>each</t>
        </is>
      </c>
      <c r="D3526" s="15" t="n">
        <v>1</v>
      </c>
      <c r="E3526" s="16" t="n">
        <v>130</v>
      </c>
      <c r="F3526" s="16">
        <f>D3526*E3526</f>
        <v/>
      </c>
    </row>
    <row r="3527">
      <c r="A3527" s="13" t="inlineStr">
        <is>
          <t>9999</t>
        </is>
      </c>
      <c r="B3527" s="14" t="inlineStr">
        <is>
          <t>Sundries, plastic packers, plastic caps, SS screws and carriage of material</t>
        </is>
      </c>
      <c r="C3527" s="13" t="inlineStr">
        <is>
          <t>L.S.</t>
        </is>
      </c>
      <c r="D3527" s="15" t="n">
        <v>170</v>
      </c>
      <c r="E3527" s="16" t="n">
        <v>2</v>
      </c>
      <c r="F3527" s="16">
        <f>D3527*E3527</f>
        <v/>
      </c>
    </row>
    <row r="3528">
      <c r="A3528" s="13" t="inlineStr">
        <is>
          <t>0162</t>
        </is>
      </c>
      <c r="B3528" s="14" t="inlineStr">
        <is>
          <t>Labour for fabrication of uPVC extruded casement windows including drilling holes, fixing of fittings &amp; hardwares, hire charges of drill machine and electricity charges etc.</t>
        </is>
      </c>
      <c r="C3528" s="13" t="inlineStr">
        <is>
          <t>sqm</t>
        </is>
      </c>
      <c r="D3528" s="15" t="n">
        <v>0.68</v>
      </c>
      <c r="E3528" s="16" t="n">
        <v>485</v>
      </c>
      <c r="F3528" s="16">
        <f>D3528*E3528</f>
        <v/>
      </c>
    </row>
    <row r="3529">
      <c r="A3529" s="13" t="inlineStr">
        <is>
          <t>0163</t>
        </is>
      </c>
      <c r="B3529" s="14" t="inlineStr">
        <is>
          <t>Labour for installation of uPVC extruded casement windows including scaffolding</t>
        </is>
      </c>
      <c r="C3529" s="13" t="inlineStr">
        <is>
          <t>sqm</t>
        </is>
      </c>
      <c r="D3529" s="15" t="n">
        <v>0.68</v>
      </c>
      <c r="E3529" s="16" t="n">
        <v>430</v>
      </c>
      <c r="F3529" s="16">
        <f>D3529*E3529</f>
        <v/>
      </c>
    </row>
    <row r="3530">
      <c r="A3530" s="17" t="inlineStr">
        <is>
          <t>Resource Total (Material + Labour + Machinery, as printed)</t>
        </is>
      </c>
      <c r="B3530" s="18" t="n"/>
      <c r="C3530" s="18" t="n"/>
      <c r="D3530" s="18" t="n"/>
      <c r="E3530" s="18" t="n"/>
      <c r="F3530" s="19">
        <f>SUM(F3519:F3529)</f>
        <v/>
      </c>
    </row>
    <row r="3531">
      <c r="A3531" s="20" t="inlineStr">
        <is>
          <t>SAY (Rs.) — final DAR rate</t>
        </is>
      </c>
      <c r="B3531" s="21" t="n"/>
      <c r="C3531" s="21" t="n"/>
      <c r="D3531" s="21" t="n"/>
      <c r="E3531" s="21" t="n"/>
      <c r="F3531" s="22" t="n">
        <v>9483.5</v>
      </c>
    </row>
    <row r="3533" ht="28" customHeight="1">
      <c r="A3533" s="9" t="inlineStr">
        <is>
          <t>9.147A.2</t>
        </is>
      </c>
      <c r="B3533" s="10" t="inlineStr">
        <is>
          <t>Casement window double panels with S.S. friction hinges (300 x 19 x 1.9 mm) made of (small series) frame 47 x 50 mm, sash 47 x 68 mm &amp; mulli</t>
        </is>
      </c>
      <c r="C3533" s="11" t="n"/>
      <c r="D3533" s="11" t="n"/>
      <c r="E3533" s="11" t="n"/>
      <c r="F3533" s="11" t="n"/>
    </row>
    <row r="3534">
      <c r="A3534" s="12" t="inlineStr">
        <is>
          <t>Rate basis: per sqm  (source: cost for 1.35 sqm)</t>
        </is>
      </c>
    </row>
    <row r="3535">
      <c r="A3535" s="5" t="inlineStr">
        <is>
          <t>Code</t>
        </is>
      </c>
      <c r="B3535" s="5" t="inlineStr">
        <is>
          <t>Description</t>
        </is>
      </c>
      <c r="C3535" s="5" t="inlineStr">
        <is>
          <t>Unit</t>
        </is>
      </c>
      <c r="D3535" s="5" t="inlineStr">
        <is>
          <t>Quantity</t>
        </is>
      </c>
      <c r="E3535" s="5" t="inlineStr">
        <is>
          <t>Rate (Rs.)</t>
        </is>
      </c>
      <c r="F3535" s="5" t="inlineStr">
        <is>
          <t>Amount (Rs.)</t>
        </is>
      </c>
    </row>
    <row r="3536">
      <c r="A3536" s="13" t="inlineStr">
        <is>
          <t>8121</t>
        </is>
      </c>
      <c r="B3536" s="14" t="inlineStr">
        <is>
          <t>uPVC extruded (small series) casement window frame size 47x50mm i/c 5% wastage</t>
        </is>
      </c>
      <c r="C3536" s="13" t="inlineStr">
        <is>
          <t>metre</t>
        </is>
      </c>
      <c r="D3536" s="15" t="n">
        <v>4.94</v>
      </c>
      <c r="E3536" s="16" t="n">
        <v>258.3</v>
      </c>
      <c r="F3536" s="16">
        <f>D3536*E3536</f>
        <v/>
      </c>
    </row>
    <row r="3537">
      <c r="A3537" s="13" t="inlineStr">
        <is>
          <t>8122</t>
        </is>
      </c>
      <c r="B3537" s="14" t="inlineStr">
        <is>
          <t>uPVC extruded (small series) casement window sash/window Mullion size 47x68 mm i/c 5% wastage</t>
        </is>
      </c>
      <c r="C3537" s="13" t="inlineStr">
        <is>
          <t>metre</t>
        </is>
      </c>
      <c r="D3537" s="15" t="n">
        <v>8.859999999999999</v>
      </c>
      <c r="E3537" s="16" t="n">
        <v>282.9</v>
      </c>
      <c r="F3537" s="16">
        <f>D3537*E3537</f>
        <v/>
      </c>
    </row>
    <row r="3538">
      <c r="A3538" s="13" t="inlineStr">
        <is>
          <t>8125</t>
        </is>
      </c>
      <c r="B3538" s="14" t="inlineStr">
        <is>
          <t>uPVC extruded glazing bead of appropriate dimension for small series casement window Sash i/c 5% wastage</t>
        </is>
      </c>
      <c r="C3538" s="13" t="inlineStr">
        <is>
          <t>metre</t>
        </is>
      </c>
      <c r="D3538" s="15" t="n">
        <v>7.06</v>
      </c>
      <c r="E3538" s="16" t="n">
        <v>98.40000000000001</v>
      </c>
      <c r="F3538" s="16">
        <f>D3538*E3538</f>
        <v/>
      </c>
    </row>
    <row r="3539">
      <c r="A3539" s="13" t="inlineStr">
        <is>
          <t>3991</t>
        </is>
      </c>
      <c r="B3539" s="14" t="inlineStr">
        <is>
          <t>Galvanized iron (1.6 ± 0.2 mm) thick reinforcement for small series casement window frame, sash, mullion i/c 5% wastage</t>
        </is>
      </c>
      <c r="C3539" s="13" t="inlineStr">
        <is>
          <t>metre</t>
        </is>
      </c>
      <c r="D3539" s="15" t="n">
        <v>12.63</v>
      </c>
      <c r="E3539" s="16" t="n">
        <v>66</v>
      </c>
      <c r="F3539" s="16">
        <f>D3539*E3539</f>
        <v/>
      </c>
    </row>
    <row r="3540">
      <c r="A3540" s="13" t="inlineStr">
        <is>
          <t>7390</t>
        </is>
      </c>
      <c r="B3540" s="14" t="inlineStr">
        <is>
          <t>EPDM Gasket for uPVC window i/c 5% wastage</t>
        </is>
      </c>
      <c r="C3540" s="13" t="inlineStr">
        <is>
          <t>metre</t>
        </is>
      </c>
      <c r="D3540" s="15" t="n">
        <v>27.91</v>
      </c>
      <c r="E3540" s="16" t="n">
        <v>19</v>
      </c>
      <c r="F3540" s="16">
        <f>D3540*E3540</f>
        <v/>
      </c>
    </row>
    <row r="3541">
      <c r="A3541" s="13" t="inlineStr">
        <is>
          <t>3995</t>
        </is>
      </c>
      <c r="B3541" s="14" t="inlineStr">
        <is>
          <t>G.I fasteners 100 x 8 mm</t>
        </is>
      </c>
      <c r="C3541" s="13" t="inlineStr">
        <is>
          <t>each</t>
        </is>
      </c>
      <c r="D3541" s="15" t="n">
        <v>10</v>
      </c>
      <c r="E3541" s="16" t="n">
        <v>14</v>
      </c>
      <c r="F3541" s="16">
        <f>D3541*E3541</f>
        <v/>
      </c>
    </row>
    <row r="3542">
      <c r="A3542" s="13" t="inlineStr">
        <is>
          <t>8757</t>
        </is>
      </c>
      <c r="B3542" s="14" t="inlineStr">
        <is>
          <t>Stainless steel friction hinges (SS-304 grade) size 300 x 19 x 1.9 mm for uPVC window</t>
        </is>
      </c>
      <c r="C3542" s="13" t="inlineStr">
        <is>
          <t>each</t>
        </is>
      </c>
      <c r="D3542" s="15" t="n">
        <v>4</v>
      </c>
      <c r="E3542" s="16" t="n">
        <v>245</v>
      </c>
      <c r="F3542" s="16">
        <f>D3542*E3542</f>
        <v/>
      </c>
    </row>
    <row r="3543">
      <c r="A3543" s="13" t="inlineStr">
        <is>
          <t>8750</t>
        </is>
      </c>
      <c r="B3543" s="14" t="inlineStr">
        <is>
          <t>Zinc alloy (white powder coated) casement handle for uPVC window</t>
        </is>
      </c>
      <c r="C3543" s="13" t="inlineStr">
        <is>
          <t>each</t>
        </is>
      </c>
      <c r="D3543" s="15" t="n">
        <v>2</v>
      </c>
      <c r="E3543" s="16" t="n">
        <v>130</v>
      </c>
      <c r="F3543" s="16">
        <f>D3543*E3543</f>
        <v/>
      </c>
    </row>
    <row r="3544">
      <c r="A3544" s="13" t="inlineStr">
        <is>
          <t>9999</t>
        </is>
      </c>
      <c r="B3544" s="14" t="inlineStr">
        <is>
          <t>Sundries, plastic packers, plastic caps, SS screws and carriage of material</t>
        </is>
      </c>
      <c r="C3544" s="13" t="inlineStr">
        <is>
          <t>L.S.</t>
        </is>
      </c>
      <c r="D3544" s="15" t="n">
        <v>170</v>
      </c>
      <c r="E3544" s="16" t="n">
        <v>2</v>
      </c>
      <c r="F3544" s="16">
        <f>D3544*E3544</f>
        <v/>
      </c>
    </row>
    <row r="3545">
      <c r="A3545" s="13" t="inlineStr">
        <is>
          <t>0162</t>
        </is>
      </c>
      <c r="B3545" s="14" t="inlineStr">
        <is>
          <t>Labour for fabrication of uPVC extruded casement windows including drilling holes, fixing of fittings &amp; hardwares, hire charges of drill machine and electricity charges etc.</t>
        </is>
      </c>
      <c r="C3545" s="13" t="inlineStr">
        <is>
          <t>sqm</t>
        </is>
      </c>
      <c r="D3545" s="15" t="n">
        <v>1.35</v>
      </c>
      <c r="E3545" s="16" t="n">
        <v>485</v>
      </c>
      <c r="F3545" s="16">
        <f>D3545*E3545</f>
        <v/>
      </c>
    </row>
    <row r="3546">
      <c r="A3546" s="13" t="inlineStr">
        <is>
          <t>0163</t>
        </is>
      </c>
      <c r="B3546" s="14" t="inlineStr">
        <is>
          <t>Labour for installation of uPVC extruded casement windows including scaffolding</t>
        </is>
      </c>
      <c r="C3546" s="13" t="inlineStr">
        <is>
          <t>sqm</t>
        </is>
      </c>
      <c r="D3546" s="15" t="n">
        <v>1.35</v>
      </c>
      <c r="E3546" s="16" t="n">
        <v>430</v>
      </c>
      <c r="F3546" s="16">
        <f>D3546*E3546</f>
        <v/>
      </c>
    </row>
    <row r="3547">
      <c r="A3547" s="17" t="inlineStr">
        <is>
          <t>Resource Total (Material + Labour + Machinery, as printed)</t>
        </is>
      </c>
      <c r="B3547" s="18" t="n"/>
      <c r="C3547" s="18" t="n"/>
      <c r="D3547" s="18" t="n"/>
      <c r="E3547" s="18" t="n"/>
      <c r="F3547" s="19">
        <f>SUM(F3536:F3546)</f>
        <v/>
      </c>
    </row>
    <row r="3548">
      <c r="A3548" s="20" t="inlineStr">
        <is>
          <t>SAY (Rs.) — final DAR rate</t>
        </is>
      </c>
      <c r="B3548" s="21" t="n"/>
      <c r="C3548" s="21" t="n"/>
      <c r="D3548" s="21" t="n"/>
      <c r="E3548" s="21" t="n"/>
      <c r="F3548" s="22" t="n">
        <v>8717.700000000001</v>
      </c>
    </row>
    <row r="3550" ht="28" customHeight="1">
      <c r="A3550" s="9" t="inlineStr">
        <is>
          <t>9.147A.3</t>
        </is>
      </c>
      <c r="B3550" s="10" t="inlineStr">
        <is>
          <t xml:space="preserve">Casement window double panels with top fixed with S.S. friction hinges (350 x 19 x 1.9 mm) made of (small series) frame 47 x 50 mm, sash 47 </t>
        </is>
      </c>
      <c r="C3550" s="11" t="n"/>
      <c r="D3550" s="11" t="n"/>
      <c r="E3550" s="11" t="n"/>
      <c r="F3550" s="11" t="n"/>
    </row>
    <row r="3551">
      <c r="A3551" s="12" t="inlineStr">
        <is>
          <t>Rate basis: per sqm  (source: cost for 2.16 sqm)</t>
        </is>
      </c>
    </row>
    <row r="3552">
      <c r="A3552" s="5" t="inlineStr">
        <is>
          <t>Code</t>
        </is>
      </c>
      <c r="B3552" s="5" t="inlineStr">
        <is>
          <t>Description</t>
        </is>
      </c>
      <c r="C3552" s="5" t="inlineStr">
        <is>
          <t>Unit</t>
        </is>
      </c>
      <c r="D3552" s="5" t="inlineStr">
        <is>
          <t>Quantity</t>
        </is>
      </c>
      <c r="E3552" s="5" t="inlineStr">
        <is>
          <t>Rate (Rs.)</t>
        </is>
      </c>
      <c r="F3552" s="5" t="inlineStr">
        <is>
          <t>Amount (Rs.)</t>
        </is>
      </c>
    </row>
    <row r="3553">
      <c r="A3553" s="13" t="inlineStr">
        <is>
          <t>8121</t>
        </is>
      </c>
      <c r="B3553" s="14" t="inlineStr">
        <is>
          <t>uPVC extruded (small series) casement window frame size 47x50mm i/c 5% wastage</t>
        </is>
      </c>
      <c r="C3553" s="13" t="inlineStr">
        <is>
          <t>metre</t>
        </is>
      </c>
      <c r="D3553" s="15" t="n">
        <v>6.3</v>
      </c>
      <c r="E3553" s="16" t="n">
        <v>258.3</v>
      </c>
      <c r="F3553" s="16">
        <f>D3553*E3553</f>
        <v/>
      </c>
    </row>
    <row r="3554">
      <c r="A3554" s="13" t="inlineStr">
        <is>
          <t>8122</t>
        </is>
      </c>
      <c r="B3554" s="14" t="inlineStr">
        <is>
          <t>uPVC extruded (small series) casement window sash/window Mullion size 47x68mm i/c 5% wastage</t>
        </is>
      </c>
      <c r="C3554" s="13" t="inlineStr">
        <is>
          <t>metre</t>
        </is>
      </c>
      <c r="D3554" s="15" t="n">
        <v>9.800000000000001</v>
      </c>
      <c r="E3554" s="16" t="n">
        <v>282.9</v>
      </c>
      <c r="F3554" s="16">
        <f>D3554*E3554</f>
        <v/>
      </c>
    </row>
    <row r="3555">
      <c r="A3555" s="13" t="inlineStr">
        <is>
          <t>8125</t>
        </is>
      </c>
      <c r="B3555" s="14" t="inlineStr">
        <is>
          <t>uPVC extruded glazing bead of appropriate dimension for small series casement window Sash i/c 5% wastage</t>
        </is>
      </c>
      <c r="C3555" s="13" t="inlineStr">
        <is>
          <t>metre</t>
        </is>
      </c>
      <c r="D3555" s="15" t="n">
        <v>10.62</v>
      </c>
      <c r="E3555" s="16" t="n">
        <v>98.40000000000001</v>
      </c>
      <c r="F3555" s="16">
        <f>D3555*E3555</f>
        <v/>
      </c>
    </row>
    <row r="3556">
      <c r="A3556" s="13" t="inlineStr">
        <is>
          <t>3991</t>
        </is>
      </c>
      <c r="B3556" s="14" t="inlineStr">
        <is>
          <t>Galvanized iron (1.6 ± 0.2 mm) thick reinforcement for small series casement window frame, sash, mullion i/c 5% wastage</t>
        </is>
      </c>
      <c r="C3556" s="13" t="inlineStr">
        <is>
          <t>metre</t>
        </is>
      </c>
      <c r="D3556" s="15" t="n">
        <v>15.05</v>
      </c>
      <c r="E3556" s="16" t="n">
        <v>66</v>
      </c>
      <c r="F3556" s="16">
        <f>D3556*E3556</f>
        <v/>
      </c>
    </row>
    <row r="3557">
      <c r="A3557" s="13" t="inlineStr">
        <is>
          <t>7390</t>
        </is>
      </c>
      <c r="B3557" s="14" t="inlineStr">
        <is>
          <t>EPDM Gasket for uPVC window i/c 5% wastage</t>
        </is>
      </c>
      <c r="C3557" s="13" t="inlineStr">
        <is>
          <t>metre</t>
        </is>
      </c>
      <c r="D3557" s="15" t="n">
        <v>37.34</v>
      </c>
      <c r="E3557" s="16" t="n">
        <v>19</v>
      </c>
      <c r="F3557" s="16">
        <f>D3557*E3557</f>
        <v/>
      </c>
    </row>
    <row r="3558">
      <c r="A3558" s="13" t="inlineStr">
        <is>
          <t>3995</t>
        </is>
      </c>
      <c r="B3558" s="14" t="inlineStr">
        <is>
          <t>G.I fasteners 100 x 8 mm</t>
        </is>
      </c>
      <c r="C3558" s="13" t="inlineStr">
        <is>
          <t>each</t>
        </is>
      </c>
      <c r="D3558" s="15" t="n">
        <v>12</v>
      </c>
      <c r="E3558" s="16" t="n">
        <v>14</v>
      </c>
      <c r="F3558" s="16">
        <f>D3558*E3558</f>
        <v/>
      </c>
    </row>
    <row r="3559">
      <c r="A3559" s="13" t="inlineStr">
        <is>
          <t>8758</t>
        </is>
      </c>
      <c r="B3559" s="14" t="inlineStr">
        <is>
          <t>Stainless steel friction hinges (SS-304 grade) size 350 x 19 x 1.9 mm for uPVC window</t>
        </is>
      </c>
      <c r="C3559" s="13" t="inlineStr">
        <is>
          <t>each</t>
        </is>
      </c>
      <c r="D3559" s="15" t="n">
        <v>4</v>
      </c>
      <c r="E3559" s="16" t="n">
        <v>345</v>
      </c>
      <c r="F3559" s="16">
        <f>D3559*E3559</f>
        <v/>
      </c>
    </row>
    <row r="3560">
      <c r="A3560" s="13" t="inlineStr">
        <is>
          <t>8750</t>
        </is>
      </c>
      <c r="B3560" s="14" t="inlineStr">
        <is>
          <t>Zinc alloy (white powder coated) casement handle for uPVC window</t>
        </is>
      </c>
      <c r="C3560" s="13" t="inlineStr">
        <is>
          <t>each</t>
        </is>
      </c>
      <c r="D3560" s="15" t="n">
        <v>2</v>
      </c>
      <c r="E3560" s="16" t="n">
        <v>130</v>
      </c>
      <c r="F3560" s="16">
        <f>D3560*E3560</f>
        <v/>
      </c>
    </row>
    <row r="3561">
      <c r="A3561" s="13" t="inlineStr">
        <is>
          <t>0162</t>
        </is>
      </c>
      <c r="B3561" s="14" t="inlineStr">
        <is>
          <t>Labour for fabrication of uPVC extruded casement windows including drilling holes, fixing of fittings &amp; hardwares, hire charges of drill machine and electricity charges etc.</t>
        </is>
      </c>
      <c r="C3561" s="13" t="inlineStr">
        <is>
          <t>sqm</t>
        </is>
      </c>
      <c r="D3561" s="15" t="n">
        <v>2.16</v>
      </c>
      <c r="E3561" s="16" t="n">
        <v>485</v>
      </c>
      <c r="F3561" s="16">
        <f>D3561*E3561</f>
        <v/>
      </c>
    </row>
    <row r="3562">
      <c r="A3562" s="13" t="inlineStr">
        <is>
          <t>0163</t>
        </is>
      </c>
      <c r="B3562" s="14" t="inlineStr">
        <is>
          <t>Labour for installation of uPVC extruded casement windows including scaffolding</t>
        </is>
      </c>
      <c r="C3562" s="13" t="inlineStr">
        <is>
          <t>sqm</t>
        </is>
      </c>
      <c r="D3562" s="15" t="n">
        <v>2.16</v>
      </c>
      <c r="E3562" s="16" t="n">
        <v>430</v>
      </c>
      <c r="F3562" s="16">
        <f>D3562*E3562</f>
        <v/>
      </c>
    </row>
    <row r="3563">
      <c r="A3563" s="17" t="inlineStr">
        <is>
          <t>Resource Total (Material + Labour + Machinery, as printed)</t>
        </is>
      </c>
      <c r="B3563" s="18" t="n"/>
      <c r="C3563" s="18" t="n"/>
      <c r="D3563" s="18" t="n"/>
      <c r="E3563" s="18" t="n"/>
      <c r="F3563" s="19">
        <f>SUM(F3553:F3562)</f>
        <v/>
      </c>
    </row>
    <row r="3564">
      <c r="A3564" s="20" t="inlineStr">
        <is>
          <t>SAY (Rs.) — final DAR rate</t>
        </is>
      </c>
      <c r="B3564" s="21" t="n"/>
      <c r="C3564" s="21" t="n"/>
      <c r="D3564" s="21" t="n"/>
      <c r="E3564" s="21" t="n"/>
      <c r="F3564" s="22" t="n">
        <v>6982</v>
      </c>
    </row>
    <row r="3566" ht="28" customHeight="1">
      <c r="A3566" s="9" t="inlineStr">
        <is>
          <t>9.147A.4</t>
        </is>
      </c>
      <c r="B3566" s="10" t="inlineStr">
        <is>
          <t>Casement window single panel with S.S. friction hinges (400 x 19 x 1.9 mm) made of (big series)frame 67 x 60 mm &amp; sash 67 x 80 mm both havin</t>
        </is>
      </c>
      <c r="C3566" s="11" t="n"/>
      <c r="D3566" s="11" t="n"/>
      <c r="E3566" s="11" t="n"/>
      <c r="F3566" s="11" t="n"/>
    </row>
    <row r="3567">
      <c r="A3567" s="12" t="inlineStr">
        <is>
          <t>Rate basis: per sqm  (source: cost for 0.95 sqm)</t>
        </is>
      </c>
    </row>
    <row r="3568">
      <c r="A3568" s="5" t="inlineStr">
        <is>
          <t>Code</t>
        </is>
      </c>
      <c r="B3568" s="5" t="inlineStr">
        <is>
          <t>Description</t>
        </is>
      </c>
      <c r="C3568" s="5" t="inlineStr">
        <is>
          <t>Unit</t>
        </is>
      </c>
      <c r="D3568" s="5" t="inlineStr">
        <is>
          <t>Quantity</t>
        </is>
      </c>
      <c r="E3568" s="5" t="inlineStr">
        <is>
          <t>Rate (Rs.)</t>
        </is>
      </c>
      <c r="F3568" s="5" t="inlineStr">
        <is>
          <t>Amount (Rs.)</t>
        </is>
      </c>
    </row>
    <row r="3569">
      <c r="A3569" s="13" t="inlineStr">
        <is>
          <t>8126</t>
        </is>
      </c>
      <c r="B3569" s="14" t="inlineStr">
        <is>
          <t>uPVC extruded (big series) casement window frame size 67x60 mm i/c 5% wastage</t>
        </is>
      </c>
      <c r="C3569" s="13" t="inlineStr">
        <is>
          <t>metre</t>
        </is>
      </c>
      <c r="D3569" s="15" t="n">
        <v>4.31</v>
      </c>
      <c r="E3569" s="16" t="n">
        <v>319.8</v>
      </c>
      <c r="F3569" s="16">
        <f>D3569*E3569</f>
        <v/>
      </c>
    </row>
    <row r="3570">
      <c r="A3570" s="13" t="inlineStr">
        <is>
          <t>8128</t>
        </is>
      </c>
      <c r="B3570" s="14" t="inlineStr">
        <is>
          <t>uPVC extruded (big series) casement window sash/window mullion size 67x80 mm i/c 5% wastage</t>
        </is>
      </c>
      <c r="C3570" s="13" t="inlineStr">
        <is>
          <t>metre</t>
        </is>
      </c>
      <c r="D3570" s="15" t="n">
        <v>4.02</v>
      </c>
      <c r="E3570" s="16" t="n">
        <v>426.4</v>
      </c>
      <c r="F3570" s="16">
        <f>D3570*E3570</f>
        <v/>
      </c>
    </row>
    <row r="3571">
      <c r="A3571" s="13" t="inlineStr">
        <is>
          <t>8130</t>
        </is>
      </c>
      <c r="B3571" s="14" t="inlineStr">
        <is>
          <t>uPVC extruded glazing bead of appropriate dimension for big series casement window sash i/c 5% wastage</t>
        </is>
      </c>
      <c r="C3571" s="13" t="inlineStr">
        <is>
          <t>metre</t>
        </is>
      </c>
      <c r="D3571" s="15" t="n">
        <v>3.83</v>
      </c>
      <c r="E3571" s="16" t="n">
        <v>123</v>
      </c>
      <c r="F3571" s="16">
        <f>D3571*E3571</f>
        <v/>
      </c>
    </row>
    <row r="3572">
      <c r="A3572" s="13" t="inlineStr">
        <is>
          <t>3992</t>
        </is>
      </c>
      <c r="B3572" s="14" t="inlineStr">
        <is>
          <t>Galvanized iron (1.6 ± 0.2 mm) thick reinforcement for big series casement window frame, sash, mullion, i/c 5% wastage</t>
        </is>
      </c>
      <c r="C3572" s="13" t="inlineStr">
        <is>
          <t>metre</t>
        </is>
      </c>
      <c r="D3572" s="15" t="n">
        <v>7.73</v>
      </c>
      <c r="E3572" s="16" t="n">
        <v>71</v>
      </c>
      <c r="F3572" s="16">
        <f>D3572*E3572</f>
        <v/>
      </c>
    </row>
    <row r="3573">
      <c r="A3573" s="13" t="inlineStr">
        <is>
          <t>7390</t>
        </is>
      </c>
      <c r="B3573" s="14" t="inlineStr">
        <is>
          <t>EPDM Gasket for uPVC window i/c 5% wastage</t>
        </is>
      </c>
      <c r="C3573" s="13" t="inlineStr">
        <is>
          <t>metre</t>
        </is>
      </c>
      <c r="D3573" s="15" t="n">
        <v>15.99</v>
      </c>
      <c r="E3573" s="16" t="n">
        <v>19</v>
      </c>
      <c r="F3573" s="16">
        <f>D3573*E3573</f>
        <v/>
      </c>
    </row>
    <row r="3574">
      <c r="A3574" s="13" t="inlineStr">
        <is>
          <t>3995</t>
        </is>
      </c>
      <c r="B3574" s="14" t="inlineStr">
        <is>
          <t>G.I fasteners 100 x 8 mm</t>
        </is>
      </c>
      <c r="C3574" s="13" t="inlineStr">
        <is>
          <t>each</t>
        </is>
      </c>
      <c r="D3574" s="15" t="n">
        <v>10</v>
      </c>
      <c r="E3574" s="16" t="n">
        <v>14</v>
      </c>
      <c r="F3574" s="16">
        <f>D3574*E3574</f>
        <v/>
      </c>
    </row>
    <row r="3575">
      <c r="A3575" s="13" t="inlineStr">
        <is>
          <t>8759</t>
        </is>
      </c>
      <c r="B3575" s="14" t="inlineStr">
        <is>
          <t>Stainless steel friction hinges (SS-304 grade) size 400 x 19 x 1.9 mm for uPVC window</t>
        </is>
      </c>
      <c r="C3575" s="13" t="inlineStr">
        <is>
          <t>each</t>
        </is>
      </c>
      <c r="D3575" s="15" t="n">
        <v>2</v>
      </c>
      <c r="E3575" s="16" t="n">
        <v>365</v>
      </c>
      <c r="F3575" s="16">
        <f>D3575*E3575</f>
        <v/>
      </c>
    </row>
    <row r="3576">
      <c r="A3576" s="13" t="inlineStr">
        <is>
          <t>8750</t>
        </is>
      </c>
      <c r="B3576" s="14" t="inlineStr">
        <is>
          <t>Zinc alloy (white powder coated) casement handle for uPVC window</t>
        </is>
      </c>
      <c r="C3576" s="13" t="inlineStr">
        <is>
          <t>each</t>
        </is>
      </c>
      <c r="D3576" s="15" t="n">
        <v>1</v>
      </c>
      <c r="E3576" s="16" t="n">
        <v>130</v>
      </c>
      <c r="F3576" s="16">
        <f>D3576*E3576</f>
        <v/>
      </c>
    </row>
    <row r="3577">
      <c r="A3577" s="13" t="inlineStr">
        <is>
          <t>0162</t>
        </is>
      </c>
      <c r="B3577" s="14" t="inlineStr">
        <is>
          <t>Labour for fabrication of uPVC extruded casement windows including drilling holes, fixing of fittings &amp; hardwares, hire charges of drill machine and electricity charges etc.</t>
        </is>
      </c>
      <c r="C3577" s="13" t="inlineStr">
        <is>
          <t>sqm</t>
        </is>
      </c>
      <c r="D3577" s="15" t="n">
        <v>0.95</v>
      </c>
      <c r="E3577" s="16" t="n">
        <v>485</v>
      </c>
      <c r="F3577" s="16">
        <f>D3577*E3577</f>
        <v/>
      </c>
    </row>
    <row r="3578">
      <c r="A3578" s="13" t="inlineStr">
        <is>
          <t>0163</t>
        </is>
      </c>
      <c r="B3578" s="14" t="inlineStr">
        <is>
          <t>Labour for installation of uPVC extruded casement windows including scaffolding</t>
        </is>
      </c>
      <c r="C3578" s="13" t="inlineStr">
        <is>
          <t>sqm</t>
        </is>
      </c>
      <c r="D3578" s="15" t="n">
        <v>0.95</v>
      </c>
      <c r="E3578" s="16" t="n">
        <v>430</v>
      </c>
      <c r="F3578" s="16">
        <f>D3578*E3578</f>
        <v/>
      </c>
    </row>
    <row r="3579">
      <c r="A3579" s="17" t="inlineStr">
        <is>
          <t>Resource Total (Material + Labour + Machinery, as printed)</t>
        </is>
      </c>
      <c r="B3579" s="18" t="n"/>
      <c r="C3579" s="18" t="n"/>
      <c r="D3579" s="18" t="n"/>
      <c r="E3579" s="18" t="n"/>
      <c r="F3579" s="19">
        <f>SUM(F3569:F3578)</f>
        <v/>
      </c>
    </row>
    <row r="3580">
      <c r="A3580" s="20" t="inlineStr">
        <is>
          <t>SAY (Rs.) — final DAR rate</t>
        </is>
      </c>
      <c r="B3580" s="21" t="n"/>
      <c r="C3580" s="21" t="n"/>
      <c r="D3580" s="21" t="n"/>
      <c r="E3580" s="21" t="n"/>
      <c r="F3580" s="22" t="n">
        <v>9331</v>
      </c>
    </row>
    <row r="3582" ht="28" customHeight="1">
      <c r="A3582" s="9" t="inlineStr">
        <is>
          <t>9.147A.5</t>
        </is>
      </c>
      <c r="B3582" s="10" t="inlineStr">
        <is>
          <t>Casement window double panels with S.S. friction hinges (350 x 19 x 1.9 mm) made of (big series)frame 67 x 60 mm &amp; sash / mullion 67 x 80 mm</t>
        </is>
      </c>
      <c r="C3582" s="11" t="n"/>
      <c r="D3582" s="11" t="n"/>
      <c r="E3582" s="11" t="n"/>
      <c r="F3582" s="11" t="n"/>
    </row>
    <row r="3583">
      <c r="A3583" s="12" t="inlineStr">
        <is>
          <t>Rate basis: per sqm  (source: cost for 1.62 sqm)</t>
        </is>
      </c>
    </row>
    <row r="3584">
      <c r="A3584" s="5" t="inlineStr">
        <is>
          <t>Code</t>
        </is>
      </c>
      <c r="B3584" s="5" t="inlineStr">
        <is>
          <t>Description</t>
        </is>
      </c>
      <c r="C3584" s="5" t="inlineStr">
        <is>
          <t>Unit</t>
        </is>
      </c>
      <c r="D3584" s="5" t="inlineStr">
        <is>
          <t>Quantity</t>
        </is>
      </c>
      <c r="E3584" s="5" t="inlineStr">
        <is>
          <t>Rate (Rs.)</t>
        </is>
      </c>
      <c r="F3584" s="5" t="inlineStr">
        <is>
          <t>Amount (Rs.)</t>
        </is>
      </c>
    </row>
    <row r="3585">
      <c r="A3585" s="13" t="inlineStr">
        <is>
          <t>8126</t>
        </is>
      </c>
      <c r="B3585" s="14" t="inlineStr">
        <is>
          <t>uPVC extruded (big series) casement window frame size 67x60 mm i/c 5% wastage</t>
        </is>
      </c>
      <c r="C3585" s="13" t="inlineStr">
        <is>
          <t>metre</t>
        </is>
      </c>
      <c r="D3585" s="15" t="n">
        <v>5.36</v>
      </c>
      <c r="E3585" s="16" t="n">
        <v>319.8</v>
      </c>
      <c r="F3585" s="16">
        <f>D3585*E3585</f>
        <v/>
      </c>
    </row>
    <row r="3586">
      <c r="A3586" s="13" t="inlineStr">
        <is>
          <t>8128</t>
        </is>
      </c>
      <c r="B3586" s="14" t="inlineStr">
        <is>
          <t>uPVC extruded (big series) casement window sash/window mullion size 67x80 mm i/c 5% wastage</t>
        </is>
      </c>
      <c r="C3586" s="13" t="inlineStr">
        <is>
          <t>metre</t>
        </is>
      </c>
      <c r="D3586" s="15" t="n">
        <v>9.130000000000001</v>
      </c>
      <c r="E3586" s="16" t="n">
        <v>426.4</v>
      </c>
      <c r="F3586" s="16">
        <f>D3586*E3586</f>
        <v/>
      </c>
    </row>
    <row r="3587">
      <c r="A3587" s="13" t="inlineStr">
        <is>
          <t>8130</t>
        </is>
      </c>
      <c r="B3587" s="14" t="inlineStr">
        <is>
          <t>uPVC extruded glazing bead of appropriate dimension for big series casement window sash i/c 5% wastage</t>
        </is>
      </c>
      <c r="C3587" s="13" t="inlineStr">
        <is>
          <t>metre</t>
        </is>
      </c>
      <c r="D3587" s="15" t="n">
        <v>7.34</v>
      </c>
      <c r="E3587" s="16" t="n">
        <v>123</v>
      </c>
      <c r="F3587" s="16">
        <f>D3587*E3587</f>
        <v/>
      </c>
    </row>
    <row r="3588">
      <c r="A3588" s="13" t="inlineStr">
        <is>
          <t>3992</t>
        </is>
      </c>
      <c r="B3588" s="14" t="inlineStr">
        <is>
          <t>Galvanized iron (1.6 ± 0.2 mm) thick reinforcement for big series casement window frame, sash, mullion i/c 5% wastage</t>
        </is>
      </c>
      <c r="C3588" s="13" t="inlineStr">
        <is>
          <t>metre</t>
        </is>
      </c>
      <c r="D3588" s="15" t="n">
        <v>13.83</v>
      </c>
      <c r="E3588" s="16" t="n">
        <v>71</v>
      </c>
      <c r="F3588" s="16">
        <f>D3588*E3588</f>
        <v/>
      </c>
    </row>
    <row r="3589">
      <c r="A3589" s="13" t="inlineStr">
        <is>
          <t>7390</t>
        </is>
      </c>
      <c r="B3589" s="14" t="inlineStr">
        <is>
          <t>EPDM Gasket for uPVC window i/c 5% wastage</t>
        </is>
      </c>
      <c r="C3589" s="13" t="inlineStr">
        <is>
          <t>metre</t>
        </is>
      </c>
      <c r="D3589" s="15" t="n">
        <v>30.62</v>
      </c>
      <c r="E3589" s="16" t="n">
        <v>19</v>
      </c>
      <c r="F3589" s="16">
        <f>D3589*E3589</f>
        <v/>
      </c>
    </row>
    <row r="3590">
      <c r="A3590" s="13" t="inlineStr">
        <is>
          <t>3995</t>
        </is>
      </c>
      <c r="B3590" s="14" t="inlineStr">
        <is>
          <t>G.I fasteners 100 x 8 mm</t>
        </is>
      </c>
      <c r="C3590" s="13" t="inlineStr">
        <is>
          <t>each</t>
        </is>
      </c>
      <c r="D3590" s="15" t="n">
        <v>12</v>
      </c>
      <c r="E3590" s="16" t="n">
        <v>14</v>
      </c>
      <c r="F3590" s="16">
        <f>D3590*E3590</f>
        <v/>
      </c>
    </row>
    <row r="3591">
      <c r="A3591" s="13" t="inlineStr">
        <is>
          <t>8758</t>
        </is>
      </c>
      <c r="B3591" s="14" t="inlineStr">
        <is>
          <t>Stainless steel friction hinges (SS-304 grade) size 350 x 19 x 1.9 mm for uPVC window</t>
        </is>
      </c>
      <c r="C3591" s="13" t="inlineStr">
        <is>
          <t>each</t>
        </is>
      </c>
      <c r="D3591" s="15" t="n">
        <v>4</v>
      </c>
      <c r="E3591" s="16" t="n">
        <v>345</v>
      </c>
      <c r="F3591" s="16">
        <f>D3591*E3591</f>
        <v/>
      </c>
    </row>
    <row r="3592">
      <c r="A3592" s="13" t="inlineStr">
        <is>
          <t>8750</t>
        </is>
      </c>
      <c r="B3592" s="14" t="inlineStr">
        <is>
          <t>Zinc alloy (white powder coated) casement handle for uPVC window</t>
        </is>
      </c>
      <c r="C3592" s="13" t="inlineStr">
        <is>
          <t>each</t>
        </is>
      </c>
      <c r="D3592" s="15" t="n">
        <v>2</v>
      </c>
      <c r="E3592" s="16" t="n">
        <v>130</v>
      </c>
      <c r="F3592" s="16">
        <f>D3592*E3592</f>
        <v/>
      </c>
    </row>
    <row r="3593">
      <c r="A3593" s="13" t="inlineStr">
        <is>
          <t>0162</t>
        </is>
      </c>
      <c r="B3593" s="14" t="inlineStr">
        <is>
          <t>Labour for fabrication of uPVC extruded casement windows including drilling holes, fixing of fittings &amp; hardwares, hire charges of drill machine and electricity charges etc.</t>
        </is>
      </c>
      <c r="C3593" s="13" t="inlineStr">
        <is>
          <t>sqm</t>
        </is>
      </c>
      <c r="D3593" s="15" t="n">
        <v>1.62</v>
      </c>
      <c r="E3593" s="16" t="n">
        <v>485</v>
      </c>
      <c r="F3593" s="16">
        <f>D3593*E3593</f>
        <v/>
      </c>
    </row>
    <row r="3594">
      <c r="A3594" s="13" t="inlineStr">
        <is>
          <t>0163</t>
        </is>
      </c>
      <c r="B3594" s="14" t="inlineStr">
        <is>
          <t>Labour for installation of uPVC extruded casement windows including scaffolding</t>
        </is>
      </c>
      <c r="C3594" s="13" t="inlineStr">
        <is>
          <t>sqm</t>
        </is>
      </c>
      <c r="D3594" s="15" t="n">
        <v>1.62</v>
      </c>
      <c r="E3594" s="16" t="n">
        <v>430</v>
      </c>
      <c r="F3594" s="16">
        <f>D3594*E3594</f>
        <v/>
      </c>
    </row>
    <row r="3595">
      <c r="A3595" s="17" t="inlineStr">
        <is>
          <t>Resource Total (Material + Labour + Machinery, as printed)</t>
        </is>
      </c>
      <c r="B3595" s="18" t="n"/>
      <c r="C3595" s="18" t="n"/>
      <c r="D3595" s="18" t="n"/>
      <c r="E3595" s="18" t="n"/>
      <c r="F3595" s="19">
        <f>SUM(F3585:F3594)</f>
        <v/>
      </c>
    </row>
    <row r="3596">
      <c r="A3596" s="20" t="inlineStr">
        <is>
          <t>SAY (Rs.) — final DAR rate</t>
        </is>
      </c>
      <c r="B3596" s="21" t="n"/>
      <c r="C3596" s="21" t="n"/>
      <c r="D3596" s="21" t="n"/>
      <c r="E3596" s="21" t="n"/>
      <c r="F3596" s="22" t="n">
        <v>9666.200000000001</v>
      </c>
    </row>
    <row r="3598" ht="28" customHeight="1">
      <c r="A3598" s="9" t="inlineStr">
        <is>
          <t>9.147A.6</t>
        </is>
      </c>
      <c r="B3598" s="10" t="inlineStr">
        <is>
          <t>Casement cum fixed panel window having both end single casement panel, middle fixed panels and at top completely fixed ventilator with S.S f</t>
        </is>
      </c>
      <c r="C3598" s="11" t="n"/>
      <c r="D3598" s="11" t="n"/>
      <c r="E3598" s="11" t="n"/>
      <c r="F3598" s="11" t="n"/>
    </row>
    <row r="3599">
      <c r="A3599" s="12" t="inlineStr">
        <is>
          <t>Rate basis: per sqm  (source: cost for 4 sqm)</t>
        </is>
      </c>
    </row>
    <row r="3600">
      <c r="A3600" s="5" t="inlineStr">
        <is>
          <t>Code</t>
        </is>
      </c>
      <c r="B3600" s="5" t="inlineStr">
        <is>
          <t>Description</t>
        </is>
      </c>
      <c r="C3600" s="5" t="inlineStr">
        <is>
          <t>Unit</t>
        </is>
      </c>
      <c r="D3600" s="5" t="inlineStr">
        <is>
          <t>Quantity</t>
        </is>
      </c>
      <c r="E3600" s="5" t="inlineStr">
        <is>
          <t>Rate (Rs.)</t>
        </is>
      </c>
      <c r="F3600" s="5" t="inlineStr">
        <is>
          <t>Amount (Rs.)</t>
        </is>
      </c>
    </row>
    <row r="3601">
      <c r="A3601" s="13" t="inlineStr">
        <is>
          <t>8126</t>
        </is>
      </c>
      <c r="B3601" s="14" t="inlineStr">
        <is>
          <t>uPVC extruded (big series) casement window frame size 67x60 mm i/c 5% wastage</t>
        </is>
      </c>
      <c r="C3601" s="13" t="inlineStr">
        <is>
          <t>metre</t>
        </is>
      </c>
      <c r="D3601" s="15" t="n">
        <v>8.609999999999999</v>
      </c>
      <c r="E3601" s="16" t="n">
        <v>319.8</v>
      </c>
      <c r="F3601" s="16">
        <f>D3601*E3601</f>
        <v/>
      </c>
    </row>
    <row r="3602">
      <c r="A3602" s="13" t="inlineStr">
        <is>
          <t>8128</t>
        </is>
      </c>
      <c r="B3602" s="14" t="inlineStr">
        <is>
          <t>uPVC extruded (big series) casement window sash/window mullion size 67x80 mm i/c 5% wastage</t>
        </is>
      </c>
      <c r="C3602" s="13" t="inlineStr">
        <is>
          <t>metre</t>
        </is>
      </c>
      <c r="D3602" s="15" t="n">
        <v>15.17</v>
      </c>
      <c r="E3602" s="16" t="n">
        <v>426.4</v>
      </c>
      <c r="F3602" s="16">
        <f>D3602*E3602</f>
        <v/>
      </c>
    </row>
    <row r="3603">
      <c r="A3603" s="13" t="inlineStr">
        <is>
          <t>8130</t>
        </is>
      </c>
      <c r="B3603" s="14" t="inlineStr">
        <is>
          <t>uPVC extruded glazing bead of appropriate dimension for big series casement window sash i/c 5% wastage</t>
        </is>
      </c>
      <c r="C3603" s="13" t="inlineStr">
        <is>
          <t>metre</t>
        </is>
      </c>
      <c r="D3603" s="15" t="n">
        <v>27.85</v>
      </c>
      <c r="E3603" s="16" t="n">
        <v>123</v>
      </c>
      <c r="F3603" s="16">
        <f>D3603*E3603</f>
        <v/>
      </c>
    </row>
    <row r="3604">
      <c r="A3604" s="13" t="inlineStr">
        <is>
          <t>3992</t>
        </is>
      </c>
      <c r="B3604" s="14" t="inlineStr">
        <is>
          <t>Galvanized iron (1.6 ± 0.2 mm) thick reinforcement for big series casement window frame, sash, mullion, big &amp; small series sliding window frame i/c 5% wastage</t>
        </is>
      </c>
      <c r="C3604" s="13" t="inlineStr">
        <is>
          <t>metre</t>
        </is>
      </c>
      <c r="D3604" s="15" t="n">
        <v>21.9</v>
      </c>
      <c r="E3604" s="16" t="n">
        <v>71</v>
      </c>
      <c r="F3604" s="16">
        <f>D3604*E3604</f>
        <v/>
      </c>
    </row>
    <row r="3605">
      <c r="A3605" s="13" t="inlineStr">
        <is>
          <t>7390</t>
        </is>
      </c>
      <c r="B3605" s="14" t="inlineStr">
        <is>
          <t>EPDM Gasket for uPVC window/door i/c 5% wastage</t>
        </is>
      </c>
      <c r="C3605" s="13" t="inlineStr">
        <is>
          <t>metre</t>
        </is>
      </c>
      <c r="D3605" s="15" t="n">
        <v>83.45</v>
      </c>
      <c r="E3605" s="16" t="n">
        <v>19</v>
      </c>
      <c r="F3605" s="16">
        <f>D3605*E3605</f>
        <v/>
      </c>
    </row>
    <row r="3606">
      <c r="A3606" s="13" t="inlineStr">
        <is>
          <t>3995</t>
        </is>
      </c>
      <c r="B3606" s="14" t="inlineStr">
        <is>
          <t>G.I fasteners 100 x 8 mm</t>
        </is>
      </c>
      <c r="C3606" s="13" t="inlineStr">
        <is>
          <t>each</t>
        </is>
      </c>
      <c r="D3606" s="15" t="n">
        <v>16</v>
      </c>
      <c r="E3606" s="16" t="n">
        <v>14</v>
      </c>
      <c r="F3606" s="16">
        <f>D3606*E3606</f>
        <v/>
      </c>
    </row>
    <row r="3607">
      <c r="A3607" s="13" t="inlineStr">
        <is>
          <t>8758</t>
        </is>
      </c>
      <c r="B3607" s="14" t="inlineStr">
        <is>
          <t>Stainless steel friction hinges (SS-304 grade) size 350 x 19 x 1.9 mm for uPVC window</t>
        </is>
      </c>
      <c r="C3607" s="13" t="inlineStr">
        <is>
          <t>each</t>
        </is>
      </c>
      <c r="D3607" s="15" t="n">
        <v>4</v>
      </c>
      <c r="E3607" s="16" t="n">
        <v>345</v>
      </c>
      <c r="F3607" s="16">
        <f>D3607*E3607</f>
        <v/>
      </c>
    </row>
    <row r="3608">
      <c r="A3608" s="13" t="inlineStr">
        <is>
          <t>8750</t>
        </is>
      </c>
      <c r="B3608" s="14" t="inlineStr">
        <is>
          <t>Zinc alloy (white powder coated) casement handle for uPVC window</t>
        </is>
      </c>
      <c r="C3608" s="13" t="inlineStr">
        <is>
          <t>each</t>
        </is>
      </c>
      <c r="D3608" s="15" t="n">
        <v>2</v>
      </c>
      <c r="E3608" s="16" t="n">
        <v>130</v>
      </c>
      <c r="F3608" s="16">
        <f>D3608*E3608</f>
        <v/>
      </c>
    </row>
    <row r="3609">
      <c r="A3609" s="13" t="inlineStr">
        <is>
          <t>0162</t>
        </is>
      </c>
      <c r="B3609" s="14" t="inlineStr">
        <is>
          <t>Labour for fabrication of uPVC extruded casement windows including drilling holes, fixing of fittings &amp; hardwares, hire charges of drill machine and electricity charges etc.</t>
        </is>
      </c>
      <c r="C3609" s="13" t="inlineStr">
        <is>
          <t>sqm</t>
        </is>
      </c>
      <c r="D3609" s="15" t="n">
        <v>4</v>
      </c>
      <c r="E3609" s="16" t="n">
        <v>485</v>
      </c>
      <c r="F3609" s="16">
        <f>D3609*E3609</f>
        <v/>
      </c>
    </row>
    <row r="3610">
      <c r="A3610" s="13" t="inlineStr">
        <is>
          <t>0163</t>
        </is>
      </c>
      <c r="B3610" s="14" t="inlineStr">
        <is>
          <t>Labour for installation of uPVC extruded casement windows including scaffolding</t>
        </is>
      </c>
      <c r="C3610" s="13" t="inlineStr">
        <is>
          <t>sqm</t>
        </is>
      </c>
      <c r="D3610" s="15" t="n">
        <v>4</v>
      </c>
      <c r="E3610" s="16" t="n">
        <v>430</v>
      </c>
      <c r="F3610" s="16">
        <f>D3610*E3610</f>
        <v/>
      </c>
    </row>
    <row r="3611">
      <c r="A3611" s="17" t="inlineStr">
        <is>
          <t>Resource Total (Material + Labour + Machinery, as printed)</t>
        </is>
      </c>
      <c r="B3611" s="18" t="n"/>
      <c r="C3611" s="18" t="n"/>
      <c r="D3611" s="18" t="n"/>
      <c r="E3611" s="18" t="n"/>
      <c r="F3611" s="19">
        <f>SUM(F3601:F3610)</f>
        <v/>
      </c>
    </row>
    <row r="3612">
      <c r="A3612" s="20" t="inlineStr">
        <is>
          <t>SAY (Rs.) — final DAR rate</t>
        </is>
      </c>
      <c r="B3612" s="21" t="n"/>
      <c r="C3612" s="21" t="n"/>
      <c r="D3612" s="21" t="n"/>
      <c r="E3612" s="21" t="n"/>
      <c r="F3612" s="22" t="n">
        <v>7242.25</v>
      </c>
    </row>
    <row r="3614" ht="28" customHeight="1">
      <c r="A3614" s="9" t="inlineStr">
        <is>
          <t>9.147B.1</t>
        </is>
      </c>
      <c r="B3614" s="10" t="inlineStr">
        <is>
          <t>Fixed window / ventilator made of (small series) frame 47 x 50 mm &amp; mullion 47 x 68 mm both having wall thickness of 1.9 ± 0.2 mm and single</t>
        </is>
      </c>
      <c r="C3614" s="11" t="n"/>
      <c r="D3614" s="11" t="n"/>
      <c r="E3614" s="11" t="n"/>
      <c r="F3614" s="11" t="n"/>
    </row>
    <row r="3615">
      <c r="A3615" s="12" t="inlineStr">
        <is>
          <t>Rate basis: per sqm  (source: cost for 0.6 sqm)</t>
        </is>
      </c>
    </row>
    <row r="3616">
      <c r="A3616" s="5" t="inlineStr">
        <is>
          <t>Code</t>
        </is>
      </c>
      <c r="B3616" s="5" t="inlineStr">
        <is>
          <t>Description</t>
        </is>
      </c>
      <c r="C3616" s="5" t="inlineStr">
        <is>
          <t>Unit</t>
        </is>
      </c>
      <c r="D3616" s="5" t="inlineStr">
        <is>
          <t>Quantity</t>
        </is>
      </c>
      <c r="E3616" s="5" t="inlineStr">
        <is>
          <t>Rate (Rs.)</t>
        </is>
      </c>
      <c r="F3616" s="5" t="inlineStr">
        <is>
          <t>Amount (Rs.)</t>
        </is>
      </c>
    </row>
    <row r="3617">
      <c r="A3617" s="13" t="inlineStr">
        <is>
          <t>8121</t>
        </is>
      </c>
      <c r="B3617" s="14" t="inlineStr">
        <is>
          <t>uPVC extruded (small series) fixed window frame size 47x50mm</t>
        </is>
      </c>
      <c r="C3617" s="13" t="inlineStr">
        <is>
          <t>metre</t>
        </is>
      </c>
      <c r="D3617" s="15" t="n">
        <v>3.57</v>
      </c>
      <c r="E3617" s="16" t="n">
        <v>258.3</v>
      </c>
      <c r="F3617" s="16">
        <f>D3617*E3617</f>
        <v/>
      </c>
    </row>
    <row r="3618">
      <c r="A3618" s="13" t="inlineStr">
        <is>
          <t>8122</t>
        </is>
      </c>
      <c r="B3618" s="14" t="inlineStr">
        <is>
          <t>uPVC extruded (small series) fixed window mullion size 47x68 mm</t>
        </is>
      </c>
      <c r="C3618" s="13" t="inlineStr">
        <is>
          <t>metre</t>
        </is>
      </c>
      <c r="D3618" s="15" t="n">
        <v>0.53</v>
      </c>
      <c r="E3618" s="16" t="n">
        <v>282.9</v>
      </c>
      <c r="F3618" s="16">
        <f>D3618*E3618</f>
        <v/>
      </c>
    </row>
    <row r="3619">
      <c r="A3619" s="13" t="inlineStr">
        <is>
          <t>8125</t>
        </is>
      </c>
      <c r="B3619" s="14" t="inlineStr">
        <is>
          <t>uPVC extruded glazing bead of appropriate dimension for small series fixed window Sash</t>
        </is>
      </c>
      <c r="C3619" s="13" t="inlineStr">
        <is>
          <t>metre</t>
        </is>
      </c>
      <c r="D3619" s="15" t="n">
        <v>3.99</v>
      </c>
      <c r="E3619" s="16" t="n">
        <v>98.40000000000001</v>
      </c>
      <c r="F3619" s="16">
        <f>D3619*E3619</f>
        <v/>
      </c>
    </row>
    <row r="3620">
      <c r="A3620" s="13" t="inlineStr">
        <is>
          <t>3991</t>
        </is>
      </c>
      <c r="B3620" s="14" t="inlineStr">
        <is>
          <t>Galvanized iron (1.6 ± 0.2 mm) thick reinforcement for small series fixed window frame and mullion i/c 5% wastage</t>
        </is>
      </c>
      <c r="C3620" s="13" t="inlineStr">
        <is>
          <t>metre</t>
        </is>
      </c>
      <c r="D3620" s="15" t="n">
        <v>4.25</v>
      </c>
      <c r="E3620" s="16" t="n">
        <v>66</v>
      </c>
      <c r="F3620" s="16">
        <f>D3620*E3620</f>
        <v/>
      </c>
    </row>
    <row r="3621">
      <c r="A3621" s="13" t="inlineStr">
        <is>
          <t>7390</t>
        </is>
      </c>
      <c r="B3621" s="14" t="inlineStr">
        <is>
          <t>EPDM Gasket for uPVC window i/c 5% wastage</t>
        </is>
      </c>
      <c r="C3621" s="13" t="inlineStr">
        <is>
          <t>metre</t>
        </is>
      </c>
      <c r="D3621" s="15" t="n">
        <v>8.380000000000001</v>
      </c>
      <c r="E3621" s="16" t="n">
        <v>19</v>
      </c>
      <c r="F3621" s="16">
        <f>D3621*E3621</f>
        <v/>
      </c>
    </row>
    <row r="3622">
      <c r="A3622" s="13" t="inlineStr">
        <is>
          <t>3995</t>
        </is>
      </c>
      <c r="B3622" s="14" t="inlineStr">
        <is>
          <t>G.I fasteners 100 x 8 mm</t>
        </is>
      </c>
      <c r="C3622" s="13" t="inlineStr">
        <is>
          <t>each</t>
        </is>
      </c>
      <c r="D3622" s="15" t="n">
        <v>8</v>
      </c>
      <c r="E3622" s="16" t="n">
        <v>14</v>
      </c>
      <c r="F3622" s="16">
        <f>D3622*E3622</f>
        <v/>
      </c>
    </row>
    <row r="3623">
      <c r="A3623" s="13" t="inlineStr">
        <is>
          <t>0162</t>
        </is>
      </c>
      <c r="B3623" s="14" t="inlineStr">
        <is>
          <t>Labour for fabrication of uPVC extruded fixed windows including drilling holes, fixing of fittings &amp; hardwares, hire charges of drill machine and electricity charges etc.</t>
        </is>
      </c>
      <c r="C3623" s="13" t="inlineStr">
        <is>
          <t>sqm</t>
        </is>
      </c>
      <c r="D3623" s="15" t="n">
        <v>0.6</v>
      </c>
      <c r="E3623" s="16" t="n">
        <v>485</v>
      </c>
      <c r="F3623" s="16">
        <f>D3623*E3623</f>
        <v/>
      </c>
    </row>
    <row r="3624">
      <c r="A3624" s="13" t="inlineStr">
        <is>
          <t>0163</t>
        </is>
      </c>
      <c r="B3624" s="14" t="inlineStr">
        <is>
          <t>Labour for installation of uPVC extruded fixed windows including scaffolding</t>
        </is>
      </c>
      <c r="C3624" s="13" t="inlineStr">
        <is>
          <t>sqm</t>
        </is>
      </c>
      <c r="D3624" s="15" t="n">
        <v>0.6</v>
      </c>
      <c r="E3624" s="16" t="n">
        <v>430</v>
      </c>
      <c r="F3624" s="16">
        <f>D3624*E3624</f>
        <v/>
      </c>
    </row>
    <row r="3625">
      <c r="A3625" s="17" t="inlineStr">
        <is>
          <t>Resource Total (Material + Labour + Machinery, as printed)</t>
        </is>
      </c>
      <c r="B3625" s="18" t="n"/>
      <c r="C3625" s="18" t="n"/>
      <c r="D3625" s="18" t="n"/>
      <c r="E3625" s="18" t="n"/>
      <c r="F3625" s="19">
        <f>SUM(F3617:F3624)</f>
        <v/>
      </c>
    </row>
    <row r="3626">
      <c r="A3626" s="20" t="inlineStr">
        <is>
          <t>SAY (Rs.) — final DAR rate</t>
        </is>
      </c>
      <c r="B3626" s="21" t="n"/>
      <c r="C3626" s="21" t="n"/>
      <c r="D3626" s="21" t="n"/>
      <c r="E3626" s="21" t="n"/>
      <c r="F3626" s="22" t="n">
        <v>6478.75</v>
      </c>
    </row>
    <row r="3628" ht="28" customHeight="1">
      <c r="A3628" s="9" t="inlineStr">
        <is>
          <t>9.147C.1</t>
        </is>
      </c>
      <c r="B3628" s="10" t="inlineStr">
        <is>
          <t xml:space="preserve">Casement door with 3D hinges made of (big series) frame 67 x 64 mm &amp; sash 67 x 110 mm both having wall thickness of 2.3 ± 0.2 mm and single </t>
        </is>
      </c>
      <c r="C3628" s="11" t="n"/>
      <c r="D3628" s="11" t="n"/>
      <c r="E3628" s="11" t="n"/>
      <c r="F3628" s="11" t="n"/>
    </row>
    <row r="3629">
      <c r="A3629" s="12" t="inlineStr">
        <is>
          <t>Rate basis: per sqm  (source: cost for 1.89 sqm)</t>
        </is>
      </c>
    </row>
    <row r="3630">
      <c r="A3630" s="5" t="inlineStr">
        <is>
          <t>Code</t>
        </is>
      </c>
      <c r="B3630" s="5" t="inlineStr">
        <is>
          <t>Description</t>
        </is>
      </c>
      <c r="C3630" s="5" t="inlineStr">
        <is>
          <t>Unit</t>
        </is>
      </c>
      <c r="D3630" s="5" t="inlineStr">
        <is>
          <t>Quantity</t>
        </is>
      </c>
      <c r="E3630" s="5" t="inlineStr">
        <is>
          <t>Rate (Rs.)</t>
        </is>
      </c>
      <c r="F3630" s="5" t="inlineStr">
        <is>
          <t>Amount (Rs.)</t>
        </is>
      </c>
    </row>
    <row r="3631">
      <c r="A3631" s="13" t="inlineStr">
        <is>
          <t>8127</t>
        </is>
      </c>
      <c r="B3631" s="14" t="inlineStr">
        <is>
          <t>uPVC extruded (big series) casement door frame size 67x64 mm i/c 5% wastage</t>
        </is>
      </c>
      <c r="C3631" s="13" t="inlineStr">
        <is>
          <t>metre</t>
        </is>
      </c>
      <c r="D3631" s="15" t="n">
        <v>5.36</v>
      </c>
      <c r="E3631" s="16" t="n">
        <v>360.8</v>
      </c>
      <c r="F3631" s="16">
        <f>D3631*E3631</f>
        <v/>
      </c>
    </row>
    <row r="3632">
      <c r="A3632" s="13" t="inlineStr">
        <is>
          <t>8129</t>
        </is>
      </c>
      <c r="B3632" s="14" t="inlineStr">
        <is>
          <t>uPVC extruded (big series) casement door sash size 67x110 mm i/c 5% wastage</t>
        </is>
      </c>
      <c r="C3632" s="13" t="inlineStr">
        <is>
          <t>metre</t>
        </is>
      </c>
      <c r="D3632" s="15" t="n">
        <v>6.02</v>
      </c>
      <c r="E3632" s="16" t="n">
        <v>516.6</v>
      </c>
      <c r="F3632" s="16">
        <f>D3632*E3632</f>
        <v/>
      </c>
    </row>
    <row r="3633">
      <c r="A3633" s="13" t="inlineStr">
        <is>
          <t>8130</t>
        </is>
      </c>
      <c r="B3633" s="14" t="inlineStr">
        <is>
          <t>uPVC extruded glazing bead of appropriate dimension for big series casement door sash i/c 5% wastage</t>
        </is>
      </c>
      <c r="C3633" s="13" t="inlineStr">
        <is>
          <t>metre</t>
        </is>
      </c>
      <c r="D3633" s="15" t="n">
        <v>5.22</v>
      </c>
      <c r="E3633" s="16" t="n">
        <v>123</v>
      </c>
      <c r="F3633" s="16">
        <f>D3633*E3633</f>
        <v/>
      </c>
    </row>
    <row r="3634">
      <c r="A3634" s="13" t="inlineStr">
        <is>
          <t>3992</t>
        </is>
      </c>
      <c r="B3634" s="14" t="inlineStr">
        <is>
          <t>Galvanized iron (1.6 ± 0.2 mm) thick reinforcement for big series casement window/door frame, sash, mullion, i/c 5% wastage</t>
        </is>
      </c>
      <c r="C3634" s="13" t="inlineStr">
        <is>
          <t>metre</t>
        </is>
      </c>
      <c r="D3634" s="15" t="n">
        <v>5.14</v>
      </c>
      <c r="E3634" s="16" t="n">
        <v>71</v>
      </c>
      <c r="F3634" s="16">
        <f>D3634*E3634</f>
        <v/>
      </c>
    </row>
    <row r="3635">
      <c r="A3635" s="13" t="inlineStr">
        <is>
          <t>3993</t>
        </is>
      </c>
      <c r="B3635" s="14" t="inlineStr">
        <is>
          <t>Galvanized iron (1.6 ± 0.2 mm) thick reinforcement for big series casement door sash i/c 5% wastage</t>
        </is>
      </c>
      <c r="C3635" s="13" t="inlineStr">
        <is>
          <t>metre</t>
        </is>
      </c>
      <c r="D3635" s="15" t="n">
        <v>5.72</v>
      </c>
      <c r="E3635" s="16" t="n">
        <v>97</v>
      </c>
      <c r="F3635" s="16">
        <f>D3635*E3635</f>
        <v/>
      </c>
    </row>
    <row r="3636">
      <c r="A3636" s="13" t="inlineStr">
        <is>
          <t>7390</t>
        </is>
      </c>
      <c r="B3636" s="14" t="inlineStr">
        <is>
          <t>EPDM Gasket for uPVC window/door i/c 5% wastage</t>
        </is>
      </c>
      <c r="C3636" s="13" t="inlineStr">
        <is>
          <t>metre</t>
        </is>
      </c>
      <c r="D3636" s="15" t="n">
        <v>22.91</v>
      </c>
      <c r="E3636" s="16" t="n">
        <v>19</v>
      </c>
      <c r="F3636" s="16">
        <f>D3636*E3636</f>
        <v/>
      </c>
    </row>
    <row r="3637">
      <c r="A3637" s="13" t="inlineStr">
        <is>
          <t>3995</t>
        </is>
      </c>
      <c r="B3637" s="14" t="inlineStr">
        <is>
          <t>G.I fasteners 100 x 8 mm</t>
        </is>
      </c>
      <c r="C3637" s="13" t="inlineStr">
        <is>
          <t>each</t>
        </is>
      </c>
      <c r="D3637" s="15" t="n">
        <v>10</v>
      </c>
      <c r="E3637" s="16" t="n">
        <v>14</v>
      </c>
      <c r="F3637" s="16">
        <f>D3637*E3637</f>
        <v/>
      </c>
    </row>
    <row r="3638">
      <c r="A3638" s="13" t="inlineStr">
        <is>
          <t>8116</t>
        </is>
      </c>
      <c r="B3638" s="14" t="inlineStr">
        <is>
          <t>Zinc alloy (white powder coated) 3D Hinges for uPVC door`</t>
        </is>
      </c>
      <c r="C3638" s="13" t="inlineStr">
        <is>
          <t>each</t>
        </is>
      </c>
      <c r="D3638" s="15" t="n">
        <v>3</v>
      </c>
      <c r="E3638" s="16" t="n">
        <v>451</v>
      </c>
      <c r="F3638" s="16">
        <f>D3638*E3638</f>
        <v/>
      </c>
    </row>
    <row r="3639">
      <c r="A3639" s="13" t="inlineStr">
        <is>
          <t>8117</t>
        </is>
      </c>
      <c r="B3639" s="14" t="inlineStr">
        <is>
          <t>Zinc alloy (white powder coated) handles with zinc plated mild steel multi point locking having transmission gear, cylinder with keeps and one side key for uPVC casement door each</t>
        </is>
      </c>
      <c r="C3639" s="13" t="inlineStr">
        <is>
          <t>set</t>
        </is>
      </c>
      <c r="D3639" s="15" t="n">
        <v>1</v>
      </c>
      <c r="E3639" s="16" t="n">
        <v>2296</v>
      </c>
      <c r="F3639" s="16">
        <f>D3639*E3639</f>
        <v/>
      </c>
    </row>
    <row r="3640">
      <c r="A3640" s="13" t="inlineStr">
        <is>
          <t>0162</t>
        </is>
      </c>
      <c r="B3640" s="14" t="inlineStr">
        <is>
          <t>Labour for fabrication of uPVC extruded casement/fixed windows/and door including drilling holes, fixing of fittings &amp; hardwares, hire charges of drill machine and electricity charges etc.</t>
        </is>
      </c>
      <c r="C3640" s="13" t="inlineStr">
        <is>
          <t>sqm</t>
        </is>
      </c>
      <c r="D3640" s="15" t="n">
        <v>1.89</v>
      </c>
      <c r="E3640" s="16" t="n">
        <v>485</v>
      </c>
      <c r="F3640" s="16">
        <f>D3640*E3640</f>
        <v/>
      </c>
    </row>
    <row r="3641">
      <c r="A3641" s="13" t="inlineStr">
        <is>
          <t>0163</t>
        </is>
      </c>
      <c r="B3641" s="14" t="inlineStr">
        <is>
          <t>Labour for installation of uPVC extruded casement windows and doors including scaffolding</t>
        </is>
      </c>
      <c r="C3641" s="13" t="inlineStr">
        <is>
          <t>sqm</t>
        </is>
      </c>
      <c r="D3641" s="15" t="n">
        <v>1.89</v>
      </c>
      <c r="E3641" s="16" t="n">
        <v>430</v>
      </c>
      <c r="F3641" s="16">
        <f>D3641*E3641</f>
        <v/>
      </c>
    </row>
    <row r="3642">
      <c r="A3642" s="17" t="inlineStr">
        <is>
          <t>Resource Total (Material + Labour + Machinery, as printed)</t>
        </is>
      </c>
      <c r="B3642" s="18" t="n"/>
      <c r="C3642" s="18" t="n"/>
      <c r="D3642" s="18" t="n"/>
      <c r="E3642" s="18" t="n"/>
      <c r="F3642" s="19">
        <f>SUM(F3631:F3641)</f>
        <v/>
      </c>
    </row>
    <row r="3643">
      <c r="A3643" s="20" t="inlineStr">
        <is>
          <t>SAY (Rs.) — final DAR rate</t>
        </is>
      </c>
      <c r="B3643" s="21" t="n"/>
      <c r="C3643" s="21" t="n"/>
      <c r="D3643" s="21" t="n"/>
      <c r="E3643" s="21" t="n"/>
      <c r="F3643" s="22" t="n">
        <v>9131.450000000001</v>
      </c>
    </row>
    <row r="3645" ht="28" customHeight="1">
      <c r="A3645" s="9" t="inlineStr">
        <is>
          <t>9.147C.2</t>
        </is>
      </c>
      <c r="B3645" s="10" t="inlineStr">
        <is>
          <t>Casement door with top hung ventilator with 3D and S.S. friction hinges (400 x 19 x 1.9 mm) made of (big series) frame 67 x 64 mm, sash 67 x</t>
        </is>
      </c>
      <c r="C3645" s="11" t="n"/>
      <c r="D3645" s="11" t="n"/>
      <c r="E3645" s="11" t="n"/>
      <c r="F3645" s="11" t="n"/>
    </row>
    <row r="3646">
      <c r="A3646" s="12" t="inlineStr">
        <is>
          <t>Rate basis: per sqm  (source: cost for 2.43 sqm)</t>
        </is>
      </c>
    </row>
    <row r="3647">
      <c r="A3647" s="5" t="inlineStr">
        <is>
          <t>Code</t>
        </is>
      </c>
      <c r="B3647" s="5" t="inlineStr">
        <is>
          <t>Description</t>
        </is>
      </c>
      <c r="C3647" s="5" t="inlineStr">
        <is>
          <t>Unit</t>
        </is>
      </c>
      <c r="D3647" s="5" t="inlineStr">
        <is>
          <t>Quantity</t>
        </is>
      </c>
      <c r="E3647" s="5" t="inlineStr">
        <is>
          <t>Rate (Rs.)</t>
        </is>
      </c>
      <c r="F3647" s="5" t="inlineStr">
        <is>
          <t>Amount (Rs.)</t>
        </is>
      </c>
    </row>
    <row r="3648">
      <c r="A3648" s="13" t="inlineStr">
        <is>
          <t>8127</t>
        </is>
      </c>
      <c r="B3648" s="14" t="inlineStr">
        <is>
          <t>uPVC extruded (big series) casement door frame size 67x64 mm i/c 5% wastage</t>
        </is>
      </c>
      <c r="C3648" s="13" t="inlineStr">
        <is>
          <t>metre</t>
        </is>
      </c>
      <c r="D3648" s="15" t="n">
        <v>6.3</v>
      </c>
      <c r="E3648" s="16" t="n">
        <v>360.8</v>
      </c>
      <c r="F3648" s="16">
        <f>D3648*E3648</f>
        <v/>
      </c>
    </row>
    <row r="3649">
      <c r="A3649" s="13" t="inlineStr">
        <is>
          <t>8129</t>
        </is>
      </c>
      <c r="B3649" s="14" t="inlineStr">
        <is>
          <t>uPVC extruded (big series) casement door sash size 67x110 mm i/c 5% wastage</t>
        </is>
      </c>
      <c r="C3649" s="13" t="inlineStr">
        <is>
          <t>metre</t>
        </is>
      </c>
      <c r="D3649" s="15" t="n">
        <v>6.01</v>
      </c>
      <c r="E3649" s="16" t="n">
        <v>516.6</v>
      </c>
      <c r="F3649" s="16">
        <f>D3649*E3649</f>
        <v/>
      </c>
    </row>
    <row r="3650">
      <c r="A3650" s="13" t="inlineStr">
        <is>
          <t>8128</t>
        </is>
      </c>
      <c r="B3650" s="14" t="inlineStr">
        <is>
          <t>uPVC extruded (big series) casement door sash/mullion size 67x80 mm i/c 5% wastage</t>
        </is>
      </c>
      <c r="C3650" s="13" t="inlineStr">
        <is>
          <t>metre</t>
        </is>
      </c>
      <c r="D3650" s="15" t="n">
        <v>3.55</v>
      </c>
      <c r="E3650" s="16" t="n">
        <v>426.4</v>
      </c>
      <c r="F3650" s="16">
        <f>D3650*E3650</f>
        <v/>
      </c>
    </row>
    <row r="3651">
      <c r="A3651" s="13" t="inlineStr">
        <is>
          <t>8130</t>
        </is>
      </c>
      <c r="B3651" s="14" t="inlineStr">
        <is>
          <t>uPVC extruded glazing bead of appropriate dimension for big series casement door sash i/c 5% wastage</t>
        </is>
      </c>
      <c r="C3651" s="13" t="inlineStr">
        <is>
          <t>metre</t>
        </is>
      </c>
      <c r="D3651" s="15" t="n">
        <v>8.06</v>
      </c>
      <c r="E3651" s="16" t="n">
        <v>123</v>
      </c>
      <c r="F3651" s="16">
        <f>D3651*E3651</f>
        <v/>
      </c>
    </row>
    <row r="3652">
      <c r="A3652" s="13" t="inlineStr">
        <is>
          <t>3992</t>
        </is>
      </c>
      <c r="B3652" s="14" t="inlineStr">
        <is>
          <t>Galvanized iron (1.6 ± 0.2 mm) thick reinforcement for big series casement door frame, sash, mullion, i/c 5% wastage</t>
        </is>
      </c>
      <c r="C3652" s="13" t="inlineStr">
        <is>
          <t>metre</t>
        </is>
      </c>
      <c r="D3652" s="15" t="n">
        <v>9.26</v>
      </c>
      <c r="E3652" s="16" t="n">
        <v>71</v>
      </c>
      <c r="F3652" s="16">
        <f>D3652*E3652</f>
        <v/>
      </c>
    </row>
    <row r="3653">
      <c r="A3653" s="13" t="inlineStr">
        <is>
          <t>3993</t>
        </is>
      </c>
      <c r="B3653" s="14" t="inlineStr">
        <is>
          <t>Galvanized iron (1.6 ± 0.2 mm) thick reinforcement for big series casement door sash i/c 5% wastage</t>
        </is>
      </c>
      <c r="C3653" s="13" t="inlineStr">
        <is>
          <t>metre</t>
        </is>
      </c>
      <c r="D3653" s="15" t="n">
        <v>5.71</v>
      </c>
      <c r="E3653" s="16" t="n">
        <v>97</v>
      </c>
      <c r="F3653" s="16">
        <f>D3653*E3653</f>
        <v/>
      </c>
    </row>
    <row r="3654">
      <c r="A3654" s="13" t="inlineStr">
        <is>
          <t>7390</t>
        </is>
      </c>
      <c r="B3654" s="14" t="inlineStr">
        <is>
          <t>EPDM Gasket for uPVC window/door i/c 5% wastage</t>
        </is>
      </c>
      <c r="C3654" s="13" t="inlineStr">
        <is>
          <t>metre</t>
        </is>
      </c>
      <c r="D3654" s="15" t="n">
        <v>31.98</v>
      </c>
      <c r="E3654" s="16" t="n">
        <v>19</v>
      </c>
      <c r="F3654" s="16">
        <f>D3654*E3654</f>
        <v/>
      </c>
    </row>
    <row r="3655">
      <c r="A3655" s="13" t="inlineStr">
        <is>
          <t>3995</t>
        </is>
      </c>
      <c r="B3655" s="14" t="inlineStr">
        <is>
          <t>G.I fasteners 100 x 8 mm</t>
        </is>
      </c>
      <c r="C3655" s="13" t="inlineStr">
        <is>
          <t>each</t>
        </is>
      </c>
      <c r="D3655" s="15" t="n">
        <v>12</v>
      </c>
      <c r="E3655" s="16" t="n">
        <v>14</v>
      </c>
      <c r="F3655" s="16">
        <f>D3655*E3655</f>
        <v/>
      </c>
    </row>
    <row r="3656">
      <c r="A3656" s="13" t="inlineStr">
        <is>
          <t>8116</t>
        </is>
      </c>
      <c r="B3656" s="14" t="inlineStr">
        <is>
          <t>Zinc alloy (white powder coated) 3D Hinges for uPVC door</t>
        </is>
      </c>
      <c r="C3656" s="13" t="inlineStr">
        <is>
          <t>each</t>
        </is>
      </c>
      <c r="D3656" s="15" t="n">
        <v>3</v>
      </c>
      <c r="E3656" s="16" t="n">
        <v>451</v>
      </c>
      <c r="F3656" s="16">
        <f>D3656*E3656</f>
        <v/>
      </c>
    </row>
    <row r="3657">
      <c r="A3657" s="13" t="inlineStr">
        <is>
          <t>8117</t>
        </is>
      </c>
      <c r="B3657" s="14" t="inlineStr">
        <is>
          <t>Zinc alloy (white powder coated) handles with zinc plated mild steel multi point locking having transmission gear, cylinder with keeps and one side key for uPVC casement door each</t>
        </is>
      </c>
      <c r="C3657" s="13" t="inlineStr">
        <is>
          <t>set</t>
        </is>
      </c>
      <c r="D3657" s="15" t="n">
        <v>1</v>
      </c>
      <c r="E3657" s="16" t="n">
        <v>2296</v>
      </c>
      <c r="F3657" s="16">
        <f>D3657*E3657</f>
        <v/>
      </c>
    </row>
    <row r="3658">
      <c r="A3658" s="13" t="inlineStr">
        <is>
          <t>8759</t>
        </is>
      </c>
      <c r="B3658" s="14" t="inlineStr">
        <is>
          <t>Stainless steel friction hinges (SS-304 grade) size 400 x 19 x 1.9 mm for uPVC window</t>
        </is>
      </c>
      <c r="C3658" s="13" t="inlineStr">
        <is>
          <t>each</t>
        </is>
      </c>
      <c r="D3658" s="15" t="n">
        <v>2</v>
      </c>
      <c r="E3658" s="16" t="n">
        <v>365</v>
      </c>
      <c r="F3658" s="16">
        <f>D3658*E3658</f>
        <v/>
      </c>
    </row>
    <row r="3659">
      <c r="A3659" s="13" t="inlineStr">
        <is>
          <t>8750</t>
        </is>
      </c>
      <c r="B3659" s="14" t="inlineStr">
        <is>
          <t>Zinc alloy (white powder coated) casement handle for uPVC window/ door</t>
        </is>
      </c>
      <c r="C3659" s="13" t="inlineStr">
        <is>
          <t>each</t>
        </is>
      </c>
      <c r="D3659" s="15" t="n">
        <v>1</v>
      </c>
      <c r="E3659" s="16" t="n">
        <v>130</v>
      </c>
      <c r="F3659" s="16">
        <f>D3659*E3659</f>
        <v/>
      </c>
    </row>
    <row r="3660">
      <c r="A3660" s="13" t="inlineStr">
        <is>
          <t>0162</t>
        </is>
      </c>
      <c r="B3660" s="14" t="inlineStr">
        <is>
          <t>Labour for fabrication of uPVC extruded casement doors including drilling holes, fixing of fittings &amp; hardwares, hire charges of drill machine and electricity charges etc.</t>
        </is>
      </c>
      <c r="C3660" s="13" t="inlineStr">
        <is>
          <t>sqm</t>
        </is>
      </c>
      <c r="D3660" s="15" t="n">
        <v>2.43</v>
      </c>
      <c r="E3660" s="16" t="n">
        <v>485</v>
      </c>
      <c r="F3660" s="16">
        <f>D3660*E3660</f>
        <v/>
      </c>
    </row>
    <row r="3661">
      <c r="A3661" s="13" t="inlineStr">
        <is>
          <t>0163</t>
        </is>
      </c>
      <c r="B3661" s="14" t="inlineStr">
        <is>
          <t>Labour for installation of uPVC extruded casement ventilator and doors including scaffolding</t>
        </is>
      </c>
      <c r="C3661" s="13" t="inlineStr">
        <is>
          <t>sqm</t>
        </is>
      </c>
      <c r="D3661" s="15" t="n">
        <v>2.43</v>
      </c>
      <c r="E3661" s="16" t="n">
        <v>430</v>
      </c>
      <c r="F3661" s="16">
        <f>D3661*E3661</f>
        <v/>
      </c>
    </row>
    <row r="3662">
      <c r="A3662" s="17" t="inlineStr">
        <is>
          <t>Resource Total (Material + Labour + Machinery, as printed)</t>
        </is>
      </c>
      <c r="B3662" s="18" t="n"/>
      <c r="C3662" s="18" t="n"/>
      <c r="D3662" s="18" t="n"/>
      <c r="E3662" s="18" t="n"/>
      <c r="F3662" s="19">
        <f>SUM(F3648:F3661)</f>
        <v/>
      </c>
    </row>
    <row r="3663">
      <c r="A3663" s="20" t="inlineStr">
        <is>
          <t>SAY (Rs.) — final DAR rate</t>
        </is>
      </c>
      <c r="B3663" s="21" t="n"/>
      <c r="C3663" s="21" t="n"/>
      <c r="D3663" s="21" t="n"/>
      <c r="E3663" s="21" t="n"/>
      <c r="F3663" s="22" t="n">
        <v>9328.299999999999</v>
      </c>
    </row>
    <row r="3665" ht="28" customHeight="1">
      <c r="A3665" s="9" t="inlineStr">
        <is>
          <t>9.147D.1</t>
        </is>
      </c>
      <c r="B3665" s="10" t="inlineStr">
        <is>
          <t xml:space="preserve">Two track two panels sliding window made of (small series) frame 52 x 44 mm &amp;sash 32 x 60 mm both having wall thickness of 1.9 ± 0.2 mm and </t>
        </is>
      </c>
      <c r="C3665" s="11" t="n"/>
      <c r="D3665" s="11" t="n"/>
      <c r="E3665" s="11" t="n"/>
      <c r="F3665" s="11" t="n"/>
    </row>
    <row r="3666">
      <c r="A3666" s="12" t="inlineStr">
        <is>
          <t>Rate basis: per sqm  (source: cost for 1.62 sqm)</t>
        </is>
      </c>
    </row>
    <row r="3667">
      <c r="A3667" s="5" t="inlineStr">
        <is>
          <t>Code</t>
        </is>
      </c>
      <c r="B3667" s="5" t="inlineStr">
        <is>
          <t>Description</t>
        </is>
      </c>
      <c r="C3667" s="5" t="inlineStr">
        <is>
          <t>Unit</t>
        </is>
      </c>
      <c r="D3667" s="5" t="inlineStr">
        <is>
          <t>Quantity</t>
        </is>
      </c>
      <c r="E3667" s="5" t="inlineStr">
        <is>
          <t>Rate (Rs.)</t>
        </is>
      </c>
      <c r="F3667" s="5" t="inlineStr">
        <is>
          <t>Amount (Rs.)</t>
        </is>
      </c>
    </row>
    <row r="3668">
      <c r="A3668" s="13" t="inlineStr">
        <is>
          <t>8133</t>
        </is>
      </c>
      <c r="B3668" s="14" t="inlineStr">
        <is>
          <t>uPVC extruded (small series) 2 track sliding window frame size 52x44 mm i/c 5% wastage</t>
        </is>
      </c>
      <c r="C3668" s="13" t="inlineStr">
        <is>
          <t>metre</t>
        </is>
      </c>
      <c r="D3668" s="15" t="n">
        <v>5.36</v>
      </c>
      <c r="E3668" s="16" t="n">
        <v>285</v>
      </c>
      <c r="F3668" s="16">
        <f>D3668*E3668</f>
        <v/>
      </c>
    </row>
    <row r="3669">
      <c r="A3669" s="13" t="inlineStr">
        <is>
          <t>8137</t>
        </is>
      </c>
      <c r="B3669" s="14" t="inlineStr">
        <is>
          <t>uPVC extruded (small series) 2 track sliding window sash size 32x60mm i/c 5% wastage</t>
        </is>
      </c>
      <c r="C3669" s="13" t="inlineStr">
        <is>
          <t>metre</t>
        </is>
      </c>
      <c r="D3669" s="15" t="n">
        <v>7.9</v>
      </c>
      <c r="E3669" s="16" t="n">
        <v>265</v>
      </c>
      <c r="F3669" s="16">
        <f>D3669*E3669</f>
        <v/>
      </c>
    </row>
    <row r="3670">
      <c r="A3670" s="13" t="inlineStr">
        <is>
          <t>8140</t>
        </is>
      </c>
      <c r="B3670" s="14" t="inlineStr">
        <is>
          <t>uPVC extruded interlock of appropriate dimension for small series sliding window sash i/c 5% wastage</t>
        </is>
      </c>
      <c r="C3670" s="13" t="inlineStr">
        <is>
          <t>metre</t>
        </is>
      </c>
      <c r="D3670" s="15" t="n">
        <v>2.69</v>
      </c>
      <c r="E3670" s="16" t="n">
        <v>80</v>
      </c>
      <c r="F3670" s="16">
        <f>D3670*E3670</f>
        <v/>
      </c>
    </row>
    <row r="3671">
      <c r="A3671" s="13" t="inlineStr">
        <is>
          <t>8131</t>
        </is>
      </c>
      <c r="B3671" s="14" t="inlineStr">
        <is>
          <t>uPVC extruded glazing bead of appropriate dimension for small series sliding window sash i/c 5% wastage</t>
        </is>
      </c>
      <c r="C3671" s="13" t="inlineStr">
        <is>
          <t>metre</t>
        </is>
      </c>
      <c r="D3671" s="15" t="n">
        <v>6.92</v>
      </c>
      <c r="E3671" s="16" t="n">
        <v>60</v>
      </c>
      <c r="F3671" s="16">
        <f>D3671*E3671</f>
        <v/>
      </c>
    </row>
    <row r="3672">
      <c r="A3672" s="13" t="inlineStr">
        <is>
          <t>3991</t>
        </is>
      </c>
      <c r="B3672" s="14" t="inlineStr">
        <is>
          <t>Galvanized iron (1.6 ± 0.2 mm) thick reinforcement for small series 2 track sliding window frame and sash i/c 5% wastage</t>
        </is>
      </c>
      <c r="C3672" s="13" t="inlineStr">
        <is>
          <t>metre</t>
        </is>
      </c>
      <c r="D3672" s="15" t="n">
        <v>12.36</v>
      </c>
      <c r="E3672" s="16" t="n">
        <v>66</v>
      </c>
      <c r="F3672" s="16">
        <f>D3672*E3672</f>
        <v/>
      </c>
    </row>
    <row r="3673">
      <c r="A3673" s="13" t="inlineStr">
        <is>
          <t>7390</t>
        </is>
      </c>
      <c r="B3673" s="14" t="inlineStr">
        <is>
          <t>EPDM Gasket for uPVC window/door i/c 5% wastage</t>
        </is>
      </c>
      <c r="C3673" s="13" t="inlineStr">
        <is>
          <t>metre</t>
        </is>
      </c>
      <c r="D3673" s="15" t="n">
        <v>13.84</v>
      </c>
      <c r="E3673" s="16" t="n">
        <v>19</v>
      </c>
      <c r="F3673" s="16">
        <f>D3673*E3673</f>
        <v/>
      </c>
    </row>
    <row r="3674">
      <c r="A3674" s="13" t="inlineStr">
        <is>
          <t>8773</t>
        </is>
      </c>
      <c r="B3674" s="14" t="inlineStr">
        <is>
          <t>Wool pile/ weather pile strip for uPVC sliding window i/c 5% wastage</t>
        </is>
      </c>
      <c r="C3674" s="13" t="inlineStr">
        <is>
          <t>metre</t>
        </is>
      </c>
      <c r="D3674" s="15" t="n">
        <v>18.48</v>
      </c>
      <c r="E3674" s="16" t="n">
        <v>20</v>
      </c>
      <c r="F3674" s="16">
        <f>D3674*E3674</f>
        <v/>
      </c>
    </row>
    <row r="3675">
      <c r="A3675" s="13" t="inlineStr">
        <is>
          <t>3995</t>
        </is>
      </c>
      <c r="B3675" s="14" t="inlineStr">
        <is>
          <t>G.I fasteners 100 x 8 mm</t>
        </is>
      </c>
      <c r="C3675" s="13" t="inlineStr">
        <is>
          <t>each</t>
        </is>
      </c>
      <c r="D3675" s="15" t="n">
        <v>12</v>
      </c>
      <c r="E3675" s="16" t="n">
        <v>14</v>
      </c>
      <c r="F3675" s="16">
        <f>D3675*E3675</f>
        <v/>
      </c>
    </row>
    <row r="3676">
      <c r="A3676" s="13" t="inlineStr">
        <is>
          <t>8751</t>
        </is>
      </c>
      <c r="B3676" s="14" t="inlineStr">
        <is>
          <t>Zinc alloy (white powder coated) touch lock with hook for uPVC window</t>
        </is>
      </c>
      <c r="C3676" s="13" t="inlineStr">
        <is>
          <t>each</t>
        </is>
      </c>
      <c r="D3676" s="15" t="n">
        <v>2</v>
      </c>
      <c r="E3676" s="16" t="n">
        <v>105</v>
      </c>
      <c r="F3676" s="16">
        <f>D3676*E3676</f>
        <v/>
      </c>
    </row>
    <row r="3677">
      <c r="A3677" s="13" t="inlineStr">
        <is>
          <t>8752</t>
        </is>
      </c>
      <c r="B3677" s="14" t="inlineStr">
        <is>
          <t>Zinc alloy body with single nylon roller (weight bearing capacity to be 40 Kg) for uPVC sliding window</t>
        </is>
      </c>
      <c r="C3677" s="13" t="inlineStr">
        <is>
          <t>each</t>
        </is>
      </c>
      <c r="D3677" s="15" t="n">
        <v>4</v>
      </c>
      <c r="E3677" s="16" t="n">
        <v>56</v>
      </c>
      <c r="F3677" s="16">
        <f>D3677*E3677</f>
        <v/>
      </c>
    </row>
    <row r="3678">
      <c r="A3678" s="13" t="inlineStr">
        <is>
          <t>0162</t>
        </is>
      </c>
      <c r="B3678" s="14" t="inlineStr">
        <is>
          <t>Labour for fabrication of uPVC extruded sliding windows including drilling holes, fixing of fittings &amp; hardwares, hire charges of drill machine and electricity charges etc.</t>
        </is>
      </c>
      <c r="C3678" s="13" t="inlineStr">
        <is>
          <t>sqm</t>
        </is>
      </c>
      <c r="D3678" s="15" t="n">
        <v>1.62</v>
      </c>
      <c r="E3678" s="16" t="n">
        <v>485</v>
      </c>
      <c r="F3678" s="16">
        <f>D3678*E3678</f>
        <v/>
      </c>
    </row>
    <row r="3679">
      <c r="A3679" s="13" t="inlineStr">
        <is>
          <t>0163</t>
        </is>
      </c>
      <c r="B3679" s="14" t="inlineStr">
        <is>
          <t>Labour for installation of uPVC extruded sliding windows including scaffolding</t>
        </is>
      </c>
      <c r="C3679" s="13" t="inlineStr">
        <is>
          <t>sqm</t>
        </is>
      </c>
      <c r="D3679" s="15" t="n">
        <v>1.62</v>
      </c>
      <c r="E3679" s="16" t="n">
        <v>430</v>
      </c>
      <c r="F3679" s="16">
        <f>D3679*E3679</f>
        <v/>
      </c>
    </row>
    <row r="3680">
      <c r="A3680" s="17" t="inlineStr">
        <is>
          <t>Resource Total (Material + Labour + Machinery, as printed)</t>
        </is>
      </c>
      <c r="B3680" s="18" t="n"/>
      <c r="C3680" s="18" t="n"/>
      <c r="D3680" s="18" t="n"/>
      <c r="E3680" s="18" t="n"/>
      <c r="F3680" s="19">
        <f>SUM(F3668:F3679)</f>
        <v/>
      </c>
    </row>
    <row r="3681">
      <c r="A3681" s="20" t="inlineStr">
        <is>
          <t>SAY (Rs.) — final DAR rate</t>
        </is>
      </c>
      <c r="B3681" s="21" t="n"/>
      <c r="C3681" s="21" t="n"/>
      <c r="D3681" s="21" t="n"/>
      <c r="E3681" s="21" t="n"/>
      <c r="F3681" s="22" t="n">
        <v>6709.6</v>
      </c>
    </row>
    <row r="3683" ht="28" customHeight="1">
      <c r="A3683" s="9" t="inlineStr">
        <is>
          <t>9.147D.2</t>
        </is>
      </c>
      <c r="B3683" s="10" t="inlineStr">
        <is>
          <t>Three track three panels sliding window with fly proof SS wire mesh (Two nos. glazed &amp; one no. wire mesh panels) made of (small series) fram</t>
        </is>
      </c>
      <c r="C3683" s="11" t="n"/>
      <c r="D3683" s="11" t="n"/>
      <c r="E3683" s="11" t="n"/>
      <c r="F3683" s="11" t="n"/>
    </row>
    <row r="3684">
      <c r="A3684" s="12" t="inlineStr">
        <is>
          <t>Rate basis: per sqm  (source: cost for 1.62 sqm)</t>
        </is>
      </c>
    </row>
    <row r="3685">
      <c r="A3685" s="5" t="inlineStr">
        <is>
          <t>Code</t>
        </is>
      </c>
      <c r="B3685" s="5" t="inlineStr">
        <is>
          <t>Description</t>
        </is>
      </c>
      <c r="C3685" s="5" t="inlineStr">
        <is>
          <t>Unit</t>
        </is>
      </c>
      <c r="D3685" s="5" t="inlineStr">
        <is>
          <t>Quantity</t>
        </is>
      </c>
      <c r="E3685" s="5" t="inlineStr">
        <is>
          <t>Rate (Rs.)</t>
        </is>
      </c>
      <c r="F3685" s="5" t="inlineStr">
        <is>
          <t>Amount (Rs.)</t>
        </is>
      </c>
    </row>
    <row r="3686">
      <c r="A3686" s="13" t="inlineStr">
        <is>
          <t>8135</t>
        </is>
      </c>
      <c r="B3686" s="14" t="inlineStr">
        <is>
          <t>uPVC extruded (small series) 3 track sliding window frame size 92x44 mm i/c 5% wastage</t>
        </is>
      </c>
      <c r="C3686" s="13" t="inlineStr">
        <is>
          <t>metre</t>
        </is>
      </c>
      <c r="D3686" s="15" t="n">
        <v>5.06</v>
      </c>
      <c r="E3686" s="16" t="n">
        <v>380</v>
      </c>
      <c r="F3686" s="16">
        <f>D3686*E3686</f>
        <v/>
      </c>
    </row>
    <row r="3687">
      <c r="A3687" s="13" t="inlineStr">
        <is>
          <t>8137</t>
        </is>
      </c>
      <c r="B3687" s="14" t="inlineStr">
        <is>
          <t>uPVC extruded (small series) 3 track sliding window sash size 32x60mm i/c 5% wastage</t>
        </is>
      </c>
      <c r="C3687" s="13" t="inlineStr">
        <is>
          <t>metre</t>
        </is>
      </c>
      <c r="D3687" s="15" t="n">
        <v>11.84</v>
      </c>
      <c r="E3687" s="16" t="n">
        <v>265</v>
      </c>
      <c r="F3687" s="16">
        <f>D3687*E3687</f>
        <v/>
      </c>
    </row>
    <row r="3688">
      <c r="A3688" s="13" t="inlineStr">
        <is>
          <t>8140</t>
        </is>
      </c>
      <c r="B3688" s="14" t="inlineStr">
        <is>
          <t>uPVC extruded interlock of appropriate dimension for small series sliding window sash i/c 5% wastage</t>
        </is>
      </c>
      <c r="C3688" s="13" t="inlineStr">
        <is>
          <t>metre</t>
        </is>
      </c>
      <c r="D3688" s="15" t="n">
        <v>4.04</v>
      </c>
      <c r="E3688" s="16" t="n">
        <v>80</v>
      </c>
      <c r="F3688" s="16">
        <f>D3688*E3688</f>
        <v/>
      </c>
    </row>
    <row r="3689">
      <c r="A3689" s="13" t="inlineStr">
        <is>
          <t>8131</t>
        </is>
      </c>
      <c r="B3689" s="14" t="inlineStr">
        <is>
          <t>uPVC extruded glazing bead of appropriate dimension for small series sliding window sash i/c 5% wastage</t>
        </is>
      </c>
      <c r="C3689" s="13" t="inlineStr">
        <is>
          <t>metre</t>
        </is>
      </c>
      <c r="D3689" s="15" t="n">
        <v>10.38</v>
      </c>
      <c r="E3689" s="16" t="n">
        <v>60</v>
      </c>
      <c r="F3689" s="16">
        <f>D3689*E3689</f>
        <v/>
      </c>
    </row>
    <row r="3690">
      <c r="A3690" s="13" t="inlineStr">
        <is>
          <t>3991</t>
        </is>
      </c>
      <c r="B3690" s="14" t="inlineStr">
        <is>
          <t>Galvanized iron (1.6 ± 0.2 mm) thick reinforcement for small series sliding window frame and sash i/c 5% wastage</t>
        </is>
      </c>
      <c r="C3690" s="13" t="inlineStr">
        <is>
          <t>metre</t>
        </is>
      </c>
      <c r="D3690" s="15" t="n">
        <v>20.46</v>
      </c>
      <c r="E3690" s="16" t="n">
        <v>66</v>
      </c>
      <c r="F3690" s="16">
        <f>D3690*E3690</f>
        <v/>
      </c>
    </row>
    <row r="3691">
      <c r="A3691" s="13" t="inlineStr">
        <is>
          <t>7390</t>
        </is>
      </c>
      <c r="B3691" s="14" t="inlineStr">
        <is>
          <t>EPDM Gasket for uPVC window i/c 5% wastage</t>
        </is>
      </c>
      <c r="C3691" s="13" t="inlineStr">
        <is>
          <t>metre</t>
        </is>
      </c>
      <c r="D3691" s="15" t="n">
        <v>20.76</v>
      </c>
      <c r="E3691" s="16" t="n">
        <v>19</v>
      </c>
      <c r="F3691" s="16">
        <f>D3691*E3691</f>
        <v/>
      </c>
    </row>
    <row r="3692">
      <c r="A3692" s="13" t="inlineStr">
        <is>
          <t>8773</t>
        </is>
      </c>
      <c r="B3692" s="14" t="inlineStr">
        <is>
          <t>Wool pile/ weather pile strip for uPVC sliding window i/c 5% wastage</t>
        </is>
      </c>
      <c r="C3692" s="13" t="inlineStr">
        <is>
          <t>metre</t>
        </is>
      </c>
      <c r="D3692" s="15" t="n">
        <v>27.72</v>
      </c>
      <c r="E3692" s="16" t="n">
        <v>20</v>
      </c>
      <c r="F3692" s="16">
        <f>D3692*E3692</f>
        <v/>
      </c>
    </row>
    <row r="3693">
      <c r="A3693" s="13" t="inlineStr">
        <is>
          <t>3995</t>
        </is>
      </c>
      <c r="B3693" s="14" t="inlineStr">
        <is>
          <t>G.I fasteners 100 x 8 mm</t>
        </is>
      </c>
      <c r="C3693" s="13" t="inlineStr">
        <is>
          <t>each</t>
        </is>
      </c>
      <c r="D3693" s="15" t="n">
        <v>12</v>
      </c>
      <c r="E3693" s="16" t="n">
        <v>14</v>
      </c>
      <c r="F3693" s="16">
        <f>D3693*E3693</f>
        <v/>
      </c>
    </row>
    <row r="3694">
      <c r="A3694" s="13" t="inlineStr">
        <is>
          <t>8751</t>
        </is>
      </c>
      <c r="B3694" s="14" t="inlineStr">
        <is>
          <t>Zinc alloy (white powder coated) touch lock with hook for uPVC window</t>
        </is>
      </c>
      <c r="C3694" s="13" t="inlineStr">
        <is>
          <t>each</t>
        </is>
      </c>
      <c r="D3694" s="15" t="n">
        <v>2</v>
      </c>
      <c r="E3694" s="16" t="n">
        <v>105</v>
      </c>
      <c r="F3694" s="16">
        <f>D3694*E3694</f>
        <v/>
      </c>
    </row>
    <row r="3695">
      <c r="A3695" s="13" t="inlineStr">
        <is>
          <t>8752</t>
        </is>
      </c>
      <c r="B3695" s="14" t="inlineStr">
        <is>
          <t>Zinc alloy body with single nylon roller (weight bearing capacity to be 40 Kg) for uPVC sliding window</t>
        </is>
      </c>
      <c r="C3695" s="13" t="inlineStr">
        <is>
          <t>each</t>
        </is>
      </c>
      <c r="D3695" s="15" t="n">
        <v>6</v>
      </c>
      <c r="E3695" s="16" t="n">
        <v>56</v>
      </c>
      <c r="F3695" s="16">
        <f>D3695*E3695</f>
        <v/>
      </c>
    </row>
    <row r="3696">
      <c r="A3696" s="13" t="inlineStr">
        <is>
          <t>0162</t>
        </is>
      </c>
      <c r="B3696" s="14" t="inlineStr">
        <is>
          <t>Labour for fabrication of uPVC extruded sliding windows including drilling holes, fixing of fittings &amp; hardwares, hire charges of drill machine and electricity charges etc.</t>
        </is>
      </c>
      <c r="C3696" s="13" t="inlineStr">
        <is>
          <t>sqm</t>
        </is>
      </c>
      <c r="D3696" s="15" t="n">
        <v>1.62</v>
      </c>
      <c r="E3696" s="16" t="n">
        <v>485</v>
      </c>
      <c r="F3696" s="16">
        <f>D3696*E3696</f>
        <v/>
      </c>
    </row>
    <row r="3697">
      <c r="A3697" s="13" t="inlineStr">
        <is>
          <t>0163</t>
        </is>
      </c>
      <c r="B3697" s="14" t="inlineStr">
        <is>
          <t>Labour for installation of uPVC extruded sliding windows including scaffolding</t>
        </is>
      </c>
      <c r="C3697" s="13" t="inlineStr">
        <is>
          <t>sqm</t>
        </is>
      </c>
      <c r="D3697" s="15" t="n">
        <v>1.62</v>
      </c>
      <c r="E3697" s="16" t="n">
        <v>430</v>
      </c>
      <c r="F3697" s="16">
        <f>D3697*E3697</f>
        <v/>
      </c>
    </row>
    <row r="3698">
      <c r="A3698" s="17" t="inlineStr">
        <is>
          <t>Resource Total (Material + Labour + Machinery, as printed)</t>
        </is>
      </c>
      <c r="B3698" s="18" t="n"/>
      <c r="C3698" s="18" t="n"/>
      <c r="D3698" s="18" t="n"/>
      <c r="E3698" s="18" t="n"/>
      <c r="F3698" s="19">
        <f>SUM(F3686:F3697)</f>
        <v/>
      </c>
    </row>
    <row r="3699">
      <c r="A3699" s="20" t="inlineStr">
        <is>
          <t>SAY (Rs.) — final DAR rate</t>
        </is>
      </c>
      <c r="B3699" s="21" t="n"/>
      <c r="C3699" s="21" t="n"/>
      <c r="D3699" s="21" t="n"/>
      <c r="E3699" s="21" t="n"/>
      <c r="F3699" s="22" t="n">
        <v>8954.200000000001</v>
      </c>
    </row>
    <row r="3701" ht="28" customHeight="1">
      <c r="A3701" s="9" t="inlineStr">
        <is>
          <t>9.147D.3</t>
        </is>
      </c>
      <c r="B3701" s="10" t="inlineStr">
        <is>
          <t>Two track two panels sliding window made of (big series) frame 67 x 50 mm &amp; sash 46 x 62 mm both having wall thickness of 2.3 ± 0.2 mm and s</t>
        </is>
      </c>
      <c r="C3701" s="11" t="n"/>
      <c r="D3701" s="11" t="n"/>
      <c r="E3701" s="11" t="n"/>
      <c r="F3701" s="11" t="n"/>
    </row>
    <row r="3702">
      <c r="A3702" s="12" t="inlineStr">
        <is>
          <t>Rate basis: per sqm  (source: cost for 2.03 sqm)</t>
        </is>
      </c>
    </row>
    <row r="3703">
      <c r="A3703" s="5" t="inlineStr">
        <is>
          <t>Code</t>
        </is>
      </c>
      <c r="B3703" s="5" t="inlineStr">
        <is>
          <t>Description</t>
        </is>
      </c>
      <c r="C3703" s="5" t="inlineStr">
        <is>
          <t>Unit</t>
        </is>
      </c>
      <c r="D3703" s="5" t="inlineStr">
        <is>
          <t>Quantity</t>
        </is>
      </c>
      <c r="E3703" s="5" t="inlineStr">
        <is>
          <t>Rate (Rs.)</t>
        </is>
      </c>
      <c r="F3703" s="5" t="inlineStr">
        <is>
          <t>Amount (Rs.)</t>
        </is>
      </c>
    </row>
    <row r="3704">
      <c r="A3704" s="13" t="inlineStr">
        <is>
          <t>8134</t>
        </is>
      </c>
      <c r="B3704" s="14" t="inlineStr">
        <is>
          <t>uPVC extruded (big series) 2 track sliding window frame size 67x50mm i/c 5% wastage</t>
        </is>
      </c>
      <c r="C3704" s="13" t="inlineStr">
        <is>
          <t>metre</t>
        </is>
      </c>
      <c r="D3704" s="15" t="n">
        <v>5.99</v>
      </c>
      <c r="E3704" s="16" t="n">
        <v>385</v>
      </c>
      <c r="F3704" s="16">
        <f>D3704*E3704</f>
        <v/>
      </c>
    </row>
    <row r="3705">
      <c r="A3705" s="13" t="inlineStr">
        <is>
          <t>8138</t>
        </is>
      </c>
      <c r="B3705" s="14" t="inlineStr">
        <is>
          <t>uPVC extruded (big series) 2 track sliding window sash size 46x62mm i/c 5% wastage</t>
        </is>
      </c>
      <c r="C3705" s="13" t="inlineStr">
        <is>
          <t>metre</t>
        </is>
      </c>
      <c r="D3705" s="15" t="n">
        <v>8.359999999999999</v>
      </c>
      <c r="E3705" s="16" t="n">
        <v>325</v>
      </c>
      <c r="F3705" s="16">
        <f>D3705*E3705</f>
        <v/>
      </c>
    </row>
    <row r="3706">
      <c r="A3706" s="13" t="inlineStr">
        <is>
          <t>8141</t>
        </is>
      </c>
      <c r="B3706" s="14" t="inlineStr">
        <is>
          <t>uPVC extruded interlock of appropriate dimension for big series sliding window sash i/c 5% wastage</t>
        </is>
      </c>
      <c r="C3706" s="13" t="inlineStr">
        <is>
          <t>metre</t>
        </is>
      </c>
      <c r="D3706" s="15" t="n">
        <v>2.65</v>
      </c>
      <c r="E3706" s="16" t="n">
        <v>90</v>
      </c>
      <c r="F3706" s="16">
        <f>D3706*E3706</f>
        <v/>
      </c>
    </row>
    <row r="3707">
      <c r="A3707" s="13" t="inlineStr">
        <is>
          <t>8132</t>
        </is>
      </c>
      <c r="B3707" s="14" t="inlineStr">
        <is>
          <t>uPVC extruded glazing bead of appropriate dimension for big series of sliding window Sash i/c 5% wastage</t>
        </is>
      </c>
      <c r="C3707" s="13" t="inlineStr">
        <is>
          <t>metre</t>
        </is>
      </c>
      <c r="D3707" s="15" t="n">
        <v>7.64</v>
      </c>
      <c r="E3707" s="16" t="n">
        <v>85</v>
      </c>
      <c r="F3707" s="16">
        <f>D3707*E3707</f>
        <v/>
      </c>
    </row>
    <row r="3708">
      <c r="A3708" s="13" t="inlineStr">
        <is>
          <t>3992</t>
        </is>
      </c>
      <c r="B3708" s="14" t="inlineStr">
        <is>
          <t>Galvanized iron (1.6 ± 0.2 mm) thick reinforcement for big series sliding window frame (2 track sliding window frame i/c 5% wastage)</t>
        </is>
      </c>
      <c r="C3708" s="13" t="inlineStr">
        <is>
          <t>metre</t>
        </is>
      </c>
      <c r="D3708" s="15" t="n">
        <v>5.69</v>
      </c>
      <c r="E3708" s="16" t="n">
        <v>71</v>
      </c>
      <c r="F3708" s="16">
        <f>D3708*E3708</f>
        <v/>
      </c>
    </row>
    <row r="3709">
      <c r="A3709" s="13" t="inlineStr">
        <is>
          <t>3994</t>
        </is>
      </c>
      <c r="B3709" s="14" t="inlineStr">
        <is>
          <t>Galvanized iron (1.6 ± 0.2 mm) thick reinforcement for big series sliding window sash (2 track sliding window sash i/c 5% wastage)</t>
        </is>
      </c>
      <c r="C3709" s="13" t="inlineStr">
        <is>
          <t>metre</t>
        </is>
      </c>
      <c r="D3709" s="15" t="n">
        <v>7.76</v>
      </c>
      <c r="E3709" s="16" t="n">
        <v>86</v>
      </c>
      <c r="F3709" s="16">
        <f>D3709*E3709</f>
        <v/>
      </c>
    </row>
    <row r="3710">
      <c r="A3710" s="13" t="inlineStr">
        <is>
          <t>7390</t>
        </is>
      </c>
      <c r="B3710" s="14" t="inlineStr">
        <is>
          <t>EPDM Gasket for uPVC window i/c 5% wastage</t>
        </is>
      </c>
      <c r="C3710" s="13" t="inlineStr">
        <is>
          <t>metre</t>
        </is>
      </c>
      <c r="D3710" s="15" t="n">
        <v>15.28</v>
      </c>
      <c r="E3710" s="16" t="n">
        <v>19</v>
      </c>
      <c r="F3710" s="16">
        <f>D3710*E3710</f>
        <v/>
      </c>
    </row>
    <row r="3711">
      <c r="A3711" s="13" t="inlineStr">
        <is>
          <t>8773</t>
        </is>
      </c>
      <c r="B3711" s="14" t="inlineStr">
        <is>
          <t>Wool pile/ weather pile strip for uPVC sliding window i/c 5% wastage</t>
        </is>
      </c>
      <c r="C3711" s="13" t="inlineStr">
        <is>
          <t>metre</t>
        </is>
      </c>
      <c r="D3711" s="15" t="n">
        <v>19.37</v>
      </c>
      <c r="E3711" s="16" t="n">
        <v>20</v>
      </c>
      <c r="F3711" s="16">
        <f>D3711*E3711</f>
        <v/>
      </c>
    </row>
    <row r="3712">
      <c r="A3712" s="13" t="inlineStr">
        <is>
          <t>3995</t>
        </is>
      </c>
      <c r="B3712" s="14" t="inlineStr">
        <is>
          <t>G.I fasteners 100 x 8 mm</t>
        </is>
      </c>
      <c r="C3712" s="13" t="inlineStr">
        <is>
          <t>each</t>
        </is>
      </c>
      <c r="D3712" s="15" t="n">
        <v>14</v>
      </c>
      <c r="E3712" s="16" t="n">
        <v>14</v>
      </c>
      <c r="F3712" s="16">
        <f>D3712*E3712</f>
        <v/>
      </c>
    </row>
    <row r="3713">
      <c r="A3713" s="13" t="inlineStr">
        <is>
          <t>8751</t>
        </is>
      </c>
      <c r="B3713" s="14" t="inlineStr">
        <is>
          <t>Zinc alloy (white powder coated) touch lock with hook for uPVC window</t>
        </is>
      </c>
      <c r="C3713" s="13" t="inlineStr">
        <is>
          <t>each</t>
        </is>
      </c>
      <c r="D3713" s="15" t="n">
        <v>2</v>
      </c>
      <c r="E3713" s="16" t="n">
        <v>105</v>
      </c>
      <c r="F3713" s="16">
        <f>D3713*E3713</f>
        <v/>
      </c>
    </row>
    <row r="3714">
      <c r="A3714" s="13" t="inlineStr">
        <is>
          <t>8752</t>
        </is>
      </c>
      <c r="B3714" s="14" t="inlineStr">
        <is>
          <t>Zinc alloy body with single nylon roller (weight bearing capacity to be 40 Kg) for uPVC sliding window</t>
        </is>
      </c>
      <c r="C3714" s="13" t="inlineStr">
        <is>
          <t>each</t>
        </is>
      </c>
      <c r="D3714" s="15" t="n">
        <v>4</v>
      </c>
      <c r="E3714" s="16" t="n">
        <v>56</v>
      </c>
      <c r="F3714" s="16">
        <f>D3714*E3714</f>
        <v/>
      </c>
    </row>
    <row r="3715">
      <c r="A3715" s="13" t="inlineStr">
        <is>
          <t>0162</t>
        </is>
      </c>
      <c r="B3715" s="14" t="inlineStr">
        <is>
          <t>Labour for fabrication of uPVC extruded sliding windows including drilling holes, fixing of fittings &amp; hardwares, hire charges of drill machine and electricity charges etc.</t>
        </is>
      </c>
      <c r="C3715" s="13" t="inlineStr">
        <is>
          <t>sqm</t>
        </is>
      </c>
      <c r="D3715" s="15" t="n">
        <v>2.03</v>
      </c>
      <c r="E3715" s="16" t="n">
        <v>485</v>
      </c>
      <c r="F3715" s="16">
        <f>D3715*E3715</f>
        <v/>
      </c>
    </row>
    <row r="3716">
      <c r="A3716" s="13" t="inlineStr">
        <is>
          <t>0163</t>
        </is>
      </c>
      <c r="B3716" s="14" t="inlineStr">
        <is>
          <t>Labour for installation of uPVC extruded sliding windows including scaffolding</t>
        </is>
      </c>
      <c r="C3716" s="13" t="inlineStr">
        <is>
          <t>sqm</t>
        </is>
      </c>
      <c r="D3716" s="15" t="n">
        <v>2.03</v>
      </c>
      <c r="E3716" s="16" t="n">
        <v>430</v>
      </c>
      <c r="F3716" s="16">
        <f>D3716*E3716</f>
        <v/>
      </c>
    </row>
    <row r="3717">
      <c r="A3717" s="17" t="inlineStr">
        <is>
          <t>Resource Total (Material + Labour + Machinery, as printed)</t>
        </is>
      </c>
      <c r="B3717" s="18" t="n"/>
      <c r="C3717" s="18" t="n"/>
      <c r="D3717" s="18" t="n"/>
      <c r="E3717" s="18" t="n"/>
      <c r="F3717" s="19">
        <f>SUM(F3704:F3716)</f>
        <v/>
      </c>
    </row>
    <row r="3718">
      <c r="A3718" s="20" t="inlineStr">
        <is>
          <t>SAY (Rs.) — final DAR rate</t>
        </is>
      </c>
      <c r="B3718" s="21" t="n"/>
      <c r="C3718" s="21" t="n"/>
      <c r="D3718" s="21" t="n"/>
      <c r="E3718" s="21" t="n"/>
      <c r="F3718" s="22" t="n">
        <v>6912.15</v>
      </c>
    </row>
    <row r="3720" ht="28" customHeight="1">
      <c r="A3720" s="9" t="inlineStr">
        <is>
          <t>9.147D.4</t>
        </is>
      </c>
      <c r="B3720" s="10" t="inlineStr">
        <is>
          <t>Three track three panels sliding window with fly proof S.S wire mesh (Two nos. glazed &amp; one no. wire mesh panels) made of (big series) frame</t>
        </is>
      </c>
      <c r="C3720" s="11" t="n"/>
      <c r="D3720" s="11" t="n"/>
      <c r="E3720" s="11" t="n"/>
      <c r="F3720" s="11" t="n"/>
    </row>
    <row r="3721">
      <c r="A3721" s="12" t="inlineStr">
        <is>
          <t>Rate basis: per sqm  (source: cost for 2.43 sqm)</t>
        </is>
      </c>
    </row>
    <row r="3722">
      <c r="A3722" s="5" t="inlineStr">
        <is>
          <t>Code</t>
        </is>
      </c>
      <c r="B3722" s="5" t="inlineStr">
        <is>
          <t>Description</t>
        </is>
      </c>
      <c r="C3722" s="5" t="inlineStr">
        <is>
          <t>Unit</t>
        </is>
      </c>
      <c r="D3722" s="5" t="inlineStr">
        <is>
          <t>Quantity</t>
        </is>
      </c>
      <c r="E3722" s="5" t="inlineStr">
        <is>
          <t>Rate (Rs.)</t>
        </is>
      </c>
      <c r="F3722" s="5" t="inlineStr">
        <is>
          <t>Amount (Rs.)</t>
        </is>
      </c>
    </row>
    <row r="3723">
      <c r="A3723" s="13" t="inlineStr">
        <is>
          <t>8136</t>
        </is>
      </c>
      <c r="B3723" s="14" t="inlineStr">
        <is>
          <t>uPVC extruded (big series) 3 track sliding window frame size 116x45mm i/c 5% wastage</t>
        </is>
      </c>
      <c r="C3723" s="13" t="inlineStr">
        <is>
          <t>metre</t>
        </is>
      </c>
      <c r="D3723" s="15" t="n">
        <v>6.62</v>
      </c>
      <c r="E3723" s="16" t="n">
        <v>530</v>
      </c>
      <c r="F3723" s="16">
        <f>D3723*E3723</f>
        <v/>
      </c>
    </row>
    <row r="3724">
      <c r="A3724" s="13" t="inlineStr">
        <is>
          <t>8139</t>
        </is>
      </c>
      <c r="B3724" s="14" t="inlineStr">
        <is>
          <t>uPVC extruded (big series) 3 track sliding window sash size 46x62mm i/c 5% wastage</t>
        </is>
      </c>
      <c r="C3724" s="13" t="inlineStr">
        <is>
          <t>metre</t>
        </is>
      </c>
      <c r="D3724" s="15" t="n">
        <v>13.49</v>
      </c>
      <c r="E3724" s="16" t="n">
        <v>325</v>
      </c>
      <c r="F3724" s="16">
        <f>D3724*E3724</f>
        <v/>
      </c>
    </row>
    <row r="3725">
      <c r="A3725" s="13" t="inlineStr">
        <is>
          <t>8141</t>
        </is>
      </c>
      <c r="B3725" s="14" t="inlineStr">
        <is>
          <t>uPVC extruded interlock of appropriate dimension for big series sliding window sash i/c 5% wastage</t>
        </is>
      </c>
      <c r="C3725" s="13" t="inlineStr">
        <is>
          <t>metre</t>
        </is>
      </c>
      <c r="D3725" s="15" t="n">
        <v>3.98</v>
      </c>
      <c r="E3725" s="16" t="n">
        <v>90</v>
      </c>
      <c r="F3725" s="16">
        <f>D3725*E3725</f>
        <v/>
      </c>
    </row>
    <row r="3726">
      <c r="A3726" s="13" t="inlineStr">
        <is>
          <t>8132</t>
        </is>
      </c>
      <c r="B3726" s="14" t="inlineStr">
        <is>
          <t>uPVC extruded glazing bead of appropriate dimension for big series of sliding window Sash i/c 5% wastage</t>
        </is>
      </c>
      <c r="C3726" s="13" t="inlineStr">
        <is>
          <t>metre</t>
        </is>
      </c>
      <c r="D3726" s="15" t="n">
        <v>11.91</v>
      </c>
      <c r="E3726" s="16" t="n">
        <v>85</v>
      </c>
      <c r="F3726" s="16">
        <f>D3726*E3726</f>
        <v/>
      </c>
    </row>
    <row r="3727">
      <c r="A3727" s="13" t="inlineStr">
        <is>
          <t>3992</t>
        </is>
      </c>
      <c r="B3727" s="14" t="inlineStr">
        <is>
          <t>Galvanized iron (1.6 ± 0.2 mm) thick reinforcement for big series sliding window frame (3 track sliding window frame i/c 5% wastage)</t>
        </is>
      </c>
      <c r="C3727" s="13" t="inlineStr">
        <is>
          <t>metre</t>
        </is>
      </c>
      <c r="D3727" s="15" t="n">
        <v>12.64</v>
      </c>
      <c r="E3727" s="16" t="n">
        <v>71</v>
      </c>
      <c r="F3727" s="16">
        <f>D3727*E3727</f>
        <v/>
      </c>
    </row>
    <row r="3728">
      <c r="A3728" s="13" t="inlineStr">
        <is>
          <t>3994</t>
        </is>
      </c>
      <c r="B3728" s="14" t="inlineStr">
        <is>
          <t>Galvanized iron (1.6 ± 0.2 mm) thick reinforcement for big series sliding window sash (3 track sliding window sash i/c 5% wastage)</t>
        </is>
      </c>
      <c r="C3728" s="13" t="inlineStr">
        <is>
          <t>metre</t>
        </is>
      </c>
      <c r="D3728" s="15" t="n">
        <v>12.59</v>
      </c>
      <c r="E3728" s="16" t="n">
        <v>86</v>
      </c>
      <c r="F3728" s="16">
        <f>D3728*E3728</f>
        <v/>
      </c>
    </row>
    <row r="3729">
      <c r="A3729" s="13" t="inlineStr">
        <is>
          <t>7390</t>
        </is>
      </c>
      <c r="B3729" s="14" t="inlineStr">
        <is>
          <t>EPDM Gasket for uPVC window i/c 5% wastage</t>
        </is>
      </c>
      <c r="C3729" s="13" t="inlineStr">
        <is>
          <t>metre</t>
        </is>
      </c>
      <c r="D3729" s="15" t="n">
        <v>23.81</v>
      </c>
      <c r="E3729" s="16" t="n">
        <v>19</v>
      </c>
      <c r="F3729" s="16">
        <f>D3729*E3729</f>
        <v/>
      </c>
    </row>
    <row r="3730">
      <c r="A3730" s="13" t="inlineStr">
        <is>
          <t>8773</t>
        </is>
      </c>
      <c r="B3730" s="14" t="inlineStr">
        <is>
          <t>Wool pile/ weather pile strip for uPVC sliding window i/c 5% wastage</t>
        </is>
      </c>
      <c r="C3730" s="13" t="inlineStr">
        <is>
          <t>metre</t>
        </is>
      </c>
      <c r="D3730" s="15" t="n">
        <v>30.96</v>
      </c>
      <c r="E3730" s="16" t="n">
        <v>20</v>
      </c>
      <c r="F3730" s="16">
        <f>D3730*E3730</f>
        <v/>
      </c>
    </row>
    <row r="3731">
      <c r="A3731" s="13" t="inlineStr">
        <is>
          <t>3995</t>
        </is>
      </c>
      <c r="B3731" s="14" t="inlineStr">
        <is>
          <t>G.I fasteners 100 x 8 mm</t>
        </is>
      </c>
      <c r="C3731" s="13" t="inlineStr">
        <is>
          <t>each</t>
        </is>
      </c>
      <c r="D3731" s="15" t="n">
        <v>16</v>
      </c>
      <c r="E3731" s="16" t="n">
        <v>14</v>
      </c>
      <c r="F3731" s="16">
        <f>D3731*E3731</f>
        <v/>
      </c>
    </row>
    <row r="3732">
      <c r="A3732" s="13" t="inlineStr">
        <is>
          <t>8751</t>
        </is>
      </c>
      <c r="B3732" s="14" t="inlineStr">
        <is>
          <t>Zinc alloy (white powder coated) touch lock with hook for uPVC window</t>
        </is>
      </c>
      <c r="C3732" s="13" t="inlineStr">
        <is>
          <t>each</t>
        </is>
      </c>
      <c r="D3732" s="15" t="n">
        <v>2</v>
      </c>
      <c r="E3732" s="16" t="n">
        <v>105</v>
      </c>
      <c r="F3732" s="16">
        <f>D3732*E3732</f>
        <v/>
      </c>
    </row>
    <row r="3733">
      <c r="A3733" s="13" t="inlineStr">
        <is>
          <t>8752</t>
        </is>
      </c>
      <c r="B3733" s="14" t="inlineStr">
        <is>
          <t>Zinc alloy body with single nylon roller (weight bearing capacity to be 40 Kg) for uPVC sliding window</t>
        </is>
      </c>
      <c r="C3733" s="13" t="inlineStr">
        <is>
          <t>each</t>
        </is>
      </c>
      <c r="D3733" s="15" t="n">
        <v>6</v>
      </c>
      <c r="E3733" s="16" t="n">
        <v>56</v>
      </c>
      <c r="F3733" s="16">
        <f>D3733*E3733</f>
        <v/>
      </c>
    </row>
    <row r="3734">
      <c r="A3734" s="13" t="inlineStr">
        <is>
          <t>0162</t>
        </is>
      </c>
      <c r="B3734" s="14" t="inlineStr">
        <is>
          <t>Labour for fabrication of uPVC extruded sliding windows including drilling holes, fixing of fittings &amp; hardwares, hire charges of drill machine and electricity charges etc.</t>
        </is>
      </c>
      <c r="C3734" s="13" t="inlineStr">
        <is>
          <t>sqm</t>
        </is>
      </c>
      <c r="D3734" s="15" t="n">
        <v>2.43</v>
      </c>
      <c r="E3734" s="16" t="n">
        <v>485</v>
      </c>
      <c r="F3734" s="16">
        <f>D3734*E3734</f>
        <v/>
      </c>
    </row>
    <row r="3735">
      <c r="A3735" s="13" t="inlineStr">
        <is>
          <t>0163</t>
        </is>
      </c>
      <c r="B3735" s="14" t="inlineStr">
        <is>
          <t>Labour for installation of uPVC extruded casement/ sliding windows including scaffolding</t>
        </is>
      </c>
      <c r="C3735" s="13" t="inlineStr">
        <is>
          <t>sqm</t>
        </is>
      </c>
      <c r="D3735" s="15" t="n">
        <v>2.43</v>
      </c>
      <c r="E3735" s="16" t="n">
        <v>430</v>
      </c>
      <c r="F3735" s="16">
        <f>D3735*E3735</f>
        <v/>
      </c>
    </row>
    <row r="3736">
      <c r="A3736" s="17" t="inlineStr">
        <is>
          <t>Resource Total (Material + Labour + Machinery, as printed)</t>
        </is>
      </c>
      <c r="B3736" s="18" t="n"/>
      <c r="C3736" s="18" t="n"/>
      <c r="D3736" s="18" t="n"/>
      <c r="E3736" s="18" t="n"/>
      <c r="F3736" s="19">
        <f>SUM(F3723:F3735)</f>
        <v/>
      </c>
    </row>
    <row r="3737">
      <c r="A3737" s="20" t="inlineStr">
        <is>
          <t>SAY (Rs.) — final DAR rate</t>
        </is>
      </c>
      <c r="B3737" s="21" t="n"/>
      <c r="C3737" s="21" t="n"/>
      <c r="D3737" s="21" t="n"/>
      <c r="E3737" s="21" t="n"/>
      <c r="F3737" s="22" t="n">
        <v>8616</v>
      </c>
    </row>
    <row r="3739" ht="28" customHeight="1">
      <c r="A3739" s="9" t="inlineStr">
        <is>
          <t>9.147D.5</t>
        </is>
      </c>
      <c r="B3739" s="10" t="inlineStr">
        <is>
          <t xml:space="preserve">Three track three panels sliding window made of (big series) frame 116 x 45 mm &amp; sash 46 x 62 mm both having wall thickness of 2.3 ± 0.2 mm </t>
        </is>
      </c>
      <c r="C3739" s="11" t="n"/>
      <c r="D3739" s="11" t="n"/>
      <c r="E3739" s="11" t="n"/>
      <c r="F3739" s="11" t="n"/>
    </row>
    <row r="3740">
      <c r="A3740" s="12" t="inlineStr">
        <is>
          <t>Rate basis: per sqm  (source: cost for 2.43 sqm)</t>
        </is>
      </c>
    </row>
    <row r="3741">
      <c r="A3741" s="5" t="inlineStr">
        <is>
          <t>Code</t>
        </is>
      </c>
      <c r="B3741" s="5" t="inlineStr">
        <is>
          <t>Description</t>
        </is>
      </c>
      <c r="C3741" s="5" t="inlineStr">
        <is>
          <t>Unit</t>
        </is>
      </c>
      <c r="D3741" s="5" t="inlineStr">
        <is>
          <t>Quantity</t>
        </is>
      </c>
      <c r="E3741" s="5" t="inlineStr">
        <is>
          <t>Rate (Rs.)</t>
        </is>
      </c>
      <c r="F3741" s="5" t="inlineStr">
        <is>
          <t>Amount (Rs.)</t>
        </is>
      </c>
    </row>
    <row r="3742">
      <c r="A3742" s="13" t="inlineStr">
        <is>
          <t>8136</t>
        </is>
      </c>
      <c r="B3742" s="14" t="inlineStr">
        <is>
          <t>uPVC extruded (big series) 3 track sliding window frame size 116x45mm i/c 5% wastage</t>
        </is>
      </c>
      <c r="C3742" s="13" t="inlineStr">
        <is>
          <t>metre</t>
        </is>
      </c>
      <c r="D3742" s="15" t="n">
        <v>6.62</v>
      </c>
      <c r="E3742" s="16" t="n">
        <v>530</v>
      </c>
      <c r="F3742" s="16">
        <f>D3742*E3742</f>
        <v/>
      </c>
    </row>
    <row r="3743">
      <c r="A3743" s="13" t="inlineStr">
        <is>
          <t>8139</t>
        </is>
      </c>
      <c r="B3743" s="14" t="inlineStr">
        <is>
          <t>uPVC extruded (big series) 3 track sliding window sash size 46x62mm i/c 5% wastage</t>
        </is>
      </c>
      <c r="C3743" s="13" t="inlineStr">
        <is>
          <t>metre</t>
        </is>
      </c>
      <c r="D3743" s="15" t="n">
        <v>11.85</v>
      </c>
      <c r="E3743" s="16" t="n">
        <v>325</v>
      </c>
      <c r="F3743" s="16">
        <f>D3743*E3743</f>
        <v/>
      </c>
    </row>
    <row r="3744">
      <c r="A3744" s="13" t="inlineStr">
        <is>
          <t>8141</t>
        </is>
      </c>
      <c r="B3744" s="14" t="inlineStr">
        <is>
          <t>uPVC extruded interlock of appropriate dimension for big series sliding window sash i/c 5% wastage</t>
        </is>
      </c>
      <c r="C3744" s="13" t="inlineStr">
        <is>
          <t>metre</t>
        </is>
      </c>
      <c r="D3744" s="15" t="n">
        <v>5.3</v>
      </c>
      <c r="E3744" s="16" t="n">
        <v>90</v>
      </c>
      <c r="F3744" s="16">
        <f>D3744*E3744</f>
        <v/>
      </c>
    </row>
    <row r="3745">
      <c r="A3745" s="13" t="inlineStr">
        <is>
          <t>8132</t>
        </is>
      </c>
      <c r="B3745" s="14" t="inlineStr">
        <is>
          <t>uPVC extruded glazing bead of appropriate dimension for big series of sliding window Sash i/c 5% wastage</t>
        </is>
      </c>
      <c r="C3745" s="13" t="inlineStr">
        <is>
          <t>metre</t>
        </is>
      </c>
      <c r="D3745" s="15" t="n">
        <v>10.26</v>
      </c>
      <c r="E3745" s="16" t="n">
        <v>85</v>
      </c>
      <c r="F3745" s="16">
        <f>D3745*E3745</f>
        <v/>
      </c>
    </row>
    <row r="3746">
      <c r="A3746" s="13" t="inlineStr">
        <is>
          <t>3992</t>
        </is>
      </c>
      <c r="B3746" s="14" t="inlineStr">
        <is>
          <t>Galvanized iron (1.6 ± 0.2 mm) thick reinforcement for big series sliding window frame (3 track sliding window frame i/c 5% wastage)</t>
        </is>
      </c>
      <c r="C3746" s="13" t="inlineStr">
        <is>
          <t>metre</t>
        </is>
      </c>
      <c r="D3746" s="15" t="n">
        <v>12.64</v>
      </c>
      <c r="E3746" s="16" t="n">
        <v>71</v>
      </c>
      <c r="F3746" s="16">
        <f>D3746*E3746</f>
        <v/>
      </c>
    </row>
    <row r="3747">
      <c r="A3747" s="13" t="inlineStr">
        <is>
          <t>3994</t>
        </is>
      </c>
      <c r="B3747" s="14" t="inlineStr">
        <is>
          <t>Galvanized iron (1.6 ± 0.2 mm) thick reinforcement for big series sliding window sash (3 track sliding window sash i/c 5% wastage)</t>
        </is>
      </c>
      <c r="C3747" s="13" t="inlineStr">
        <is>
          <t>metre</t>
        </is>
      </c>
      <c r="D3747" s="15" t="n">
        <v>10.95</v>
      </c>
      <c r="E3747" s="16" t="n">
        <v>86</v>
      </c>
      <c r="F3747" s="16">
        <f>D3747*E3747</f>
        <v/>
      </c>
    </row>
    <row r="3748">
      <c r="A3748" s="13" t="inlineStr">
        <is>
          <t>7390</t>
        </is>
      </c>
      <c r="B3748" s="14" t="inlineStr">
        <is>
          <t>EPDM Gasket for uPVC window i/c 5% wastage</t>
        </is>
      </c>
      <c r="C3748" s="13" t="inlineStr">
        <is>
          <t>metre</t>
        </is>
      </c>
      <c r="D3748" s="15" t="n">
        <v>20.52</v>
      </c>
      <c r="E3748" s="16" t="n">
        <v>19</v>
      </c>
      <c r="F3748" s="16">
        <f>D3748*E3748</f>
        <v/>
      </c>
    </row>
    <row r="3749">
      <c r="A3749" s="13" t="inlineStr">
        <is>
          <t>8773</t>
        </is>
      </c>
      <c r="B3749" s="14" t="inlineStr">
        <is>
          <t>Wool pile/ weather pile strip for uPVC sliding window i/c 5% wastage</t>
        </is>
      </c>
      <c r="C3749" s="13" t="inlineStr">
        <is>
          <t>metre</t>
        </is>
      </c>
      <c r="D3749" s="15" t="n">
        <v>29</v>
      </c>
      <c r="E3749" s="16" t="n">
        <v>20</v>
      </c>
      <c r="F3749" s="16">
        <f>D3749*E3749</f>
        <v/>
      </c>
    </row>
    <row r="3750">
      <c r="A3750" s="13" t="inlineStr">
        <is>
          <t>3995</t>
        </is>
      </c>
      <c r="B3750" s="14" t="inlineStr">
        <is>
          <t>G.I fasteners 100 x 8 mm</t>
        </is>
      </c>
      <c r="C3750" s="13" t="inlineStr">
        <is>
          <t>each</t>
        </is>
      </c>
      <c r="D3750" s="15" t="n">
        <v>16</v>
      </c>
      <c r="E3750" s="16" t="n">
        <v>14</v>
      </c>
      <c r="F3750" s="16">
        <f>D3750*E3750</f>
        <v/>
      </c>
    </row>
    <row r="3751">
      <c r="A3751" s="13" t="inlineStr">
        <is>
          <t>8751</t>
        </is>
      </c>
      <c r="B3751" s="14" t="inlineStr">
        <is>
          <t>Zinc alloy (white powder coated) touch lock with hook for uPVC window</t>
        </is>
      </c>
      <c r="C3751" s="13" t="inlineStr">
        <is>
          <t>each</t>
        </is>
      </c>
      <c r="D3751" s="15" t="n">
        <v>2</v>
      </c>
      <c r="E3751" s="16" t="n">
        <v>105</v>
      </c>
      <c r="F3751" s="16">
        <f>D3751*E3751</f>
        <v/>
      </c>
    </row>
    <row r="3752">
      <c r="A3752" s="13" t="inlineStr">
        <is>
          <t>8752</t>
        </is>
      </c>
      <c r="B3752" s="14" t="inlineStr">
        <is>
          <t>Zinc alloy body with single nylon roller (weight bearing capacity to be 40 Kg) for uPVC sliding window</t>
        </is>
      </c>
      <c r="C3752" s="13" t="inlineStr">
        <is>
          <t>each</t>
        </is>
      </c>
      <c r="D3752" s="15" t="n">
        <v>6</v>
      </c>
      <c r="E3752" s="16" t="n">
        <v>56</v>
      </c>
      <c r="F3752" s="16">
        <f>D3752*E3752</f>
        <v/>
      </c>
    </row>
    <row r="3753">
      <c r="A3753" s="13" t="inlineStr">
        <is>
          <t>0162</t>
        </is>
      </c>
      <c r="B3753" s="14" t="inlineStr">
        <is>
          <t>Labour for fabrication of uPVC extruded sliding windows including drilling holes, fixing of fittings &amp; hardwares, hire charges of drill machine and electricity charges etc.</t>
        </is>
      </c>
      <c r="C3753" s="13" t="inlineStr">
        <is>
          <t>sqm</t>
        </is>
      </c>
      <c r="D3753" s="15" t="n">
        <v>2.43</v>
      </c>
      <c r="E3753" s="16" t="n">
        <v>485</v>
      </c>
      <c r="F3753" s="16">
        <f>D3753*E3753</f>
        <v/>
      </c>
    </row>
    <row r="3754">
      <c r="A3754" s="13" t="inlineStr">
        <is>
          <t>0163</t>
        </is>
      </c>
      <c r="B3754" s="14" t="inlineStr">
        <is>
          <t>Labour for installation of uPVC extruded sliding windows including scaffolding</t>
        </is>
      </c>
      <c r="C3754" s="13" t="inlineStr">
        <is>
          <t>sqm</t>
        </is>
      </c>
      <c r="D3754" s="15" t="n">
        <v>2.43</v>
      </c>
      <c r="E3754" s="16" t="n">
        <v>430</v>
      </c>
      <c r="F3754" s="16">
        <f>D3754*E3754</f>
        <v/>
      </c>
    </row>
    <row r="3755">
      <c r="A3755" s="17" t="inlineStr">
        <is>
          <t>Resource Total (Material + Labour + Machinery, as printed)</t>
        </is>
      </c>
      <c r="B3755" s="18" t="n"/>
      <c r="C3755" s="18" t="n"/>
      <c r="D3755" s="18" t="n"/>
      <c r="E3755" s="18" t="n"/>
      <c r="F3755" s="19">
        <f>SUM(F3742:F3754)</f>
        <v/>
      </c>
    </row>
    <row r="3756">
      <c r="A3756" s="20" t="inlineStr">
        <is>
          <t>SAY (Rs.) — final DAR rate</t>
        </is>
      </c>
      <c r="B3756" s="21" t="n"/>
      <c r="C3756" s="21" t="n"/>
      <c r="D3756" s="21" t="n"/>
      <c r="E3756" s="21" t="n"/>
      <c r="F3756" s="22" t="n">
        <v>8177.05</v>
      </c>
    </row>
    <row r="3758" ht="28" customHeight="1">
      <c r="A3758" s="9" t="inlineStr">
        <is>
          <t>9.147E.1</t>
        </is>
      </c>
      <c r="B3758" s="10" t="inlineStr">
        <is>
          <t>Two track two panels sliding window made of (big series) frame 67 x 50 mm &amp; sash 46 x 62 mm both having wall thickness of 2.3 ± 0.2 mm and s</t>
        </is>
      </c>
      <c r="C3758" s="11" t="n"/>
      <c r="D3758" s="11" t="n"/>
      <c r="E3758" s="11" t="n"/>
      <c r="F3758" s="11" t="n"/>
    </row>
    <row r="3759">
      <c r="A3759" s="12" t="inlineStr">
        <is>
          <t>Rate basis: per sqm  (source: cost for 3.6 sqm)</t>
        </is>
      </c>
    </row>
    <row r="3760">
      <c r="A3760" s="5" t="inlineStr">
        <is>
          <t>Code</t>
        </is>
      </c>
      <c r="B3760" s="5" t="inlineStr">
        <is>
          <t>Description</t>
        </is>
      </c>
      <c r="C3760" s="5" t="inlineStr">
        <is>
          <t>Unit</t>
        </is>
      </c>
      <c r="D3760" s="5" t="inlineStr">
        <is>
          <t>Quantity</t>
        </is>
      </c>
      <c r="E3760" s="5" t="inlineStr">
        <is>
          <t>Rate (Rs.)</t>
        </is>
      </c>
      <c r="F3760" s="5" t="inlineStr">
        <is>
          <t>Amount (Rs.)</t>
        </is>
      </c>
    </row>
    <row r="3761">
      <c r="A3761" s="13" t="inlineStr">
        <is>
          <t>8134</t>
        </is>
      </c>
      <c r="B3761" s="14" t="inlineStr">
        <is>
          <t>uPVC extruded (big series) 2 track sliding window frame size 67x50mm i/c 5% wastage</t>
        </is>
      </c>
      <c r="C3761" s="13" t="inlineStr">
        <is>
          <t>metre</t>
        </is>
      </c>
      <c r="D3761" s="15" t="n">
        <v>8.19</v>
      </c>
      <c r="E3761" s="16" t="n">
        <v>385</v>
      </c>
      <c r="F3761" s="16">
        <f>D3761*E3761</f>
        <v/>
      </c>
    </row>
    <row r="3762">
      <c r="A3762" s="13" t="inlineStr">
        <is>
          <t>8138</t>
        </is>
      </c>
      <c r="B3762" s="14" t="inlineStr">
        <is>
          <t>uPVC extruded (big series) 2 track sliding window sash size 46x62mm i/c 5% wastage</t>
        </is>
      </c>
      <c r="C3762" s="13" t="inlineStr">
        <is>
          <t>metre</t>
        </is>
      </c>
      <c r="D3762" s="15" t="n">
        <v>12.77</v>
      </c>
      <c r="E3762" s="16" t="n">
        <v>325</v>
      </c>
      <c r="F3762" s="16">
        <f>D3762*E3762</f>
        <v/>
      </c>
    </row>
    <row r="3763">
      <c r="A3763" s="13" t="inlineStr">
        <is>
          <t>8141</t>
        </is>
      </c>
      <c r="B3763" s="14" t="inlineStr">
        <is>
          <t>uPVC extruded interlock of appropriate dimension for big series sliding window sash i/c 5% wastage</t>
        </is>
      </c>
      <c r="C3763" s="13" t="inlineStr">
        <is>
          <t>metre</t>
        </is>
      </c>
      <c r="D3763" s="15" t="n">
        <v>4.86</v>
      </c>
      <c r="E3763" s="16" t="n">
        <v>90</v>
      </c>
      <c r="F3763" s="16">
        <f>D3763*E3763</f>
        <v/>
      </c>
    </row>
    <row r="3764">
      <c r="A3764" s="13" t="inlineStr">
        <is>
          <t>8132</t>
        </is>
      </c>
      <c r="B3764" s="14" t="inlineStr">
        <is>
          <t>uPVC extruded glazing bead of appropriate dimension for big series of sliding window Sash i/c 5% wastage</t>
        </is>
      </c>
      <c r="C3764" s="13" t="inlineStr">
        <is>
          <t>metre</t>
        </is>
      </c>
      <c r="D3764" s="15" t="n">
        <v>12.04</v>
      </c>
      <c r="E3764" s="16" t="n">
        <v>85</v>
      </c>
      <c r="F3764" s="16">
        <f>D3764*E3764</f>
        <v/>
      </c>
    </row>
    <row r="3765">
      <c r="A3765" s="13" t="inlineStr">
        <is>
          <t>3992</t>
        </is>
      </c>
      <c r="B3765" s="14" t="inlineStr">
        <is>
          <t>Galvanized iron (1.6 ± 0.2 mm) thick reinforcement for big series sliding window frame (2 track sliding window frame i/c 5% wastage)</t>
        </is>
      </c>
      <c r="C3765" s="13" t="inlineStr">
        <is>
          <t>metre</t>
        </is>
      </c>
      <c r="D3765" s="15" t="n">
        <v>7.89</v>
      </c>
      <c r="E3765" s="16" t="n">
        <v>71</v>
      </c>
      <c r="F3765" s="16">
        <f>D3765*E3765</f>
        <v/>
      </c>
    </row>
    <row r="3766">
      <c r="A3766" s="13" t="inlineStr">
        <is>
          <t>3994</t>
        </is>
      </c>
      <c r="B3766" s="14" t="inlineStr">
        <is>
          <t>Galvanized iron (1.6 ± 0.2 mm) thick reinforcement for big series sliding window sash (2 track sliding window sash i/c 5% wastage)</t>
        </is>
      </c>
      <c r="C3766" s="13" t="inlineStr">
        <is>
          <t>metre</t>
        </is>
      </c>
      <c r="D3766" s="15" t="n">
        <v>12.17</v>
      </c>
      <c r="E3766" s="16" t="n">
        <v>86</v>
      </c>
      <c r="F3766" s="16">
        <f>D3766*E3766</f>
        <v/>
      </c>
    </row>
    <row r="3767">
      <c r="A3767" s="13" t="inlineStr">
        <is>
          <t>7390</t>
        </is>
      </c>
      <c r="B3767" s="14" t="inlineStr">
        <is>
          <t>EPDM Gasket for uPVC window i/c 5% wastage</t>
        </is>
      </c>
      <c r="C3767" s="13" t="inlineStr">
        <is>
          <t>metre</t>
        </is>
      </c>
      <c r="D3767" s="15" t="n">
        <v>24.08</v>
      </c>
      <c r="E3767" s="16" t="n">
        <v>19</v>
      </c>
      <c r="F3767" s="16">
        <f>D3767*E3767</f>
        <v/>
      </c>
    </row>
    <row r="3768">
      <c r="A3768" s="13" t="inlineStr">
        <is>
          <t>8773</t>
        </is>
      </c>
      <c r="B3768" s="14" t="inlineStr">
        <is>
          <t>Wool pile/ weather pile strip for uPVC sliding window i/c 5% wastage</t>
        </is>
      </c>
      <c r="C3768" s="13" t="inlineStr">
        <is>
          <t>metre</t>
        </is>
      </c>
      <c r="D3768" s="15" t="n">
        <v>30.4</v>
      </c>
      <c r="E3768" s="16" t="n">
        <v>20</v>
      </c>
      <c r="F3768" s="16">
        <f>D3768*E3768</f>
        <v/>
      </c>
    </row>
    <row r="3769">
      <c r="A3769" s="13" t="inlineStr">
        <is>
          <t>3995</t>
        </is>
      </c>
      <c r="B3769" s="14" t="inlineStr">
        <is>
          <t>G.I fasteners 100 x 8 mm</t>
        </is>
      </c>
      <c r="C3769" s="13" t="inlineStr">
        <is>
          <t>each</t>
        </is>
      </c>
      <c r="D3769" s="15" t="n">
        <v>16</v>
      </c>
      <c r="E3769" s="16" t="n">
        <v>14</v>
      </c>
      <c r="F3769" s="16">
        <f>D3769*E3769</f>
        <v/>
      </c>
    </row>
    <row r="3770">
      <c r="A3770" s="13" t="inlineStr">
        <is>
          <t>8118</t>
        </is>
      </c>
      <c r="B3770" s="14" t="inlineStr">
        <is>
          <t>Zinc alloy (white powder coated) handles along with zinc plated mild steel multi point locking having transmission gear with keeps for uPVC sliding window each</t>
        </is>
      </c>
      <c r="C3770" s="13" t="inlineStr">
        <is>
          <t>set</t>
        </is>
      </c>
      <c r="D3770" s="15" t="n">
        <v>2</v>
      </c>
      <c r="E3770" s="16" t="n">
        <v>1394</v>
      </c>
      <c r="F3770" s="16">
        <f>D3770*E3770</f>
        <v/>
      </c>
    </row>
    <row r="3771">
      <c r="A3771" s="13" t="inlineStr">
        <is>
          <t>8753</t>
        </is>
      </c>
      <c r="B3771" s="14" t="inlineStr">
        <is>
          <t>Stainless Steel (SS - 304) with adjustable double nylon roller (weight bearing capacity to be 120 Kg) for uPVC sliding window</t>
        </is>
      </c>
      <c r="C3771" s="13" t="inlineStr">
        <is>
          <t>each</t>
        </is>
      </c>
      <c r="D3771" s="15" t="n">
        <v>4</v>
      </c>
      <c r="E3771" s="16" t="n">
        <v>95</v>
      </c>
      <c r="F3771" s="16">
        <f>D3771*E3771</f>
        <v/>
      </c>
    </row>
    <row r="3772">
      <c r="A3772" s="13" t="inlineStr">
        <is>
          <t>0162</t>
        </is>
      </c>
      <c r="B3772" s="14" t="inlineStr">
        <is>
          <t>Labour for fabrication of uPVC extruded sliding windows including drilling holes, fixing of fittings &amp; hardwares, hire charges of drill machine and electricity charges etc.</t>
        </is>
      </c>
      <c r="C3772" s="13" t="inlineStr">
        <is>
          <t>sqm</t>
        </is>
      </c>
      <c r="D3772" s="15" t="n">
        <v>3.6</v>
      </c>
      <c r="E3772" s="16" t="n">
        <v>485</v>
      </c>
      <c r="F3772" s="16">
        <f>D3772*E3772</f>
        <v/>
      </c>
    </row>
    <row r="3773">
      <c r="A3773" s="13" t="inlineStr">
        <is>
          <t>0163</t>
        </is>
      </c>
      <c r="B3773" s="14" t="inlineStr">
        <is>
          <t>Labour for installation of uPVC extruded sliding windows including scaffolding</t>
        </is>
      </c>
      <c r="C3773" s="13" t="inlineStr">
        <is>
          <t>sqm</t>
        </is>
      </c>
      <c r="D3773" s="15" t="n">
        <v>3.6</v>
      </c>
      <c r="E3773" s="16" t="n">
        <v>430</v>
      </c>
      <c r="F3773" s="16">
        <f>D3773*E3773</f>
        <v/>
      </c>
    </row>
    <row r="3774">
      <c r="A3774" s="17" t="inlineStr">
        <is>
          <t>Resource Total (Material + Labour + Machinery, as printed)</t>
        </is>
      </c>
      <c r="B3774" s="18" t="n"/>
      <c r="C3774" s="18" t="n"/>
      <c r="D3774" s="18" t="n"/>
      <c r="E3774" s="18" t="n"/>
      <c r="F3774" s="19">
        <f>SUM(F3761:F3773)</f>
        <v/>
      </c>
    </row>
    <row r="3775">
      <c r="A3775" s="20" t="inlineStr">
        <is>
          <t>SAY (Rs.) — final DAR rate</t>
        </is>
      </c>
      <c r="B3775" s="21" t="n"/>
      <c r="C3775" s="21" t="n"/>
      <c r="D3775" s="21" t="n"/>
      <c r="E3775" s="21" t="n"/>
      <c r="F3775" s="22" t="n">
        <v>6861.6</v>
      </c>
    </row>
    <row r="3777" ht="28" customHeight="1">
      <c r="A3777" s="9" t="inlineStr">
        <is>
          <t>9.147E.2</t>
        </is>
      </c>
      <c r="B3777" s="10" t="inlineStr">
        <is>
          <t xml:space="preserve">Two track four panels sliding window made of (big series) frame 67 x 50 mm &amp; sash 46 x 62 mm both having wall thickness of 2.3 ± 0.2 mm and </t>
        </is>
      </c>
      <c r="C3777" s="11" t="n"/>
      <c r="D3777" s="11" t="n"/>
      <c r="E3777" s="11" t="n"/>
      <c r="F3777" s="11" t="n"/>
    </row>
    <row r="3778">
      <c r="A3778" s="12" t="inlineStr">
        <is>
          <t>Rate basis: per sqm  (source: cost for 7.2 sqm)</t>
        </is>
      </c>
    </row>
    <row r="3779">
      <c r="A3779" s="5" t="inlineStr">
        <is>
          <t>Code</t>
        </is>
      </c>
      <c r="B3779" s="5" t="inlineStr">
        <is>
          <t>Description</t>
        </is>
      </c>
      <c r="C3779" s="5" t="inlineStr">
        <is>
          <t>Unit</t>
        </is>
      </c>
      <c r="D3779" s="5" t="inlineStr">
        <is>
          <t>Quantity</t>
        </is>
      </c>
      <c r="E3779" s="5" t="inlineStr">
        <is>
          <t>Rate (Rs.)</t>
        </is>
      </c>
      <c r="F3779" s="5" t="inlineStr">
        <is>
          <t>Amount (Rs.)</t>
        </is>
      </c>
    </row>
    <row r="3780">
      <c r="A3780" s="13" t="inlineStr">
        <is>
          <t>8134</t>
        </is>
      </c>
      <c r="B3780" s="14" t="inlineStr">
        <is>
          <t>uPVC extruded (big series) 2 track sliding window frame size 67x50mm i/c 5% wastage</t>
        </is>
      </c>
      <c r="C3780" s="13" t="inlineStr">
        <is>
          <t>metre</t>
        </is>
      </c>
      <c r="D3780" s="15" t="n">
        <v>11.34</v>
      </c>
      <c r="E3780" s="16" t="n">
        <v>385</v>
      </c>
      <c r="F3780" s="16">
        <f>D3780*E3780</f>
        <v/>
      </c>
    </row>
    <row r="3781">
      <c r="A3781" s="13" t="inlineStr">
        <is>
          <t>8138</t>
        </is>
      </c>
      <c r="B3781" s="14" t="inlineStr">
        <is>
          <t>uPVC extruded (big series) 2 track sliding window sash size 46x62mm i/c 5% wastage</t>
        </is>
      </c>
      <c r="C3781" s="13" t="inlineStr">
        <is>
          <t>metre</t>
        </is>
      </c>
      <c r="D3781" s="15" t="n">
        <v>25.75</v>
      </c>
      <c r="E3781" s="16" t="n">
        <v>325</v>
      </c>
      <c r="F3781" s="16">
        <f>D3781*E3781</f>
        <v/>
      </c>
    </row>
    <row r="3782">
      <c r="A3782" s="13" t="inlineStr">
        <is>
          <t>8141</t>
        </is>
      </c>
      <c r="B3782" s="14" t="inlineStr">
        <is>
          <t>uPVC extruded interlock of appropriate dimension for big series sliding window sash i/c 5% wastage</t>
        </is>
      </c>
      <c r="C3782" s="13" t="inlineStr">
        <is>
          <t>metre</t>
        </is>
      </c>
      <c r="D3782" s="15" t="n">
        <v>9.710000000000001</v>
      </c>
      <c r="E3782" s="16" t="n">
        <v>90</v>
      </c>
      <c r="F3782" s="16">
        <f>D3782*E3782</f>
        <v/>
      </c>
    </row>
    <row r="3783">
      <c r="A3783" s="13" t="inlineStr">
        <is>
          <t>8142</t>
        </is>
      </c>
      <c r="B3783" s="14" t="inlineStr">
        <is>
          <t>uPVC extruded inline adaptor of appropriate dimension for big series sliding window sash i/c 5% wastage</t>
        </is>
      </c>
      <c r="C3783" s="13" t="inlineStr">
        <is>
          <t>metre</t>
        </is>
      </c>
      <c r="D3783" s="15" t="n">
        <v>2.4</v>
      </c>
      <c r="E3783" s="16" t="n">
        <v>90</v>
      </c>
      <c r="F3783" s="16">
        <f>D3783*E3783</f>
        <v/>
      </c>
    </row>
    <row r="3784">
      <c r="A3784" s="13" t="inlineStr">
        <is>
          <t>8132</t>
        </is>
      </c>
      <c r="B3784" s="14" t="inlineStr">
        <is>
          <t>uPVC extruded glazing bead of appropriate dimension for big series of sliding window Sash i/c 5% wastage</t>
        </is>
      </c>
      <c r="C3784" s="13" t="inlineStr">
        <is>
          <t>metre</t>
        </is>
      </c>
      <c r="D3784" s="15" t="n">
        <v>24.31</v>
      </c>
      <c r="E3784" s="16" t="n">
        <v>85</v>
      </c>
      <c r="F3784" s="16">
        <f>D3784*E3784</f>
        <v/>
      </c>
    </row>
    <row r="3785">
      <c r="A3785" s="13" t="inlineStr">
        <is>
          <t>3992</t>
        </is>
      </c>
      <c r="B3785" s="14" t="inlineStr">
        <is>
          <t>Galvanized iron (1.6 ± 0.2 mm) thick reinforcement for big series sliding window frame (2 track sliding window frame i/c 5% wastage)</t>
        </is>
      </c>
      <c r="C3785" s="13" t="inlineStr">
        <is>
          <t>metre</t>
        </is>
      </c>
      <c r="D3785" s="15" t="n">
        <v>11.04</v>
      </c>
      <c r="E3785" s="16" t="n">
        <v>71</v>
      </c>
      <c r="F3785" s="16">
        <f>D3785*E3785</f>
        <v/>
      </c>
    </row>
    <row r="3786">
      <c r="A3786" s="13" t="inlineStr">
        <is>
          <t>3994</t>
        </is>
      </c>
      <c r="B3786" s="14" t="inlineStr">
        <is>
          <t>Galvanized iron (1.6 ± 0.2 mm) thick reinforcement for big series sliding window sash (2 track sliding window sash i/c 5% wastage)</t>
        </is>
      </c>
      <c r="C3786" s="13" t="inlineStr">
        <is>
          <t>metre</t>
        </is>
      </c>
      <c r="D3786" s="15" t="n">
        <v>24.55</v>
      </c>
      <c r="E3786" s="16" t="n">
        <v>86</v>
      </c>
      <c r="F3786" s="16">
        <f>D3786*E3786</f>
        <v/>
      </c>
    </row>
    <row r="3787">
      <c r="A3787" s="13" t="inlineStr">
        <is>
          <t>7390</t>
        </is>
      </c>
      <c r="B3787" s="14" t="inlineStr">
        <is>
          <t>EPDM Gasket for uPVC window i/c 5% wastage</t>
        </is>
      </c>
      <c r="C3787" s="13" t="inlineStr">
        <is>
          <t>metre</t>
        </is>
      </c>
      <c r="D3787" s="15" t="n">
        <v>48.62</v>
      </c>
      <c r="E3787" s="16" t="n">
        <v>19</v>
      </c>
      <c r="F3787" s="16">
        <f>D3787*E3787</f>
        <v/>
      </c>
    </row>
    <row r="3788">
      <c r="A3788" s="13" t="inlineStr">
        <is>
          <t>8773</t>
        </is>
      </c>
      <c r="B3788" s="14" t="inlineStr">
        <is>
          <t>Wool pile/ weather pile strip for uPVC sliding window i/c 5% wastage</t>
        </is>
      </c>
      <c r="C3788" s="13" t="inlineStr">
        <is>
          <t>metre</t>
        </is>
      </c>
      <c r="D3788" s="15" t="n">
        <v>61.21</v>
      </c>
      <c r="E3788" s="16" t="n">
        <v>20</v>
      </c>
      <c r="F3788" s="16">
        <f>D3788*E3788</f>
        <v/>
      </c>
    </row>
    <row r="3789">
      <c r="A3789" s="13" t="inlineStr">
        <is>
          <t>3995</t>
        </is>
      </c>
      <c r="B3789" s="14" t="inlineStr">
        <is>
          <t>G.I fasteners 100 x 8 mm</t>
        </is>
      </c>
      <c r="C3789" s="13" t="inlineStr">
        <is>
          <t>each</t>
        </is>
      </c>
      <c r="D3789" s="15" t="n">
        <v>24</v>
      </c>
      <c r="E3789" s="16" t="n">
        <v>14</v>
      </c>
      <c r="F3789" s="16">
        <f>D3789*E3789</f>
        <v/>
      </c>
    </row>
    <row r="3790">
      <c r="A3790" s="13" t="inlineStr">
        <is>
          <t>8118</t>
        </is>
      </c>
      <c r="B3790" s="14" t="inlineStr">
        <is>
          <t>Zinc alloy (white powder coated) handles along with zinc plated mild steel multi point locking having transmission gear with keeps for uPVC sliding window each</t>
        </is>
      </c>
      <c r="C3790" s="13" t="inlineStr">
        <is>
          <t>set</t>
        </is>
      </c>
      <c r="D3790" s="15" t="n">
        <v>2</v>
      </c>
      <c r="E3790" s="16" t="n">
        <v>1394</v>
      </c>
      <c r="F3790" s="16">
        <f>D3790*E3790</f>
        <v/>
      </c>
    </row>
    <row r="3791">
      <c r="A3791" s="13" t="inlineStr">
        <is>
          <t>8753</t>
        </is>
      </c>
      <c r="B3791" s="14" t="inlineStr">
        <is>
          <t>Stainless Steel (SS - 304) with adjustable double nylon roller (weight bearing capacity to be 120 Kg) for uPVC sliding window</t>
        </is>
      </c>
      <c r="C3791" s="13" t="inlineStr">
        <is>
          <t>each</t>
        </is>
      </c>
      <c r="D3791" s="15" t="n">
        <v>8</v>
      </c>
      <c r="E3791" s="16" t="n">
        <v>95</v>
      </c>
      <c r="F3791" s="16">
        <f>D3791*E3791</f>
        <v/>
      </c>
    </row>
    <row r="3792">
      <c r="A3792" s="13" t="inlineStr">
        <is>
          <t>8754</t>
        </is>
      </c>
      <c r="B3792" s="14" t="inlineStr">
        <is>
          <t>Zinc alloy (white powder coated) cresent lock for uPVC sliding window</t>
        </is>
      </c>
      <c r="C3792" s="13" t="inlineStr">
        <is>
          <t>each</t>
        </is>
      </c>
      <c r="D3792" s="15" t="n">
        <v>2</v>
      </c>
      <c r="E3792" s="16" t="n">
        <v>115</v>
      </c>
      <c r="F3792" s="16">
        <f>D3792*E3792</f>
        <v/>
      </c>
    </row>
    <row r="3793">
      <c r="A3793" s="13" t="inlineStr">
        <is>
          <t>0162</t>
        </is>
      </c>
      <c r="B3793" s="14" t="inlineStr">
        <is>
          <t>Labour for fabrication of uPVC extruded sliding windows including drilling holes, fixing of fittings &amp; hardwares, hire charges of drill machine and electricity charges etc.</t>
        </is>
      </c>
      <c r="C3793" s="13" t="inlineStr">
        <is>
          <t>sqm</t>
        </is>
      </c>
      <c r="D3793" s="15" t="n">
        <v>7.2</v>
      </c>
      <c r="E3793" s="16" t="n">
        <v>485</v>
      </c>
      <c r="F3793" s="16">
        <f>D3793*E3793</f>
        <v/>
      </c>
    </row>
    <row r="3794">
      <c r="A3794" s="13" t="inlineStr">
        <is>
          <t>0163</t>
        </is>
      </c>
      <c r="B3794" s="14" t="inlineStr">
        <is>
          <t>Labour for installation of uPVC extruded sliding windows including scaffolding</t>
        </is>
      </c>
      <c r="C3794" s="13" t="inlineStr">
        <is>
          <t>sqm</t>
        </is>
      </c>
      <c r="D3794" s="15" t="n">
        <v>7.2</v>
      </c>
      <c r="E3794" s="16" t="n">
        <v>430</v>
      </c>
      <c r="F3794" s="16">
        <f>D3794*E3794</f>
        <v/>
      </c>
    </row>
    <row r="3795">
      <c r="A3795" s="17" t="inlineStr">
        <is>
          <t>Resource Total (Material + Labour + Machinery, as printed)</t>
        </is>
      </c>
      <c r="B3795" s="18" t="n"/>
      <c r="C3795" s="18" t="n"/>
      <c r="D3795" s="18" t="n"/>
      <c r="E3795" s="18" t="n"/>
      <c r="F3795" s="19">
        <f>SUM(F3780:F3794)</f>
        <v/>
      </c>
    </row>
    <row r="3796">
      <c r="A3796" s="20" t="inlineStr">
        <is>
          <t>SAY (Rs.) — final DAR rate</t>
        </is>
      </c>
      <c r="B3796" s="21" t="n"/>
      <c r="C3796" s="21" t="n"/>
      <c r="D3796" s="21" t="n"/>
      <c r="E3796" s="21" t="n"/>
      <c r="F3796" s="22" t="n">
        <v>5941.95</v>
      </c>
    </row>
    <row r="3798" ht="28" customHeight="1">
      <c r="A3798" s="9" t="inlineStr">
        <is>
          <t>9.147F.1</t>
        </is>
      </c>
      <c r="B3798" s="10" t="inlineStr">
        <is>
          <t>Two track two panels sliding door made of (big series) frame 67 x 50 mm &amp; sash 46 x 82 mm both having wall thickness of 2.3 ± 0.2 mm and sin</t>
        </is>
      </c>
      <c r="C3798" s="11" t="n"/>
      <c r="D3798" s="11" t="n"/>
      <c r="E3798" s="11" t="n"/>
      <c r="F3798" s="11" t="n"/>
    </row>
    <row r="3799">
      <c r="A3799" s="12" t="inlineStr">
        <is>
          <t>Rate basis: per sqm  (source: cost for 4.2 sqm)</t>
        </is>
      </c>
    </row>
    <row r="3800">
      <c r="A3800" s="5" t="inlineStr">
        <is>
          <t>Code</t>
        </is>
      </c>
      <c r="B3800" s="5" t="inlineStr">
        <is>
          <t>Description</t>
        </is>
      </c>
      <c r="C3800" s="5" t="inlineStr">
        <is>
          <t>Unit</t>
        </is>
      </c>
      <c r="D3800" s="5" t="inlineStr">
        <is>
          <t>Quantity</t>
        </is>
      </c>
      <c r="E3800" s="5" t="inlineStr">
        <is>
          <t>Rate (Rs.)</t>
        </is>
      </c>
      <c r="F3800" s="5" t="inlineStr">
        <is>
          <t>Amount (Rs.)</t>
        </is>
      </c>
    </row>
    <row r="3801">
      <c r="A3801" s="13" t="inlineStr">
        <is>
          <t>8134</t>
        </is>
      </c>
      <c r="B3801" s="14" t="inlineStr">
        <is>
          <t>uPVC extruded (big series) 2 track sliding door frame size 67x50mm i/c 5% wastage</t>
        </is>
      </c>
      <c r="C3801" s="13" t="inlineStr">
        <is>
          <t>metre</t>
        </is>
      </c>
      <c r="D3801" s="15" t="n">
        <v>8.609999999999999</v>
      </c>
      <c r="E3801" s="16" t="n">
        <v>385</v>
      </c>
      <c r="F3801" s="16">
        <f>D3801*E3801</f>
        <v/>
      </c>
    </row>
    <row r="3802">
      <c r="A3802" s="13" t="inlineStr">
        <is>
          <t>8143</t>
        </is>
      </c>
      <c r="B3802" s="14" t="inlineStr">
        <is>
          <t>uPVC extruded 2 track sliding door sash (big series) size 46x82mm i/c 5% wastage</t>
        </is>
      </c>
      <c r="C3802" s="13" t="inlineStr">
        <is>
          <t>metre</t>
        </is>
      </c>
      <c r="D3802" s="15" t="n">
        <v>12.6</v>
      </c>
      <c r="E3802" s="16" t="n">
        <v>350</v>
      </c>
      <c r="F3802" s="16">
        <f>D3802*E3802</f>
        <v/>
      </c>
    </row>
    <row r="3803">
      <c r="A3803" s="13" t="inlineStr">
        <is>
          <t>8141</t>
        </is>
      </c>
      <c r="B3803" s="14" t="inlineStr">
        <is>
          <t>uPVC extruded interlock of appropriate dimension for big series sliding door sash i/c 5% wastage</t>
        </is>
      </c>
      <c r="C3803" s="13" t="inlineStr">
        <is>
          <t>metre</t>
        </is>
      </c>
      <c r="D3803" s="15" t="n">
        <v>4.23</v>
      </c>
      <c r="E3803" s="16" t="n">
        <v>90</v>
      </c>
      <c r="F3803" s="16">
        <f>D3803*E3803</f>
        <v/>
      </c>
    </row>
    <row r="3804">
      <c r="A3804" s="13" t="inlineStr">
        <is>
          <t>8132</t>
        </is>
      </c>
      <c r="B3804" s="14" t="inlineStr">
        <is>
          <t>uPVC extruded glazing bead of appropriate dimension for big series of sliding door Sash i/c 5% wastage</t>
        </is>
      </c>
      <c r="C3804" s="13" t="inlineStr">
        <is>
          <t>metre</t>
        </is>
      </c>
      <c r="D3804" s="15" t="n">
        <v>11.54</v>
      </c>
      <c r="E3804" s="16" t="n">
        <v>85</v>
      </c>
      <c r="F3804" s="16">
        <f>D3804*E3804</f>
        <v/>
      </c>
    </row>
    <row r="3805">
      <c r="A3805" s="13" t="inlineStr">
        <is>
          <t>3992</t>
        </is>
      </c>
      <c r="B3805" s="14" t="inlineStr">
        <is>
          <t>Galvanized iron (1.6 ± 0.2 mm) thick reinforcement for big series sliding door frame (2 track sliding door frame i/c 5% wastage)</t>
        </is>
      </c>
      <c r="C3805" s="13" t="inlineStr">
        <is>
          <t>metre</t>
        </is>
      </c>
      <c r="D3805" s="15" t="n">
        <v>8.31</v>
      </c>
      <c r="E3805" s="16" t="n">
        <v>71</v>
      </c>
      <c r="F3805" s="16">
        <f>D3805*E3805</f>
        <v/>
      </c>
    </row>
    <row r="3806">
      <c r="A3806" s="13" t="inlineStr">
        <is>
          <t>3994</t>
        </is>
      </c>
      <c r="B3806" s="14" t="inlineStr">
        <is>
          <t>Galvanized iron (1.6 ± 0.2 mm) thick reinforcement for big series sliding door sash (2 track sliding door sash i/c 5% wastage)</t>
        </is>
      </c>
      <c r="C3806" s="13" t="inlineStr">
        <is>
          <t>metre</t>
        </is>
      </c>
      <c r="D3806" s="15" t="n">
        <v>12</v>
      </c>
      <c r="E3806" s="16" t="n">
        <v>86</v>
      </c>
      <c r="F3806" s="16">
        <f>D3806*E3806</f>
        <v/>
      </c>
    </row>
    <row r="3807">
      <c r="A3807" s="13" t="inlineStr">
        <is>
          <t>7390</t>
        </is>
      </c>
      <c r="B3807" s="14" t="inlineStr">
        <is>
          <t>EPDM Gasket for uPVC door i/c 5% wastage</t>
        </is>
      </c>
      <c r="C3807" s="13" t="inlineStr">
        <is>
          <t>metre</t>
        </is>
      </c>
      <c r="D3807" s="15" t="n">
        <v>23.08</v>
      </c>
      <c r="E3807" s="16" t="n">
        <v>19</v>
      </c>
      <c r="F3807" s="16">
        <f>D3807*E3807</f>
        <v/>
      </c>
    </row>
    <row r="3808">
      <c r="A3808" s="13" t="inlineStr">
        <is>
          <t>8773</t>
        </is>
      </c>
      <c r="B3808" s="14" t="inlineStr">
        <is>
          <t>Wool pile/ weather pile strip for uPVC sliding door i/c 5% wastage</t>
        </is>
      </c>
      <c r="C3808" s="13" t="inlineStr">
        <is>
          <t>metre</t>
        </is>
      </c>
      <c r="D3808" s="15" t="n">
        <v>29.43</v>
      </c>
      <c r="E3808" s="16" t="n">
        <v>20</v>
      </c>
      <c r="F3808" s="16">
        <f>D3808*E3808</f>
        <v/>
      </c>
    </row>
    <row r="3809">
      <c r="A3809" s="13" t="inlineStr">
        <is>
          <t>3995</t>
        </is>
      </c>
      <c r="B3809" s="14" t="inlineStr">
        <is>
          <t>G.I fasteners 100 x 8 mm</t>
        </is>
      </c>
      <c r="C3809" s="13" t="inlineStr">
        <is>
          <t>each</t>
        </is>
      </c>
      <c r="D3809" s="15" t="n">
        <v>18</v>
      </c>
      <c r="E3809" s="16" t="n">
        <v>14</v>
      </c>
      <c r="F3809" s="16">
        <f>D3809*E3809</f>
        <v/>
      </c>
    </row>
    <row r="3810">
      <c r="A3810" s="13" t="inlineStr">
        <is>
          <t>8119</t>
        </is>
      </c>
      <c r="B3810" s="14" t="inlineStr">
        <is>
          <t>Zinc alloy (white powder coated) handles with key along with zinc plated mild steel multi point locking having transmission gear with keeps for uPVC sliding door each</t>
        </is>
      </c>
      <c r="C3810" s="13" t="inlineStr">
        <is>
          <t>set</t>
        </is>
      </c>
      <c r="D3810" s="15" t="n">
        <v>2</v>
      </c>
      <c r="E3810" s="16" t="n">
        <v>1150</v>
      </c>
      <c r="F3810" s="16">
        <f>D3810*E3810</f>
        <v/>
      </c>
    </row>
    <row r="3811">
      <c r="A3811" s="13" t="inlineStr">
        <is>
          <t>8753</t>
        </is>
      </c>
      <c r="B3811" s="14" t="inlineStr">
        <is>
          <t>Stainless Steel (SS - 304) with adjustable double nylon roller (weight bearing capacity to be 120 Kg) for uPVC sliding door</t>
        </is>
      </c>
      <c r="C3811" s="13" t="inlineStr">
        <is>
          <t>each</t>
        </is>
      </c>
      <c r="D3811" s="15" t="n">
        <v>4</v>
      </c>
      <c r="E3811" s="16" t="n">
        <v>95</v>
      </c>
      <c r="F3811" s="16">
        <f>D3811*E3811</f>
        <v/>
      </c>
    </row>
    <row r="3812">
      <c r="A3812" s="13" t="inlineStr">
        <is>
          <t>0162</t>
        </is>
      </c>
      <c r="B3812" s="14" t="inlineStr">
        <is>
          <t>Labour for fabrication of uPVC extruded sliding doors including drilling holes, fixing of fittings &amp; hardwares, hire charges of drill machine and electricity charges etc.</t>
        </is>
      </c>
      <c r="C3812" s="13" t="inlineStr">
        <is>
          <t>sqm</t>
        </is>
      </c>
      <c r="D3812" s="15" t="n">
        <v>4.2</v>
      </c>
      <c r="E3812" s="16" t="n">
        <v>485</v>
      </c>
      <c r="F3812" s="16">
        <f>D3812*E3812</f>
        <v/>
      </c>
    </row>
    <row r="3813">
      <c r="A3813" s="13" t="inlineStr">
        <is>
          <t>0163</t>
        </is>
      </c>
      <c r="B3813" s="14" t="inlineStr">
        <is>
          <t>Labour for installation of uPVC extruded sliding doors including scaffolding</t>
        </is>
      </c>
      <c r="C3813" s="13" t="inlineStr">
        <is>
          <t>sqm</t>
        </is>
      </c>
      <c r="D3813" s="15" t="n">
        <v>4.2</v>
      </c>
      <c r="E3813" s="16" t="n">
        <v>430</v>
      </c>
      <c r="F3813" s="16">
        <f>D3813*E3813</f>
        <v/>
      </c>
    </row>
    <row r="3814">
      <c r="A3814" s="17" t="inlineStr">
        <is>
          <t>Resource Total (Material + Labour + Machinery, as printed)</t>
        </is>
      </c>
      <c r="B3814" s="18" t="n"/>
      <c r="C3814" s="18" t="n"/>
      <c r="D3814" s="18" t="n"/>
      <c r="E3814" s="18" t="n"/>
      <c r="F3814" s="19">
        <f>SUM(F3801:F3813)</f>
        <v/>
      </c>
    </row>
    <row r="3815">
      <c r="A3815" s="20" t="inlineStr">
        <is>
          <t>SAY (Rs.) — final DAR rate</t>
        </is>
      </c>
      <c r="B3815" s="21" t="n"/>
      <c r="C3815" s="21" t="n"/>
      <c r="D3815" s="21" t="n"/>
      <c r="E3815" s="21" t="n"/>
      <c r="F3815" s="22" t="n">
        <v>6005</v>
      </c>
    </row>
    <row r="3817" ht="28" customHeight="1">
      <c r="A3817" s="9" t="inlineStr">
        <is>
          <t>9.147F.2</t>
        </is>
      </c>
      <c r="B3817" s="10" t="inlineStr">
        <is>
          <t>Two track four panels sliding door made of (big series) frame 67 x 50 mm &amp; sash 46 x 82 mm both having wall thickness of 2.3 ± 0.2 mm and si</t>
        </is>
      </c>
      <c r="C3817" s="11" t="n"/>
      <c r="D3817" s="11" t="n"/>
      <c r="E3817" s="11" t="n"/>
      <c r="F3817" s="11" t="n"/>
    </row>
    <row r="3818">
      <c r="A3818" s="12" t="inlineStr">
        <is>
          <t>Rate basis: per sqm  (source: cost for 8.4 sqm)</t>
        </is>
      </c>
    </row>
    <row r="3819">
      <c r="A3819" s="5" t="inlineStr">
        <is>
          <t>Code</t>
        </is>
      </c>
      <c r="B3819" s="5" t="inlineStr">
        <is>
          <t>Description</t>
        </is>
      </c>
      <c r="C3819" s="5" t="inlineStr">
        <is>
          <t>Unit</t>
        </is>
      </c>
      <c r="D3819" s="5" t="inlineStr">
        <is>
          <t>Quantity</t>
        </is>
      </c>
      <c r="E3819" s="5" t="inlineStr">
        <is>
          <t>Rate (Rs.)</t>
        </is>
      </c>
      <c r="F3819" s="5" t="inlineStr">
        <is>
          <t>Amount (Rs.)</t>
        </is>
      </c>
    </row>
    <row r="3820">
      <c r="A3820" s="13" t="inlineStr">
        <is>
          <t>8134</t>
        </is>
      </c>
      <c r="B3820" s="14" t="inlineStr">
        <is>
          <t>uPVC extruded (big series) 2 track sliding door frame size 67x50mm i/c 5% wastage</t>
        </is>
      </c>
      <c r="C3820" s="13" t="inlineStr">
        <is>
          <t>metre</t>
        </is>
      </c>
      <c r="D3820" s="15" t="n">
        <v>12.81</v>
      </c>
      <c r="E3820" s="16" t="n">
        <v>385</v>
      </c>
      <c r="F3820" s="16">
        <f>D3820*E3820</f>
        <v/>
      </c>
    </row>
    <row r="3821">
      <c r="A3821" s="13" t="inlineStr">
        <is>
          <t>8143</t>
        </is>
      </c>
      <c r="B3821" s="14" t="inlineStr">
        <is>
          <t>uPVC extruded 2 track sliding door sash (big series) size 46x82mm i/c 5% wastage</t>
        </is>
      </c>
      <c r="C3821" s="13" t="inlineStr">
        <is>
          <t>metre</t>
        </is>
      </c>
      <c r="D3821" s="15" t="n">
        <v>25.42</v>
      </c>
      <c r="E3821" s="16" t="n">
        <v>350</v>
      </c>
      <c r="F3821" s="16">
        <f>D3821*E3821</f>
        <v/>
      </c>
    </row>
    <row r="3822">
      <c r="A3822" s="13" t="inlineStr">
        <is>
          <t>8141</t>
        </is>
      </c>
      <c r="B3822" s="14" t="inlineStr">
        <is>
          <t>uPVC extruded interlock of appropriate dimension for big series sliding door sash i/c 5% wastage</t>
        </is>
      </c>
      <c r="C3822" s="13" t="inlineStr">
        <is>
          <t>metre</t>
        </is>
      </c>
      <c r="D3822" s="15" t="n">
        <v>8.449999999999999</v>
      </c>
      <c r="E3822" s="16" t="n">
        <v>90</v>
      </c>
      <c r="F3822" s="16">
        <f>D3822*E3822</f>
        <v/>
      </c>
    </row>
    <row r="3823">
      <c r="A3823" s="13" t="inlineStr">
        <is>
          <t>8142</t>
        </is>
      </c>
      <c r="B3823" s="14" t="inlineStr">
        <is>
          <t>uPVC extruded inline adaptor of appropriate dimension for big series sliding door sash</t>
        </is>
      </c>
      <c r="C3823" s="13" t="inlineStr">
        <is>
          <t>metre</t>
        </is>
      </c>
      <c r="D3823" s="15" t="n">
        <v>2.1</v>
      </c>
      <c r="E3823" s="16" t="n">
        <v>90</v>
      </c>
      <c r="F3823" s="16">
        <f>D3823*E3823</f>
        <v/>
      </c>
    </row>
    <row r="3824">
      <c r="A3824" s="13" t="inlineStr">
        <is>
          <t>8132</t>
        </is>
      </c>
      <c r="B3824" s="14" t="inlineStr">
        <is>
          <t>uPVC extruded glazing bead of appropriate dimension for big series of sliding door Sash</t>
        </is>
      </c>
      <c r="C3824" s="13" t="inlineStr">
        <is>
          <t>metre</t>
        </is>
      </c>
      <c r="D3824" s="15" t="n">
        <v>23.3</v>
      </c>
      <c r="E3824" s="16" t="n">
        <v>85</v>
      </c>
      <c r="F3824" s="16">
        <f>D3824*E3824</f>
        <v/>
      </c>
    </row>
    <row r="3825">
      <c r="A3825" s="13" t="inlineStr">
        <is>
          <t>3992</t>
        </is>
      </c>
      <c r="B3825" s="14" t="inlineStr">
        <is>
          <t>Galvanized iron (1.6 ± 0.2 mm) thick reinforcement for big series sliding door frame (2 track sliding door frame i/c 5% wastage)</t>
        </is>
      </c>
      <c r="C3825" s="13" t="inlineStr">
        <is>
          <t>metre</t>
        </is>
      </c>
      <c r="D3825" s="15" t="n">
        <v>12.51</v>
      </c>
      <c r="E3825" s="16" t="n">
        <v>71</v>
      </c>
      <c r="F3825" s="16">
        <f>D3825*E3825</f>
        <v/>
      </c>
    </row>
    <row r="3826">
      <c r="A3826" s="13" t="inlineStr">
        <is>
          <t>3994</t>
        </is>
      </c>
      <c r="B3826" s="14" t="inlineStr">
        <is>
          <t>Galvanized iron (1.6 ± 0.2 mm) thick reinforcement for big series sliding door sash (2 track sliding door sash i/c 5% wastage)</t>
        </is>
      </c>
      <c r="C3826" s="13" t="inlineStr">
        <is>
          <t>metre</t>
        </is>
      </c>
      <c r="D3826" s="15" t="n">
        <v>24.22</v>
      </c>
      <c r="E3826" s="16" t="n">
        <v>86</v>
      </c>
      <c r="F3826" s="16">
        <f>D3826*E3826</f>
        <v/>
      </c>
    </row>
    <row r="3827">
      <c r="A3827" s="13" t="inlineStr">
        <is>
          <t>7390</t>
        </is>
      </c>
      <c r="B3827" s="14" t="inlineStr">
        <is>
          <t>EPDM Gasket for uPVC door i/c 5% wastage</t>
        </is>
      </c>
      <c r="C3827" s="13" t="inlineStr">
        <is>
          <t>metre</t>
        </is>
      </c>
      <c r="D3827" s="15" t="n">
        <v>46.6</v>
      </c>
      <c r="E3827" s="16" t="n">
        <v>19</v>
      </c>
      <c r="F3827" s="16">
        <f>D3827*E3827</f>
        <v/>
      </c>
    </row>
    <row r="3828">
      <c r="A3828" s="13" t="inlineStr">
        <is>
          <t>8773</t>
        </is>
      </c>
      <c r="B3828" s="14" t="inlineStr">
        <is>
          <t>Wool pile/ weather pile strip for uPVC sliding door i/c 5% wastage</t>
        </is>
      </c>
      <c r="C3828" s="13" t="inlineStr">
        <is>
          <t>metre</t>
        </is>
      </c>
      <c r="D3828" s="15" t="n">
        <v>59.29</v>
      </c>
      <c r="E3828" s="16" t="n">
        <v>20</v>
      </c>
      <c r="F3828" s="16">
        <f>D3828*E3828</f>
        <v/>
      </c>
    </row>
    <row r="3829">
      <c r="A3829" s="13" t="inlineStr">
        <is>
          <t>3995</t>
        </is>
      </c>
      <c r="B3829" s="14" t="inlineStr">
        <is>
          <t>G.I fasteners 100 x 8 mm</t>
        </is>
      </c>
      <c r="C3829" s="13" t="inlineStr">
        <is>
          <t>each</t>
        </is>
      </c>
      <c r="D3829" s="15" t="n">
        <v>26</v>
      </c>
      <c r="E3829" s="16" t="n">
        <v>14</v>
      </c>
      <c r="F3829" s="16">
        <f>D3829*E3829</f>
        <v/>
      </c>
    </row>
    <row r="3830">
      <c r="A3830" s="13" t="inlineStr">
        <is>
          <t>8119</t>
        </is>
      </c>
      <c r="B3830" s="14" t="inlineStr">
        <is>
          <t>Zinc alloy (white powder coated) handles with key along with zinc plated mild steel multi point locking having transmission gear with keeps for uPVC sliding door each</t>
        </is>
      </c>
      <c r="C3830" s="13" t="inlineStr">
        <is>
          <t>set</t>
        </is>
      </c>
      <c r="D3830" s="15" t="n">
        <v>2</v>
      </c>
      <c r="E3830" s="16" t="n">
        <v>1150</v>
      </c>
      <c r="F3830" s="16">
        <f>D3830*E3830</f>
        <v/>
      </c>
    </row>
    <row r="3831">
      <c r="A3831" s="13" t="inlineStr">
        <is>
          <t>8753</t>
        </is>
      </c>
      <c r="B3831" s="14" t="inlineStr">
        <is>
          <t>Stainless Steel (SS - 304) with adjustable double nylon roller (weight bearing capacity to be 120 Kg) for uPVC sliding door</t>
        </is>
      </c>
      <c r="C3831" s="13" t="inlineStr">
        <is>
          <t>each</t>
        </is>
      </c>
      <c r="D3831" s="15" t="n">
        <v>8</v>
      </c>
      <c r="E3831" s="16" t="n">
        <v>95</v>
      </c>
      <c r="F3831" s="16">
        <f>D3831*E3831</f>
        <v/>
      </c>
    </row>
    <row r="3832">
      <c r="A3832" s="13" t="inlineStr">
        <is>
          <t>8754</t>
        </is>
      </c>
      <c r="B3832" s="14" t="inlineStr">
        <is>
          <t>Zinc alloy (white powder coated) cresent lock for uPVC sliding door</t>
        </is>
      </c>
      <c r="C3832" s="13" t="inlineStr">
        <is>
          <t>each</t>
        </is>
      </c>
      <c r="D3832" s="15" t="n">
        <v>2</v>
      </c>
      <c r="E3832" s="16" t="n">
        <v>115</v>
      </c>
      <c r="F3832" s="16">
        <f>D3832*E3832</f>
        <v/>
      </c>
    </row>
    <row r="3833">
      <c r="A3833" s="13" t="inlineStr">
        <is>
          <t>9999</t>
        </is>
      </c>
      <c r="B3833" s="14" t="inlineStr">
        <is>
          <t>Sundries, plastic packers, plastic caps, SS screws and carriage of material</t>
        </is>
      </c>
      <c r="C3833" s="13" t="inlineStr">
        <is>
          <t>L.S.</t>
        </is>
      </c>
      <c r="D3833" s="15" t="n">
        <v>170</v>
      </c>
      <c r="E3833" s="16" t="n">
        <v>2</v>
      </c>
      <c r="F3833" s="16">
        <f>D3833*E3833</f>
        <v/>
      </c>
    </row>
    <row r="3834">
      <c r="A3834" s="13" t="inlineStr">
        <is>
          <t>0162</t>
        </is>
      </c>
      <c r="B3834" s="14" t="inlineStr">
        <is>
          <t>Labour for fabrication of uPVC extruded sliding doors including drilling holes, fixing of fittings &amp; hardwares, hire charges of drill machine and electricity charges etc.</t>
        </is>
      </c>
      <c r="C3834" s="13" t="inlineStr">
        <is>
          <t>sqm</t>
        </is>
      </c>
      <c r="D3834" s="15" t="n">
        <v>8.4</v>
      </c>
      <c r="E3834" s="16" t="n">
        <v>485</v>
      </c>
      <c r="F3834" s="16">
        <f>D3834*E3834</f>
        <v/>
      </c>
    </row>
    <row r="3835">
      <c r="A3835" s="13" t="inlineStr">
        <is>
          <t>0163</t>
        </is>
      </c>
      <c r="B3835" s="14" t="inlineStr">
        <is>
          <t>Labour for installation of uPVC extruded sliding doors including scaffolding</t>
        </is>
      </c>
      <c r="C3835" s="13" t="inlineStr">
        <is>
          <t>sqm</t>
        </is>
      </c>
      <c r="D3835" s="15" t="n">
        <v>8.4</v>
      </c>
      <c r="E3835" s="16" t="n">
        <v>430</v>
      </c>
      <c r="F3835" s="16">
        <f>D3835*E3835</f>
        <v/>
      </c>
    </row>
    <row r="3836">
      <c r="A3836" s="17" t="inlineStr">
        <is>
          <t>Resource Total (Material + Labour + Machinery, as printed)</t>
        </is>
      </c>
      <c r="B3836" s="18" t="n"/>
      <c r="C3836" s="18" t="n"/>
      <c r="D3836" s="18" t="n"/>
      <c r="E3836" s="18" t="n"/>
      <c r="F3836" s="19">
        <f>SUM(F3820:F3835)</f>
        <v/>
      </c>
    </row>
    <row r="3837">
      <c r="A3837" s="20" t="inlineStr">
        <is>
          <t>SAY (Rs.) — final DAR rate</t>
        </is>
      </c>
      <c r="B3837" s="21" t="n"/>
      <c r="C3837" s="21" t="n"/>
      <c r="D3837" s="21" t="n"/>
      <c r="E3837" s="21" t="n"/>
      <c r="F3837" s="22" t="n">
        <v>5332.85</v>
      </c>
    </row>
    <row r="3839" ht="28" customHeight="1">
      <c r="A3839" s="9" t="inlineStr">
        <is>
          <t>9.147F.3</t>
        </is>
      </c>
      <c r="B3839" s="10" t="inlineStr">
        <is>
          <t>Three track three panels sliding door made of (big series) frame 116 x 45 mm &amp; sash 46 x 82 mm both having wall thickness of 2.3 ± 0.2 mm an</t>
        </is>
      </c>
      <c r="C3839" s="11" t="n"/>
      <c r="D3839" s="11" t="n"/>
      <c r="E3839" s="11" t="n"/>
      <c r="F3839" s="11" t="n"/>
    </row>
    <row r="3840">
      <c r="A3840" s="12" t="inlineStr">
        <is>
          <t>Rate basis: per sqm  (source: cost for 6.3 sqm)</t>
        </is>
      </c>
    </row>
    <row r="3841">
      <c r="A3841" s="5" t="inlineStr">
        <is>
          <t>Code</t>
        </is>
      </c>
      <c r="B3841" s="5" t="inlineStr">
        <is>
          <t>Description</t>
        </is>
      </c>
      <c r="C3841" s="5" t="inlineStr">
        <is>
          <t>Unit</t>
        </is>
      </c>
      <c r="D3841" s="5" t="inlineStr">
        <is>
          <t>Quantity</t>
        </is>
      </c>
      <c r="E3841" s="5" t="inlineStr">
        <is>
          <t>Rate (Rs.)</t>
        </is>
      </c>
      <c r="F3841" s="5" t="inlineStr">
        <is>
          <t>Amount (Rs.)</t>
        </is>
      </c>
    </row>
    <row r="3842">
      <c r="A3842" s="13" t="inlineStr">
        <is>
          <t>8136</t>
        </is>
      </c>
      <c r="B3842" s="14" t="inlineStr">
        <is>
          <t>uPVC extruded (big series) 3 track sliding door frame size 116x45mm i/c 5% wastage</t>
        </is>
      </c>
      <c r="C3842" s="13" t="inlineStr">
        <is>
          <t>metre</t>
        </is>
      </c>
      <c r="D3842" s="15" t="n">
        <v>10.71</v>
      </c>
      <c r="E3842" s="16" t="n">
        <v>530</v>
      </c>
      <c r="F3842" s="16">
        <f>D3842*E3842</f>
        <v/>
      </c>
    </row>
    <row r="3843">
      <c r="A3843" s="13" t="inlineStr">
        <is>
          <t>8143</t>
        </is>
      </c>
      <c r="B3843" s="14" t="inlineStr">
        <is>
          <t>uPVC extruded 3 track sliding door sash (big series) size 46x82mm i/c 5% wastage</t>
        </is>
      </c>
      <c r="C3843" s="13" t="inlineStr">
        <is>
          <t>metre</t>
        </is>
      </c>
      <c r="D3843" s="15" t="n">
        <v>19.09</v>
      </c>
      <c r="E3843" s="16" t="n">
        <v>350</v>
      </c>
      <c r="F3843" s="16">
        <f>D3843*E3843</f>
        <v/>
      </c>
    </row>
    <row r="3844">
      <c r="A3844" s="13" t="inlineStr">
        <is>
          <t>8141</t>
        </is>
      </c>
      <c r="B3844" s="14" t="inlineStr">
        <is>
          <t>uPVC extruded interlock of appropriate dimension for big series sliding door sash i/c 5% wastage</t>
        </is>
      </c>
      <c r="C3844" s="13" t="inlineStr">
        <is>
          <t>metre</t>
        </is>
      </c>
      <c r="D3844" s="15" t="n">
        <v>8.449999999999999</v>
      </c>
      <c r="E3844" s="16" t="n">
        <v>90</v>
      </c>
      <c r="F3844" s="16">
        <f>D3844*E3844</f>
        <v/>
      </c>
    </row>
    <row r="3845">
      <c r="A3845" s="13" t="inlineStr">
        <is>
          <t>8132</t>
        </is>
      </c>
      <c r="B3845" s="14" t="inlineStr">
        <is>
          <t>uPVC extruded glazing bead of appropriate dimension for big series of sliding door i/c 5% wastage</t>
        </is>
      </c>
      <c r="C3845" s="13" t="inlineStr">
        <is>
          <t>metre</t>
        </is>
      </c>
      <c r="D3845" s="15" t="n">
        <v>17.51</v>
      </c>
      <c r="E3845" s="16" t="n">
        <v>85</v>
      </c>
      <c r="F3845" s="16">
        <f>D3845*E3845</f>
        <v/>
      </c>
    </row>
    <row r="3846">
      <c r="A3846" s="13" t="inlineStr">
        <is>
          <t>3992</t>
        </is>
      </c>
      <c r="B3846" s="14" t="inlineStr">
        <is>
          <t>Galvanized iron (1.6 ± 0.2 mm) thick reinforcement for big series sliding door frams (3 track sliding door frame i/c 5% wastage)</t>
        </is>
      </c>
      <c r="C3846" s="13" t="inlineStr">
        <is>
          <t>metre</t>
        </is>
      </c>
      <c r="D3846" s="15" t="n">
        <v>20.82</v>
      </c>
      <c r="E3846" s="16" t="n">
        <v>71</v>
      </c>
      <c r="F3846" s="16">
        <f>D3846*E3846</f>
        <v/>
      </c>
    </row>
    <row r="3847">
      <c r="A3847" s="13" t="inlineStr">
        <is>
          <t>3994</t>
        </is>
      </c>
      <c r="B3847" s="14" t="inlineStr">
        <is>
          <t>Galvanized iron (1.6 ± 0.2 mm) thick reinforcement for big series sliding door sash (3 track sliding door sash i/c 5% wastage)</t>
        </is>
      </c>
      <c r="C3847" s="13" t="inlineStr">
        <is>
          <t>metre</t>
        </is>
      </c>
      <c r="D3847" s="15" t="n">
        <v>18.19</v>
      </c>
      <c r="E3847" s="16" t="n">
        <v>86</v>
      </c>
      <c r="F3847" s="16">
        <f>D3847*E3847</f>
        <v/>
      </c>
    </row>
    <row r="3848">
      <c r="A3848" s="13" t="inlineStr">
        <is>
          <t>7390</t>
        </is>
      </c>
      <c r="B3848" s="14" t="inlineStr">
        <is>
          <t>EPDM Gasket for uPVC door i/c 5% wastage</t>
        </is>
      </c>
      <c r="C3848" s="13" t="inlineStr">
        <is>
          <t>metre</t>
        </is>
      </c>
      <c r="D3848" s="15" t="n">
        <v>35.01</v>
      </c>
      <c r="E3848" s="16" t="n">
        <v>19</v>
      </c>
      <c r="F3848" s="16">
        <f>D3848*E3848</f>
        <v/>
      </c>
    </row>
    <row r="3849">
      <c r="A3849" s="13" t="inlineStr">
        <is>
          <t>8773</t>
        </is>
      </c>
      <c r="B3849" s="14" t="inlineStr">
        <is>
          <t>Wool pile/ weather pile strip for uPVC sliding door i/c 5% wastage</t>
        </is>
      </c>
      <c r="C3849" s="13" t="inlineStr">
        <is>
          <t>metre</t>
        </is>
      </c>
      <c r="D3849" s="15" t="n">
        <v>46.63</v>
      </c>
      <c r="E3849" s="16" t="n">
        <v>20</v>
      </c>
      <c r="F3849" s="16">
        <f>D3849*E3849</f>
        <v/>
      </c>
    </row>
    <row r="3850">
      <c r="A3850" s="13" t="inlineStr">
        <is>
          <t>3995</t>
        </is>
      </c>
      <c r="B3850" s="14" t="inlineStr">
        <is>
          <t>G.I fasteners 100 x 8 mm</t>
        </is>
      </c>
      <c r="C3850" s="13" t="inlineStr">
        <is>
          <t>each</t>
        </is>
      </c>
      <c r="D3850" s="15" t="n">
        <v>24</v>
      </c>
      <c r="E3850" s="16" t="n">
        <v>14</v>
      </c>
      <c r="F3850" s="16">
        <f>D3850*E3850</f>
        <v/>
      </c>
    </row>
    <row r="3851">
      <c r="A3851" s="13" t="inlineStr">
        <is>
          <t>8119</t>
        </is>
      </c>
      <c r="B3851" s="14" t="inlineStr">
        <is>
          <t>Zinc alloy (white powder coated) handles with key along with zinc plated mild steel multi point locking having transmission gear with keeps for uPVC sliding door each</t>
        </is>
      </c>
      <c r="C3851" s="13" t="inlineStr">
        <is>
          <t>set</t>
        </is>
      </c>
      <c r="D3851" s="15" t="n">
        <v>2</v>
      </c>
      <c r="E3851" s="16" t="n">
        <v>1150</v>
      </c>
      <c r="F3851" s="16">
        <f>D3851*E3851</f>
        <v/>
      </c>
    </row>
    <row r="3852">
      <c r="A3852" s="13" t="inlineStr">
        <is>
          <t>8753</t>
        </is>
      </c>
      <c r="B3852" s="14" t="inlineStr">
        <is>
          <t>Stainless Steel (SS - 304) with adjustable double nylon roller (weight bearing capacity to be 120 Kg) for uPVC sliding door</t>
        </is>
      </c>
      <c r="C3852" s="13" t="inlineStr">
        <is>
          <t>each</t>
        </is>
      </c>
      <c r="D3852" s="15" t="n">
        <v>6</v>
      </c>
      <c r="E3852" s="16" t="n">
        <v>95</v>
      </c>
      <c r="F3852" s="16">
        <f>D3852*E3852</f>
        <v/>
      </c>
    </row>
    <row r="3853">
      <c r="A3853" s="13" t="inlineStr">
        <is>
          <t>0162</t>
        </is>
      </c>
      <c r="B3853" s="14" t="inlineStr">
        <is>
          <t>Labour for fabrication of uPVC extruded sliding doors including drilling holes, fixing of fittings &amp; hardwares, hire charges of drill machine and electricity charges etc.</t>
        </is>
      </c>
      <c r="C3853" s="13" t="inlineStr">
        <is>
          <t>sqm</t>
        </is>
      </c>
      <c r="D3853" s="15" t="n">
        <v>6.3</v>
      </c>
      <c r="E3853" s="16" t="n">
        <v>485</v>
      </c>
      <c r="F3853" s="16">
        <f>D3853*E3853</f>
        <v/>
      </c>
    </row>
    <row r="3854">
      <c r="A3854" s="13" t="inlineStr">
        <is>
          <t>0163</t>
        </is>
      </c>
      <c r="B3854" s="14" t="inlineStr">
        <is>
          <t>Labour for installation of uPVC extruded sliding doors including scaffolding</t>
        </is>
      </c>
      <c r="C3854" s="13" t="inlineStr">
        <is>
          <t>sqm</t>
        </is>
      </c>
      <c r="D3854" s="15" t="n">
        <v>6.3</v>
      </c>
      <c r="E3854" s="16" t="n">
        <v>430</v>
      </c>
      <c r="F3854" s="16">
        <f>D3854*E3854</f>
        <v/>
      </c>
    </row>
    <row r="3855">
      <c r="A3855" s="17" t="inlineStr">
        <is>
          <t>Resource Total (Material + Labour + Machinery, as printed)</t>
        </is>
      </c>
      <c r="B3855" s="18" t="n"/>
      <c r="C3855" s="18" t="n"/>
      <c r="D3855" s="18" t="n"/>
      <c r="E3855" s="18" t="n"/>
      <c r="F3855" s="19">
        <f>SUM(F3842:F3854)</f>
        <v/>
      </c>
    </row>
    <row r="3856">
      <c r="A3856" s="20" t="inlineStr">
        <is>
          <t>SAY (Rs.) — final DAR rate</t>
        </is>
      </c>
      <c r="B3856" s="21" t="n"/>
      <c r="C3856" s="21" t="n"/>
      <c r="D3856" s="21" t="n"/>
      <c r="E3856" s="21" t="n"/>
      <c r="F3856" s="22" t="n">
        <v>6064.8</v>
      </c>
    </row>
    <row r="3858" ht="28" customHeight="1">
      <c r="A3858" s="9" t="inlineStr">
        <is>
          <t>9.147F.4</t>
        </is>
      </c>
      <c r="B3858" s="10" t="inlineStr">
        <is>
          <t>Three track three panels sliding door with fly proof S.S wire mesh (Two nos. glazed &amp; one no. wire mesh panels) made of (big series) frame 1</t>
        </is>
      </c>
      <c r="C3858" s="11" t="n"/>
      <c r="D3858" s="11" t="n"/>
      <c r="E3858" s="11" t="n"/>
      <c r="F3858" s="11" t="n"/>
    </row>
    <row r="3859">
      <c r="A3859" s="12" t="inlineStr">
        <is>
          <t>Rate basis: per sqm  (source: cost for 4.2 sqm)</t>
        </is>
      </c>
    </row>
    <row r="3860">
      <c r="A3860" s="5" t="inlineStr">
        <is>
          <t>Code</t>
        </is>
      </c>
      <c r="B3860" s="5" t="inlineStr">
        <is>
          <t>Description</t>
        </is>
      </c>
      <c r="C3860" s="5" t="inlineStr">
        <is>
          <t>Unit</t>
        </is>
      </c>
      <c r="D3860" s="5" t="inlineStr">
        <is>
          <t>Quantity</t>
        </is>
      </c>
      <c r="E3860" s="5" t="inlineStr">
        <is>
          <t>Rate (Rs.)</t>
        </is>
      </c>
      <c r="F3860" s="5" t="inlineStr">
        <is>
          <t>Amount (Rs.)</t>
        </is>
      </c>
    </row>
    <row r="3861">
      <c r="A3861" s="13" t="inlineStr">
        <is>
          <t>8136</t>
        </is>
      </c>
      <c r="B3861" s="14" t="inlineStr">
        <is>
          <t>uPVC extruded (big series) 3 track sliding door frame size 116x45mm i/c 5% wastage</t>
        </is>
      </c>
      <c r="C3861" s="13" t="inlineStr">
        <is>
          <t>metre</t>
        </is>
      </c>
      <c r="D3861" s="15" t="n">
        <v>8.609999999999999</v>
      </c>
      <c r="E3861" s="16" t="n">
        <v>530</v>
      </c>
      <c r="F3861" s="16">
        <f>D3861*E3861</f>
        <v/>
      </c>
    </row>
    <row r="3862">
      <c r="A3862" s="13" t="inlineStr">
        <is>
          <t>8143</t>
        </is>
      </c>
      <c r="B3862" s="14" t="inlineStr">
        <is>
          <t>uPVC extruded 3 track sliding door sash (big series) size 46x82mm i/c 5% wastage</t>
        </is>
      </c>
      <c r="C3862" s="13" t="inlineStr">
        <is>
          <t>metre</t>
        </is>
      </c>
      <c r="D3862" s="15" t="n">
        <v>18.9</v>
      </c>
      <c r="E3862" s="16" t="n">
        <v>350</v>
      </c>
      <c r="F3862" s="16">
        <f>D3862*E3862</f>
        <v/>
      </c>
    </row>
    <row r="3863">
      <c r="A3863" s="13" t="inlineStr">
        <is>
          <t>8141</t>
        </is>
      </c>
      <c r="B3863" s="14" t="inlineStr">
        <is>
          <t>uPVC extruded interlock of appropriate dimension for big series sliding door sash i/c 5% wastage</t>
        </is>
      </c>
      <c r="C3863" s="13" t="inlineStr">
        <is>
          <t>metre</t>
        </is>
      </c>
      <c r="D3863" s="15" t="n">
        <v>6.34</v>
      </c>
      <c r="E3863" s="16" t="n">
        <v>90</v>
      </c>
      <c r="F3863" s="16">
        <f>D3863*E3863</f>
        <v/>
      </c>
    </row>
    <row r="3864">
      <c r="A3864" s="13" t="inlineStr">
        <is>
          <t>8132</t>
        </is>
      </c>
      <c r="B3864" s="14" t="inlineStr">
        <is>
          <t>uPVC extruded glazing bead of appropriate dimension for big series of sliding door Sash i/c 5% wastage</t>
        </is>
      </c>
      <c r="C3864" s="13" t="inlineStr">
        <is>
          <t>metre</t>
        </is>
      </c>
      <c r="D3864" s="15" t="n">
        <v>17.82</v>
      </c>
      <c r="E3864" s="16" t="n">
        <v>85</v>
      </c>
      <c r="F3864" s="16">
        <f>D3864*E3864</f>
        <v/>
      </c>
    </row>
    <row r="3865">
      <c r="A3865" s="13" t="inlineStr">
        <is>
          <t>3992</t>
        </is>
      </c>
      <c r="B3865" s="14" t="inlineStr">
        <is>
          <t>Galvanized iron (1.6 ± 0.2 mm) thick reinforcement for big series sliding door frame (3 track sliding door frame i/c 5% wastage)</t>
        </is>
      </c>
      <c r="C3865" s="13" t="inlineStr">
        <is>
          <t>metre</t>
        </is>
      </c>
      <c r="D3865" s="15" t="n">
        <v>8.31</v>
      </c>
      <c r="E3865" s="16" t="n">
        <v>71</v>
      </c>
      <c r="F3865" s="16">
        <f>D3865*E3865</f>
        <v/>
      </c>
    </row>
    <row r="3866">
      <c r="A3866" s="13" t="inlineStr">
        <is>
          <t>3994</t>
        </is>
      </c>
      <c r="B3866" s="14" t="inlineStr">
        <is>
          <t>Galvanized iron (1.6 ± 0.2 mm) thick reinforcement for big series sliding door sash (3 track sliding door sash i/c 5% wastage)</t>
        </is>
      </c>
      <c r="C3866" s="13" t="inlineStr">
        <is>
          <t>metre</t>
        </is>
      </c>
      <c r="D3866" s="15" t="n">
        <v>18</v>
      </c>
      <c r="E3866" s="16" t="n">
        <v>86</v>
      </c>
      <c r="F3866" s="16">
        <f>D3866*E3866</f>
        <v/>
      </c>
    </row>
    <row r="3867">
      <c r="A3867" s="13" t="inlineStr">
        <is>
          <t>7390</t>
        </is>
      </c>
      <c r="B3867" s="14" t="inlineStr">
        <is>
          <t>EPDM Gasket for uPVC door i/c 5% wastage</t>
        </is>
      </c>
      <c r="C3867" s="13" t="inlineStr">
        <is>
          <t>metre</t>
        </is>
      </c>
      <c r="D3867" s="15" t="n">
        <v>36.64</v>
      </c>
      <c r="E3867" s="16" t="n">
        <v>19</v>
      </c>
      <c r="F3867" s="16">
        <f>D3867*E3867</f>
        <v/>
      </c>
    </row>
    <row r="3868">
      <c r="A3868" s="13" t="inlineStr">
        <is>
          <t>8773</t>
        </is>
      </c>
      <c r="B3868" s="14" t="inlineStr">
        <is>
          <t>Wool pile/ weather pile strip for uPVC sliding door i/c 5% wastage</t>
        </is>
      </c>
      <c r="C3868" s="13" t="inlineStr">
        <is>
          <t>metre</t>
        </is>
      </c>
      <c r="D3868" s="15" t="n">
        <v>44.14</v>
      </c>
      <c r="E3868" s="16" t="n">
        <v>20</v>
      </c>
      <c r="F3868" s="16">
        <f>D3868*E3868</f>
        <v/>
      </c>
    </row>
    <row r="3869">
      <c r="A3869" s="13" t="inlineStr">
        <is>
          <t>3995</t>
        </is>
      </c>
      <c r="B3869" s="14" t="inlineStr">
        <is>
          <t>G.I fasteners 100 x 8 mm</t>
        </is>
      </c>
      <c r="C3869" s="13" t="inlineStr">
        <is>
          <t>each</t>
        </is>
      </c>
      <c r="D3869" s="15" t="n">
        <v>18</v>
      </c>
      <c r="E3869" s="16" t="n">
        <v>14</v>
      </c>
      <c r="F3869" s="16">
        <f>D3869*E3869</f>
        <v/>
      </c>
    </row>
    <row r="3870">
      <c r="A3870" s="13" t="inlineStr">
        <is>
          <t>8119</t>
        </is>
      </c>
      <c r="B3870" s="14" t="inlineStr">
        <is>
          <t>Zinc alloy (white powder coated) handles with key along with zinc plated mild steel multi point locking having transmission gear with keeps for uPVC sliding door each</t>
        </is>
      </c>
      <c r="C3870" s="13" t="inlineStr">
        <is>
          <t>set</t>
        </is>
      </c>
      <c r="D3870" s="15" t="n">
        <v>2</v>
      </c>
      <c r="E3870" s="16" t="n">
        <v>1150</v>
      </c>
      <c r="F3870" s="16">
        <f>D3870*E3870</f>
        <v/>
      </c>
    </row>
    <row r="3871">
      <c r="A3871" s="13" t="inlineStr">
        <is>
          <t>8749</t>
        </is>
      </c>
      <c r="B3871" s="14" t="inlineStr">
        <is>
          <t>Zinc alloy (white powder coated) touch lock with hook for wire mesh shutter</t>
        </is>
      </c>
      <c r="C3871" s="13" t="inlineStr">
        <is>
          <t>each</t>
        </is>
      </c>
      <c r="D3871" s="15" t="n">
        <v>1</v>
      </c>
      <c r="E3871" s="16" t="n">
        <v>120</v>
      </c>
      <c r="F3871" s="16">
        <f>D3871*E3871</f>
        <v/>
      </c>
    </row>
    <row r="3872">
      <c r="A3872" s="13" t="inlineStr">
        <is>
          <t>8753</t>
        </is>
      </c>
      <c r="B3872" s="14" t="inlineStr">
        <is>
          <t>Stainless Steel (SS - 304) with adjustable double nylon roller (weight bearing capacity to be 120 Kg) for uPVC sliding door</t>
        </is>
      </c>
      <c r="C3872" s="13" t="inlineStr">
        <is>
          <t>each</t>
        </is>
      </c>
      <c r="D3872" s="15" t="n">
        <v>6</v>
      </c>
      <c r="E3872" s="16" t="n">
        <v>95</v>
      </c>
      <c r="F3872" s="16">
        <f>D3872*E3872</f>
        <v/>
      </c>
    </row>
    <row r="3873">
      <c r="A3873" s="13" t="inlineStr">
        <is>
          <t>0162</t>
        </is>
      </c>
      <c r="B3873" s="14" t="inlineStr">
        <is>
          <t>Labour for fabrication of uPVC extruded sliding doors including drilling holes, fixing of fittings &amp; hardwares, hire charges of drill machine and electricity charges etc.</t>
        </is>
      </c>
      <c r="C3873" s="13" t="inlineStr">
        <is>
          <t>sqm</t>
        </is>
      </c>
      <c r="D3873" s="15" t="n">
        <v>4.2</v>
      </c>
      <c r="E3873" s="16" t="n">
        <v>485</v>
      </c>
      <c r="F3873" s="16">
        <f>D3873*E3873</f>
        <v/>
      </c>
    </row>
    <row r="3874">
      <c r="A3874" s="13" t="inlineStr">
        <is>
          <t>0163</t>
        </is>
      </c>
      <c r="B3874" s="14" t="inlineStr">
        <is>
          <t>Labour for installation of uPVC extruded sliding doors including scaffolding</t>
        </is>
      </c>
      <c r="C3874" s="13" t="inlineStr">
        <is>
          <t>sqm</t>
        </is>
      </c>
      <c r="D3874" s="15" t="n">
        <v>4.2</v>
      </c>
      <c r="E3874" s="16" t="n">
        <v>430</v>
      </c>
      <c r="F3874" s="16">
        <f>D3874*E3874</f>
        <v/>
      </c>
    </row>
    <row r="3875">
      <c r="A3875" s="17" t="inlineStr">
        <is>
          <t>Resource Total (Material + Labour + Machinery, as printed)</t>
        </is>
      </c>
      <c r="B3875" s="18" t="n"/>
      <c r="C3875" s="18" t="n"/>
      <c r="D3875" s="18" t="n"/>
      <c r="E3875" s="18" t="n"/>
      <c r="F3875" s="19">
        <f>SUM(F3861:F3874)</f>
        <v/>
      </c>
    </row>
    <row r="3876">
      <c r="A3876" s="20" t="inlineStr">
        <is>
          <t>SAY (Rs.) — final DAR rate</t>
        </is>
      </c>
      <c r="B3876" s="21" t="n"/>
      <c r="C3876" s="21" t="n"/>
      <c r="D3876" s="21" t="n"/>
      <c r="E3876" s="21" t="n"/>
      <c r="F3876" s="22" t="n">
        <v>7774.55</v>
      </c>
    </row>
    <row r="3878" ht="18" customHeight="1">
      <c r="A3878" s="9" t="inlineStr">
        <is>
          <t>9.148.1</t>
        </is>
      </c>
      <c r="B3878" s="10" t="inlineStr">
        <is>
          <t>200 x 19 x 1.9 mm</t>
        </is>
      </c>
      <c r="C3878" s="11" t="n"/>
      <c r="D3878" s="11" t="n"/>
      <c r="E3878" s="11" t="n"/>
      <c r="F3878" s="11" t="n"/>
    </row>
    <row r="3879">
      <c r="A3879" s="12" t="inlineStr">
        <is>
          <t>Rate basis: per Nos  (source: cost for 10 Nos)</t>
        </is>
      </c>
    </row>
    <row r="3880">
      <c r="A3880" s="5" t="inlineStr">
        <is>
          <t>Code</t>
        </is>
      </c>
      <c r="B3880" s="5" t="inlineStr">
        <is>
          <t>Description</t>
        </is>
      </c>
      <c r="C3880" s="5" t="inlineStr">
        <is>
          <t>Unit</t>
        </is>
      </c>
      <c r="D3880" s="5" t="inlineStr">
        <is>
          <t>Quantity</t>
        </is>
      </c>
      <c r="E3880" s="5" t="inlineStr">
        <is>
          <t>Rate (Rs.)</t>
        </is>
      </c>
      <c r="F3880" s="5" t="inlineStr">
        <is>
          <t>Amount (Rs.)</t>
        </is>
      </c>
    </row>
    <row r="3881">
      <c r="A3881" s="13" t="inlineStr">
        <is>
          <t>8755</t>
        </is>
      </c>
      <c r="B3881" s="14" t="inlineStr">
        <is>
          <t>Stainless steel friction hinge of size 200 mm x 19 x 1.9 mm for uPVC windows</t>
        </is>
      </c>
      <c r="C3881" s="13" t="inlineStr">
        <is>
          <t>each</t>
        </is>
      </c>
      <c r="D3881" s="15" t="n">
        <v>10</v>
      </c>
      <c r="E3881" s="16" t="n">
        <v>205</v>
      </c>
      <c r="F3881" s="16">
        <f>D3881*E3881</f>
        <v/>
      </c>
    </row>
    <row r="3882">
      <c r="A3882" s="13" t="inlineStr">
        <is>
          <t>8647</t>
        </is>
      </c>
      <c r="B3882" s="14" t="inlineStr">
        <is>
          <t>Stainless steel screws 30mm x4mm.</t>
        </is>
      </c>
      <c r="C3882" s="13" t="inlineStr">
        <is>
          <t>100 Nos</t>
        </is>
      </c>
      <c r="D3882" s="15" t="n">
        <v>0.4</v>
      </c>
      <c r="E3882" s="16" t="n">
        <v>32</v>
      </c>
      <c r="F3882" s="16">
        <f>D3882*E3882</f>
        <v/>
      </c>
    </row>
    <row r="3883">
      <c r="A3883" s="13" t="inlineStr">
        <is>
          <t>9977</t>
        </is>
      </c>
      <c r="B3883" s="14" t="inlineStr">
        <is>
          <t>Carriage of materials</t>
        </is>
      </c>
      <c r="C3883" s="13" t="inlineStr">
        <is>
          <t>L.S.</t>
        </is>
      </c>
      <c r="D3883" s="15" t="n">
        <v>2.73</v>
      </c>
      <c r="E3883" s="16" t="n">
        <v>2</v>
      </c>
      <c r="F3883" s="16">
        <f>D3883*E3883</f>
        <v/>
      </c>
    </row>
    <row r="3884">
      <c r="A3884" s="13" t="inlineStr">
        <is>
          <t>0112</t>
        </is>
      </c>
      <c r="B3884" s="14" t="inlineStr">
        <is>
          <t>Carpenter 2nd class</t>
        </is>
      </c>
      <c r="C3884" s="13" t="inlineStr">
        <is>
          <t>day</t>
        </is>
      </c>
      <c r="D3884" s="15" t="n">
        <v>0.14</v>
      </c>
      <c r="E3884" s="16" t="n">
        <v>679</v>
      </c>
      <c r="F3884" s="16">
        <f>D3884*E3884</f>
        <v/>
      </c>
    </row>
    <row r="3885">
      <c r="A3885" s="13" t="inlineStr">
        <is>
          <t>0114</t>
        </is>
      </c>
      <c r="B3885" s="14" t="inlineStr">
        <is>
          <t>Beldar</t>
        </is>
      </c>
      <c r="C3885" s="13" t="inlineStr">
        <is>
          <t>day</t>
        </is>
      </c>
      <c r="D3885" s="15" t="n">
        <v>0.14</v>
      </c>
      <c r="E3885" s="16" t="n">
        <v>558</v>
      </c>
      <c r="F3885" s="16">
        <f>D3885*E3885</f>
        <v/>
      </c>
    </row>
    <row r="3886">
      <c r="A3886" s="17" t="inlineStr">
        <is>
          <t>Resource Total (Material + Labour + Machinery, as printed)</t>
        </is>
      </c>
      <c r="B3886" s="18" t="n"/>
      <c r="C3886" s="18" t="n"/>
      <c r="D3886" s="18" t="n"/>
      <c r="E3886" s="18" t="n"/>
      <c r="F3886" s="19">
        <f>SUM(F3881:F3885)</f>
        <v/>
      </c>
    </row>
    <row r="3887">
      <c r="A3887" s="20" t="inlineStr">
        <is>
          <t>SAY (Rs.) — final DAR rate</t>
        </is>
      </c>
      <c r="B3887" s="21" t="n"/>
      <c r="C3887" s="21" t="n"/>
      <c r="D3887" s="21" t="n"/>
      <c r="E3887" s="21" t="n"/>
      <c r="F3887" s="22" t="n">
        <v>299.9</v>
      </c>
    </row>
    <row r="3889" ht="18" customHeight="1">
      <c r="A3889" s="9" t="inlineStr">
        <is>
          <t>9.148.2</t>
        </is>
      </c>
      <c r="B3889" s="10" t="inlineStr">
        <is>
          <t>250 x 19 x 1.9 mm</t>
        </is>
      </c>
      <c r="C3889" s="11" t="n"/>
      <c r="D3889" s="11" t="n"/>
      <c r="E3889" s="11" t="n"/>
      <c r="F3889" s="11" t="n"/>
    </row>
    <row r="3890">
      <c r="A3890" s="12" t="inlineStr">
        <is>
          <t>Rate basis: per Nos  (source: cost for 10 Nos)</t>
        </is>
      </c>
    </row>
    <row r="3891">
      <c r="A3891" s="5" t="inlineStr">
        <is>
          <t>Code</t>
        </is>
      </c>
      <c r="B3891" s="5" t="inlineStr">
        <is>
          <t>Description</t>
        </is>
      </c>
      <c r="C3891" s="5" t="inlineStr">
        <is>
          <t>Unit</t>
        </is>
      </c>
      <c r="D3891" s="5" t="inlineStr">
        <is>
          <t>Quantity</t>
        </is>
      </c>
      <c r="E3891" s="5" t="inlineStr">
        <is>
          <t>Rate (Rs.)</t>
        </is>
      </c>
      <c r="F3891" s="5" t="inlineStr">
        <is>
          <t>Amount (Rs.)</t>
        </is>
      </c>
    </row>
    <row r="3892">
      <c r="A3892" s="13" t="inlineStr">
        <is>
          <t>8756</t>
        </is>
      </c>
      <c r="B3892" s="14" t="inlineStr">
        <is>
          <t>Stainless steel friction hinge of size 250 mm x 19 x 1.9 mm for uPVC windows</t>
        </is>
      </c>
      <c r="C3892" s="13" t="inlineStr">
        <is>
          <t>each</t>
        </is>
      </c>
      <c r="D3892" s="15" t="n">
        <v>10</v>
      </c>
      <c r="E3892" s="16" t="n">
        <v>230</v>
      </c>
      <c r="F3892" s="16">
        <f>D3892*E3892</f>
        <v/>
      </c>
    </row>
    <row r="3893">
      <c r="A3893" s="13" t="inlineStr">
        <is>
          <t>8647</t>
        </is>
      </c>
      <c r="B3893" s="14" t="inlineStr">
        <is>
          <t>Stainless steel screws 30mm x4mm.</t>
        </is>
      </c>
      <c r="C3893" s="13" t="inlineStr">
        <is>
          <t>100 Nos</t>
        </is>
      </c>
      <c r="D3893" s="15" t="n">
        <v>0.4</v>
      </c>
      <c r="E3893" s="16" t="n">
        <v>32</v>
      </c>
      <c r="F3893" s="16">
        <f>D3893*E3893</f>
        <v/>
      </c>
    </row>
    <row r="3894">
      <c r="A3894" s="13" t="inlineStr">
        <is>
          <t>9977</t>
        </is>
      </c>
      <c r="B3894" s="14" t="inlineStr">
        <is>
          <t>Carriage of materials</t>
        </is>
      </c>
      <c r="C3894" s="13" t="inlineStr">
        <is>
          <t>L.S.</t>
        </is>
      </c>
      <c r="D3894" s="15" t="n">
        <v>2.73</v>
      </c>
      <c r="E3894" s="16" t="n">
        <v>2</v>
      </c>
      <c r="F3894" s="16">
        <f>D3894*E3894</f>
        <v/>
      </c>
    </row>
    <row r="3895">
      <c r="A3895" s="13" t="inlineStr">
        <is>
          <t>0112</t>
        </is>
      </c>
      <c r="B3895" s="14" t="inlineStr">
        <is>
          <t>Carpenter 2nd class</t>
        </is>
      </c>
      <c r="C3895" s="13" t="inlineStr">
        <is>
          <t>day</t>
        </is>
      </c>
      <c r="D3895" s="15" t="n">
        <v>0.14</v>
      </c>
      <c r="E3895" s="16" t="n">
        <v>679</v>
      </c>
      <c r="F3895" s="16">
        <f>D3895*E3895</f>
        <v/>
      </c>
    </row>
    <row r="3896">
      <c r="A3896" s="13" t="inlineStr">
        <is>
          <t>0114</t>
        </is>
      </c>
      <c r="B3896" s="14" t="inlineStr">
        <is>
          <t>Beldar</t>
        </is>
      </c>
      <c r="C3896" s="13" t="inlineStr">
        <is>
          <t>day</t>
        </is>
      </c>
      <c r="D3896" s="15" t="n">
        <v>0.14</v>
      </c>
      <c r="E3896" s="16" t="n">
        <v>558</v>
      </c>
      <c r="F3896" s="16">
        <f>D3896*E3896</f>
        <v/>
      </c>
    </row>
    <row r="3897">
      <c r="A3897" s="17" t="inlineStr">
        <is>
          <t>Resource Total (Material + Labour + Machinery, as printed)</t>
        </is>
      </c>
      <c r="B3897" s="18" t="n"/>
      <c r="C3897" s="18" t="n"/>
      <c r="D3897" s="18" t="n"/>
      <c r="E3897" s="18" t="n"/>
      <c r="F3897" s="19">
        <f>SUM(F3892:F3896)</f>
        <v/>
      </c>
    </row>
    <row r="3898">
      <c r="A3898" s="20" t="inlineStr">
        <is>
          <t>SAY (Rs.) — final DAR rate</t>
        </is>
      </c>
      <c r="B3898" s="21" t="n"/>
      <c r="C3898" s="21" t="n"/>
      <c r="D3898" s="21" t="n"/>
      <c r="E3898" s="21" t="n"/>
      <c r="F3898" s="22" t="n">
        <v>333.35</v>
      </c>
    </row>
    <row r="3900" ht="18" customHeight="1">
      <c r="A3900" s="9" t="inlineStr">
        <is>
          <t>9.148.3</t>
        </is>
      </c>
      <c r="B3900" s="10" t="inlineStr">
        <is>
          <t>300 x 19 x 1.9 mm</t>
        </is>
      </c>
      <c r="C3900" s="11" t="n"/>
      <c r="D3900" s="11" t="n"/>
      <c r="E3900" s="11" t="n"/>
      <c r="F3900" s="11" t="n"/>
    </row>
    <row r="3901">
      <c r="A3901" s="12" t="inlineStr">
        <is>
          <t>Rate basis: per Nos  (source: cost for 10 Nos)</t>
        </is>
      </c>
    </row>
    <row r="3902">
      <c r="A3902" s="5" t="inlineStr">
        <is>
          <t>Code</t>
        </is>
      </c>
      <c r="B3902" s="5" t="inlineStr">
        <is>
          <t>Description</t>
        </is>
      </c>
      <c r="C3902" s="5" t="inlineStr">
        <is>
          <t>Unit</t>
        </is>
      </c>
      <c r="D3902" s="5" t="inlineStr">
        <is>
          <t>Quantity</t>
        </is>
      </c>
      <c r="E3902" s="5" t="inlineStr">
        <is>
          <t>Rate (Rs.)</t>
        </is>
      </c>
      <c r="F3902" s="5" t="inlineStr">
        <is>
          <t>Amount (Rs.)</t>
        </is>
      </c>
    </row>
    <row r="3903">
      <c r="A3903" s="13" t="inlineStr">
        <is>
          <t>8757</t>
        </is>
      </c>
      <c r="B3903" s="14" t="inlineStr">
        <is>
          <t>Stainless steel friction hinge of size 300 mm x 19 x 1.9 mm for uPVC windows</t>
        </is>
      </c>
      <c r="C3903" s="13" t="inlineStr">
        <is>
          <t>each</t>
        </is>
      </c>
      <c r="D3903" s="15" t="n">
        <v>10</v>
      </c>
      <c r="E3903" s="16" t="n">
        <v>245</v>
      </c>
      <c r="F3903" s="16">
        <f>D3903*E3903</f>
        <v/>
      </c>
    </row>
    <row r="3904">
      <c r="A3904" s="13" t="inlineStr">
        <is>
          <t>8647</t>
        </is>
      </c>
      <c r="B3904" s="14" t="inlineStr">
        <is>
          <t>Stainless steel screws 30mm x4mm.</t>
        </is>
      </c>
      <c r="C3904" s="13" t="inlineStr">
        <is>
          <t>100 Nos</t>
        </is>
      </c>
      <c r="D3904" s="15" t="n">
        <v>0.4</v>
      </c>
      <c r="E3904" s="16" t="n">
        <v>32</v>
      </c>
      <c r="F3904" s="16">
        <f>D3904*E3904</f>
        <v/>
      </c>
    </row>
    <row r="3905">
      <c r="A3905" s="13" t="inlineStr">
        <is>
          <t>9977</t>
        </is>
      </c>
      <c r="B3905" s="14" t="inlineStr">
        <is>
          <t>Carriage of materials</t>
        </is>
      </c>
      <c r="C3905" s="13" t="inlineStr">
        <is>
          <t>L.S.</t>
        </is>
      </c>
      <c r="D3905" s="15" t="n">
        <v>2.73</v>
      </c>
      <c r="E3905" s="16" t="n">
        <v>2</v>
      </c>
      <c r="F3905" s="16">
        <f>D3905*E3905</f>
        <v/>
      </c>
    </row>
    <row r="3906">
      <c r="A3906" s="13" t="inlineStr">
        <is>
          <t>0112</t>
        </is>
      </c>
      <c r="B3906" s="14" t="inlineStr">
        <is>
          <t>Carpenter 2nd class</t>
        </is>
      </c>
      <c r="C3906" s="13" t="inlineStr">
        <is>
          <t>day</t>
        </is>
      </c>
      <c r="D3906" s="15" t="n">
        <v>0.14</v>
      </c>
      <c r="E3906" s="16" t="n">
        <v>679</v>
      </c>
      <c r="F3906" s="16">
        <f>D3906*E3906</f>
        <v/>
      </c>
    </row>
    <row r="3907">
      <c r="A3907" s="13" t="inlineStr">
        <is>
          <t>0114</t>
        </is>
      </c>
      <c r="B3907" s="14" t="inlineStr">
        <is>
          <t>Beldar</t>
        </is>
      </c>
      <c r="C3907" s="13" t="inlineStr">
        <is>
          <t>day</t>
        </is>
      </c>
      <c r="D3907" s="15" t="n">
        <v>0.14</v>
      </c>
      <c r="E3907" s="16" t="n">
        <v>558</v>
      </c>
      <c r="F3907" s="16">
        <f>D3907*E3907</f>
        <v/>
      </c>
    </row>
    <row r="3908">
      <c r="A3908" s="17" t="inlineStr">
        <is>
          <t>Resource Total (Material + Labour + Machinery, as printed)</t>
        </is>
      </c>
      <c r="B3908" s="18" t="n"/>
      <c r="C3908" s="18" t="n"/>
      <c r="D3908" s="18" t="n"/>
      <c r="E3908" s="18" t="n"/>
      <c r="F3908" s="19">
        <f>SUM(F3903:F3907)</f>
        <v/>
      </c>
    </row>
    <row r="3909">
      <c r="A3909" s="20" t="inlineStr">
        <is>
          <t>SAY (Rs.) — final DAR rate</t>
        </is>
      </c>
      <c r="B3909" s="21" t="n"/>
      <c r="C3909" s="21" t="n"/>
      <c r="D3909" s="21" t="n"/>
      <c r="E3909" s="21" t="n"/>
      <c r="F3909" s="22" t="n">
        <v>353.4</v>
      </c>
    </row>
    <row r="3911" ht="18" customHeight="1">
      <c r="A3911" s="9" t="inlineStr">
        <is>
          <t>9.148.4</t>
        </is>
      </c>
      <c r="B3911" s="10" t="inlineStr">
        <is>
          <t>350 x 19 x 1.9 mm</t>
        </is>
      </c>
      <c r="C3911" s="11" t="n"/>
      <c r="D3911" s="11" t="n"/>
      <c r="E3911" s="11" t="n"/>
      <c r="F3911" s="11" t="n"/>
    </row>
    <row r="3912">
      <c r="A3912" s="12" t="inlineStr">
        <is>
          <t>Rate basis: per Nos  (source: cost for 10 Nos)</t>
        </is>
      </c>
    </row>
    <row r="3913">
      <c r="A3913" s="5" t="inlineStr">
        <is>
          <t>Code</t>
        </is>
      </c>
      <c r="B3913" s="5" t="inlineStr">
        <is>
          <t>Description</t>
        </is>
      </c>
      <c r="C3913" s="5" t="inlineStr">
        <is>
          <t>Unit</t>
        </is>
      </c>
      <c r="D3913" s="5" t="inlineStr">
        <is>
          <t>Quantity</t>
        </is>
      </c>
      <c r="E3913" s="5" t="inlineStr">
        <is>
          <t>Rate (Rs.)</t>
        </is>
      </c>
      <c r="F3913" s="5" t="inlineStr">
        <is>
          <t>Amount (Rs.)</t>
        </is>
      </c>
    </row>
    <row r="3914">
      <c r="A3914" s="13" t="inlineStr">
        <is>
          <t>8758</t>
        </is>
      </c>
      <c r="B3914" s="14" t="inlineStr">
        <is>
          <t>Stainless steel friction hinge of size 350 mm x 19 x 1.9 mm for uPVC windows</t>
        </is>
      </c>
      <c r="C3914" s="13" t="inlineStr">
        <is>
          <t>each</t>
        </is>
      </c>
      <c r="D3914" s="15" t="n">
        <v>10</v>
      </c>
      <c r="E3914" s="16" t="n">
        <v>345</v>
      </c>
      <c r="F3914" s="16">
        <f>D3914*E3914</f>
        <v/>
      </c>
    </row>
    <row r="3915">
      <c r="A3915" s="13" t="inlineStr">
        <is>
          <t>8647</t>
        </is>
      </c>
      <c r="B3915" s="14" t="inlineStr">
        <is>
          <t>Stainless steel screws 30mm x4mm.</t>
        </is>
      </c>
      <c r="C3915" s="13" t="inlineStr">
        <is>
          <t>100 Nos</t>
        </is>
      </c>
      <c r="D3915" s="15" t="n">
        <v>0.4</v>
      </c>
      <c r="E3915" s="16" t="n">
        <v>32</v>
      </c>
      <c r="F3915" s="16">
        <f>D3915*E3915</f>
        <v/>
      </c>
    </row>
    <row r="3916">
      <c r="A3916" s="13" t="inlineStr">
        <is>
          <t>9977</t>
        </is>
      </c>
      <c r="B3916" s="14" t="inlineStr">
        <is>
          <t>Carriage of materials</t>
        </is>
      </c>
      <c r="C3916" s="13" t="inlineStr">
        <is>
          <t>L.S.</t>
        </is>
      </c>
      <c r="D3916" s="15" t="n">
        <v>2.73</v>
      </c>
      <c r="E3916" s="16" t="n">
        <v>2</v>
      </c>
      <c r="F3916" s="16">
        <f>D3916*E3916</f>
        <v/>
      </c>
    </row>
    <row r="3917">
      <c r="A3917" s="13" t="inlineStr">
        <is>
          <t>0112</t>
        </is>
      </c>
      <c r="B3917" s="14" t="inlineStr">
        <is>
          <t>Carpenter 2nd class</t>
        </is>
      </c>
      <c r="C3917" s="13" t="inlineStr">
        <is>
          <t>day</t>
        </is>
      </c>
      <c r="D3917" s="15" t="n">
        <v>0.14</v>
      </c>
      <c r="E3917" s="16" t="n">
        <v>679</v>
      </c>
      <c r="F3917" s="16">
        <f>D3917*E3917</f>
        <v/>
      </c>
    </row>
    <row r="3918">
      <c r="A3918" s="13" t="inlineStr">
        <is>
          <t>0114</t>
        </is>
      </c>
      <c r="B3918" s="14" t="inlineStr">
        <is>
          <t>Beldar</t>
        </is>
      </c>
      <c r="C3918" s="13" t="inlineStr">
        <is>
          <t>day</t>
        </is>
      </c>
      <c r="D3918" s="15" t="n">
        <v>0.14</v>
      </c>
      <c r="E3918" s="16" t="n">
        <v>558</v>
      </c>
      <c r="F3918" s="16">
        <f>D3918*E3918</f>
        <v/>
      </c>
    </row>
    <row r="3919">
      <c r="A3919" s="17" t="inlineStr">
        <is>
          <t>Resource Total (Material + Labour + Machinery, as printed)</t>
        </is>
      </c>
      <c r="B3919" s="18" t="n"/>
      <c r="C3919" s="18" t="n"/>
      <c r="D3919" s="18" t="n"/>
      <c r="E3919" s="18" t="n"/>
      <c r="F3919" s="19">
        <f>SUM(F3914:F3918)</f>
        <v/>
      </c>
    </row>
    <row r="3920">
      <c r="A3920" s="20" t="inlineStr">
        <is>
          <t>SAY (Rs.) — final DAR rate</t>
        </is>
      </c>
      <c r="B3920" s="21" t="n"/>
      <c r="C3920" s="21" t="n"/>
      <c r="D3920" s="21" t="n"/>
      <c r="E3920" s="21" t="n"/>
      <c r="F3920" s="22" t="n">
        <v>487.2</v>
      </c>
    </row>
    <row r="3922" ht="18" customHeight="1">
      <c r="A3922" s="9" t="inlineStr">
        <is>
          <t>9.148.5</t>
        </is>
      </c>
      <c r="B3922" s="10" t="inlineStr">
        <is>
          <t>400 x 19 x 1.9 mm</t>
        </is>
      </c>
      <c r="C3922" s="11" t="n"/>
      <c r="D3922" s="11" t="n"/>
      <c r="E3922" s="11" t="n"/>
      <c r="F3922" s="11" t="n"/>
    </row>
    <row r="3923">
      <c r="A3923" s="12" t="inlineStr">
        <is>
          <t>Rate basis: per Nos  (source: cost for 10 Nos)</t>
        </is>
      </c>
    </row>
    <row r="3924">
      <c r="A3924" s="5" t="inlineStr">
        <is>
          <t>Code</t>
        </is>
      </c>
      <c r="B3924" s="5" t="inlineStr">
        <is>
          <t>Description</t>
        </is>
      </c>
      <c r="C3924" s="5" t="inlineStr">
        <is>
          <t>Unit</t>
        </is>
      </c>
      <c r="D3924" s="5" t="inlineStr">
        <is>
          <t>Quantity</t>
        </is>
      </c>
      <c r="E3924" s="5" t="inlineStr">
        <is>
          <t>Rate (Rs.)</t>
        </is>
      </c>
      <c r="F3924" s="5" t="inlineStr">
        <is>
          <t>Amount (Rs.)</t>
        </is>
      </c>
    </row>
    <row r="3925">
      <c r="A3925" s="13" t="inlineStr">
        <is>
          <t>8759</t>
        </is>
      </c>
      <c r="B3925" s="14" t="inlineStr">
        <is>
          <t>Stainless steel friction hinge of size 400 mm x 19 x 1.9 mm for uPVC windows</t>
        </is>
      </c>
      <c r="C3925" s="13" t="inlineStr">
        <is>
          <t>each</t>
        </is>
      </c>
      <c r="D3925" s="15" t="n">
        <v>10</v>
      </c>
      <c r="E3925" s="16" t="n">
        <v>365</v>
      </c>
      <c r="F3925" s="16">
        <f>D3925*E3925</f>
        <v/>
      </c>
    </row>
    <row r="3926">
      <c r="A3926" s="13" t="inlineStr">
        <is>
          <t>8647</t>
        </is>
      </c>
      <c r="B3926" s="14" t="inlineStr">
        <is>
          <t>Stainless steal screws 30mm x4mm.</t>
        </is>
      </c>
      <c r="C3926" s="13" t="inlineStr">
        <is>
          <t>100 Nos</t>
        </is>
      </c>
      <c r="D3926" s="15" t="n">
        <v>0.4</v>
      </c>
      <c r="E3926" s="16" t="n">
        <v>32</v>
      </c>
      <c r="F3926" s="16">
        <f>D3926*E3926</f>
        <v/>
      </c>
    </row>
    <row r="3927">
      <c r="A3927" s="13" t="inlineStr">
        <is>
          <t>9977</t>
        </is>
      </c>
      <c r="B3927" s="14" t="inlineStr">
        <is>
          <t>Carriage of materials</t>
        </is>
      </c>
      <c r="C3927" s="13" t="inlineStr">
        <is>
          <t>L.S.</t>
        </is>
      </c>
      <c r="D3927" s="15" t="n">
        <v>2.73</v>
      </c>
      <c r="E3927" s="16" t="n">
        <v>2</v>
      </c>
      <c r="F3927" s="16">
        <f>D3927*E3927</f>
        <v/>
      </c>
    </row>
    <row r="3928">
      <c r="A3928" s="13" t="inlineStr">
        <is>
          <t>0112</t>
        </is>
      </c>
      <c r="B3928" s="14" t="inlineStr">
        <is>
          <t>Carpenter 2nd class</t>
        </is>
      </c>
      <c r="C3928" s="13" t="inlineStr">
        <is>
          <t>day</t>
        </is>
      </c>
      <c r="D3928" s="15" t="n">
        <v>0.14</v>
      </c>
      <c r="E3928" s="16" t="n">
        <v>679</v>
      </c>
      <c r="F3928" s="16">
        <f>D3928*E3928</f>
        <v/>
      </c>
    </row>
    <row r="3929">
      <c r="A3929" s="13" t="inlineStr">
        <is>
          <t>0114</t>
        </is>
      </c>
      <c r="B3929" s="14" t="inlineStr">
        <is>
          <t>Beldar</t>
        </is>
      </c>
      <c r="C3929" s="13" t="inlineStr">
        <is>
          <t>day</t>
        </is>
      </c>
      <c r="D3929" s="15" t="n">
        <v>0.14</v>
      </c>
      <c r="E3929" s="16" t="n">
        <v>558</v>
      </c>
      <c r="F3929" s="16">
        <f>D3929*E3929</f>
        <v/>
      </c>
    </row>
    <row r="3930">
      <c r="A3930" s="17" t="inlineStr">
        <is>
          <t>Resource Total (Material + Labour + Machinery, as printed)</t>
        </is>
      </c>
      <c r="B3930" s="18" t="n"/>
      <c r="C3930" s="18" t="n"/>
      <c r="D3930" s="18" t="n"/>
      <c r="E3930" s="18" t="n"/>
      <c r="F3930" s="19">
        <f>SUM(F3925:F3929)</f>
        <v/>
      </c>
    </row>
    <row r="3931">
      <c r="A3931" s="20" t="inlineStr">
        <is>
          <t>SAY (Rs.) — final DAR rate</t>
        </is>
      </c>
      <c r="B3931" s="21" t="n"/>
      <c r="C3931" s="21" t="n"/>
      <c r="D3931" s="21" t="n"/>
      <c r="E3931" s="21" t="n"/>
      <c r="F3931" s="22" t="n">
        <v>513.95</v>
      </c>
    </row>
    <row r="3933" ht="28" customHeight="1">
      <c r="A3933" s="9" t="inlineStr">
        <is>
          <t>9.149</t>
        </is>
      </c>
      <c r="B3933" s="10" t="inlineStr">
        <is>
          <t>Providing and fixing casement handle made of zinc alloyed (white powder coated) for uPVC casement window with necessary screws etc. complete</t>
        </is>
      </c>
      <c r="C3933" s="11" t="n"/>
      <c r="D3933" s="11" t="n"/>
      <c r="E3933" s="11" t="n"/>
      <c r="F3933" s="11" t="n"/>
    </row>
    <row r="3934">
      <c r="A3934" s="12" t="inlineStr">
        <is>
          <t>Rate basis: per Nos  (source: cost for 10 Nos)</t>
        </is>
      </c>
    </row>
    <row r="3935">
      <c r="A3935" s="5" t="inlineStr">
        <is>
          <t>Code</t>
        </is>
      </c>
      <c r="B3935" s="5" t="inlineStr">
        <is>
          <t>Description</t>
        </is>
      </c>
      <c r="C3935" s="5" t="inlineStr">
        <is>
          <t>Unit</t>
        </is>
      </c>
      <c r="D3935" s="5" t="inlineStr">
        <is>
          <t>Quantity</t>
        </is>
      </c>
      <c r="E3935" s="5" t="inlineStr">
        <is>
          <t>Rate (Rs.)</t>
        </is>
      </c>
      <c r="F3935" s="5" t="inlineStr">
        <is>
          <t>Amount (Rs.)</t>
        </is>
      </c>
    </row>
    <row r="3936">
      <c r="A3936" s="13" t="inlineStr">
        <is>
          <t>8750</t>
        </is>
      </c>
      <c r="B3936" s="14" t="inlineStr">
        <is>
          <t>Zinc alloy (white powder coated) casement handle for uPVC windows</t>
        </is>
      </c>
      <c r="C3936" s="13" t="inlineStr">
        <is>
          <t>each</t>
        </is>
      </c>
      <c r="D3936" s="15" t="n">
        <v>10</v>
      </c>
      <c r="E3936" s="16" t="n">
        <v>130</v>
      </c>
      <c r="F3936" s="16">
        <f>D3936*E3936</f>
        <v/>
      </c>
    </row>
    <row r="3937">
      <c r="A3937" s="13" t="inlineStr">
        <is>
          <t>9977</t>
        </is>
      </c>
      <c r="B3937" s="14" t="inlineStr">
        <is>
          <t>Carriage of materials</t>
        </is>
      </c>
      <c r="C3937" s="13" t="inlineStr">
        <is>
          <t>L.S.</t>
        </is>
      </c>
      <c r="D3937" s="15" t="n">
        <v>4.42</v>
      </c>
      <c r="E3937" s="16" t="n">
        <v>2</v>
      </c>
      <c r="F3937" s="16">
        <f>D3937*E3937</f>
        <v/>
      </c>
    </row>
    <row r="3938">
      <c r="A3938" s="13" t="inlineStr">
        <is>
          <t>9999</t>
        </is>
      </c>
      <c r="B3938" s="14" t="inlineStr">
        <is>
          <t>Sundries(Screws)</t>
        </is>
      </c>
      <c r="C3938" s="13" t="inlineStr">
        <is>
          <t>L.S.</t>
        </is>
      </c>
      <c r="D3938" s="15" t="n">
        <v>3</v>
      </c>
      <c r="E3938" s="16" t="n">
        <v>2</v>
      </c>
      <c r="F3938" s="16">
        <f>D3938*E3938</f>
        <v/>
      </c>
    </row>
    <row r="3939">
      <c r="A3939" s="13" t="inlineStr">
        <is>
          <t>0156</t>
        </is>
      </c>
      <c r="B3939" s="14" t="inlineStr">
        <is>
          <t>Carpenter (average)</t>
        </is>
      </c>
      <c r="C3939" s="13" t="inlineStr">
        <is>
          <t>day</t>
        </is>
      </c>
      <c r="D3939" s="15" t="n">
        <v>0.125</v>
      </c>
      <c r="E3939" s="16" t="n">
        <v>709</v>
      </c>
      <c r="F3939" s="16">
        <f>D3939*E3939</f>
        <v/>
      </c>
    </row>
    <row r="3940">
      <c r="A3940" s="17" t="inlineStr">
        <is>
          <t>Resource Total (Material + Labour + Machinery, as printed)</t>
        </is>
      </c>
      <c r="B3940" s="18" t="n"/>
      <c r="C3940" s="18" t="n"/>
      <c r="D3940" s="18" t="n"/>
      <c r="E3940" s="18" t="n"/>
      <c r="F3940" s="19">
        <f>SUM(F3936:F3939)</f>
        <v/>
      </c>
    </row>
    <row r="3941">
      <c r="A3941" s="20" t="inlineStr">
        <is>
          <t>SAY (Rs.) — final DAR rate</t>
        </is>
      </c>
      <c r="B3941" s="21" t="n"/>
      <c r="C3941" s="21" t="n"/>
      <c r="D3941" s="21" t="n"/>
      <c r="E3941" s="21" t="n"/>
      <c r="F3941" s="22" t="n">
        <v>187.75</v>
      </c>
    </row>
    <row r="3943" ht="28" customHeight="1">
      <c r="A3943" s="9" t="inlineStr">
        <is>
          <t>9.150</t>
        </is>
      </c>
      <c r="B3943" s="10" t="inlineStr">
        <is>
          <t>Providing and fixing zinc alloyed (white powder coated) touch lock for uPVC sliding window with necessary screws etc. complete.</t>
        </is>
      </c>
      <c r="C3943" s="11" t="n"/>
      <c r="D3943" s="11" t="n"/>
      <c r="E3943" s="11" t="n"/>
      <c r="F3943" s="11" t="n"/>
    </row>
    <row r="3944">
      <c r="A3944" s="12" t="inlineStr">
        <is>
          <t>Rate basis: per Nos  (source: cost for 10 Nos)</t>
        </is>
      </c>
    </row>
    <row r="3945">
      <c r="A3945" s="5" t="inlineStr">
        <is>
          <t>Code</t>
        </is>
      </c>
      <c r="B3945" s="5" t="inlineStr">
        <is>
          <t>Description</t>
        </is>
      </c>
      <c r="C3945" s="5" t="inlineStr">
        <is>
          <t>Unit</t>
        </is>
      </c>
      <c r="D3945" s="5" t="inlineStr">
        <is>
          <t>Quantity</t>
        </is>
      </c>
      <c r="E3945" s="5" t="inlineStr">
        <is>
          <t>Rate (Rs.)</t>
        </is>
      </c>
      <c r="F3945" s="5" t="inlineStr">
        <is>
          <t>Amount (Rs.)</t>
        </is>
      </c>
    </row>
    <row r="3946">
      <c r="A3946" s="13" t="inlineStr">
        <is>
          <t>8751</t>
        </is>
      </c>
      <c r="B3946" s="14" t="inlineStr">
        <is>
          <t>Zinc alloy (white powder coated) Touch Lock for uPVC windows</t>
        </is>
      </c>
      <c r="C3946" s="13" t="inlineStr">
        <is>
          <t>each</t>
        </is>
      </c>
      <c r="D3946" s="15" t="n">
        <v>10</v>
      </c>
      <c r="E3946" s="16" t="n">
        <v>105</v>
      </c>
      <c r="F3946" s="16">
        <f>D3946*E3946</f>
        <v/>
      </c>
    </row>
    <row r="3947">
      <c r="A3947" s="13" t="inlineStr">
        <is>
          <t>9977</t>
        </is>
      </c>
      <c r="B3947" s="14" t="inlineStr">
        <is>
          <t>Carriage of materials</t>
        </is>
      </c>
      <c r="C3947" s="13" t="inlineStr">
        <is>
          <t>L.S.</t>
        </is>
      </c>
      <c r="D3947" s="15" t="n">
        <v>4.42</v>
      </c>
      <c r="E3947" s="16" t="n">
        <v>2</v>
      </c>
      <c r="F3947" s="16">
        <f>D3947*E3947</f>
        <v/>
      </c>
    </row>
    <row r="3948">
      <c r="A3948" s="13" t="inlineStr">
        <is>
          <t>9999</t>
        </is>
      </c>
      <c r="B3948" s="14" t="inlineStr">
        <is>
          <t>Sundries(Screws)</t>
        </is>
      </c>
      <c r="C3948" s="13" t="inlineStr">
        <is>
          <t>L.S.</t>
        </is>
      </c>
      <c r="D3948" s="15" t="n">
        <v>3</v>
      </c>
      <c r="E3948" s="16" t="n">
        <v>2</v>
      </c>
      <c r="F3948" s="16">
        <f>D3948*E3948</f>
        <v/>
      </c>
    </row>
    <row r="3949">
      <c r="A3949" s="13" t="inlineStr">
        <is>
          <t>0156</t>
        </is>
      </c>
      <c r="B3949" s="14" t="inlineStr">
        <is>
          <t>Carpenter (average)</t>
        </is>
      </c>
      <c r="C3949" s="13" t="inlineStr">
        <is>
          <t>day</t>
        </is>
      </c>
      <c r="D3949" s="15" t="n">
        <v>0.125</v>
      </c>
      <c r="E3949" s="16" t="n">
        <v>709</v>
      </c>
      <c r="F3949" s="16">
        <f>D3949*E3949</f>
        <v/>
      </c>
    </row>
    <row r="3950">
      <c r="A3950" s="17" t="inlineStr">
        <is>
          <t>Resource Total (Material + Labour + Machinery, as printed)</t>
        </is>
      </c>
      <c r="B3950" s="18" t="n"/>
      <c r="C3950" s="18" t="n"/>
      <c r="D3950" s="18" t="n"/>
      <c r="E3950" s="18" t="n"/>
      <c r="F3950" s="19">
        <f>SUM(F3946:F3949)</f>
        <v/>
      </c>
    </row>
    <row r="3951">
      <c r="A3951" s="20" t="inlineStr">
        <is>
          <t>SAY (Rs.) — final DAR rate</t>
        </is>
      </c>
      <c r="B3951" s="21" t="n"/>
      <c r="C3951" s="21" t="n"/>
      <c r="D3951" s="21" t="n"/>
      <c r="E3951" s="21" t="n"/>
      <c r="F3951" s="22" t="n">
        <v>154.35</v>
      </c>
    </row>
    <row r="3953" ht="28" customHeight="1">
      <c r="A3953" s="9" t="inlineStr">
        <is>
          <t>9.151</t>
        </is>
      </c>
      <c r="B3953" s="10" t="inlineStr">
        <is>
          <t>Providing and fixing steel roller for uPVC sliding window with necessary screws etc. complete.</t>
        </is>
      </c>
      <c r="C3953" s="11" t="n"/>
      <c r="D3953" s="11" t="n"/>
      <c r="E3953" s="11" t="n"/>
      <c r="F3953" s="11" t="n"/>
    </row>
    <row r="3954">
      <c r="A3954" s="12" t="inlineStr">
        <is>
          <t>Rate basis: per Nos  (source: cost for 10 Nos)</t>
        </is>
      </c>
    </row>
    <row r="3955">
      <c r="A3955" s="5" t="inlineStr">
        <is>
          <t>Code</t>
        </is>
      </c>
      <c r="B3955" s="5" t="inlineStr">
        <is>
          <t>Description</t>
        </is>
      </c>
      <c r="C3955" s="5" t="inlineStr">
        <is>
          <t>Unit</t>
        </is>
      </c>
      <c r="D3955" s="5" t="inlineStr">
        <is>
          <t>Quantity</t>
        </is>
      </c>
      <c r="E3955" s="5" t="inlineStr">
        <is>
          <t>Rate (Rs.)</t>
        </is>
      </c>
      <c r="F3955" s="5" t="inlineStr">
        <is>
          <t>Amount (Rs.)</t>
        </is>
      </c>
    </row>
    <row r="3956">
      <c r="A3956" s="13" t="inlineStr">
        <is>
          <t>8752</t>
        </is>
      </c>
      <c r="B3956" s="14" t="inlineStr">
        <is>
          <t>Zinc alloy rollers for uPVC windows</t>
        </is>
      </c>
      <c r="C3956" s="13" t="inlineStr">
        <is>
          <t>each</t>
        </is>
      </c>
      <c r="D3956" s="15" t="n">
        <v>10</v>
      </c>
      <c r="E3956" s="16" t="n">
        <v>56</v>
      </c>
      <c r="F3956" s="16">
        <f>D3956*E3956</f>
        <v/>
      </c>
    </row>
    <row r="3957">
      <c r="A3957" s="13" t="inlineStr">
        <is>
          <t>9977</t>
        </is>
      </c>
      <c r="B3957" s="14" t="inlineStr">
        <is>
          <t>Carriage of materials</t>
        </is>
      </c>
      <c r="C3957" s="13" t="inlineStr">
        <is>
          <t>L.S.</t>
        </is>
      </c>
      <c r="D3957" s="15" t="n">
        <v>4.42</v>
      </c>
      <c r="E3957" s="16" t="n">
        <v>2</v>
      </c>
      <c r="F3957" s="16">
        <f>D3957*E3957</f>
        <v/>
      </c>
    </row>
    <row r="3958">
      <c r="A3958" s="13" t="inlineStr">
        <is>
          <t>9999</t>
        </is>
      </c>
      <c r="B3958" s="14" t="inlineStr">
        <is>
          <t>Sundries(Screws)</t>
        </is>
      </c>
      <c r="C3958" s="13" t="inlineStr">
        <is>
          <t>L.S.</t>
        </is>
      </c>
      <c r="D3958" s="15" t="n">
        <v>3</v>
      </c>
      <c r="E3958" s="16" t="n">
        <v>2</v>
      </c>
      <c r="F3958" s="16">
        <f>D3958*E3958</f>
        <v/>
      </c>
    </row>
    <row r="3959">
      <c r="A3959" s="13" t="inlineStr">
        <is>
          <t>0156</t>
        </is>
      </c>
      <c r="B3959" s="14" t="inlineStr">
        <is>
          <t>Carpenter (average)</t>
        </is>
      </c>
      <c r="C3959" s="13" t="inlineStr">
        <is>
          <t>day</t>
        </is>
      </c>
      <c r="D3959" s="15" t="n">
        <v>0.125</v>
      </c>
      <c r="E3959" s="16" t="n">
        <v>709</v>
      </c>
      <c r="F3959" s="16">
        <f>D3959*E3959</f>
        <v/>
      </c>
    </row>
    <row r="3960">
      <c r="A3960" s="17" t="inlineStr">
        <is>
          <t>Resource Total (Material + Labour + Machinery, as printed)</t>
        </is>
      </c>
      <c r="B3960" s="18" t="n"/>
      <c r="C3960" s="18" t="n"/>
      <c r="D3960" s="18" t="n"/>
      <c r="E3960" s="18" t="n"/>
      <c r="F3960" s="19">
        <f>SUM(F3956:F3959)</f>
        <v/>
      </c>
    </row>
    <row r="3961">
      <c r="A3961" s="20" t="inlineStr">
        <is>
          <t>SAY (Rs.) — final DAR rate</t>
        </is>
      </c>
      <c r="B3961" s="21" t="n"/>
      <c r="C3961" s="21" t="n"/>
      <c r="D3961" s="21" t="n"/>
      <c r="E3961" s="21" t="n"/>
      <c r="F3961" s="22" t="n">
        <v>88.75</v>
      </c>
    </row>
    <row r="3963" ht="28" customHeight="1">
      <c r="A3963" s="9" t="inlineStr">
        <is>
          <t>9.152</t>
        </is>
      </c>
      <c r="B3963" s="10" t="inlineStr">
        <is>
          <t>Providing and fixing steel roller for uPVC sliding door with necessary screws etc. complete.</t>
        </is>
      </c>
      <c r="C3963" s="11" t="n"/>
      <c r="D3963" s="11" t="n"/>
      <c r="E3963" s="11" t="n"/>
      <c r="F3963" s="11" t="n"/>
    </row>
    <row r="3964">
      <c r="A3964" s="12" t="inlineStr">
        <is>
          <t>Rate basis: per Nos  (source: cost for 10 Nos)</t>
        </is>
      </c>
    </row>
    <row r="3965">
      <c r="A3965" s="5" t="inlineStr">
        <is>
          <t>Code</t>
        </is>
      </c>
      <c r="B3965" s="5" t="inlineStr">
        <is>
          <t>Description</t>
        </is>
      </c>
      <c r="C3965" s="5" t="inlineStr">
        <is>
          <t>Unit</t>
        </is>
      </c>
      <c r="D3965" s="5" t="inlineStr">
        <is>
          <t>Quantity</t>
        </is>
      </c>
      <c r="E3965" s="5" t="inlineStr">
        <is>
          <t>Rate (Rs.)</t>
        </is>
      </c>
      <c r="F3965" s="5" t="inlineStr">
        <is>
          <t>Amount (Rs.)</t>
        </is>
      </c>
    </row>
    <row r="3966">
      <c r="A3966" s="13" t="inlineStr">
        <is>
          <t>8753</t>
        </is>
      </c>
      <c r="B3966" s="14" t="inlineStr">
        <is>
          <t>Zinc alloy rollers for uPVC door</t>
        </is>
      </c>
      <c r="C3966" s="13" t="inlineStr">
        <is>
          <t>each</t>
        </is>
      </c>
      <c r="D3966" s="15" t="n">
        <v>10</v>
      </c>
      <c r="E3966" s="16" t="n">
        <v>95</v>
      </c>
      <c r="F3966" s="16">
        <f>D3966*E3966</f>
        <v/>
      </c>
    </row>
    <row r="3967">
      <c r="A3967" s="13" t="inlineStr">
        <is>
          <t>9977</t>
        </is>
      </c>
      <c r="B3967" s="14" t="inlineStr">
        <is>
          <t>Carriage of materials</t>
        </is>
      </c>
      <c r="C3967" s="13" t="inlineStr">
        <is>
          <t>L.S.</t>
        </is>
      </c>
      <c r="D3967" s="15" t="n">
        <v>4.42</v>
      </c>
      <c r="E3967" s="16" t="n">
        <v>2</v>
      </c>
      <c r="F3967" s="16">
        <f>D3967*E3967</f>
        <v/>
      </c>
    </row>
    <row r="3968">
      <c r="A3968" s="13" t="inlineStr">
        <is>
          <t>9999</t>
        </is>
      </c>
      <c r="B3968" s="14" t="inlineStr">
        <is>
          <t>Sundries(Screws)</t>
        </is>
      </c>
      <c r="C3968" s="13" t="inlineStr">
        <is>
          <t>L.S.</t>
        </is>
      </c>
      <c r="D3968" s="15" t="n">
        <v>3</v>
      </c>
      <c r="E3968" s="16" t="n">
        <v>2</v>
      </c>
      <c r="F3968" s="16">
        <f>D3968*E3968</f>
        <v/>
      </c>
    </row>
    <row r="3969">
      <c r="A3969" s="13" t="inlineStr">
        <is>
          <t>0156</t>
        </is>
      </c>
      <c r="B3969" s="14" t="inlineStr">
        <is>
          <t>Carpenter (average)</t>
        </is>
      </c>
      <c r="C3969" s="13" t="inlineStr">
        <is>
          <t>day</t>
        </is>
      </c>
      <c r="D3969" s="15" t="n">
        <v>0.125</v>
      </c>
      <c r="E3969" s="16" t="n">
        <v>709</v>
      </c>
      <c r="F3969" s="16">
        <f>D3969*E3969</f>
        <v/>
      </c>
    </row>
    <row r="3970">
      <c r="A3970" s="17" t="inlineStr">
        <is>
          <t>Resource Total (Material + Labour + Machinery, as printed)</t>
        </is>
      </c>
      <c r="B3970" s="18" t="n"/>
      <c r="C3970" s="18" t="n"/>
      <c r="D3970" s="18" t="n"/>
      <c r="E3970" s="18" t="n"/>
      <c r="F3970" s="19">
        <f>SUM(F3966:F3969)</f>
        <v/>
      </c>
    </row>
    <row r="3971">
      <c r="A3971" s="20" t="inlineStr">
        <is>
          <t>SAY (Rs.) — final DAR rate</t>
        </is>
      </c>
      <c r="B3971" s="21" t="n"/>
      <c r="C3971" s="21" t="n"/>
      <c r="D3971" s="21" t="n"/>
      <c r="E3971" s="21" t="n"/>
      <c r="F3971" s="22" t="n">
        <v>140.95</v>
      </c>
    </row>
    <row r="3973" ht="28" customHeight="1">
      <c r="A3973" s="9" t="inlineStr">
        <is>
          <t>9.153</t>
        </is>
      </c>
      <c r="B3973" s="10" t="inlineStr">
        <is>
          <t>Providing and fixing steel (white power coated) crescent lock for uPVC sliding window/ door with necessary screws etc. complete.</t>
        </is>
      </c>
      <c r="C3973" s="11" t="n"/>
      <c r="D3973" s="11" t="n"/>
      <c r="E3973" s="11" t="n"/>
      <c r="F3973" s="11" t="n"/>
    </row>
    <row r="3974">
      <c r="A3974" s="12" t="inlineStr">
        <is>
          <t>Rate basis: per Nos  (source: cost for 10 Nos)</t>
        </is>
      </c>
    </row>
    <row r="3975">
      <c r="A3975" s="5" t="inlineStr">
        <is>
          <t>Code</t>
        </is>
      </c>
      <c r="B3975" s="5" t="inlineStr">
        <is>
          <t>Description</t>
        </is>
      </c>
      <c r="C3975" s="5" t="inlineStr">
        <is>
          <t>Unit</t>
        </is>
      </c>
      <c r="D3975" s="5" t="inlineStr">
        <is>
          <t>Quantity</t>
        </is>
      </c>
      <c r="E3975" s="5" t="inlineStr">
        <is>
          <t>Rate (Rs.)</t>
        </is>
      </c>
      <c r="F3975" s="5" t="inlineStr">
        <is>
          <t>Amount (Rs.)</t>
        </is>
      </c>
    </row>
    <row r="3976">
      <c r="A3976" s="13" t="inlineStr">
        <is>
          <t>8754</t>
        </is>
      </c>
      <c r="B3976" s="14" t="inlineStr">
        <is>
          <t>Zinc alloy (white powder coated) casement lock for uPVC windows</t>
        </is>
      </c>
      <c r="C3976" s="13" t="inlineStr">
        <is>
          <t>each</t>
        </is>
      </c>
      <c r="D3976" s="15" t="n">
        <v>10</v>
      </c>
      <c r="E3976" s="16" t="n">
        <v>115</v>
      </c>
      <c r="F3976" s="16">
        <f>D3976*E3976</f>
        <v/>
      </c>
    </row>
    <row r="3977">
      <c r="A3977" s="13" t="inlineStr">
        <is>
          <t>9977</t>
        </is>
      </c>
      <c r="B3977" s="14" t="inlineStr">
        <is>
          <t>Carriage of materials</t>
        </is>
      </c>
      <c r="C3977" s="13" t="inlineStr">
        <is>
          <t>L.S.</t>
        </is>
      </c>
      <c r="D3977" s="15" t="n">
        <v>4.42</v>
      </c>
      <c r="E3977" s="16" t="n">
        <v>2</v>
      </c>
      <c r="F3977" s="16">
        <f>D3977*E3977</f>
        <v/>
      </c>
    </row>
    <row r="3978">
      <c r="A3978" s="13" t="inlineStr">
        <is>
          <t>9999</t>
        </is>
      </c>
      <c r="B3978" s="14" t="inlineStr">
        <is>
          <t>Sundries(Screws)</t>
        </is>
      </c>
      <c r="C3978" s="13" t="inlineStr">
        <is>
          <t>L.S.</t>
        </is>
      </c>
      <c r="D3978" s="15" t="n">
        <v>3</v>
      </c>
      <c r="E3978" s="16" t="n">
        <v>2</v>
      </c>
      <c r="F3978" s="16">
        <f>D3978*E3978</f>
        <v/>
      </c>
    </row>
    <row r="3979">
      <c r="A3979" s="13" t="inlineStr">
        <is>
          <t>0156</t>
        </is>
      </c>
      <c r="B3979" s="14" t="inlineStr">
        <is>
          <t>Carpenter (average)</t>
        </is>
      </c>
      <c r="C3979" s="13" t="inlineStr">
        <is>
          <t>day</t>
        </is>
      </c>
      <c r="D3979" s="15" t="n">
        <v>0.125</v>
      </c>
      <c r="E3979" s="16" t="n">
        <v>709</v>
      </c>
      <c r="F3979" s="16">
        <f>D3979*E3979</f>
        <v/>
      </c>
    </row>
    <row r="3980">
      <c r="A3980" s="17" t="inlineStr">
        <is>
          <t>Resource Total (Material + Labour + Machinery, as printed)</t>
        </is>
      </c>
      <c r="B3980" s="18" t="n"/>
      <c r="C3980" s="18" t="n"/>
      <c r="D3980" s="18" t="n"/>
      <c r="E3980" s="18" t="n"/>
      <c r="F3980" s="19">
        <f>SUM(F3976:F3979)</f>
        <v/>
      </c>
    </row>
    <row r="3981">
      <c r="A3981" s="20" t="inlineStr">
        <is>
          <t>SAY (Rs.) — final DAR rate</t>
        </is>
      </c>
      <c r="B3981" s="21" t="n"/>
      <c r="C3981" s="21" t="n"/>
      <c r="D3981" s="21" t="n"/>
      <c r="E3981" s="21" t="n"/>
      <c r="F3981" s="22" t="n">
        <v>167.7</v>
      </c>
    </row>
    <row r="3983" ht="28" customHeight="1">
      <c r="A3983" s="9" t="inlineStr">
        <is>
          <t>9.154</t>
        </is>
      </c>
      <c r="B3983" s="10" t="inlineStr">
        <is>
          <t>Providing and fixing frame work for partitions/ wall lining etc. made of 50x50x1.6 mm hollow MS tube, placed along the walls, ceiling and fl</t>
        </is>
      </c>
      <c r="C3983" s="11" t="n"/>
      <c r="D3983" s="11" t="n"/>
      <c r="E3983" s="11" t="n"/>
      <c r="F3983" s="11" t="n"/>
    </row>
    <row r="3984">
      <c r="A3984" s="12" t="inlineStr">
        <is>
          <t>Rate basis: per x2  (source: cost for 2.4 x2)</t>
        </is>
      </c>
    </row>
    <row r="3985">
      <c r="A3985" s="5" t="inlineStr">
        <is>
          <t>Code</t>
        </is>
      </c>
      <c r="B3985" s="5" t="inlineStr">
        <is>
          <t>Description</t>
        </is>
      </c>
      <c r="C3985" s="5" t="inlineStr">
        <is>
          <t>Unit</t>
        </is>
      </c>
      <c r="D3985" s="5" t="inlineStr">
        <is>
          <t>Quantity</t>
        </is>
      </c>
      <c r="E3985" s="5" t="inlineStr">
        <is>
          <t>Rate (Rs.)</t>
        </is>
      </c>
      <c r="F3985" s="5" t="inlineStr">
        <is>
          <t>Amount (Rs.)</t>
        </is>
      </c>
    </row>
    <row r="3986">
      <c r="A3986" s="13" t="inlineStr">
        <is>
          <t>13.50.3</t>
        </is>
      </c>
      <c r="B3986" s="14" t="inlineStr">
        <is>
          <t>Rate as per SH: 13.50.3</t>
        </is>
      </c>
      <c r="C3986" s="13" t="inlineStr">
        <is>
          <t>sqm</t>
        </is>
      </c>
      <c r="D3986" s="15" t="n">
        <v>4.8</v>
      </c>
      <c r="E3986" s="16" t="n">
        <v>50.7</v>
      </c>
      <c r="F3986" s="16">
        <f>D3986*E3986</f>
        <v/>
      </c>
    </row>
    <row r="3987">
      <c r="A3987" s="13" t="inlineStr">
        <is>
          <t>4009</t>
        </is>
      </c>
      <c r="B3987" s="14" t="inlineStr">
        <is>
          <t>Mild steel tubes hot finished welded type</t>
        </is>
      </c>
      <c r="C3987" s="13" t="inlineStr">
        <is>
          <t>kilogram</t>
        </is>
      </c>
      <c r="D3987" s="15" t="n">
        <v>61.27</v>
      </c>
      <c r="E3987" s="16" t="n">
        <v>57</v>
      </c>
      <c r="F3987" s="16">
        <f>D3987*E3987</f>
        <v/>
      </c>
    </row>
    <row r="3988">
      <c r="A3988" s="13" t="inlineStr">
        <is>
          <t>8776</t>
        </is>
      </c>
      <c r="B3988" s="14" t="inlineStr">
        <is>
          <t>Stainless steel dash fastener of 8 mm dia and 75 mm long bolt</t>
        </is>
      </c>
      <c r="C3988" s="13" t="inlineStr">
        <is>
          <t>each</t>
        </is>
      </c>
      <c r="D3988" s="15" t="n">
        <v>20</v>
      </c>
      <c r="E3988" s="16" t="n">
        <v>15</v>
      </c>
      <c r="F3988" s="16">
        <f>D3988*E3988</f>
        <v/>
      </c>
    </row>
    <row r="3989">
      <c r="A3989" s="13" t="inlineStr">
        <is>
          <t>0116</t>
        </is>
      </c>
      <c r="B3989" s="14" t="inlineStr">
        <is>
          <t>Fitter (grade 1)</t>
        </is>
      </c>
      <c r="C3989" s="13" t="inlineStr">
        <is>
          <t>day</t>
        </is>
      </c>
      <c r="D3989" s="15" t="n">
        <v>0.4</v>
      </c>
      <c r="E3989" s="16" t="n">
        <v>738</v>
      </c>
      <c r="F3989" s="16">
        <f>D3989*E3989</f>
        <v/>
      </c>
    </row>
    <row r="3990">
      <c r="A3990" s="13" t="inlineStr">
        <is>
          <t>0103</t>
        </is>
      </c>
      <c r="B3990" s="14" t="inlineStr">
        <is>
          <t>Blacksmith 2nd class</t>
        </is>
      </c>
      <c r="C3990" s="13" t="inlineStr">
        <is>
          <t>day</t>
        </is>
      </c>
      <c r="D3990" s="15" t="n">
        <v>0.53</v>
      </c>
      <c r="E3990" s="16" t="n">
        <v>679</v>
      </c>
      <c r="F3990" s="16">
        <f>D3990*E3990</f>
        <v/>
      </c>
    </row>
    <row r="3991">
      <c r="A3991" s="13" t="inlineStr">
        <is>
          <t>0114</t>
        </is>
      </c>
      <c r="B3991" s="14" t="inlineStr">
        <is>
          <t>Beldar</t>
        </is>
      </c>
      <c r="C3991" s="13" t="inlineStr">
        <is>
          <t>day</t>
        </is>
      </c>
      <c r="D3991" s="15" t="n">
        <v>1.23</v>
      </c>
      <c r="E3991" s="16" t="n">
        <v>558</v>
      </c>
      <c r="F3991" s="16">
        <f>D3991*E3991</f>
        <v/>
      </c>
    </row>
    <row r="3992">
      <c r="A3992" s="13" t="inlineStr">
        <is>
          <t>0100</t>
        </is>
      </c>
      <c r="B3992" s="14" t="inlineStr">
        <is>
          <t>Bandhani</t>
        </is>
      </c>
      <c r="C3992" s="13" t="inlineStr">
        <is>
          <t>day</t>
        </is>
      </c>
      <c r="D3992" s="15" t="n">
        <v>0.06</v>
      </c>
      <c r="E3992" s="16" t="n">
        <v>617</v>
      </c>
      <c r="F3992" s="16">
        <f>D3992*E3992</f>
        <v/>
      </c>
    </row>
    <row r="3993">
      <c r="A3993" s="13" t="inlineStr">
        <is>
          <t>9999</t>
        </is>
      </c>
      <c r="B3993" s="14" t="inlineStr">
        <is>
          <t>Sundries</t>
        </is>
      </c>
      <c r="C3993" s="13" t="inlineStr">
        <is>
          <t>L.S.</t>
        </is>
      </c>
      <c r="D3993" s="15" t="n">
        <v>33.56</v>
      </c>
      <c r="E3993" s="16" t="n">
        <v>2</v>
      </c>
      <c r="F3993" s="16">
        <f>D3993*E3993</f>
        <v/>
      </c>
    </row>
    <row r="3994">
      <c r="A3994" s="17" t="inlineStr">
        <is>
          <t>Resource Total (Material + Labour + Machinery, as printed)</t>
        </is>
      </c>
      <c r="B3994" s="18" t="n"/>
      <c r="C3994" s="18" t="n"/>
      <c r="D3994" s="18" t="n"/>
      <c r="E3994" s="18" t="n"/>
      <c r="F3994" s="19">
        <f>SUM(F3986:F3993)</f>
        <v/>
      </c>
    </row>
    <row r="3995">
      <c r="A3995" s="20" t="inlineStr">
        <is>
          <t>SAY (Rs.) — final DAR rate</t>
        </is>
      </c>
      <c r="B3995" s="21" t="n"/>
      <c r="C3995" s="21" t="n"/>
      <c r="D3995" s="21" t="n"/>
      <c r="E3995" s="21" t="n"/>
      <c r="F3995" s="22" t="n">
        <v>124.25</v>
      </c>
    </row>
    <row r="3997" ht="28" customHeight="1">
      <c r="A3997" s="9" t="inlineStr">
        <is>
          <t>9.155</t>
        </is>
      </c>
      <c r="B3997" s="10" t="inlineStr">
        <is>
          <t>Providing and fixing panelling or paneling and glazing in panelled or panelled and glazed shutters for doors, windows and clerestory windows</t>
        </is>
      </c>
      <c r="C3997" s="11" t="n"/>
      <c r="D3997" s="11" t="n"/>
      <c r="E3997" s="11" t="n"/>
      <c r="F3997" s="11" t="n"/>
    </row>
    <row r="3998">
      <c r="A3998" s="12" t="inlineStr">
        <is>
          <t>Rate basis: per sqm  (source: cost for 0.66 sqm)</t>
        </is>
      </c>
    </row>
    <row r="3999">
      <c r="A3999" s="5" t="inlineStr">
        <is>
          <t>Code</t>
        </is>
      </c>
      <c r="B3999" s="5" t="inlineStr">
        <is>
          <t>Description</t>
        </is>
      </c>
      <c r="C3999" s="5" t="inlineStr">
        <is>
          <t>Unit</t>
        </is>
      </c>
      <c r="D3999" s="5" t="inlineStr">
        <is>
          <t>Quantity</t>
        </is>
      </c>
      <c r="E3999" s="5" t="inlineStr">
        <is>
          <t>Rate (Rs.)</t>
        </is>
      </c>
      <c r="F3999" s="5" t="inlineStr">
        <is>
          <t>Amount (Rs.)</t>
        </is>
      </c>
    </row>
    <row r="4000">
      <c r="A4000" s="13" t="inlineStr">
        <is>
          <t>2484</t>
        </is>
      </c>
      <c r="B4000" s="14" t="inlineStr">
        <is>
          <t>Pre-laminated with decorative lamination on both side exterior Grade - I MDF Board 12 mm thick confirming to IS:14587</t>
        </is>
      </c>
      <c r="C4000" s="13" t="inlineStr">
        <is>
          <t>sqm</t>
        </is>
      </c>
      <c r="D4000" s="15" t="n">
        <v>0.8</v>
      </c>
      <c r="E4000" s="16" t="n">
        <v>460</v>
      </c>
      <c r="F4000" s="16">
        <f>D4000*E4000</f>
        <v/>
      </c>
    </row>
    <row r="4001">
      <c r="A4001" s="13" t="inlineStr">
        <is>
          <t>9999</t>
        </is>
      </c>
      <c r="B4001" s="14" t="inlineStr">
        <is>
          <t>Sundries (Carriage of MDF board)</t>
        </is>
      </c>
      <c r="C4001" s="13" t="inlineStr">
        <is>
          <t>L.S.</t>
        </is>
      </c>
      <c r="D4001" s="15" t="n">
        <v>1.82</v>
      </c>
      <c r="E4001" s="16" t="n">
        <v>2</v>
      </c>
      <c r="F4001" s="16">
        <f>D4001*E4001</f>
        <v/>
      </c>
    </row>
    <row r="4002">
      <c r="A4002" s="13" t="inlineStr">
        <is>
          <t>0111</t>
        </is>
      </c>
      <c r="B4002" s="14" t="inlineStr">
        <is>
          <t>Carpenter 1 st class</t>
        </is>
      </c>
      <c r="C4002" s="13" t="inlineStr">
        <is>
          <t>day</t>
        </is>
      </c>
      <c r="D4002" s="15" t="n">
        <v>0.57</v>
      </c>
      <c r="E4002" s="16" t="n">
        <v>738</v>
      </c>
      <c r="F4002" s="16">
        <f>D4002*E4002</f>
        <v/>
      </c>
    </row>
    <row r="4003">
      <c r="A4003" s="13" t="inlineStr">
        <is>
          <t>9999</t>
        </is>
      </c>
      <c r="B4003" s="14" t="inlineStr">
        <is>
          <t>Sundries</t>
        </is>
      </c>
      <c r="C4003" s="13" t="inlineStr">
        <is>
          <t>L.S.</t>
        </is>
      </c>
      <c r="D4003" s="15" t="n">
        <v>4.42</v>
      </c>
      <c r="E4003" s="16" t="n">
        <v>2</v>
      </c>
      <c r="F4003" s="16">
        <f>D4003*E4003</f>
        <v/>
      </c>
    </row>
    <row r="4004">
      <c r="A4004" s="17" t="inlineStr">
        <is>
          <t>Resource Total (Material + Labour + Machinery, as printed)</t>
        </is>
      </c>
      <c r="B4004" s="18" t="n"/>
      <c r="C4004" s="18" t="n"/>
      <c r="D4004" s="18" t="n"/>
      <c r="E4004" s="18" t="n"/>
      <c r="F4004" s="19">
        <f>SUM(F4000:F4003)</f>
        <v/>
      </c>
    </row>
    <row r="4005">
      <c r="A4005" s="20" t="inlineStr">
        <is>
          <t>SAY (Rs.) — final DAR rate</t>
        </is>
      </c>
      <c r="B4005" s="21" t="n"/>
      <c r="C4005" s="21" t="n"/>
      <c r="D4005" s="21" t="n"/>
      <c r="E4005" s="21" t="n"/>
      <c r="F4005" s="22" t="n">
        <v>1624.05</v>
      </c>
    </row>
    <row r="4007" ht="28" customHeight="1">
      <c r="A4007" s="9" t="inlineStr">
        <is>
          <t>9.156.1</t>
        </is>
      </c>
      <c r="B4007" s="10" t="inlineStr">
        <is>
          <t>Pre-laminated with decorative lamination on both side exterior Grade - I MDF Board 12 mm thick confirming to IS:14587</t>
        </is>
      </c>
      <c r="C4007" s="11" t="n"/>
      <c r="D4007" s="11" t="n"/>
      <c r="E4007" s="11" t="n"/>
      <c r="F4007" s="11" t="n"/>
    </row>
    <row r="4008">
      <c r="A4008" s="12" t="inlineStr">
        <is>
          <t>Rate basis: per sqm  (source: cost for 7 sqm)</t>
        </is>
      </c>
    </row>
    <row r="4009">
      <c r="A4009" s="5" t="inlineStr">
        <is>
          <t>Code</t>
        </is>
      </c>
      <c r="B4009" s="5" t="inlineStr">
        <is>
          <t>Description</t>
        </is>
      </c>
      <c r="C4009" s="5" t="inlineStr">
        <is>
          <t>Unit</t>
        </is>
      </c>
      <c r="D4009" s="5" t="inlineStr">
        <is>
          <t>Quantity</t>
        </is>
      </c>
      <c r="E4009" s="5" t="inlineStr">
        <is>
          <t>Rate (Rs.)</t>
        </is>
      </c>
      <c r="F4009" s="5" t="inlineStr">
        <is>
          <t>Amount (Rs.)</t>
        </is>
      </c>
    </row>
    <row r="4010">
      <c r="A4010" s="13" t="inlineStr">
        <is>
          <t>2484</t>
        </is>
      </c>
      <c r="B4010" s="14" t="inlineStr">
        <is>
          <t>Pre-laminated with decorative lamination on both side exterior Grade - I MDF Board 12 mm thick confirming to IS:14587</t>
        </is>
      </c>
      <c r="C4010" s="13" t="inlineStr">
        <is>
          <t>sqm</t>
        </is>
      </c>
      <c r="D4010" s="15" t="n">
        <v>7.35</v>
      </c>
      <c r="E4010" s="16" t="n">
        <v>460</v>
      </c>
      <c r="F4010" s="16">
        <f>D4010*E4010</f>
        <v/>
      </c>
    </row>
    <row r="4011">
      <c r="A4011" s="13" t="inlineStr">
        <is>
          <t>9999</t>
        </is>
      </c>
      <c r="B4011" s="14" t="inlineStr">
        <is>
          <t>Sundries (Carriage of MDF board)</t>
        </is>
      </c>
      <c r="C4011" s="13" t="inlineStr">
        <is>
          <t>L.S.</t>
        </is>
      </c>
      <c r="D4011" s="15" t="n">
        <v>13.52</v>
      </c>
      <c r="E4011" s="16" t="n">
        <v>2</v>
      </c>
      <c r="F4011" s="16">
        <f>D4011*E4011</f>
        <v/>
      </c>
    </row>
    <row r="4012">
      <c r="A4012" s="13" t="inlineStr">
        <is>
          <t>9999</t>
        </is>
      </c>
      <c r="B4012" s="14" t="inlineStr">
        <is>
          <t>Sundries and screws</t>
        </is>
      </c>
      <c r="C4012" s="13" t="inlineStr">
        <is>
          <t>L.S.</t>
        </is>
      </c>
      <c r="D4012" s="15" t="n">
        <v>26.91</v>
      </c>
      <c r="E4012" s="16" t="n">
        <v>2</v>
      </c>
      <c r="F4012" s="16">
        <f>D4012*E4012</f>
        <v/>
      </c>
    </row>
    <row r="4013">
      <c r="A4013" s="13" t="inlineStr">
        <is>
          <t>0112</t>
        </is>
      </c>
      <c r="B4013" s="14" t="inlineStr">
        <is>
          <t>Carpenter 2nd class</t>
        </is>
      </c>
      <c r="C4013" s="13" t="inlineStr">
        <is>
          <t>day</t>
        </is>
      </c>
      <c r="D4013" s="15" t="n">
        <v>0.9</v>
      </c>
      <c r="E4013" s="16" t="n">
        <v>679</v>
      </c>
      <c r="F4013" s="16">
        <f>D4013*E4013</f>
        <v/>
      </c>
    </row>
    <row r="4014">
      <c r="A4014" s="13" t="inlineStr">
        <is>
          <t>0114</t>
        </is>
      </c>
      <c r="B4014" s="14" t="inlineStr">
        <is>
          <t>Beldar</t>
        </is>
      </c>
      <c r="C4014" s="13" t="inlineStr">
        <is>
          <t>day</t>
        </is>
      </c>
      <c r="D4014" s="15" t="n">
        <v>1</v>
      </c>
      <c r="E4014" s="16" t="n">
        <v>558</v>
      </c>
      <c r="F4014" s="16">
        <f>D4014*E4014</f>
        <v/>
      </c>
    </row>
    <row r="4015">
      <c r="A4015" s="17" t="inlineStr">
        <is>
          <t>Resource Total (Material + Labour + Machinery, as printed)</t>
        </is>
      </c>
      <c r="B4015" s="18" t="n"/>
      <c r="C4015" s="18" t="n"/>
      <c r="D4015" s="18" t="n"/>
      <c r="E4015" s="18" t="n"/>
      <c r="F4015" s="19">
        <f>SUM(F4010:F4014)</f>
        <v/>
      </c>
    </row>
    <row r="4016">
      <c r="A4016" s="20" t="inlineStr">
        <is>
          <t>SAY (Rs.) — final DAR rate</t>
        </is>
      </c>
      <c r="B4016" s="21" t="n"/>
      <c r="C4016" s="21" t="n"/>
      <c r="D4016" s="21" t="n"/>
      <c r="E4016" s="21" t="n"/>
      <c r="F4016" s="22" t="n">
        <v>885.15</v>
      </c>
    </row>
    <row r="4018" ht="28" customHeight="1">
      <c r="A4018" s="9" t="inlineStr">
        <is>
          <t>9.156.2</t>
        </is>
      </c>
      <c r="B4018" s="10" t="inlineStr">
        <is>
          <t>Pre-laminated with decorative lamination on both side exterior Grade - I MDF Board 18 mm thick confirming to IS:14587</t>
        </is>
      </c>
      <c r="C4018" s="11" t="n"/>
      <c r="D4018" s="11" t="n"/>
      <c r="E4018" s="11" t="n"/>
      <c r="F4018" s="11" t="n"/>
    </row>
    <row r="4019">
      <c r="A4019" s="12" t="inlineStr">
        <is>
          <t>Rate basis: per x200  (source: cost for 350 x200)</t>
        </is>
      </c>
    </row>
    <row r="4020">
      <c r="A4020" s="5" t="inlineStr">
        <is>
          <t>Code</t>
        </is>
      </c>
      <c r="B4020" s="5" t="inlineStr">
        <is>
          <t>Description</t>
        </is>
      </c>
      <c r="C4020" s="5" t="inlineStr">
        <is>
          <t>Unit</t>
        </is>
      </c>
      <c r="D4020" s="5" t="inlineStr">
        <is>
          <t>Quantity</t>
        </is>
      </c>
      <c r="E4020" s="5" t="inlineStr">
        <is>
          <t>Rate (Rs.)</t>
        </is>
      </c>
      <c r="F4020" s="5" t="inlineStr">
        <is>
          <t>Amount (Rs.)</t>
        </is>
      </c>
    </row>
    <row r="4021">
      <c r="A4021" s="13" t="inlineStr">
        <is>
          <t>2485</t>
        </is>
      </c>
      <c r="B4021" s="14" t="inlineStr">
        <is>
          <t>Pre-laminated with decorative lamination on both side exterior Grade - I MDF Board 18 mm thick confirming to IS:14587</t>
        </is>
      </c>
      <c r="C4021" s="13" t="inlineStr">
        <is>
          <t>sqm</t>
        </is>
      </c>
      <c r="D4021" s="15" t="n">
        <v>7.35</v>
      </c>
      <c r="E4021" s="16" t="n">
        <v>597</v>
      </c>
      <c r="F4021" s="16">
        <f>D4021*E4021</f>
        <v/>
      </c>
    </row>
    <row r="4022">
      <c r="A4022" s="13" t="inlineStr">
        <is>
          <t>9999</t>
        </is>
      </c>
      <c r="B4022" s="14" t="inlineStr">
        <is>
          <t>Sundries (Carriage of MDF board)</t>
        </is>
      </c>
      <c r="C4022" s="13" t="inlineStr">
        <is>
          <t>L.S.</t>
        </is>
      </c>
      <c r="D4022" s="15" t="n">
        <v>19.76</v>
      </c>
      <c r="E4022" s="16" t="n">
        <v>2</v>
      </c>
      <c r="F4022" s="16">
        <f>D4022*E4022</f>
        <v/>
      </c>
    </row>
    <row r="4023">
      <c r="A4023" s="13" t="inlineStr">
        <is>
          <t>9999</t>
        </is>
      </c>
      <c r="B4023" s="14" t="inlineStr">
        <is>
          <t>Sundries and screws</t>
        </is>
      </c>
      <c r="C4023" s="13" t="inlineStr">
        <is>
          <t>L.S.</t>
        </is>
      </c>
      <c r="D4023" s="15" t="n">
        <v>26.91</v>
      </c>
      <c r="E4023" s="16" t="n">
        <v>2</v>
      </c>
      <c r="F4023" s="16">
        <f>D4023*E4023</f>
        <v/>
      </c>
    </row>
    <row r="4024">
      <c r="A4024" s="13" t="inlineStr">
        <is>
          <t>0112</t>
        </is>
      </c>
      <c r="B4024" s="14" t="inlineStr">
        <is>
          <t>Carpenter 2nd class</t>
        </is>
      </c>
      <c r="C4024" s="13" t="inlineStr">
        <is>
          <t>day</t>
        </is>
      </c>
      <c r="D4024" s="15" t="n">
        <v>0.9</v>
      </c>
      <c r="E4024" s="16" t="n">
        <v>679</v>
      </c>
      <c r="F4024" s="16">
        <f>D4024*E4024</f>
        <v/>
      </c>
    </row>
    <row r="4025">
      <c r="A4025" s="13" t="inlineStr">
        <is>
          <t>0114</t>
        </is>
      </c>
      <c r="B4025" s="14" t="inlineStr">
        <is>
          <t>Beldar</t>
        </is>
      </c>
      <c r="C4025" s="13" t="inlineStr">
        <is>
          <t>day</t>
        </is>
      </c>
      <c r="D4025" s="15" t="n">
        <v>1</v>
      </c>
      <c r="E4025" s="16" t="n">
        <v>558</v>
      </c>
      <c r="F4025" s="16">
        <f>D4025*E4025</f>
        <v/>
      </c>
    </row>
    <row r="4026">
      <c r="A4026" s="17" t="inlineStr">
        <is>
          <t>Resource Total (Material + Labour + Machinery, as printed)</t>
        </is>
      </c>
      <c r="B4026" s="18" t="n"/>
      <c r="C4026" s="18" t="n"/>
      <c r="D4026" s="18" t="n"/>
      <c r="E4026" s="18" t="n"/>
      <c r="F4026" s="19">
        <f>SUM(F4021:F4025)</f>
        <v/>
      </c>
    </row>
    <row r="4027">
      <c r="A4027" s="20" t="inlineStr">
        <is>
          <t>SAY (Rs.) — final DAR rate</t>
        </is>
      </c>
      <c r="B4027" s="21" t="n"/>
      <c r="C4027" s="21" t="n"/>
      <c r="D4027" s="21" t="n"/>
      <c r="E4027" s="21" t="n"/>
      <c r="F4027" s="22" t="n">
        <v>1080</v>
      </c>
    </row>
    <row r="4029" ht="28" customHeight="1">
      <c r="A4029" s="9" t="inlineStr">
        <is>
          <t>9.157.1</t>
        </is>
      </c>
      <c r="B4029" s="10" t="inlineStr">
        <is>
          <t>Pre-laminated with decorative lamination one side and other side balancing lamination exterior Grade - I MDF Board 18 mm thick confirming to</t>
        </is>
      </c>
      <c r="C4029" s="11" t="n"/>
      <c r="D4029" s="11" t="n"/>
      <c r="E4029" s="11" t="n"/>
      <c r="F4029" s="11" t="n"/>
    </row>
    <row r="4030">
      <c r="A4030" s="12" t="inlineStr">
        <is>
          <t>Rate basis: per sqm  (source: cost for 0.6 sqm)</t>
        </is>
      </c>
    </row>
    <row r="4031">
      <c r="A4031" s="5" t="inlineStr">
        <is>
          <t>Code</t>
        </is>
      </c>
      <c r="B4031" s="5" t="inlineStr">
        <is>
          <t>Description</t>
        </is>
      </c>
      <c r="C4031" s="5" t="inlineStr">
        <is>
          <t>Unit</t>
        </is>
      </c>
      <c r="D4031" s="5" t="inlineStr">
        <is>
          <t>Quantity</t>
        </is>
      </c>
      <c r="E4031" s="5" t="inlineStr">
        <is>
          <t>Rate (Rs.)</t>
        </is>
      </c>
      <c r="F4031" s="5" t="inlineStr">
        <is>
          <t>Amount (Rs.)</t>
        </is>
      </c>
    </row>
    <row r="4032">
      <c r="A4032" s="13" t="inlineStr">
        <is>
          <t>2488</t>
        </is>
      </c>
      <c r="B4032" s="14" t="inlineStr">
        <is>
          <t>Pre-laminated with decorative lamination one side and other side balancing lamination exterior Grade - I MDF Board 18 mm thick confirming to IS:14587</t>
        </is>
      </c>
      <c r="C4032" s="13" t="inlineStr">
        <is>
          <t>sqm</t>
        </is>
      </c>
      <c r="D4032" s="15" t="n">
        <v>0.63</v>
      </c>
      <c r="E4032" s="16" t="n">
        <v>565</v>
      </c>
      <c r="F4032" s="16">
        <f>D4032*E4032</f>
        <v/>
      </c>
    </row>
    <row r="4033">
      <c r="A4033" s="13" t="inlineStr">
        <is>
          <t>2489</t>
        </is>
      </c>
      <c r="B4033" s="14" t="inlineStr">
        <is>
          <t>PVC edge bending tape 2.00 mm thick</t>
        </is>
      </c>
      <c r="C4033" s="13" t="inlineStr">
        <is>
          <t>metre</t>
        </is>
      </c>
      <c r="D4033" s="15" t="n">
        <v>3</v>
      </c>
      <c r="E4033" s="16" t="n">
        <v>20</v>
      </c>
      <c r="F4033" s="16">
        <f>D4033*E4033</f>
        <v/>
      </c>
    </row>
    <row r="4034">
      <c r="A4034" s="13" t="inlineStr">
        <is>
          <t>9999</t>
        </is>
      </c>
      <c r="B4034" s="14" t="inlineStr">
        <is>
          <t>Sundries (Carriage of MDF board)</t>
        </is>
      </c>
      <c r="C4034" s="13" t="inlineStr">
        <is>
          <t>L.S.</t>
        </is>
      </c>
      <c r="D4034" s="15" t="n">
        <v>0.91</v>
      </c>
      <c r="E4034" s="16" t="n">
        <v>2</v>
      </c>
      <c r="F4034" s="16">
        <f>D4034*E4034</f>
        <v/>
      </c>
    </row>
    <row r="4035">
      <c r="A4035" s="13" t="inlineStr">
        <is>
          <t>0112</t>
        </is>
      </c>
      <c r="B4035" s="14" t="inlineStr">
        <is>
          <t>Carpenter 2nd class</t>
        </is>
      </c>
      <c r="C4035" s="13" t="inlineStr">
        <is>
          <t>day</t>
        </is>
      </c>
      <c r="D4035" s="15" t="n">
        <v>0.11</v>
      </c>
      <c r="E4035" s="16" t="n">
        <v>679</v>
      </c>
      <c r="F4035" s="16">
        <f>D4035*E4035</f>
        <v/>
      </c>
    </row>
    <row r="4036">
      <c r="A4036" s="13" t="inlineStr">
        <is>
          <t>0114</t>
        </is>
      </c>
      <c r="B4036" s="14" t="inlineStr">
        <is>
          <t>Beldar</t>
        </is>
      </c>
      <c r="C4036" s="13" t="inlineStr">
        <is>
          <t>day</t>
        </is>
      </c>
      <c r="D4036" s="15" t="n">
        <v>0.06</v>
      </c>
      <c r="E4036" s="16" t="n">
        <v>558</v>
      </c>
      <c r="F4036" s="16">
        <f>D4036*E4036</f>
        <v/>
      </c>
    </row>
    <row r="4037">
      <c r="A4037" s="13" t="inlineStr">
        <is>
          <t>9999</t>
        </is>
      </c>
      <c r="B4037" s="14" t="inlineStr">
        <is>
          <t>Sundries and screws</t>
        </is>
      </c>
      <c r="C4037" s="13" t="inlineStr">
        <is>
          <t>L.S.</t>
        </is>
      </c>
      <c r="D4037" s="15" t="n">
        <v>7.8</v>
      </c>
      <c r="E4037" s="16" t="n">
        <v>2</v>
      </c>
      <c r="F4037" s="16">
        <f>D4037*E4037</f>
        <v/>
      </c>
    </row>
    <row r="4038">
      <c r="A4038" s="17" t="inlineStr">
        <is>
          <t>Resource Total (Material + Labour + Machinery, as printed)</t>
        </is>
      </c>
      <c r="B4038" s="18" t="n"/>
      <c r="C4038" s="18" t="n"/>
      <c r="D4038" s="18" t="n"/>
      <c r="E4038" s="18" t="n"/>
      <c r="F4038" s="19">
        <f>SUM(F4032:F4037)</f>
        <v/>
      </c>
    </row>
    <row r="4039">
      <c r="A4039" s="20" t="inlineStr">
        <is>
          <t>SAY (Rs.) — final DAR rate</t>
        </is>
      </c>
      <c r="B4039" s="21" t="n"/>
      <c r="C4039" s="21" t="n"/>
      <c r="D4039" s="21" t="n"/>
      <c r="E4039" s="21" t="n"/>
      <c r="F4039" s="22" t="n">
        <v>1207.6</v>
      </c>
    </row>
    <row r="4041" ht="28" customHeight="1">
      <c r="A4041" s="9" t="inlineStr">
        <is>
          <t>9.157.2</t>
        </is>
      </c>
      <c r="B4041" s="10" t="inlineStr">
        <is>
          <t>Pre-laminated with decorative lamination one side and other side balancing lamination exterior Grade - I MDF Board 25 mm thick confirming to</t>
        </is>
      </c>
      <c r="C4041" s="11" t="n"/>
      <c r="D4041" s="11" t="n"/>
      <c r="E4041" s="11" t="n"/>
      <c r="F4041" s="11" t="n"/>
    </row>
    <row r="4042">
      <c r="A4042" s="12" t="inlineStr">
        <is>
          <t>Rate basis: per sqm  (source: cost for 0.6 sqm)</t>
        </is>
      </c>
    </row>
    <row r="4043">
      <c r="A4043" s="5" t="inlineStr">
        <is>
          <t>Code</t>
        </is>
      </c>
      <c r="B4043" s="5" t="inlineStr">
        <is>
          <t>Description</t>
        </is>
      </c>
      <c r="C4043" s="5" t="inlineStr">
        <is>
          <t>Unit</t>
        </is>
      </c>
      <c r="D4043" s="5" t="inlineStr">
        <is>
          <t>Quantity</t>
        </is>
      </c>
      <c r="E4043" s="5" t="inlineStr">
        <is>
          <t>Rate (Rs.)</t>
        </is>
      </c>
      <c r="F4043" s="5" t="inlineStr">
        <is>
          <t>Amount (Rs.)</t>
        </is>
      </c>
    </row>
    <row r="4044">
      <c r="A4044" s="13" t="inlineStr">
        <is>
          <t>2486</t>
        </is>
      </c>
      <c r="B4044" s="14" t="inlineStr">
        <is>
          <t>Pre-laminated with decorative lamination one side and other side balancing lamination exterior Grade - I MDF Board 25 mm thick confirming to IS:14587</t>
        </is>
      </c>
      <c r="C4044" s="13" t="inlineStr">
        <is>
          <t>sqm</t>
        </is>
      </c>
      <c r="D4044" s="15" t="n">
        <v>0.63</v>
      </c>
      <c r="E4044" s="16" t="n">
        <v>860</v>
      </c>
      <c r="F4044" s="16">
        <f>D4044*E4044</f>
        <v/>
      </c>
    </row>
    <row r="4045">
      <c r="A4045" s="13" t="inlineStr">
        <is>
          <t>2489</t>
        </is>
      </c>
      <c r="B4045" s="14" t="inlineStr">
        <is>
          <t>PVC edge bending tape 2.00 mm thick</t>
        </is>
      </c>
      <c r="C4045" s="13" t="inlineStr">
        <is>
          <t>metre</t>
        </is>
      </c>
      <c r="D4045" s="15" t="n">
        <v>3</v>
      </c>
      <c r="E4045" s="16" t="n">
        <v>20</v>
      </c>
      <c r="F4045" s="16">
        <f>D4045*E4045</f>
        <v/>
      </c>
    </row>
    <row r="4046">
      <c r="A4046" s="13" t="inlineStr">
        <is>
          <t>9999</t>
        </is>
      </c>
      <c r="B4046" s="14" t="inlineStr">
        <is>
          <t>Sundries (Carriage of MDF board)</t>
        </is>
      </c>
      <c r="C4046" s="13" t="inlineStr">
        <is>
          <t>L.S.</t>
        </is>
      </c>
      <c r="D4046" s="15" t="n">
        <v>1.82</v>
      </c>
      <c r="E4046" s="16" t="n">
        <v>2</v>
      </c>
      <c r="F4046" s="16">
        <f>D4046*E4046</f>
        <v/>
      </c>
    </row>
    <row r="4047">
      <c r="A4047" s="13" t="inlineStr">
        <is>
          <t>0112</t>
        </is>
      </c>
      <c r="B4047" s="14" t="inlineStr">
        <is>
          <t>Carpenter 2nd class</t>
        </is>
      </c>
      <c r="C4047" s="13" t="inlineStr">
        <is>
          <t>day</t>
        </is>
      </c>
      <c r="D4047" s="15" t="n">
        <v>0.11</v>
      </c>
      <c r="E4047" s="16" t="n">
        <v>679</v>
      </c>
      <c r="F4047" s="16">
        <f>D4047*E4047</f>
        <v/>
      </c>
    </row>
    <row r="4048">
      <c r="A4048" s="13" t="inlineStr">
        <is>
          <t>0114</t>
        </is>
      </c>
      <c r="B4048" s="14" t="inlineStr">
        <is>
          <t>Beldar</t>
        </is>
      </c>
      <c r="C4048" s="13" t="inlineStr">
        <is>
          <t>day</t>
        </is>
      </c>
      <c r="D4048" s="15" t="n">
        <v>0.06</v>
      </c>
      <c r="E4048" s="16" t="n">
        <v>558</v>
      </c>
      <c r="F4048" s="16">
        <f>D4048*E4048</f>
        <v/>
      </c>
    </row>
    <row r="4049">
      <c r="A4049" s="13" t="inlineStr">
        <is>
          <t>9999</t>
        </is>
      </c>
      <c r="B4049" s="14" t="inlineStr">
        <is>
          <t>Sundries and screws</t>
        </is>
      </c>
      <c r="C4049" s="13" t="inlineStr">
        <is>
          <t>L.S.</t>
        </is>
      </c>
      <c r="D4049" s="15" t="n">
        <v>7.8</v>
      </c>
      <c r="E4049" s="16" t="n">
        <v>2</v>
      </c>
      <c r="F4049" s="16">
        <f>D4049*E4049</f>
        <v/>
      </c>
    </row>
    <row r="4050">
      <c r="A4050" s="17" t="inlineStr">
        <is>
          <t>Resource Total (Material + Labour + Machinery, as printed)</t>
        </is>
      </c>
      <c r="B4050" s="18" t="n"/>
      <c r="C4050" s="18" t="n"/>
      <c r="D4050" s="18" t="n"/>
      <c r="E4050" s="18" t="n"/>
      <c r="F4050" s="19">
        <f>SUM(F4044:F4049)</f>
        <v/>
      </c>
    </row>
    <row r="4051">
      <c r="A4051" s="20" t="inlineStr">
        <is>
          <t>SAY (Rs.) — final DAR rate</t>
        </is>
      </c>
      <c r="B4051" s="21" t="n"/>
      <c r="C4051" s="21" t="n"/>
      <c r="D4051" s="21" t="n"/>
      <c r="E4051" s="21" t="n"/>
      <c r="F4051" s="22" t="n">
        <v>1626.05</v>
      </c>
    </row>
    <row r="4053" ht="18" customHeight="1">
      <c r="A4053" s="9" t="inlineStr">
        <is>
          <t>9.158.1</t>
        </is>
      </c>
      <c r="B4053" s="10" t="inlineStr">
        <is>
          <t>12 mm thick.</t>
        </is>
      </c>
      <c r="C4053" s="11" t="n"/>
      <c r="D4053" s="11" t="n"/>
      <c r="E4053" s="11" t="n"/>
      <c r="F4053" s="11" t="n"/>
    </row>
    <row r="4054">
      <c r="A4054" s="12" t="inlineStr">
        <is>
          <t>Rate basis: per sqm  (source: cost for 10 sqm)</t>
        </is>
      </c>
    </row>
    <row r="4055">
      <c r="A4055" s="5" t="inlineStr">
        <is>
          <t>Code</t>
        </is>
      </c>
      <c r="B4055" s="5" t="inlineStr">
        <is>
          <t>Description</t>
        </is>
      </c>
      <c r="C4055" s="5" t="inlineStr">
        <is>
          <t>Unit</t>
        </is>
      </c>
      <c r="D4055" s="5" t="inlineStr">
        <is>
          <t>Quantity</t>
        </is>
      </c>
      <c r="E4055" s="5" t="inlineStr">
        <is>
          <t>Rate (Rs.)</t>
        </is>
      </c>
      <c r="F4055" s="5" t="inlineStr">
        <is>
          <t>Amount (Rs.)</t>
        </is>
      </c>
    </row>
    <row r="4056">
      <c r="A4056" s="13" t="inlineStr">
        <is>
          <t>2487</t>
        </is>
      </c>
      <c r="B4056" s="14" t="inlineStr">
        <is>
          <t>Pre-laminated with decorative lamination one side and other side balancing lamination exterior Grade - I MDF Board 12 mm thick confirming to IS:14587</t>
        </is>
      </c>
      <c r="C4056" s="13" t="inlineStr">
        <is>
          <t>sqm</t>
        </is>
      </c>
      <c r="D4056" s="15" t="n">
        <v>11</v>
      </c>
      <c r="E4056" s="16" t="n">
        <v>430</v>
      </c>
      <c r="F4056" s="16">
        <f>D4056*E4056</f>
        <v/>
      </c>
    </row>
    <row r="4057">
      <c r="A4057" s="13" t="inlineStr">
        <is>
          <t>9999</t>
        </is>
      </c>
      <c r="B4057" s="14" t="inlineStr">
        <is>
          <t>Sundries (Carriage of MDF board)</t>
        </is>
      </c>
      <c r="C4057" s="13" t="inlineStr">
        <is>
          <t>L.S.</t>
        </is>
      </c>
      <c r="D4057" s="15" t="n">
        <v>13.52</v>
      </c>
      <c r="E4057" s="16" t="n">
        <v>2</v>
      </c>
      <c r="F4057" s="16">
        <f>D4057*E4057</f>
        <v/>
      </c>
    </row>
    <row r="4058">
      <c r="A4058" s="13" t="inlineStr">
        <is>
          <t>9999</t>
        </is>
      </c>
      <c r="B4058" s="14" t="inlineStr">
        <is>
          <t>Sundries and screws</t>
        </is>
      </c>
      <c r="C4058" s="13" t="inlineStr">
        <is>
          <t>L.S.</t>
        </is>
      </c>
      <c r="D4058" s="15" t="n">
        <v>26.91</v>
      </c>
      <c r="E4058" s="16" t="n">
        <v>2</v>
      </c>
      <c r="F4058" s="16">
        <f>D4058*E4058</f>
        <v/>
      </c>
    </row>
    <row r="4059">
      <c r="A4059" s="13" t="inlineStr">
        <is>
          <t>0112</t>
        </is>
      </c>
      <c r="B4059" s="14" t="inlineStr">
        <is>
          <t>Carpenter 2nd class</t>
        </is>
      </c>
      <c r="C4059" s="13" t="inlineStr">
        <is>
          <t>day</t>
        </is>
      </c>
      <c r="D4059" s="15" t="n">
        <v>1.28</v>
      </c>
      <c r="E4059" s="16" t="n">
        <v>679</v>
      </c>
      <c r="F4059" s="16">
        <f>D4059*E4059</f>
        <v/>
      </c>
    </row>
    <row r="4060">
      <c r="A4060" s="13" t="inlineStr">
        <is>
          <t>0114</t>
        </is>
      </c>
      <c r="B4060" s="14" t="inlineStr">
        <is>
          <t>Beldar</t>
        </is>
      </c>
      <c r="C4060" s="13" t="inlineStr">
        <is>
          <t>day</t>
        </is>
      </c>
      <c r="D4060" s="15" t="n">
        <v>1.43</v>
      </c>
      <c r="E4060" s="16" t="n">
        <v>558</v>
      </c>
      <c r="F4060" s="16">
        <f>D4060*E4060</f>
        <v/>
      </c>
    </row>
    <row r="4061">
      <c r="A4061" s="13" t="inlineStr">
        <is>
          <t>7048</t>
        </is>
      </c>
      <c r="B4061" s="14" t="inlineStr">
        <is>
          <t>Rawl plug 50 mm (designation 10 nos)</t>
        </is>
      </c>
      <c r="C4061" s="13" t="inlineStr">
        <is>
          <t>each</t>
        </is>
      </c>
      <c r="D4061" s="15" t="n">
        <v>55</v>
      </c>
      <c r="E4061" s="16" t="n">
        <v>25</v>
      </c>
      <c r="F4061" s="16">
        <f>D4061*E4061</f>
        <v/>
      </c>
    </row>
    <row r="4062">
      <c r="A4062" s="17" t="inlineStr">
        <is>
          <t>Resource Total (Material + Labour + Machinery, as printed)</t>
        </is>
      </c>
      <c r="B4062" s="18" t="n"/>
      <c r="C4062" s="18" t="n"/>
      <c r="D4062" s="18" t="n"/>
      <c r="E4062" s="18" t="n"/>
      <c r="F4062" s="19">
        <f>SUM(F4056:F4061)</f>
        <v/>
      </c>
    </row>
    <row r="4063">
      <c r="A4063" s="20" t="inlineStr">
        <is>
          <t>SAY (Rs.) — final DAR rate</t>
        </is>
      </c>
      <c r="B4063" s="21" t="n"/>
      <c r="C4063" s="21" t="n"/>
      <c r="D4063" s="21" t="n"/>
      <c r="E4063" s="21" t="n"/>
      <c r="F4063" s="22" t="n">
        <v>1050.65</v>
      </c>
    </row>
    <row r="4065" ht="18" customHeight="1">
      <c r="A4065" s="9" t="inlineStr">
        <is>
          <t>9.158.2</t>
        </is>
      </c>
      <c r="B4065" s="10" t="inlineStr">
        <is>
          <t>18 mm thick.</t>
        </is>
      </c>
      <c r="C4065" s="11" t="n"/>
      <c r="D4065" s="11" t="n"/>
      <c r="E4065" s="11" t="n"/>
      <c r="F4065" s="11" t="n"/>
    </row>
    <row r="4066">
      <c r="A4066" s="12" t="inlineStr">
        <is>
          <t>Rate basis: per sqm  (source: cost for 10 sqm)</t>
        </is>
      </c>
    </row>
    <row r="4067">
      <c r="A4067" s="5" t="inlineStr">
        <is>
          <t>Code</t>
        </is>
      </c>
      <c r="B4067" s="5" t="inlineStr">
        <is>
          <t>Description</t>
        </is>
      </c>
      <c r="C4067" s="5" t="inlineStr">
        <is>
          <t>Unit</t>
        </is>
      </c>
      <c r="D4067" s="5" t="inlineStr">
        <is>
          <t>Quantity</t>
        </is>
      </c>
      <c r="E4067" s="5" t="inlineStr">
        <is>
          <t>Rate (Rs.)</t>
        </is>
      </c>
      <c r="F4067" s="5" t="inlineStr">
        <is>
          <t>Amount (Rs.)</t>
        </is>
      </c>
    </row>
    <row r="4068">
      <c r="A4068" s="13" t="inlineStr">
        <is>
          <t>2488</t>
        </is>
      </c>
      <c r="B4068" s="14" t="inlineStr">
        <is>
          <t>Pre-laminated with decorative lamination one side and other side balancing lamination exterior Grade - I MDF Board 18 mm thick confirming to IS:14587</t>
        </is>
      </c>
      <c r="C4068" s="13" t="inlineStr">
        <is>
          <t>sqm</t>
        </is>
      </c>
      <c r="D4068" s="15" t="n">
        <v>11</v>
      </c>
      <c r="E4068" s="16" t="n">
        <v>565</v>
      </c>
      <c r="F4068" s="16">
        <f>D4068*E4068</f>
        <v/>
      </c>
    </row>
    <row r="4069">
      <c r="A4069" s="13" t="inlineStr">
        <is>
          <t>9999</t>
        </is>
      </c>
      <c r="B4069" s="14" t="inlineStr">
        <is>
          <t>Sundries (Carriage of MDF board)</t>
        </is>
      </c>
      <c r="C4069" s="13" t="inlineStr">
        <is>
          <t>L.S.</t>
        </is>
      </c>
      <c r="D4069" s="15" t="n">
        <v>13.52</v>
      </c>
      <c r="E4069" s="16" t="n">
        <v>2</v>
      </c>
      <c r="F4069" s="16">
        <f>D4069*E4069</f>
        <v/>
      </c>
    </row>
    <row r="4070">
      <c r="A4070" s="13" t="inlineStr">
        <is>
          <t>9999</t>
        </is>
      </c>
      <c r="B4070" s="14" t="inlineStr">
        <is>
          <t>Sundries and screws</t>
        </is>
      </c>
      <c r="C4070" s="13" t="inlineStr">
        <is>
          <t>L.S.</t>
        </is>
      </c>
      <c r="D4070" s="15" t="n">
        <v>26.91</v>
      </c>
      <c r="E4070" s="16" t="n">
        <v>2</v>
      </c>
      <c r="F4070" s="16">
        <f>D4070*E4070</f>
        <v/>
      </c>
    </row>
    <row r="4071">
      <c r="A4071" s="13" t="inlineStr">
        <is>
          <t>0112</t>
        </is>
      </c>
      <c r="B4071" s="14" t="inlineStr">
        <is>
          <t>Carpenter 2nd class</t>
        </is>
      </c>
      <c r="C4071" s="13" t="inlineStr">
        <is>
          <t>day</t>
        </is>
      </c>
      <c r="D4071" s="15" t="n">
        <v>1.28</v>
      </c>
      <c r="E4071" s="16" t="n">
        <v>679</v>
      </c>
      <c r="F4071" s="16">
        <f>D4071*E4071</f>
        <v/>
      </c>
    </row>
    <row r="4072">
      <c r="A4072" s="13" t="inlineStr">
        <is>
          <t>0114</t>
        </is>
      </c>
      <c r="B4072" s="14" t="inlineStr">
        <is>
          <t>Beldar</t>
        </is>
      </c>
      <c r="C4072" s="13" t="inlineStr">
        <is>
          <t>day</t>
        </is>
      </c>
      <c r="D4072" s="15" t="n">
        <v>1.43</v>
      </c>
      <c r="E4072" s="16" t="n">
        <v>558</v>
      </c>
      <c r="F4072" s="16">
        <f>D4072*E4072</f>
        <v/>
      </c>
    </row>
    <row r="4073">
      <c r="A4073" s="13" t="inlineStr">
        <is>
          <t>7048</t>
        </is>
      </c>
      <c r="B4073" s="14" t="inlineStr">
        <is>
          <t>Rawl plug 50 mm (designation 10 nos)</t>
        </is>
      </c>
      <c r="C4073" s="13" t="inlineStr">
        <is>
          <t>each</t>
        </is>
      </c>
      <c r="D4073" s="15" t="n">
        <v>55</v>
      </c>
      <c r="E4073" s="16" t="n">
        <v>25</v>
      </c>
      <c r="F4073" s="16">
        <f>D4073*E4073</f>
        <v/>
      </c>
    </row>
    <row r="4074">
      <c r="A4074" s="17" t="inlineStr">
        <is>
          <t>Resource Total (Material + Labour + Machinery, as printed)</t>
        </is>
      </c>
      <c r="B4074" s="18" t="n"/>
      <c r="C4074" s="18" t="n"/>
      <c r="D4074" s="18" t="n"/>
      <c r="E4074" s="18" t="n"/>
      <c r="F4074" s="19">
        <f>SUM(F4068:F4073)</f>
        <v/>
      </c>
    </row>
    <row r="4075">
      <c r="A4075" s="20" t="inlineStr">
        <is>
          <t>SAY (Rs.) — final DAR rate</t>
        </is>
      </c>
      <c r="B4075" s="21" t="n"/>
      <c r="C4075" s="21" t="n"/>
      <c r="D4075" s="21" t="n"/>
      <c r="E4075" s="21" t="n"/>
      <c r="F4075" s="22" t="n">
        <v>1249.35</v>
      </c>
    </row>
    <row r="4077" ht="18" customHeight="1">
      <c r="A4077" s="9" t="inlineStr">
        <is>
          <t>9.158.3</t>
        </is>
      </c>
      <c r="B4077" s="10" t="inlineStr">
        <is>
          <t>25 mm thick.</t>
        </is>
      </c>
      <c r="C4077" s="11" t="n"/>
      <c r="D4077" s="11" t="n"/>
      <c r="E4077" s="11" t="n"/>
      <c r="F4077" s="11" t="n"/>
    </row>
    <row r="4078">
      <c r="A4078" s="12" t="inlineStr">
        <is>
          <t>Rate basis: per sqm  (source: cost for 10 sqm)</t>
        </is>
      </c>
    </row>
    <row r="4079">
      <c r="A4079" s="5" t="inlineStr">
        <is>
          <t>Code</t>
        </is>
      </c>
      <c r="B4079" s="5" t="inlineStr">
        <is>
          <t>Description</t>
        </is>
      </c>
      <c r="C4079" s="5" t="inlineStr">
        <is>
          <t>Unit</t>
        </is>
      </c>
      <c r="D4079" s="5" t="inlineStr">
        <is>
          <t>Quantity</t>
        </is>
      </c>
      <c r="E4079" s="5" t="inlineStr">
        <is>
          <t>Rate (Rs.)</t>
        </is>
      </c>
      <c r="F4079" s="5" t="inlineStr">
        <is>
          <t>Amount (Rs.)</t>
        </is>
      </c>
    </row>
    <row r="4080">
      <c r="A4080" s="13" t="inlineStr">
        <is>
          <t>2486</t>
        </is>
      </c>
      <c r="B4080" s="14" t="inlineStr">
        <is>
          <t>Pre-laminated with decorative lamination one side and other side balancing lamination exterior Grade - I MDF Board 25 mm thick confirming to IS:14587</t>
        </is>
      </c>
      <c r="C4080" s="13" t="inlineStr">
        <is>
          <t>sqm</t>
        </is>
      </c>
      <c r="D4080" s="15" t="n">
        <v>11</v>
      </c>
      <c r="E4080" s="16" t="n">
        <v>860</v>
      </c>
      <c r="F4080" s="16">
        <f>D4080*E4080</f>
        <v/>
      </c>
    </row>
    <row r="4081">
      <c r="A4081" s="13" t="inlineStr">
        <is>
          <t>9999</t>
        </is>
      </c>
      <c r="B4081" s="14" t="inlineStr">
        <is>
          <t>Sundries (Carriage of MDF board)</t>
        </is>
      </c>
      <c r="C4081" s="13" t="inlineStr">
        <is>
          <t>L.S.</t>
        </is>
      </c>
      <c r="D4081" s="15" t="n">
        <v>13.52</v>
      </c>
      <c r="E4081" s="16" t="n">
        <v>2</v>
      </c>
      <c r="F4081" s="16">
        <f>D4081*E4081</f>
        <v/>
      </c>
    </row>
    <row r="4082">
      <c r="A4082" s="13" t="inlineStr">
        <is>
          <t>9999</t>
        </is>
      </c>
      <c r="B4082" s="14" t="inlineStr">
        <is>
          <t>Sundries and screws</t>
        </is>
      </c>
      <c r="C4082" s="13" t="inlineStr">
        <is>
          <t>L.S.</t>
        </is>
      </c>
      <c r="D4082" s="15" t="n">
        <v>26.91</v>
      </c>
      <c r="E4082" s="16" t="n">
        <v>2</v>
      </c>
      <c r="F4082" s="16">
        <f>D4082*E4082</f>
        <v/>
      </c>
    </row>
    <row r="4083">
      <c r="A4083" s="13" t="inlineStr">
        <is>
          <t>0112</t>
        </is>
      </c>
      <c r="B4083" s="14" t="inlineStr">
        <is>
          <t>Carpenter 2nd class</t>
        </is>
      </c>
      <c r="C4083" s="13" t="inlineStr">
        <is>
          <t>day</t>
        </is>
      </c>
      <c r="D4083" s="15" t="n">
        <v>1.28</v>
      </c>
      <c r="E4083" s="16" t="n">
        <v>679</v>
      </c>
      <c r="F4083" s="16">
        <f>D4083*E4083</f>
        <v/>
      </c>
    </row>
    <row r="4084">
      <c r="A4084" s="13" t="inlineStr">
        <is>
          <t>0114</t>
        </is>
      </c>
      <c r="B4084" s="14" t="inlineStr">
        <is>
          <t>Beldar</t>
        </is>
      </c>
      <c r="C4084" s="13" t="inlineStr">
        <is>
          <t>day</t>
        </is>
      </c>
      <c r="D4084" s="15" t="n">
        <v>1.43</v>
      </c>
      <c r="E4084" s="16" t="n">
        <v>558</v>
      </c>
      <c r="F4084" s="16">
        <f>D4084*E4084</f>
        <v/>
      </c>
    </row>
    <row r="4085">
      <c r="A4085" s="13" t="inlineStr">
        <is>
          <t>7048</t>
        </is>
      </c>
      <c r="B4085" s="14" t="inlineStr">
        <is>
          <t>Rawl plug 50 mm (designation 10 nos)</t>
        </is>
      </c>
      <c r="C4085" s="13" t="inlineStr">
        <is>
          <t>each</t>
        </is>
      </c>
      <c r="D4085" s="15" t="n">
        <v>55</v>
      </c>
      <c r="E4085" s="16" t="n">
        <v>25</v>
      </c>
      <c r="F4085" s="16">
        <f>D4085*E4085</f>
        <v/>
      </c>
    </row>
    <row r="4086">
      <c r="A4086" s="17" t="inlineStr">
        <is>
          <t>Resource Total (Material + Labour + Machinery, as printed)</t>
        </is>
      </c>
      <c r="B4086" s="18" t="n"/>
      <c r="C4086" s="18" t="n"/>
      <c r="D4086" s="18" t="n"/>
      <c r="E4086" s="18" t="n"/>
      <c r="F4086" s="19">
        <f>SUM(F4080:F4085)</f>
        <v/>
      </c>
    </row>
    <row r="4087">
      <c r="A4087" s="20" t="inlineStr">
        <is>
          <t>SAY (Rs.) — final DAR rate</t>
        </is>
      </c>
      <c r="B4087" s="21" t="n"/>
      <c r="C4087" s="21" t="n"/>
      <c r="D4087" s="21" t="n"/>
      <c r="E4087" s="21" t="n"/>
      <c r="F4087" s="22" t="n">
        <v>1683.5</v>
      </c>
    </row>
    <row r="4089" ht="28" customHeight="1">
      <c r="A4089" s="9" t="inlineStr">
        <is>
          <t>9.159</t>
        </is>
      </c>
      <c r="B4089" s="10" t="inlineStr">
        <is>
          <t>Providing and fixing 25mm thick pre-laminated medium density fibre board exterior grade ( Grade-I) IS:14587:1998 marked with one side decora</t>
        </is>
      </c>
      <c r="C4089" s="11" t="n"/>
      <c r="D4089" s="11" t="n"/>
      <c r="E4089" s="11" t="n"/>
      <c r="F4089" s="11" t="n"/>
    </row>
    <row r="4090">
      <c r="A4090" s="12" t="inlineStr">
        <is>
          <t>Rate basis: per sqm  (source: cost for 2.2 sqm)</t>
        </is>
      </c>
    </row>
    <row r="4091">
      <c r="A4091" s="5" t="inlineStr">
        <is>
          <t>Code</t>
        </is>
      </c>
      <c r="B4091" s="5" t="inlineStr">
        <is>
          <t>Description</t>
        </is>
      </c>
      <c r="C4091" s="5" t="inlineStr">
        <is>
          <t>Unit</t>
        </is>
      </c>
      <c r="D4091" s="5" t="inlineStr">
        <is>
          <t>Quantity</t>
        </is>
      </c>
      <c r="E4091" s="5" t="inlineStr">
        <is>
          <t>Rate (Rs.)</t>
        </is>
      </c>
      <c r="F4091" s="5" t="inlineStr">
        <is>
          <t>Amount (Rs.)</t>
        </is>
      </c>
    </row>
    <row r="4092">
      <c r="A4092" s="13" t="inlineStr">
        <is>
          <t>2486</t>
        </is>
      </c>
      <c r="B4092" s="14" t="inlineStr">
        <is>
          <t>Pre-laminated with decorative lamination one side and other side balancing lamination exterior Grade - I MDF Board 25 mm thick confirming to IS:14587</t>
        </is>
      </c>
      <c r="C4092" s="13" t="inlineStr">
        <is>
          <t>sqm</t>
        </is>
      </c>
      <c r="D4092" s="15" t="n">
        <v>2.2</v>
      </c>
      <c r="E4092" s="16" t="n">
        <v>860</v>
      </c>
      <c r="F4092" s="16">
        <f>D4092*E4092</f>
        <v/>
      </c>
    </row>
    <row r="4093">
      <c r="A4093" s="13" t="inlineStr">
        <is>
          <t>9999</t>
        </is>
      </c>
      <c r="B4093" s="14" t="inlineStr">
        <is>
          <t>Sundries (Carriage of MDF board)</t>
        </is>
      </c>
      <c r="C4093" s="13" t="inlineStr">
        <is>
          <t>L.S.</t>
        </is>
      </c>
      <c r="D4093" s="15" t="n">
        <v>26.94</v>
      </c>
      <c r="E4093" s="16" t="n">
        <v>2</v>
      </c>
      <c r="F4093" s="16">
        <f>D4093*E4093</f>
        <v/>
      </c>
    </row>
    <row r="4094">
      <c r="A4094" s="13" t="inlineStr">
        <is>
          <t>2489</t>
        </is>
      </c>
      <c r="B4094" s="14" t="inlineStr">
        <is>
          <t>PVC edge bending tape 2.00 mm thick</t>
        </is>
      </c>
      <c r="C4094" s="13" t="inlineStr">
        <is>
          <t>metre</t>
        </is>
      </c>
      <c r="D4094" s="15" t="n">
        <v>6.4</v>
      </c>
      <c r="E4094" s="16" t="n">
        <v>20</v>
      </c>
      <c r="F4094" s="16">
        <f>D4094*E4094</f>
        <v/>
      </c>
    </row>
    <row r="4095">
      <c r="A4095" s="13" t="inlineStr">
        <is>
          <t>0608</t>
        </is>
      </c>
      <c r="B4095" s="14" t="inlineStr">
        <is>
          <t>Nickel plated bright finished mild steel piano hinges 1 mm thick 25 mm wide</t>
        </is>
      </c>
      <c r="C4095" s="13" t="inlineStr">
        <is>
          <t>metre</t>
        </is>
      </c>
      <c r="D4095" s="15" t="n">
        <v>4.4</v>
      </c>
      <c r="E4095" s="16" t="n">
        <v>39</v>
      </c>
      <c r="F4095" s="16">
        <f>D4095*E4095</f>
        <v/>
      </c>
    </row>
    <row r="4096">
      <c r="A4096" s="13" t="inlineStr">
        <is>
          <t>0639</t>
        </is>
      </c>
      <c r="B4096" s="14" t="inlineStr">
        <is>
          <t>Bright finished or black enameled mild steel screws 25 mm</t>
        </is>
      </c>
      <c r="C4096" s="13" t="inlineStr">
        <is>
          <t>100 Nos</t>
        </is>
      </c>
      <c r="D4096" s="15" t="n">
        <v>1.25</v>
      </c>
      <c r="E4096" s="16" t="n">
        <v>36</v>
      </c>
      <c r="F4096" s="16">
        <f>D4096*E4096</f>
        <v/>
      </c>
    </row>
    <row r="4097">
      <c r="A4097" s="13" t="inlineStr">
        <is>
          <t>0156</t>
        </is>
      </c>
      <c r="B4097" s="14" t="inlineStr">
        <is>
          <t>Carpenter (average)</t>
        </is>
      </c>
      <c r="C4097" s="13" t="inlineStr">
        <is>
          <t>day</t>
        </is>
      </c>
      <c r="D4097" s="15" t="n">
        <v>0.55</v>
      </c>
      <c r="E4097" s="16" t="n">
        <v>709</v>
      </c>
      <c r="F4097" s="16">
        <f>D4097*E4097</f>
        <v/>
      </c>
    </row>
    <row r="4098">
      <c r="A4098" s="13" t="inlineStr">
        <is>
          <t>0114</t>
        </is>
      </c>
      <c r="B4098" s="14" t="inlineStr">
        <is>
          <t>Beldar</t>
        </is>
      </c>
      <c r="C4098" s="13" t="inlineStr">
        <is>
          <t>day</t>
        </is>
      </c>
      <c r="D4098" s="15" t="n">
        <v>0.55</v>
      </c>
      <c r="E4098" s="16" t="n">
        <v>558</v>
      </c>
      <c r="F4098" s="16">
        <f>D4098*E4098</f>
        <v/>
      </c>
    </row>
    <row r="4099">
      <c r="A4099" s="17" t="inlineStr">
        <is>
          <t>Resource Total (Material + Labour + Machinery, as printed)</t>
        </is>
      </c>
      <c r="B4099" s="18" t="n"/>
      <c r="C4099" s="18" t="n"/>
      <c r="D4099" s="18" t="n"/>
      <c r="E4099" s="18" t="n"/>
      <c r="F4099" s="19">
        <f>SUM(F4092:F4098)</f>
        <v/>
      </c>
    </row>
    <row r="4100">
      <c r="A4100" s="20" t="inlineStr">
        <is>
          <t>SAY (Rs.) — final DAR rate</t>
        </is>
      </c>
      <c r="B4100" s="21" t="n"/>
      <c r="C4100" s="21" t="n"/>
      <c r="D4100" s="21" t="n"/>
      <c r="E4100" s="21" t="n"/>
      <c r="F4100" s="22" t="n">
        <v>1816.75</v>
      </c>
    </row>
    <row r="4102" ht="18" customHeight="1">
      <c r="A4102" s="9" t="inlineStr">
        <is>
          <t>9.160.1</t>
        </is>
      </c>
      <c r="B4102" s="10" t="inlineStr">
        <is>
          <t>18 mm thick.</t>
        </is>
      </c>
      <c r="C4102" s="11" t="n"/>
      <c r="D4102" s="11" t="n"/>
      <c r="E4102" s="11" t="n"/>
      <c r="F4102" s="11" t="n"/>
    </row>
    <row r="4103">
      <c r="A4103" s="12" t="inlineStr">
        <is>
          <t>Rate basis: per sqm  (source: cost for 6 sqm)</t>
        </is>
      </c>
    </row>
    <row r="4104">
      <c r="A4104" s="5" t="inlineStr">
        <is>
          <t>Code</t>
        </is>
      </c>
      <c r="B4104" s="5" t="inlineStr">
        <is>
          <t>Description</t>
        </is>
      </c>
      <c r="C4104" s="5" t="inlineStr">
        <is>
          <t>Unit</t>
        </is>
      </c>
      <c r="D4104" s="5" t="inlineStr">
        <is>
          <t>Quantity</t>
        </is>
      </c>
      <c r="E4104" s="5" t="inlineStr">
        <is>
          <t>Rate (Rs.)</t>
        </is>
      </c>
      <c r="F4104" s="5" t="inlineStr">
        <is>
          <t>Amount (Rs.)</t>
        </is>
      </c>
    </row>
    <row r="4105">
      <c r="A4105" s="13" t="inlineStr">
        <is>
          <t>2488</t>
        </is>
      </c>
      <c r="B4105" s="14" t="inlineStr">
        <is>
          <t>Pre-laminated with decorative lamination one side and other side balancing lamination exterior Grade - I MDF Board 18 mm thick confirming to IS:14587</t>
        </is>
      </c>
      <c r="C4105" s="13" t="inlineStr">
        <is>
          <t>sqm</t>
        </is>
      </c>
      <c r="D4105" s="15" t="n">
        <v>6.6</v>
      </c>
      <c r="E4105" s="16" t="n">
        <v>565</v>
      </c>
      <c r="F4105" s="16">
        <f>D4105*E4105</f>
        <v/>
      </c>
    </row>
    <row r="4106">
      <c r="A4106" s="13" t="inlineStr">
        <is>
          <t>9999</t>
        </is>
      </c>
      <c r="B4106" s="14" t="inlineStr">
        <is>
          <t>Sundries (Carriage of MDF board)</t>
        </is>
      </c>
      <c r="C4106" s="13" t="inlineStr">
        <is>
          <t>L.S.</t>
        </is>
      </c>
      <c r="D4106" s="15" t="n">
        <v>8.109999999999999</v>
      </c>
      <c r="E4106" s="16" t="n">
        <v>2</v>
      </c>
      <c r="F4106" s="16">
        <f>D4106*E4106</f>
        <v/>
      </c>
    </row>
    <row r="4107">
      <c r="A4107" s="13" t="inlineStr">
        <is>
          <t>2489</t>
        </is>
      </c>
      <c r="B4107" s="14" t="inlineStr">
        <is>
          <t>PVC edge bending tape 2.00 mm thick</t>
        </is>
      </c>
      <c r="C4107" s="13" t="inlineStr">
        <is>
          <t>metre</t>
        </is>
      </c>
      <c r="D4107" s="15" t="n">
        <v>30</v>
      </c>
      <c r="E4107" s="16" t="n">
        <v>20</v>
      </c>
      <c r="F4107" s="16">
        <f>D4107*E4107</f>
        <v/>
      </c>
    </row>
    <row r="4108">
      <c r="A4108" s="13" t="inlineStr">
        <is>
          <t>7048</t>
        </is>
      </c>
      <c r="B4108" s="14" t="inlineStr">
        <is>
          <t>Rawl plug 50 mm (designation 10 nos)</t>
        </is>
      </c>
      <c r="C4108" s="13" t="inlineStr">
        <is>
          <t>each</t>
        </is>
      </c>
      <c r="D4108" s="15" t="n">
        <v>102</v>
      </c>
      <c r="E4108" s="16" t="n">
        <v>25</v>
      </c>
      <c r="F4108" s="16">
        <f>D4108*E4108</f>
        <v/>
      </c>
    </row>
    <row r="4109">
      <c r="A4109" s="13" t="inlineStr">
        <is>
          <t>9999</t>
        </is>
      </c>
      <c r="B4109" s="14" t="inlineStr">
        <is>
          <t>Sundries (Labour for drilling hole)</t>
        </is>
      </c>
      <c r="C4109" s="13" t="inlineStr">
        <is>
          <t>L.S.</t>
        </is>
      </c>
      <c r="D4109" s="15" t="n">
        <v>130</v>
      </c>
      <c r="E4109" s="16" t="n">
        <v>2</v>
      </c>
      <c r="F4109" s="16">
        <f>D4109*E4109</f>
        <v/>
      </c>
    </row>
    <row r="4110">
      <c r="A4110" s="13" t="inlineStr">
        <is>
          <t>0112</t>
        </is>
      </c>
      <c r="B4110" s="14" t="inlineStr">
        <is>
          <t>Carpenter 2nd class</t>
        </is>
      </c>
      <c r="C4110" s="13" t="inlineStr">
        <is>
          <t>day</t>
        </is>
      </c>
      <c r="D4110" s="15" t="n">
        <v>0.77</v>
      </c>
      <c r="E4110" s="16" t="n">
        <v>679</v>
      </c>
      <c r="F4110" s="16">
        <f>D4110*E4110</f>
        <v/>
      </c>
    </row>
    <row r="4111">
      <c r="A4111" s="13" t="inlineStr">
        <is>
          <t>0114</t>
        </is>
      </c>
      <c r="B4111" s="14" t="inlineStr">
        <is>
          <t>Beldar</t>
        </is>
      </c>
      <c r="C4111" s="13" t="inlineStr">
        <is>
          <t>day</t>
        </is>
      </c>
      <c r="D4111" s="15" t="n">
        <v>0.86</v>
      </c>
      <c r="E4111" s="16" t="n">
        <v>558</v>
      </c>
      <c r="F4111" s="16">
        <f>D4111*E4111</f>
        <v/>
      </c>
    </row>
    <row r="4112">
      <c r="A4112" s="13" t="inlineStr">
        <is>
          <t>9999</t>
        </is>
      </c>
      <c r="B4112" s="14" t="inlineStr">
        <is>
          <t>Sundries ( screws and sand paper)</t>
        </is>
      </c>
      <c r="C4112" s="13" t="inlineStr">
        <is>
          <t>L.S.</t>
        </is>
      </c>
      <c r="D4112" s="15" t="n">
        <v>53.82</v>
      </c>
      <c r="E4112" s="16" t="n">
        <v>2</v>
      </c>
      <c r="F4112" s="16">
        <f>D4112*E4112</f>
        <v/>
      </c>
    </row>
    <row r="4113">
      <c r="A4113" s="17" t="inlineStr">
        <is>
          <t>Resource Total (Material + Labour + Machinery, as printed)</t>
        </is>
      </c>
      <c r="B4113" s="18" t="n"/>
      <c r="C4113" s="18" t="n"/>
      <c r="D4113" s="18" t="n"/>
      <c r="E4113" s="18" t="n"/>
      <c r="F4113" s="19">
        <f>SUM(F4105:F4112)</f>
        <v/>
      </c>
    </row>
    <row r="4114">
      <c r="A4114" s="20" t="inlineStr">
        <is>
          <t>SAY (Rs.) — final DAR rate</t>
        </is>
      </c>
      <c r="B4114" s="21" t="n"/>
      <c r="C4114" s="21" t="n"/>
      <c r="D4114" s="21" t="n"/>
      <c r="E4114" s="21" t="n"/>
      <c r="F4114" s="22" t="n">
        <v>1843.15</v>
      </c>
    </row>
    <row r="4116" ht="18" customHeight="1">
      <c r="A4116" s="9" t="inlineStr">
        <is>
          <t>9.160.2</t>
        </is>
      </c>
      <c r="B4116" s="10" t="inlineStr">
        <is>
          <t>25 mm thick.</t>
        </is>
      </c>
      <c r="C4116" s="11" t="n"/>
      <c r="D4116" s="11" t="n"/>
      <c r="E4116" s="11" t="n"/>
      <c r="F4116" s="11" t="n"/>
    </row>
    <row r="4117">
      <c r="A4117" s="12" t="inlineStr">
        <is>
          <t>Rate basis: per sqm  (source: cost for 6 sqm)</t>
        </is>
      </c>
    </row>
    <row r="4118">
      <c r="A4118" s="5" t="inlineStr">
        <is>
          <t>Code</t>
        </is>
      </c>
      <c r="B4118" s="5" t="inlineStr">
        <is>
          <t>Description</t>
        </is>
      </c>
      <c r="C4118" s="5" t="inlineStr">
        <is>
          <t>Unit</t>
        </is>
      </c>
      <c r="D4118" s="5" t="inlineStr">
        <is>
          <t>Quantity</t>
        </is>
      </c>
      <c r="E4118" s="5" t="inlineStr">
        <is>
          <t>Rate (Rs.)</t>
        </is>
      </c>
      <c r="F4118" s="5" t="inlineStr">
        <is>
          <t>Amount (Rs.)</t>
        </is>
      </c>
    </row>
    <row r="4119">
      <c r="A4119" s="13" t="inlineStr">
        <is>
          <t>2486</t>
        </is>
      </c>
      <c r="B4119" s="14" t="inlineStr">
        <is>
          <t>Pre-laminated with decorative lamination one side and other side balancing lamination exterior Grade - I MDF Board 25 mm thick confirming to IS:14587</t>
        </is>
      </c>
      <c r="C4119" s="13" t="inlineStr">
        <is>
          <t>sqm</t>
        </is>
      </c>
      <c r="D4119" s="15" t="n">
        <v>6.6</v>
      </c>
      <c r="E4119" s="16" t="n">
        <v>860</v>
      </c>
      <c r="F4119" s="16">
        <f>D4119*E4119</f>
        <v/>
      </c>
    </row>
    <row r="4120">
      <c r="A4120" s="13" t="inlineStr">
        <is>
          <t>9999</t>
        </is>
      </c>
      <c r="B4120" s="14" t="inlineStr">
        <is>
          <t>Sundries (Carriage of MDF board)</t>
        </is>
      </c>
      <c r="C4120" s="13" t="inlineStr">
        <is>
          <t>L.S.</t>
        </is>
      </c>
      <c r="D4120" s="15" t="n">
        <v>8.109999999999999</v>
      </c>
      <c r="E4120" s="16" t="n">
        <v>2</v>
      </c>
      <c r="F4120" s="16">
        <f>D4120*E4120</f>
        <v/>
      </c>
    </row>
    <row r="4121">
      <c r="A4121" s="13" t="inlineStr">
        <is>
          <t>2489</t>
        </is>
      </c>
      <c r="B4121" s="14" t="inlineStr">
        <is>
          <t>PVC edge bending tape 2.00 mm thick</t>
        </is>
      </c>
      <c r="C4121" s="13" t="inlineStr">
        <is>
          <t>metre</t>
        </is>
      </c>
      <c r="D4121" s="15" t="n">
        <v>30</v>
      </c>
      <c r="E4121" s="16" t="n">
        <v>20</v>
      </c>
      <c r="F4121" s="16">
        <f>D4121*E4121</f>
        <v/>
      </c>
    </row>
    <row r="4122">
      <c r="A4122" s="13" t="inlineStr">
        <is>
          <t>7048</t>
        </is>
      </c>
      <c r="B4122" s="14" t="inlineStr">
        <is>
          <t>Rawl plug 50 mm (designation 10 nos)</t>
        </is>
      </c>
      <c r="C4122" s="13" t="inlineStr">
        <is>
          <t>each</t>
        </is>
      </c>
      <c r="D4122" s="15" t="n">
        <v>102</v>
      </c>
      <c r="E4122" s="16" t="n">
        <v>25</v>
      </c>
      <c r="F4122" s="16">
        <f>D4122*E4122</f>
        <v/>
      </c>
    </row>
    <row r="4123">
      <c r="A4123" s="13" t="inlineStr">
        <is>
          <t>9999</t>
        </is>
      </c>
      <c r="B4123" s="14" t="inlineStr">
        <is>
          <t>Sundries (Labour for drilling hole)</t>
        </is>
      </c>
      <c r="C4123" s="13" t="inlineStr">
        <is>
          <t>L.S.</t>
        </is>
      </c>
      <c r="D4123" s="15" t="n">
        <v>130</v>
      </c>
      <c r="E4123" s="16" t="n">
        <v>2</v>
      </c>
      <c r="F4123" s="16">
        <f>D4123*E4123</f>
        <v/>
      </c>
    </row>
    <row r="4124">
      <c r="A4124" s="13" t="inlineStr">
        <is>
          <t>0112</t>
        </is>
      </c>
      <c r="B4124" s="14" t="inlineStr">
        <is>
          <t>Carpenter 2nd class</t>
        </is>
      </c>
      <c r="C4124" s="13" t="inlineStr">
        <is>
          <t>day</t>
        </is>
      </c>
      <c r="D4124" s="15" t="n">
        <v>0.77</v>
      </c>
      <c r="E4124" s="16" t="n">
        <v>679</v>
      </c>
      <c r="F4124" s="16">
        <f>D4124*E4124</f>
        <v/>
      </c>
    </row>
    <row r="4125">
      <c r="A4125" s="13" t="inlineStr">
        <is>
          <t>0114</t>
        </is>
      </c>
      <c r="B4125" s="14" t="inlineStr">
        <is>
          <t>Beldar</t>
        </is>
      </c>
      <c r="C4125" s="13" t="inlineStr">
        <is>
          <t>day</t>
        </is>
      </c>
      <c r="D4125" s="15" t="n">
        <v>0.86</v>
      </c>
      <c r="E4125" s="16" t="n">
        <v>558</v>
      </c>
      <c r="F4125" s="16">
        <f>D4125*E4125</f>
        <v/>
      </c>
    </row>
    <row r="4126">
      <c r="A4126" s="13" t="inlineStr">
        <is>
          <t>9999</t>
        </is>
      </c>
      <c r="B4126" s="14" t="inlineStr">
        <is>
          <t>Sundries ( screws and sand paper)</t>
        </is>
      </c>
      <c r="C4126" s="13" t="inlineStr">
        <is>
          <t>L.S.</t>
        </is>
      </c>
      <c r="D4126" s="15" t="n">
        <v>53.82</v>
      </c>
      <c r="E4126" s="16" t="n">
        <v>2</v>
      </c>
      <c r="F4126" s="16">
        <f>D4126*E4126</f>
        <v/>
      </c>
    </row>
    <row r="4127">
      <c r="A4127" s="17" t="inlineStr">
        <is>
          <t>Resource Total (Material + Labour + Machinery, as printed)</t>
        </is>
      </c>
      <c r="B4127" s="18" t="n"/>
      <c r="C4127" s="18" t="n"/>
      <c r="D4127" s="18" t="n"/>
      <c r="E4127" s="18" t="n"/>
      <c r="F4127" s="19">
        <f>SUM(F4119:F4126)</f>
        <v/>
      </c>
    </row>
    <row r="4128">
      <c r="A4128" s="20" t="inlineStr">
        <is>
          <t>SAY (Rs.) — final DAR rate</t>
        </is>
      </c>
      <c r="B4128" s="21" t="n"/>
      <c r="C4128" s="21" t="n"/>
      <c r="D4128" s="21" t="n"/>
      <c r="E4128" s="21" t="n"/>
      <c r="F4128" s="22" t="n">
        <v>2277.3</v>
      </c>
    </row>
    <row r="4130" ht="28" customHeight="1">
      <c r="A4130" s="9" t="inlineStr">
        <is>
          <t>9.161</t>
        </is>
      </c>
      <c r="B4130" s="10" t="inlineStr">
        <is>
          <t>Providing and fixing fire resistant door frame of section 50 x 60 mm on horizontal side &amp; 35 x 60 mm on vertical sides having built in rebat</t>
        </is>
      </c>
      <c r="C4130" s="11" t="n"/>
      <c r="D4130" s="11" t="n"/>
      <c r="E4130" s="11" t="n"/>
      <c r="F4130" s="11" t="n"/>
    </row>
    <row r="4131">
      <c r="A4131" s="12" t="inlineStr">
        <is>
          <t>Rate basis: per metre  (source: cost for 5.81 metre)</t>
        </is>
      </c>
    </row>
    <row r="4132">
      <c r="A4132" s="5" t="inlineStr">
        <is>
          <t>Code</t>
        </is>
      </c>
      <c r="B4132" s="5" t="inlineStr">
        <is>
          <t>Description</t>
        </is>
      </c>
      <c r="C4132" s="5" t="inlineStr">
        <is>
          <t>Unit</t>
        </is>
      </c>
      <c r="D4132" s="5" t="inlineStr">
        <is>
          <t>Quantity</t>
        </is>
      </c>
      <c r="E4132" s="5" t="inlineStr">
        <is>
          <t>Rate (Rs.)</t>
        </is>
      </c>
      <c r="F4132" s="5" t="inlineStr">
        <is>
          <t>Amount (Rs.)</t>
        </is>
      </c>
    </row>
    <row r="4133">
      <c r="A4133" s="13" t="inlineStr">
        <is>
          <t>8017</t>
        </is>
      </c>
      <c r="B4133" s="14" t="inlineStr">
        <is>
          <t>Fire Rated door Frame made with 1.6 mm thick G.I. Sheet (120 minutes)</t>
        </is>
      </c>
      <c r="C4133" s="13" t="inlineStr">
        <is>
          <t>metre</t>
        </is>
      </c>
      <c r="D4133" s="15" t="n">
        <v>5.81</v>
      </c>
      <c r="E4133" s="16" t="n">
        <v>1000</v>
      </c>
      <c r="F4133" s="16">
        <f>D4133*E4133</f>
        <v/>
      </c>
    </row>
    <row r="4134">
      <c r="A4134" s="13" t="inlineStr">
        <is>
          <t>9999</t>
        </is>
      </c>
      <c r="B4134" s="14" t="inlineStr">
        <is>
          <t>For fixing in position all complete</t>
        </is>
      </c>
      <c r="C4134" s="13" t="inlineStr">
        <is>
          <t>L.S.</t>
        </is>
      </c>
      <c r="D4134" s="15" t="n">
        <v>130</v>
      </c>
      <c r="E4134" s="16" t="n">
        <v>2</v>
      </c>
      <c r="F4134" s="16">
        <f>D4134*E4134</f>
        <v/>
      </c>
    </row>
    <row r="4135">
      <c r="A4135" s="13" t="inlineStr">
        <is>
          <t>9999</t>
        </is>
      </c>
      <c r="B4135" s="14" t="inlineStr">
        <is>
          <t>Sundries and carriage ( Fasteners, sims, Hole Plugs etc)</t>
        </is>
      </c>
      <c r="C4135" s="13" t="inlineStr">
        <is>
          <t>L.S.</t>
        </is>
      </c>
      <c r="D4135" s="15" t="n">
        <v>250</v>
      </c>
      <c r="E4135" s="16" t="n">
        <v>2</v>
      </c>
      <c r="F4135" s="16">
        <f>D4135*E4135</f>
        <v/>
      </c>
    </row>
    <row r="4136">
      <c r="A4136" s="17" t="inlineStr">
        <is>
          <t>Resource Total (Material + Labour + Machinery, as printed)</t>
        </is>
      </c>
      <c r="B4136" s="18" t="n"/>
      <c r="C4136" s="18" t="n"/>
      <c r="D4136" s="18" t="n"/>
      <c r="E4136" s="18" t="n"/>
      <c r="F4136" s="19">
        <f>SUM(F4133:F4135)</f>
        <v/>
      </c>
    </row>
    <row r="4137">
      <c r="A4137" s="20" t="inlineStr">
        <is>
          <t>SAY (Rs.) — final DAR rate</t>
        </is>
      </c>
      <c r="B4137" s="21" t="n"/>
      <c r="C4137" s="21" t="n"/>
      <c r="D4137" s="21" t="n"/>
      <c r="E4137" s="21" t="n"/>
      <c r="F4137" s="22" t="n">
        <v>1512.95</v>
      </c>
    </row>
    <row r="4139" ht="28" customHeight="1">
      <c r="A4139" s="9" t="inlineStr">
        <is>
          <t>9.162</t>
        </is>
      </c>
      <c r="B4139" s="10" t="inlineStr">
        <is>
          <t>Providing and fixing 60 mm thick glazed fire resistant door shutters of 120 min Fire Rating confirming to IS:3614 (Part II) or EN1634-1:1999</t>
        </is>
      </c>
      <c r="C4139" s="11" t="n"/>
      <c r="D4139" s="11" t="n"/>
      <c r="E4139" s="11" t="n"/>
      <c r="F4139" s="11" t="n"/>
    </row>
    <row r="4140">
      <c r="A4140" s="12" t="inlineStr">
        <is>
          <t>Rate basis: per sqm  (source: cost for 3.5 sqm)</t>
        </is>
      </c>
    </row>
    <row r="4141">
      <c r="A4141" s="5" t="inlineStr">
        <is>
          <t>Code</t>
        </is>
      </c>
      <c r="B4141" s="5" t="inlineStr">
        <is>
          <t>Description</t>
        </is>
      </c>
      <c r="C4141" s="5" t="inlineStr">
        <is>
          <t>Unit</t>
        </is>
      </c>
      <c r="D4141" s="5" t="inlineStr">
        <is>
          <t>Quantity</t>
        </is>
      </c>
      <c r="E4141" s="5" t="inlineStr">
        <is>
          <t>Rate (Rs.)</t>
        </is>
      </c>
      <c r="F4141" s="5" t="inlineStr">
        <is>
          <t>Amount (Rs.)</t>
        </is>
      </c>
    </row>
    <row r="4142">
      <c r="A4142" s="13" t="inlineStr">
        <is>
          <t>8018</t>
        </is>
      </c>
      <c r="B4142" s="14" t="inlineStr">
        <is>
          <t>Fire Rated door shutter made with 1.6 mm thick Sheet (120 minutes), including hinges but without glass panels but including wastages</t>
        </is>
      </c>
      <c r="C4142" s="13" t="inlineStr">
        <is>
          <t>sqm</t>
        </is>
      </c>
      <c r="D4142" s="15" t="n">
        <v>3.5</v>
      </c>
      <c r="E4142" s="16" t="n">
        <v>5000</v>
      </c>
      <c r="F4142" s="16">
        <f>D4142*E4142</f>
        <v/>
      </c>
    </row>
    <row r="4143">
      <c r="A4143" s="13" t="inlineStr">
        <is>
          <t>8101</t>
        </is>
      </c>
      <c r="B4143" s="14" t="inlineStr">
        <is>
          <t>Stainless steel ball bearing hinges of size 100x89x3mm</t>
        </is>
      </c>
      <c r="C4143" s="13" t="inlineStr">
        <is>
          <t>each</t>
        </is>
      </c>
      <c r="D4143" s="15" t="n">
        <v>8</v>
      </c>
      <c r="E4143" s="16" t="n">
        <v>450</v>
      </c>
      <c r="F4143" s="16">
        <f>D4143*E4143</f>
        <v/>
      </c>
    </row>
    <row r="4144">
      <c r="A4144" s="13" t="inlineStr">
        <is>
          <t>9999</t>
        </is>
      </c>
      <c r="B4144" s="14" t="inlineStr">
        <is>
          <t>For fixing in position all complete</t>
        </is>
      </c>
      <c r="C4144" s="13" t="inlineStr">
        <is>
          <t>L.S.</t>
        </is>
      </c>
      <c r="D4144" s="15" t="n">
        <v>130</v>
      </c>
      <c r="E4144" s="16" t="n">
        <v>2</v>
      </c>
      <c r="F4144" s="16">
        <f>D4144*E4144</f>
        <v/>
      </c>
    </row>
    <row r="4145">
      <c r="A4145" s="13" t="inlineStr">
        <is>
          <t>9999</t>
        </is>
      </c>
      <c r="B4145" s="14" t="inlineStr">
        <is>
          <t>Sundries and carriage</t>
        </is>
      </c>
      <c r="C4145" s="13" t="inlineStr">
        <is>
          <t>L.S.</t>
        </is>
      </c>
      <c r="D4145" s="15" t="n">
        <v>280</v>
      </c>
      <c r="E4145" s="16" t="n">
        <v>2</v>
      </c>
      <c r="F4145" s="16">
        <f>D4145*E4145</f>
        <v/>
      </c>
    </row>
    <row r="4146">
      <c r="A4146" s="17" t="inlineStr">
        <is>
          <t>Resource Total (Material + Labour + Machinery, as printed)</t>
        </is>
      </c>
      <c r="B4146" s="18" t="n"/>
      <c r="C4146" s="18" t="n"/>
      <c r="D4146" s="18" t="n"/>
      <c r="E4146" s="18" t="n"/>
      <c r="F4146" s="19">
        <f>SUM(F4142:F4145)</f>
        <v/>
      </c>
    </row>
    <row r="4147">
      <c r="A4147" s="20" t="inlineStr">
        <is>
          <t>SAY (Rs.) — final DAR rate</t>
        </is>
      </c>
      <c r="B4147" s="21" t="n"/>
      <c r="C4147" s="21" t="n"/>
      <c r="D4147" s="21" t="n"/>
      <c r="E4147" s="21" t="n"/>
      <c r="F4147" s="22" t="n">
        <v>8379.299999999999</v>
      </c>
    </row>
    <row r="4149" ht="28" customHeight="1">
      <c r="A4149" s="9" t="inlineStr">
        <is>
          <t>9.163</t>
        </is>
      </c>
      <c r="B4149" s="10" t="inlineStr">
        <is>
          <t xml:space="preserve">Providing and fixing non load bearing fixed frame for fire resistant glazed Partition for 120 minutes Fire Rating, made out to a profile of </t>
        </is>
      </c>
      <c r="C4149" s="11" t="n"/>
      <c r="D4149" s="11" t="n"/>
      <c r="E4149" s="11" t="n"/>
      <c r="F4149" s="11" t="n"/>
    </row>
    <row r="4150">
      <c r="A4150" s="12" t="inlineStr">
        <is>
          <t>Rate basis: per metre  (source: cost for 5.81 metre)</t>
        </is>
      </c>
    </row>
    <row r="4151">
      <c r="A4151" s="5" t="inlineStr">
        <is>
          <t>Code</t>
        </is>
      </c>
      <c r="B4151" s="5" t="inlineStr">
        <is>
          <t>Description</t>
        </is>
      </c>
      <c r="C4151" s="5" t="inlineStr">
        <is>
          <t>Unit</t>
        </is>
      </c>
      <c r="D4151" s="5" t="inlineStr">
        <is>
          <t>Quantity</t>
        </is>
      </c>
      <c r="E4151" s="5" t="inlineStr">
        <is>
          <t>Rate (Rs.)</t>
        </is>
      </c>
      <c r="F4151" s="5" t="inlineStr">
        <is>
          <t>Amount (Rs.)</t>
        </is>
      </c>
    </row>
    <row r="4152">
      <c r="A4152" s="13" t="inlineStr">
        <is>
          <t>8017</t>
        </is>
      </c>
      <c r="B4152" s="14" t="inlineStr">
        <is>
          <t>Fire Rated door Frame made with 1.6 mm thick G.I. Sheet (120 minutes)</t>
        </is>
      </c>
      <c r="C4152" s="13" t="inlineStr">
        <is>
          <t>metre</t>
        </is>
      </c>
      <c r="D4152" s="15" t="n">
        <v>5.81</v>
      </c>
      <c r="E4152" s="16" t="n">
        <v>1000</v>
      </c>
      <c r="F4152" s="16">
        <f>D4152*E4152</f>
        <v/>
      </c>
    </row>
    <row r="4153">
      <c r="A4153" s="13" t="inlineStr">
        <is>
          <t>9999</t>
        </is>
      </c>
      <c r="B4153" s="14" t="inlineStr">
        <is>
          <t>For fixing in position all complete</t>
        </is>
      </c>
      <c r="C4153" s="13" t="inlineStr">
        <is>
          <t>L.S.</t>
        </is>
      </c>
      <c r="D4153" s="15" t="n">
        <v>130</v>
      </c>
      <c r="E4153" s="16" t="n">
        <v>2</v>
      </c>
      <c r="F4153" s="16">
        <f>D4153*E4153</f>
        <v/>
      </c>
    </row>
    <row r="4154">
      <c r="A4154" s="13" t="inlineStr">
        <is>
          <t>9999</t>
        </is>
      </c>
      <c r="B4154" s="14" t="inlineStr">
        <is>
          <t>Sundries and carriage ( Fasteners, sims, Hole Plugs etc)</t>
        </is>
      </c>
      <c r="C4154" s="13" t="inlineStr">
        <is>
          <t>L.S.</t>
        </is>
      </c>
      <c r="D4154" s="15" t="n">
        <v>250</v>
      </c>
      <c r="E4154" s="16" t="n">
        <v>2</v>
      </c>
      <c r="F4154" s="16">
        <f>D4154*E4154</f>
        <v/>
      </c>
    </row>
    <row r="4155">
      <c r="A4155" s="17" t="inlineStr">
        <is>
          <t>Resource Total (Material + Labour + Machinery, as printed)</t>
        </is>
      </c>
      <c r="B4155" s="18" t="n"/>
      <c r="C4155" s="18" t="n"/>
      <c r="D4155" s="18" t="n"/>
      <c r="E4155" s="18" t="n"/>
      <c r="F4155" s="19">
        <f>SUM(F4152:F4154)</f>
        <v/>
      </c>
    </row>
    <row r="4156">
      <c r="A4156" s="20" t="inlineStr">
        <is>
          <t>SAY (Rs.) — final DAR rate</t>
        </is>
      </c>
      <c r="B4156" s="21" t="n"/>
      <c r="C4156" s="21" t="n"/>
      <c r="D4156" s="21" t="n"/>
      <c r="E4156" s="21" t="n"/>
      <c r="F4156" s="22" t="n">
        <v>1512.95</v>
      </c>
    </row>
    <row r="4158" ht="28" customHeight="1">
      <c r="A4158" s="9" t="inlineStr">
        <is>
          <t>9.164</t>
        </is>
      </c>
      <c r="B4158" s="10" t="inlineStr">
        <is>
          <t>Providing and fixing glazing in fire resistant door shutters, fixed panels &amp; partitions etc., with G.I. beading made out of 1.6 mm thick G.I</t>
        </is>
      </c>
      <c r="C4158" s="11" t="n"/>
      <c r="D4158" s="11" t="n"/>
      <c r="E4158" s="11" t="n"/>
      <c r="F4158" s="11" t="n"/>
    </row>
    <row r="4159">
      <c r="A4159" s="12" t="inlineStr">
        <is>
          <t>Rate basis: per sqm  (source: cost for 2.46 sqm)</t>
        </is>
      </c>
    </row>
    <row r="4160">
      <c r="A4160" s="5" t="inlineStr">
        <is>
          <t>Code</t>
        </is>
      </c>
      <c r="B4160" s="5" t="inlineStr">
        <is>
          <t>Description</t>
        </is>
      </c>
      <c r="C4160" s="5" t="inlineStr">
        <is>
          <t>Unit</t>
        </is>
      </c>
      <c r="D4160" s="5" t="inlineStr">
        <is>
          <t>Quantity</t>
        </is>
      </c>
      <c r="E4160" s="5" t="inlineStr">
        <is>
          <t>Rate (Rs.)</t>
        </is>
      </c>
      <c r="F4160" s="5" t="inlineStr">
        <is>
          <t>Amount (Rs.)</t>
        </is>
      </c>
    </row>
    <row r="4161">
      <c r="A4161" s="13" t="inlineStr">
        <is>
          <t>2640</t>
        </is>
      </c>
      <c r="B4161" s="14" t="inlineStr">
        <is>
          <t>Glass panes of required thickness having 120 minutes of fire resistance both integrity and radiation control (EW 120) and minimum 20 minutes of Insulation (EI 20)</t>
        </is>
      </c>
      <c r="C4161" s="13" t="inlineStr">
        <is>
          <t>sqm</t>
        </is>
      </c>
      <c r="D4161" s="15" t="n">
        <v>2.46</v>
      </c>
      <c r="E4161" s="16" t="n">
        <v>25000</v>
      </c>
      <c r="F4161" s="16">
        <f>D4161*E4161</f>
        <v/>
      </c>
    </row>
    <row r="4162">
      <c r="A4162" s="13" t="inlineStr">
        <is>
          <t>2641</t>
        </is>
      </c>
      <c r="B4162" s="14" t="inlineStr">
        <is>
          <t>G.I. U beading of 1.6 mm thick G.I. Sheet with M4x38mm SS screws</t>
        </is>
      </c>
      <c r="C4162" s="13" t="inlineStr">
        <is>
          <t>metre</t>
        </is>
      </c>
      <c r="D4162" s="15" t="n">
        <v>9.91</v>
      </c>
      <c r="E4162" s="16" t="n">
        <v>245</v>
      </c>
      <c r="F4162" s="16">
        <f>D4162*E4162</f>
        <v/>
      </c>
    </row>
    <row r="4163">
      <c r="A4163" s="13" t="inlineStr">
        <is>
          <t>2642</t>
        </is>
      </c>
      <c r="B4163" s="14" t="inlineStr">
        <is>
          <t>Ceramic tape 5x20 mm size</t>
        </is>
      </c>
      <c r="C4163" s="13" t="inlineStr">
        <is>
          <t>metre</t>
        </is>
      </c>
      <c r="D4163" s="15" t="n">
        <v>19.82</v>
      </c>
      <c r="E4163" s="16" t="n">
        <v>410</v>
      </c>
      <c r="F4163" s="16">
        <f>D4163*E4163</f>
        <v/>
      </c>
    </row>
    <row r="4164">
      <c r="A4164" s="13" t="inlineStr">
        <is>
          <t>9999</t>
        </is>
      </c>
      <c r="B4164" s="14" t="inlineStr">
        <is>
          <t>For fixing in position all complete</t>
        </is>
      </c>
      <c r="C4164" s="13" t="inlineStr">
        <is>
          <t>L.S.</t>
        </is>
      </c>
      <c r="D4164" s="15" t="n">
        <v>180</v>
      </c>
      <c r="E4164" s="16" t="n">
        <v>2</v>
      </c>
      <c r="F4164" s="16">
        <f>D4164*E4164</f>
        <v/>
      </c>
    </row>
    <row r="4165">
      <c r="A4165" s="13" t="inlineStr">
        <is>
          <t>9999</t>
        </is>
      </c>
      <c r="B4165" s="14" t="inlineStr">
        <is>
          <t>Sundries and carriage &amp; Calcium Silicate Blocks</t>
        </is>
      </c>
      <c r="C4165" s="13" t="inlineStr">
        <is>
          <t>L.S.</t>
        </is>
      </c>
      <c r="D4165" s="15" t="n">
        <v>10</v>
      </c>
      <c r="E4165" s="16" t="n">
        <v>2</v>
      </c>
      <c r="F4165" s="16">
        <f>D4165*E4165</f>
        <v/>
      </c>
    </row>
    <row r="4166">
      <c r="A4166" s="17" t="inlineStr">
        <is>
          <t>Resource Total (Material + Labour + Machinery, as printed)</t>
        </is>
      </c>
      <c r="B4166" s="18" t="n"/>
      <c r="C4166" s="18" t="n"/>
      <c r="D4166" s="18" t="n"/>
      <c r="E4166" s="18" t="n"/>
      <c r="F4166" s="19">
        <f>SUM(F4161:F4165)</f>
        <v/>
      </c>
    </row>
    <row r="4167">
      <c r="A4167" s="20" t="inlineStr">
        <is>
          <t>SAY (Rs.) — final DAR rate</t>
        </is>
      </c>
      <c r="B4167" s="21" t="n"/>
      <c r="C4167" s="21" t="n"/>
      <c r="D4167" s="21" t="n"/>
      <c r="E4167" s="21" t="n"/>
      <c r="F4167" s="22" t="n">
        <v>39395.3</v>
      </c>
    </row>
    <row r="4169" ht="18" customHeight="1">
      <c r="A4169" s="9" t="inlineStr">
        <is>
          <t>9.165.1</t>
        </is>
      </c>
      <c r="B4169" s="10" t="inlineStr">
        <is>
          <t>125 mm</t>
        </is>
      </c>
      <c r="C4169" s="11" t="n"/>
      <c r="D4169" s="11" t="n"/>
      <c r="E4169" s="11" t="n"/>
      <c r="F4169" s="11" t="n"/>
    </row>
    <row r="4170">
      <c r="A4170" s="12" t="inlineStr">
        <is>
          <t>Rate basis: per nos  (source: cost for 1 nos)</t>
        </is>
      </c>
    </row>
    <row r="4171">
      <c r="A4171" s="5" t="inlineStr">
        <is>
          <t>Code</t>
        </is>
      </c>
      <c r="B4171" s="5" t="inlineStr">
        <is>
          <t>Description</t>
        </is>
      </c>
      <c r="C4171" s="5" t="inlineStr">
        <is>
          <t>Unit</t>
        </is>
      </c>
      <c r="D4171" s="5" t="inlineStr">
        <is>
          <t>Quantity</t>
        </is>
      </c>
      <c r="E4171" s="5" t="inlineStr">
        <is>
          <t>Rate (Rs.)</t>
        </is>
      </c>
      <c r="F4171" s="5" t="inlineStr">
        <is>
          <t>Amount (Rs.)</t>
        </is>
      </c>
    </row>
    <row r="4172">
      <c r="A4172" s="13" t="inlineStr">
        <is>
          <t>0554</t>
        </is>
      </c>
      <c r="B4172" s="14" t="inlineStr">
        <is>
          <t>Stainless steel fancy handles (125mm) for kitchen cabinet</t>
        </is>
      </c>
      <c r="C4172" s="13" t="inlineStr">
        <is>
          <t>10 Nos</t>
        </is>
      </c>
      <c r="D4172" s="15" t="n">
        <v>1</v>
      </c>
      <c r="E4172" s="16" t="n">
        <v>640</v>
      </c>
      <c r="F4172" s="16">
        <f>D4172*E4172</f>
        <v/>
      </c>
    </row>
    <row r="4173">
      <c r="A4173" s="13" t="inlineStr">
        <is>
          <t>0111</t>
        </is>
      </c>
      <c r="B4173" s="14" t="inlineStr">
        <is>
          <t>Carpenter 1st class</t>
        </is>
      </c>
      <c r="C4173" s="13" t="inlineStr">
        <is>
          <t>day</t>
        </is>
      </c>
      <c r="D4173" s="15" t="n">
        <v>0.06</v>
      </c>
      <c r="E4173" s="16" t="n">
        <v>738</v>
      </c>
      <c r="F4173" s="16">
        <f>D4173*E4173</f>
        <v/>
      </c>
    </row>
    <row r="4174">
      <c r="A4174" s="17" t="inlineStr">
        <is>
          <t>Resource Total (Material + Labour + Machinery, as printed)</t>
        </is>
      </c>
      <c r="B4174" s="18" t="n"/>
      <c r="C4174" s="18" t="n"/>
      <c r="D4174" s="18" t="n"/>
      <c r="E4174" s="18" t="n"/>
      <c r="F4174" s="19">
        <f>SUM(F4172:F4173)</f>
        <v/>
      </c>
    </row>
    <row r="4175">
      <c r="A4175" s="20" t="inlineStr">
        <is>
          <t>SAY (Rs.) — final DAR rate</t>
        </is>
      </c>
      <c r="B4175" s="21" t="n"/>
      <c r="C4175" s="21" t="n"/>
      <c r="D4175" s="21" t="n"/>
      <c r="E4175" s="21" t="n"/>
      <c r="F4175" s="22" t="n">
        <v>98.75</v>
      </c>
    </row>
    <row r="4177" ht="18" customHeight="1">
      <c r="A4177" s="9" t="inlineStr">
        <is>
          <t>9.165.2</t>
        </is>
      </c>
      <c r="B4177" s="10" t="inlineStr">
        <is>
          <t>100mm</t>
        </is>
      </c>
      <c r="C4177" s="11" t="n"/>
      <c r="D4177" s="11" t="n"/>
      <c r="E4177" s="11" t="n"/>
      <c r="F4177" s="11" t="n"/>
    </row>
    <row r="4178">
      <c r="A4178" s="12" t="inlineStr">
        <is>
          <t>Rate basis: per nos  (source: cost for 1 nos)</t>
        </is>
      </c>
    </row>
    <row r="4179">
      <c r="A4179" s="5" t="inlineStr">
        <is>
          <t>Code</t>
        </is>
      </c>
      <c r="B4179" s="5" t="inlineStr">
        <is>
          <t>Description</t>
        </is>
      </c>
      <c r="C4179" s="5" t="inlineStr">
        <is>
          <t>Unit</t>
        </is>
      </c>
      <c r="D4179" s="5" t="inlineStr">
        <is>
          <t>Quantity</t>
        </is>
      </c>
      <c r="E4179" s="5" t="inlineStr">
        <is>
          <t>Rate (Rs.)</t>
        </is>
      </c>
      <c r="F4179" s="5" t="inlineStr">
        <is>
          <t>Amount (Rs.)</t>
        </is>
      </c>
    </row>
    <row r="4180">
      <c r="A4180" s="13" t="inlineStr">
        <is>
          <t>0553</t>
        </is>
      </c>
      <c r="B4180" s="14" t="inlineStr">
        <is>
          <t>Stainless steel fancy handles (100 mm) for kitchen cabinet</t>
        </is>
      </c>
      <c r="C4180" s="13" t="inlineStr">
        <is>
          <t>10 Nos</t>
        </is>
      </c>
      <c r="D4180" s="15" t="n">
        <v>1</v>
      </c>
      <c r="E4180" s="16" t="n">
        <v>455</v>
      </c>
      <c r="F4180" s="16">
        <f>D4180*E4180</f>
        <v/>
      </c>
    </row>
    <row r="4181">
      <c r="A4181" s="13" t="inlineStr">
        <is>
          <t>0111</t>
        </is>
      </c>
      <c r="B4181" s="14" t="inlineStr">
        <is>
          <t>Carpenter 1st class</t>
        </is>
      </c>
      <c r="C4181" s="13" t="inlineStr">
        <is>
          <t>day</t>
        </is>
      </c>
      <c r="D4181" s="15" t="n">
        <v>0.06</v>
      </c>
      <c r="E4181" s="16" t="n">
        <v>738</v>
      </c>
      <c r="F4181" s="16">
        <f>D4181*E4181</f>
        <v/>
      </c>
    </row>
    <row r="4182">
      <c r="A4182" s="17" t="inlineStr">
        <is>
          <t>Resource Total (Material + Labour + Machinery, as printed)</t>
        </is>
      </c>
      <c r="B4182" s="18" t="n"/>
      <c r="C4182" s="18" t="n"/>
      <c r="D4182" s="18" t="n"/>
      <c r="E4182" s="18" t="n"/>
      <c r="F4182" s="19">
        <f>SUM(F4180:F4181)</f>
        <v/>
      </c>
    </row>
    <row r="4183">
      <c r="A4183" s="20" t="inlineStr">
        <is>
          <t>SAY (Rs.) — final DAR rate</t>
        </is>
      </c>
      <c r="B4183" s="21" t="n"/>
      <c r="C4183" s="21" t="n"/>
      <c r="D4183" s="21" t="n"/>
      <c r="E4183" s="21" t="n"/>
      <c r="F4183" s="22" t="n">
        <v>74</v>
      </c>
    </row>
    <row r="4185" ht="18" customHeight="1">
      <c r="A4185" s="9" t="inlineStr">
        <is>
          <t>9.165.3</t>
        </is>
      </c>
      <c r="B4185" s="10" t="inlineStr">
        <is>
          <t>75 mm</t>
        </is>
      </c>
      <c r="C4185" s="11" t="n"/>
      <c r="D4185" s="11" t="n"/>
      <c r="E4185" s="11" t="n"/>
      <c r="F4185" s="11" t="n"/>
    </row>
    <row r="4186">
      <c r="A4186" s="12" t="inlineStr">
        <is>
          <t>Rate basis: per nos  (source: cost for 1 nos)</t>
        </is>
      </c>
    </row>
    <row r="4187">
      <c r="A4187" s="5" t="inlineStr">
        <is>
          <t>Code</t>
        </is>
      </c>
      <c r="B4187" s="5" t="inlineStr">
        <is>
          <t>Description</t>
        </is>
      </c>
      <c r="C4187" s="5" t="inlineStr">
        <is>
          <t>Unit</t>
        </is>
      </c>
      <c r="D4187" s="5" t="inlineStr">
        <is>
          <t>Quantity</t>
        </is>
      </c>
      <c r="E4187" s="5" t="inlineStr">
        <is>
          <t>Rate (Rs.)</t>
        </is>
      </c>
      <c r="F4187" s="5" t="inlineStr">
        <is>
          <t>Amount (Rs.)</t>
        </is>
      </c>
    </row>
    <row r="4188">
      <c r="A4188" s="13" t="inlineStr">
        <is>
          <t>0552</t>
        </is>
      </c>
      <c r="B4188" s="14" t="inlineStr">
        <is>
          <t>Stainless steel fancy handles (75mm) for kitchen cabinet</t>
        </is>
      </c>
      <c r="C4188" s="13" t="inlineStr">
        <is>
          <t>10 Nos</t>
        </is>
      </c>
      <c r="D4188" s="15" t="n">
        <v>1</v>
      </c>
      <c r="E4188" s="16" t="n">
        <v>255</v>
      </c>
      <c r="F4188" s="16">
        <f>D4188*E4188</f>
        <v/>
      </c>
    </row>
    <row r="4189">
      <c r="A4189" s="13" t="inlineStr">
        <is>
          <t>0111</t>
        </is>
      </c>
      <c r="B4189" s="14" t="inlineStr">
        <is>
          <t>Carpenter 1st class</t>
        </is>
      </c>
      <c r="C4189" s="13" t="inlineStr">
        <is>
          <t>day</t>
        </is>
      </c>
      <c r="D4189" s="15" t="n">
        <v>0.06</v>
      </c>
      <c r="E4189" s="16" t="n">
        <v>738</v>
      </c>
      <c r="F4189" s="16">
        <f>D4189*E4189</f>
        <v/>
      </c>
    </row>
    <row r="4190">
      <c r="A4190" s="17" t="inlineStr">
        <is>
          <t>Resource Total (Material + Labour + Machinery, as printed)</t>
        </is>
      </c>
      <c r="B4190" s="18" t="n"/>
      <c r="C4190" s="18" t="n"/>
      <c r="D4190" s="18" t="n"/>
      <c r="E4190" s="18" t="n"/>
      <c r="F4190" s="19">
        <f>SUM(F4188:F4189)</f>
        <v/>
      </c>
    </row>
    <row r="4191">
      <c r="A4191" s="20" t="inlineStr">
        <is>
          <t>SAY (Rs.) — final DAR rate</t>
        </is>
      </c>
      <c r="B4191" s="21" t="n"/>
      <c r="C4191" s="21" t="n"/>
      <c r="D4191" s="21" t="n"/>
      <c r="E4191" s="21" t="n"/>
      <c r="F4191" s="22" t="n">
        <v>47.2</v>
      </c>
    </row>
  </sheetData>
  <mergeCells count="1422">
    <mergeCell ref="A2400:E2400"/>
    <mergeCell ref="A1920:F1920"/>
    <mergeCell ref="A3890:F3890"/>
    <mergeCell ref="A3006:F3006"/>
    <mergeCell ref="B2492:F2492"/>
    <mergeCell ref="A2245:F2245"/>
    <mergeCell ref="B2790:F2790"/>
    <mergeCell ref="A1670:E1670"/>
    <mergeCell ref="B253:F253"/>
    <mergeCell ref="A2731:E2731"/>
    <mergeCell ref="B2950:F2950"/>
    <mergeCell ref="A2128:E2128"/>
    <mergeCell ref="A1367:E1367"/>
    <mergeCell ref="A274:F274"/>
    <mergeCell ref="B1768:F1768"/>
    <mergeCell ref="A2855:E2855"/>
    <mergeCell ref="A1238:E1238"/>
    <mergeCell ref="A3332:F3332"/>
    <mergeCell ref="A1545:F1545"/>
    <mergeCell ref="B3152:F3152"/>
    <mergeCell ref="A3814:E3814"/>
    <mergeCell ref="B3477:F3477"/>
    <mergeCell ref="A325:E325"/>
    <mergeCell ref="A1378:E1378"/>
    <mergeCell ref="B3566:F3566"/>
    <mergeCell ref="B3933:F3933"/>
    <mergeCell ref="B1779:F1779"/>
    <mergeCell ref="A1843:E1843"/>
    <mergeCell ref="A1088:E1088"/>
    <mergeCell ref="B3777:F3777"/>
    <mergeCell ref="A2779:E2779"/>
    <mergeCell ref="B293:F293"/>
    <mergeCell ref="A2439:E2439"/>
    <mergeCell ref="A625:E625"/>
    <mergeCell ref="A3166:E3166"/>
    <mergeCell ref="A2747:F2747"/>
    <mergeCell ref="A356:E356"/>
    <mergeCell ref="A3070:F3070"/>
    <mergeCell ref="A506:F506"/>
    <mergeCell ref="B1051:F1051"/>
    <mergeCell ref="B317:F317"/>
    <mergeCell ref="A2317:F2317"/>
    <mergeCell ref="A2797:E2797"/>
    <mergeCell ref="B3953:F3953"/>
    <mergeCell ref="B1380:F1380"/>
    <mergeCell ref="A40:E40"/>
    <mergeCell ref="B2893:F2893"/>
    <mergeCell ref="B1834:F1834"/>
    <mergeCell ref="A3980:E3980"/>
    <mergeCell ref="A2500:E2500"/>
    <mergeCell ref="A3859:F3859"/>
    <mergeCell ref="A2800:F2800"/>
    <mergeCell ref="A1101:E1101"/>
    <mergeCell ref="A1399:E1399"/>
    <mergeCell ref="A340:E340"/>
    <mergeCell ref="A2669:E2669"/>
    <mergeCell ref="A1610:E1610"/>
    <mergeCell ref="A4159:F4159"/>
    <mergeCell ref="B3645:F3645"/>
    <mergeCell ref="A2372:F2372"/>
    <mergeCell ref="B1736:F1736"/>
    <mergeCell ref="A2643:F2643"/>
    <mergeCell ref="A973:F973"/>
    <mergeCell ref="A2216:F2216"/>
    <mergeCell ref="A4186:F4186"/>
    <mergeCell ref="B670:F670"/>
    <mergeCell ref="A2068:E2068"/>
    <mergeCell ref="A2510:E2510"/>
    <mergeCell ref="B461:F461"/>
    <mergeCell ref="B243:F243"/>
    <mergeCell ref="B795:F795"/>
    <mergeCell ref="A2213:E2213"/>
    <mergeCell ref="A1758:F1758"/>
    <mergeCell ref="A3149:E3149"/>
    <mergeCell ref="A1:F1"/>
    <mergeCell ref="A1025:E1025"/>
    <mergeCell ref="A570:F570"/>
    <mergeCell ref="A1323:E1323"/>
    <mergeCell ref="A1454:E1454"/>
    <mergeCell ref="A3485:E3485"/>
    <mergeCell ref="A3995:E3995"/>
    <mergeCell ref="B1146:F1146"/>
    <mergeCell ref="A1173:F1173"/>
    <mergeCell ref="B4018:F4018"/>
    <mergeCell ref="A2443:F2443"/>
    <mergeCell ref="A3625:E3625"/>
    <mergeCell ref="A3170:F3170"/>
    <mergeCell ref="A2864:E2864"/>
    <mergeCell ref="A2900:E2900"/>
    <mergeCell ref="A2139:E2139"/>
    <mergeCell ref="A1684:F1684"/>
    <mergeCell ref="A3919:E3919"/>
    <mergeCell ref="A284:F284"/>
    <mergeCell ref="B2827:F2827"/>
    <mergeCell ref="B104:F104"/>
    <mergeCell ref="A1193:E1193"/>
    <mergeCell ref="B2101:F2101"/>
    <mergeCell ref="B1042:F1042"/>
    <mergeCell ref="A11:E11"/>
    <mergeCell ref="B615:F615"/>
    <mergeCell ref="A1403:F1403"/>
    <mergeCell ref="A3646:F3646"/>
    <mergeCell ref="A2877:E2877"/>
    <mergeCell ref="A792:E792"/>
    <mergeCell ref="A1274:F1274"/>
    <mergeCell ref="A671:F671"/>
    <mergeCell ref="A1853:E1853"/>
    <mergeCell ref="B491:F491"/>
    <mergeCell ref="A179:E179"/>
    <mergeCell ref="B3005:F3005"/>
    <mergeCell ref="B2402:F2402"/>
    <mergeCell ref="A2176:E2176"/>
    <mergeCell ref="A91:E91"/>
    <mergeCell ref="A660:E660"/>
    <mergeCell ref="A696:E696"/>
    <mergeCell ref="A1425:F1425"/>
    <mergeCell ref="A1581:E1581"/>
    <mergeCell ref="B2274:F2274"/>
    <mergeCell ref="A699:F699"/>
    <mergeCell ref="A2204:E2204"/>
    <mergeCell ref="A4027:E4027"/>
    <mergeCell ref="A3564:E3564"/>
    <mergeCell ref="B1544:F1544"/>
    <mergeCell ref="A4170:F4170"/>
    <mergeCell ref="A2020:E2020"/>
    <mergeCell ref="A2383:F2383"/>
    <mergeCell ref="A409:E409"/>
    <mergeCell ref="A531:E531"/>
    <mergeCell ref="A3567:F3567"/>
    <mergeCell ref="B3533:F3533"/>
    <mergeCell ref="B171:F171"/>
    <mergeCell ref="A1810:E1810"/>
    <mergeCell ref="A2108:E2108"/>
    <mergeCell ref="A1049:E1049"/>
    <mergeCell ref="B2327:F2327"/>
    <mergeCell ref="A3596:E3596"/>
    <mergeCell ref="A1469:F1469"/>
    <mergeCell ref="A2835:E2835"/>
    <mergeCell ref="A2232:E2232"/>
    <mergeCell ref="A921:F921"/>
    <mergeCell ref="A1769:F1769"/>
    <mergeCell ref="A3293:E3293"/>
    <mergeCell ref="A2838:F2838"/>
    <mergeCell ref="B4130:F4130"/>
    <mergeCell ref="A1487:E1487"/>
    <mergeCell ref="A3497:F3497"/>
    <mergeCell ref="A1821:E1821"/>
    <mergeCell ref="A1524:F1524"/>
    <mergeCell ref="A2548:E2548"/>
    <mergeCell ref="A2252:E2252"/>
    <mergeCell ref="B2071:F2071"/>
    <mergeCell ref="A1824:F1824"/>
    <mergeCell ref="A2122:F2122"/>
    <mergeCell ref="A1061:E1061"/>
    <mergeCell ref="A1947:E1947"/>
    <mergeCell ref="A344:F344"/>
    <mergeCell ref="A2858:F2858"/>
    <mergeCell ref="B2371:F2371"/>
    <mergeCell ref="A3944:F3944"/>
    <mergeCell ref="B2994:F2994"/>
    <mergeCell ref="A2935:E2935"/>
    <mergeCell ref="B1184:F1184"/>
    <mergeCell ref="A3662:E3662"/>
    <mergeCell ref="A939:E939"/>
    <mergeCell ref="A1965:E1965"/>
    <mergeCell ref="A3207:F3207"/>
    <mergeCell ref="A2901:E2901"/>
    <mergeCell ref="A1114:E1114"/>
    <mergeCell ref="B3296:F3296"/>
    <mergeCell ref="A2938:F2938"/>
    <mergeCell ref="A3507:F3507"/>
    <mergeCell ref="A478:E478"/>
    <mergeCell ref="B813:F813"/>
    <mergeCell ref="A23:F23"/>
    <mergeCell ref="B902:F902"/>
    <mergeCell ref="A995:F995"/>
    <mergeCell ref="A2483:F2483"/>
    <mergeCell ref="B2724:F2724"/>
    <mergeCell ref="B1413:F1413"/>
    <mergeCell ref="A231:E231"/>
    <mergeCell ref="A827:E827"/>
    <mergeCell ref="A2772:E2772"/>
    <mergeCell ref="A2493:F2493"/>
    <mergeCell ref="A102:E102"/>
    <mergeCell ref="A706:F706"/>
    <mergeCell ref="A1292:E1292"/>
    <mergeCell ref="A3377:E3377"/>
    <mergeCell ref="A4015:E4015"/>
    <mergeCell ref="A1590:E1590"/>
    <mergeCell ref="A2951:F2951"/>
    <mergeCell ref="A2346:E2346"/>
    <mergeCell ref="B223:F223"/>
    <mergeCell ref="B2316:F2316"/>
    <mergeCell ref="A426:E426"/>
    <mergeCell ref="B4007:F4007"/>
    <mergeCell ref="A2552:F2552"/>
    <mergeCell ref="A2221:E2221"/>
    <mergeCell ref="A136:E136"/>
    <mergeCell ref="A2335:E2335"/>
    <mergeCell ref="A4026:E4026"/>
    <mergeCell ref="A1916:E1916"/>
    <mergeCell ref="A4062:E4062"/>
    <mergeCell ref="A3736:E3736"/>
    <mergeCell ref="A3002:E3002"/>
    <mergeCell ref="B213:F213"/>
    <mergeCell ref="A4063:E4063"/>
    <mergeCell ref="B1424:F1424"/>
    <mergeCell ref="B663:F663"/>
    <mergeCell ref="A270:E270"/>
    <mergeCell ref="B3123:F3123"/>
    <mergeCell ref="B2756:F2756"/>
    <mergeCell ref="B4149:F4149"/>
    <mergeCell ref="B3430:F3430"/>
    <mergeCell ref="A3756:E3756"/>
    <mergeCell ref="A2303:E2303"/>
    <mergeCell ref="A1542:E1542"/>
    <mergeCell ref="A3449:E3449"/>
    <mergeCell ref="B994:F994"/>
    <mergeCell ref="A2732:E2732"/>
    <mergeCell ref="A482:F482"/>
    <mergeCell ref="A1535:F1535"/>
    <mergeCell ref="A2725:F2725"/>
    <mergeCell ref="A1078:F1078"/>
    <mergeCell ref="A1956:E1956"/>
    <mergeCell ref="A1835:F1835"/>
    <mergeCell ref="B3107:F3107"/>
    <mergeCell ref="A200:E200"/>
    <mergeCell ref="A3475:E3475"/>
    <mergeCell ref="A3534:F3534"/>
    <mergeCell ref="B2382:F2382"/>
    <mergeCell ref="B3136:F3136"/>
    <mergeCell ref="A3775:E3775"/>
    <mergeCell ref="A1690:E1690"/>
    <mergeCell ref="B2294:F2294"/>
    <mergeCell ref="A2743:E2743"/>
    <mergeCell ref="A1867:F1867"/>
    <mergeCell ref="A502:E502"/>
    <mergeCell ref="A1700:E1700"/>
    <mergeCell ref="A1889:F1889"/>
    <mergeCell ref="A3399:E3399"/>
    <mergeCell ref="B1035:F1035"/>
    <mergeCell ref="B3496:F3496"/>
    <mergeCell ref="B3039:F3039"/>
    <mergeCell ref="A2158:E2158"/>
    <mergeCell ref="A2972:E2972"/>
    <mergeCell ref="A940:E940"/>
    <mergeCell ref="A2369:E2369"/>
    <mergeCell ref="A3699:E3699"/>
    <mergeCell ref="A880:E880"/>
    <mergeCell ref="A3402:F3402"/>
    <mergeCell ref="A2458:E2458"/>
    <mergeCell ref="A4155:E4155"/>
    <mergeCell ref="A969:E969"/>
    <mergeCell ref="A2975:F2975"/>
    <mergeCell ref="A2212:E2212"/>
    <mergeCell ref="A3702:F3702"/>
    <mergeCell ref="A2670:E2670"/>
    <mergeCell ref="A241:E241"/>
    <mergeCell ref="A2207:F2207"/>
    <mergeCell ref="A234:F234"/>
    <mergeCell ref="A566:E566"/>
    <mergeCell ref="A2815:E2815"/>
    <mergeCell ref="A864:E864"/>
    <mergeCell ref="A2694:F2694"/>
    <mergeCell ref="A1295:F1295"/>
    <mergeCell ref="B3421:F3421"/>
    <mergeCell ref="B2022:F2022"/>
    <mergeCell ref="B2051:F2051"/>
    <mergeCell ref="A1200:E1200"/>
    <mergeCell ref="A2390:E2390"/>
    <mergeCell ref="A903:F903"/>
    <mergeCell ref="A1927:E1927"/>
    <mergeCell ref="B1746:F1746"/>
    <mergeCell ref="A3440:E3440"/>
    <mergeCell ref="B558:F558"/>
    <mergeCell ref="A2235:F2235"/>
    <mergeCell ref="A1930:F1930"/>
    <mergeCell ref="A1040:E1040"/>
    <mergeCell ref="B2782:F2782"/>
    <mergeCell ref="A928:E928"/>
    <mergeCell ref="A1680:E1680"/>
    <mergeCell ref="A281:E281"/>
    <mergeCell ref="A2530:E2530"/>
    <mergeCell ref="A4099:E4099"/>
    <mergeCell ref="A1043:F1043"/>
    <mergeCell ref="A2403:F2403"/>
    <mergeCell ref="A616:F616"/>
    <mergeCell ref="A2620:F2620"/>
    <mergeCell ref="A2673:F2673"/>
    <mergeCell ref="A1104:F1104"/>
    <mergeCell ref="A4100:E4100"/>
    <mergeCell ref="A161:F161"/>
    <mergeCell ref="B2704:F2704"/>
    <mergeCell ref="A1366:E1366"/>
    <mergeCell ref="A613:E613"/>
    <mergeCell ref="A492:F492"/>
    <mergeCell ref="B3889:F3889"/>
    <mergeCell ref="A2005:F2005"/>
    <mergeCell ref="A2149:E2149"/>
    <mergeCell ref="A2754:E2754"/>
    <mergeCell ref="A3052:E3052"/>
    <mergeCell ref="A214:F214"/>
    <mergeCell ref="B759:F759"/>
    <mergeCell ref="B1391:F1391"/>
    <mergeCell ref="A1117:F1117"/>
    <mergeCell ref="A3998:F3998"/>
    <mergeCell ref="A2757:F2757"/>
    <mergeCell ref="A2480:E2480"/>
    <mergeCell ref="B1359:F1359"/>
    <mergeCell ref="B1693:F1693"/>
    <mergeCell ref="A2780:E2780"/>
    <mergeCell ref="A695:E695"/>
    <mergeCell ref="A3105:E3105"/>
    <mergeCell ref="A1712:E1712"/>
    <mergeCell ref="B3506:F3506"/>
    <mergeCell ref="B1077:F1077"/>
    <mergeCell ref="A1197:F1197"/>
    <mergeCell ref="A4166:E4166"/>
    <mergeCell ref="B343:F343"/>
    <mergeCell ref="A2379:E2379"/>
    <mergeCell ref="A3563:E3563"/>
    <mergeCell ref="B1446:F1446"/>
    <mergeCell ref="A1715:F1715"/>
    <mergeCell ref="A2985:F2985"/>
    <mergeCell ref="A250:E250"/>
    <mergeCell ref="A2195:E2195"/>
    <mergeCell ref="A3167:E3167"/>
    <mergeCell ref="B2807:F2807"/>
    <mergeCell ref="A3579:E3579"/>
    <mergeCell ref="A3133:E3133"/>
    <mergeCell ref="A410:E410"/>
    <mergeCell ref="A1644:F1644"/>
    <mergeCell ref="A2828:F2828"/>
    <mergeCell ref="A1033:E1033"/>
    <mergeCell ref="A1008:E1008"/>
    <mergeCell ref="A2705:F2705"/>
    <mergeCell ref="B677:F677"/>
    <mergeCell ref="A2102:F2102"/>
    <mergeCell ref="A455:F455"/>
    <mergeCell ref="A884:F884"/>
    <mergeCell ref="B3550:F3550"/>
    <mergeCell ref="B1757:F1757"/>
    <mergeCell ref="A637:E637"/>
    <mergeCell ref="B2642:F2642"/>
    <mergeCell ref="A1820:E1820"/>
    <mergeCell ref="A2389:E2389"/>
    <mergeCell ref="B2215:F2215"/>
    <mergeCell ref="A640:F640"/>
    <mergeCell ref="A2854:E2854"/>
    <mergeCell ref="A604:F604"/>
    <mergeCell ref="A3940:E3940"/>
    <mergeCell ref="A2420:E2420"/>
    <mergeCell ref="A4117:F4117"/>
    <mergeCell ref="B2197:F2197"/>
    <mergeCell ref="B3169:F3169"/>
    <mergeCell ref="B3598:F3598"/>
    <mergeCell ref="A2138:E2138"/>
    <mergeCell ref="A324:E324"/>
    <mergeCell ref="A1237:E1237"/>
    <mergeCell ref="A2865:E2865"/>
    <mergeCell ref="A774:E774"/>
    <mergeCell ref="A19:E19"/>
    <mergeCell ref="A3837:E3837"/>
    <mergeCell ref="B1959:F1959"/>
    <mergeCell ref="A991:E991"/>
    <mergeCell ref="A3951:E3951"/>
    <mergeCell ref="A3961:E3961"/>
    <mergeCell ref="A4137:E4137"/>
    <mergeCell ref="A3840:F3840"/>
    <mergeCell ref="A1284:F1284"/>
    <mergeCell ref="A4140:F4140"/>
    <mergeCell ref="A2489:E2489"/>
    <mergeCell ref="A702:E702"/>
    <mergeCell ref="A1584:F1584"/>
    <mergeCell ref="A1465:E1465"/>
    <mergeCell ref="A2042:F2042"/>
    <mergeCell ref="B2131:F2131"/>
    <mergeCell ref="A2947:E2947"/>
    <mergeCell ref="B2915:F2915"/>
    <mergeCell ref="A1737:F1737"/>
    <mergeCell ref="A793:E793"/>
    <mergeCell ref="A2186:E2186"/>
    <mergeCell ref="A1012:F1012"/>
    <mergeCell ref="A1765:E1765"/>
    <mergeCell ref="A3981:E3981"/>
    <mergeCell ref="A2194:E2194"/>
    <mergeCell ref="B1130:F1130"/>
    <mergeCell ref="A63:E63"/>
    <mergeCell ref="B160:F160"/>
    <mergeCell ref="A3547:E3547"/>
    <mergeCell ref="A1906:E1906"/>
    <mergeCell ref="A723:F723"/>
    <mergeCell ref="A846:E846"/>
    <mergeCell ref="A1144:E1144"/>
    <mergeCell ref="A3909:E3909"/>
    <mergeCell ref="A1907:E1907"/>
    <mergeCell ref="A3150:E3150"/>
    <mergeCell ref="A2118:E2118"/>
    <mergeCell ref="A3448:E3448"/>
    <mergeCell ref="A719:E719"/>
    <mergeCell ref="A2513:F2513"/>
    <mergeCell ref="A2845:E2845"/>
    <mergeCell ref="B2542:F2542"/>
    <mergeCell ref="B83:F83"/>
    <mergeCell ref="A147:E147"/>
    <mergeCell ref="A451:E451"/>
    <mergeCell ref="A1477:E1477"/>
    <mergeCell ref="A445:E445"/>
    <mergeCell ref="B2081:F2081"/>
    <mergeCell ref="A1531:E1531"/>
    <mergeCell ref="A4051:E4051"/>
    <mergeCell ref="A1831:E1831"/>
    <mergeCell ref="A2129:E2129"/>
    <mergeCell ref="A4074:E4074"/>
    <mergeCell ref="A2594:E2594"/>
    <mergeCell ref="A3530:E3530"/>
    <mergeCell ref="A2735:F2735"/>
    <mergeCell ref="B741:F741"/>
    <mergeCell ref="B13:F13"/>
    <mergeCell ref="A158:E158"/>
    <mergeCell ref="B2984:F2984"/>
    <mergeCell ref="A489:E489"/>
    <mergeCell ref="A34:F34"/>
    <mergeCell ref="A3950:E3950"/>
    <mergeCell ref="A2891:E2891"/>
    <mergeCell ref="A3040:F3040"/>
    <mergeCell ref="A72:E72"/>
    <mergeCell ref="A1842:E1842"/>
    <mergeCell ref="A1091:F1091"/>
    <mergeCell ref="A678:F678"/>
    <mergeCell ref="A30:E30"/>
    <mergeCell ref="B3798:F3798"/>
    <mergeCell ref="B454:F454"/>
    <mergeCell ref="A3551:F3551"/>
    <mergeCell ref="A2490:E2490"/>
    <mergeCell ref="A1875:E1875"/>
    <mergeCell ref="B149:F149"/>
    <mergeCell ref="B1855:F1855"/>
    <mergeCell ref="B2392:F2392"/>
    <mergeCell ref="A517:E517"/>
    <mergeCell ref="B3206:F3206"/>
    <mergeCell ref="B3758:F3758"/>
    <mergeCell ref="B1673:F1673"/>
    <mergeCell ref="A3390:E3390"/>
    <mergeCell ref="A2971:E2971"/>
    <mergeCell ref="A1572:E1572"/>
    <mergeCell ref="B182:F182"/>
    <mergeCell ref="A3393:F3393"/>
    <mergeCell ref="A4146:E4146"/>
    <mergeCell ref="A2203:E2203"/>
    <mergeCell ref="A2503:F2503"/>
    <mergeCell ref="A2082:F2082"/>
    <mergeCell ref="B1866:F1866"/>
    <mergeCell ref="A230:E230"/>
    <mergeCell ref="A739:E739"/>
    <mergeCell ref="B2927:F2927"/>
    <mergeCell ref="A1291:E1291"/>
    <mergeCell ref="A530:E530"/>
    <mergeCell ref="A75:F75"/>
    <mergeCell ref="A3718:E3718"/>
    <mergeCell ref="A4016:E4016"/>
    <mergeCell ref="A1039:E1039"/>
    <mergeCell ref="A1591:E1591"/>
    <mergeCell ref="A3419:E3419"/>
    <mergeCell ref="A3717:E3717"/>
    <mergeCell ref="B3683:F3683"/>
    <mergeCell ref="A2992:E2992"/>
    <mergeCell ref="A2231:E2231"/>
    <mergeCell ref="A2529:E2529"/>
    <mergeCell ref="A444:E444"/>
    <mergeCell ref="B3410:F3410"/>
    <mergeCell ref="A1926:E1926"/>
    <mergeCell ref="B1283:F1283"/>
    <mergeCell ref="A3923:F3923"/>
    <mergeCell ref="A881:E881"/>
    <mergeCell ref="B3069:F3069"/>
    <mergeCell ref="A462:F462"/>
    <mergeCell ref="B4041:F4041"/>
    <mergeCell ref="A760:F760"/>
    <mergeCell ref="A1950:F1950"/>
    <mergeCell ref="A2282:E2282"/>
    <mergeCell ref="A612:E612"/>
    <mergeCell ref="B94:F94"/>
    <mergeCell ref="A1181:E1181"/>
    <mergeCell ref="A2616:E2616"/>
    <mergeCell ref="A2275:F2275"/>
    <mergeCell ref="A3003:E3003"/>
    <mergeCell ref="A2242:E2242"/>
    <mergeCell ref="A157:E157"/>
    <mergeCell ref="A3643:E3643"/>
    <mergeCell ref="A2575:F2575"/>
    <mergeCell ref="A3328:E3328"/>
    <mergeCell ref="A3941:E3941"/>
    <mergeCell ref="A2:F2"/>
    <mergeCell ref="B2693:F2693"/>
    <mergeCell ref="A3514:E3514"/>
    <mergeCell ref="B3464:F3464"/>
    <mergeCell ref="A3934:F3934"/>
    <mergeCell ref="B1633:F1633"/>
    <mergeCell ref="A1541:E1541"/>
    <mergeCell ref="B883:F883"/>
    <mergeCell ref="A1357:E1357"/>
    <mergeCell ref="B4177:F4177"/>
    <mergeCell ref="B3878:F3878"/>
    <mergeCell ref="A692:F692"/>
    <mergeCell ref="B3451:F3451"/>
    <mergeCell ref="A2180:F2180"/>
    <mergeCell ref="A1874:E1874"/>
    <mergeCell ref="A1113:E1113"/>
    <mergeCell ref="A81:E81"/>
    <mergeCell ref="A1411:E1411"/>
    <mergeCell ref="A2324:E2324"/>
    <mergeCell ref="A2753:E2753"/>
    <mergeCell ref="A1571:E1571"/>
    <mergeCell ref="B2452:F2452"/>
    <mergeCell ref="B1653:F1653"/>
    <mergeCell ref="B1995:F1995"/>
    <mergeCell ref="A3964:F3964"/>
    <mergeCell ref="A105:F105"/>
    <mergeCell ref="B202:F202"/>
    <mergeCell ref="A2313:E2313"/>
    <mergeCell ref="B1534:F1534"/>
    <mergeCell ref="A221:E221"/>
    <mergeCell ref="A826:E826"/>
    <mergeCell ref="A2771:E2771"/>
    <mergeCell ref="A2010:E2010"/>
    <mergeCell ref="A2314:E2314"/>
    <mergeCell ref="A3796:E3796"/>
    <mergeCell ref="A1711:E1711"/>
    <mergeCell ref="A2011:E2011"/>
    <mergeCell ref="B1919:F1919"/>
    <mergeCell ref="A3427:E3427"/>
    <mergeCell ref="A555:E555"/>
    <mergeCell ref="A2701:E2701"/>
    <mergeCell ref="A4183:E4183"/>
    <mergeCell ref="A3428:E3428"/>
    <mergeCell ref="A3580:E3580"/>
    <mergeCell ref="B2061:F2061"/>
    <mergeCell ref="A1661:E1661"/>
    <mergeCell ref="B2817:F2817"/>
    <mergeCell ref="B1337:F1337"/>
    <mergeCell ref="B3720:F3720"/>
    <mergeCell ref="A2722:E2722"/>
    <mergeCell ref="A4113:E4113"/>
    <mergeCell ref="A472:F472"/>
    <mergeCell ref="A3443:F3443"/>
    <mergeCell ref="A1356:E1356"/>
    <mergeCell ref="A2715:F2715"/>
    <mergeCell ref="A3022:E3022"/>
    <mergeCell ref="A168:E168"/>
    <mergeCell ref="A1987:F1987"/>
    <mergeCell ref="A1681:E1681"/>
    <mergeCell ref="B2837:F2837"/>
    <mergeCell ref="B1479:F1479"/>
    <mergeCell ref="A44:F44"/>
    <mergeCell ref="A949:E949"/>
    <mergeCell ref="A1263:F1263"/>
    <mergeCell ref="A4136:E4136"/>
    <mergeCell ref="A4128:E4128"/>
    <mergeCell ref="B305:F305"/>
    <mergeCell ref="B2004:F2004"/>
    <mergeCell ref="B3188:F3188"/>
    <mergeCell ref="A1611:E1611"/>
    <mergeCell ref="A4131:F4131"/>
    <mergeCell ref="A668:E668"/>
    <mergeCell ref="A2788:E2788"/>
    <mergeCell ref="A1185:F1185"/>
    <mergeCell ref="A2069:E2069"/>
    <mergeCell ref="A1614:F1614"/>
    <mergeCell ref="A2796:E2796"/>
    <mergeCell ref="A4156:E4156"/>
    <mergeCell ref="A4030:F4030"/>
    <mergeCell ref="A1324:E1324"/>
    <mergeCell ref="A1029:F1029"/>
    <mergeCell ref="A1327:F1327"/>
    <mergeCell ref="A260:E260"/>
    <mergeCell ref="A2509:E2509"/>
    <mergeCell ref="A1993:E1993"/>
    <mergeCell ref="A139:F139"/>
    <mergeCell ref="B684:F684"/>
    <mergeCell ref="B982:F982"/>
    <mergeCell ref="A2380:E2380"/>
    <mergeCell ref="B263:F263"/>
    <mergeCell ref="A2834:E2834"/>
    <mergeCell ref="A1777:E1777"/>
    <mergeCell ref="A2048:E2048"/>
    <mergeCell ref="B2472:F2472"/>
    <mergeCell ref="A1466:E1466"/>
    <mergeCell ref="B3260:F3260"/>
    <mergeCell ref="A2948:E2948"/>
    <mergeCell ref="A3920:E3920"/>
    <mergeCell ref="A742:F742"/>
    <mergeCell ref="A1766:E1766"/>
    <mergeCell ref="A1032:E1032"/>
    <mergeCell ref="A3799:F3799"/>
    <mergeCell ref="A3493:E3493"/>
    <mergeCell ref="A2222:E2222"/>
    <mergeCell ref="B3858:F3858"/>
    <mergeCell ref="A3036:E3036"/>
    <mergeCell ref="A1249:E1249"/>
    <mergeCell ref="A1978:F1978"/>
    <mergeCell ref="A2014:F2014"/>
    <mergeCell ref="A2285:F2285"/>
    <mergeCell ref="B2857:F2857"/>
    <mergeCell ref="A796:F796"/>
    <mergeCell ref="A3494:E3494"/>
    <mergeCell ref="B705:F705"/>
    <mergeCell ref="B698:F698"/>
    <mergeCell ref="B1801:F1801"/>
    <mergeCell ref="A1996:F1996"/>
    <mergeCell ref="A1087:E1087"/>
    <mergeCell ref="A2881:F2881"/>
    <mergeCell ref="A2148:E2148"/>
    <mergeCell ref="A1691:E1691"/>
    <mergeCell ref="B627:F627"/>
    <mergeCell ref="B1512:F1512"/>
    <mergeCell ref="A661:E661"/>
    <mergeCell ref="A392:E392"/>
    <mergeCell ref="B3973:F3973"/>
    <mergeCell ref="B2574:F2574"/>
    <mergeCell ref="A3517:F3517"/>
    <mergeCell ref="B1216:F1216"/>
    <mergeCell ref="B3083:F3083"/>
    <mergeCell ref="B1812:F1812"/>
    <mergeCell ref="A685:F685"/>
    <mergeCell ref="A992:E992"/>
    <mergeCell ref="A1421:E1421"/>
    <mergeCell ref="A2078:E2078"/>
    <mergeCell ref="B471:F471"/>
    <mergeCell ref="A224:F224"/>
    <mergeCell ref="B2714:F2714"/>
    <mergeCell ref="A1414:F1414"/>
    <mergeCell ref="A2805:E2805"/>
    <mergeCell ref="B2170:F2170"/>
    <mergeCell ref="A71:E71"/>
    <mergeCell ref="A3411:F3411"/>
    <mergeCell ref="B2041:F2041"/>
    <mergeCell ref="A1036:F1036"/>
    <mergeCell ref="A4005:E4005"/>
    <mergeCell ref="A1432:E1432"/>
    <mergeCell ref="A581:F581"/>
    <mergeCell ref="B2799:F2799"/>
    <mergeCell ref="A3886:E3886"/>
    <mergeCell ref="A4008:F4008"/>
    <mergeCell ref="A1338:F1338"/>
    <mergeCell ref="A306:F306"/>
    <mergeCell ref="A2520:E2520"/>
    <mergeCell ref="A3879:F3879"/>
    <mergeCell ref="A3124:F3124"/>
    <mergeCell ref="A2092:F2092"/>
    <mergeCell ref="B3582:F3582"/>
    <mergeCell ref="B3997:F3997"/>
    <mergeCell ref="A4090:F4090"/>
    <mergeCell ref="A2088:E2088"/>
    <mergeCell ref="B3701:F3701"/>
    <mergeCell ref="B1159:F1159"/>
    <mergeCell ref="B1457:F1457"/>
    <mergeCell ref="A1370:F1370"/>
    <mergeCell ref="A303:E303"/>
    <mergeCell ref="B3911:F3911"/>
    <mergeCell ref="A601:E601"/>
    <mergeCell ref="A2571:E2571"/>
    <mergeCell ref="A2844:E2844"/>
    <mergeCell ref="A2119:E2119"/>
    <mergeCell ref="A1664:F1664"/>
    <mergeCell ref="A3930:E3930"/>
    <mergeCell ref="B126:F126"/>
    <mergeCell ref="A900:E900"/>
    <mergeCell ref="A1532:E1532"/>
    <mergeCell ref="A929:E929"/>
    <mergeCell ref="B4053:F4053"/>
    <mergeCell ref="A2470:E2470"/>
    <mergeCell ref="A3836:E3836"/>
    <mergeCell ref="A2261:E2261"/>
    <mergeCell ref="A3531:E3531"/>
    <mergeCell ref="A1744:E1744"/>
    <mergeCell ref="A3960:E3960"/>
    <mergeCell ref="A2473:F2473"/>
    <mergeCell ref="B3054:F3054"/>
    <mergeCell ref="A2052:F2052"/>
    <mergeCell ref="A2350:F2350"/>
    <mergeCell ref="A1128:E1128"/>
    <mergeCell ref="B1986:F1986"/>
    <mergeCell ref="B2284:F2284"/>
    <mergeCell ref="B1523:F1523"/>
    <mergeCell ref="A1436:F1436"/>
    <mergeCell ref="A1885:E1885"/>
    <mergeCell ref="A2639:E2639"/>
    <mergeCell ref="B1823:F1823"/>
    <mergeCell ref="A1131:F1131"/>
    <mergeCell ref="A703:E703"/>
    <mergeCell ref="A3698:E3698"/>
    <mergeCell ref="A3971:E3971"/>
    <mergeCell ref="A1886:E1886"/>
    <mergeCell ref="B1251:F1251"/>
    <mergeCell ref="B519:F519"/>
    <mergeCell ref="A545:E545"/>
    <mergeCell ref="A2325:E2325"/>
    <mergeCell ref="A240:E240"/>
    <mergeCell ref="A1360:F1360"/>
    <mergeCell ref="A2848:F2848"/>
    <mergeCell ref="A845:E845"/>
    <mergeCell ref="A3595:E3595"/>
    <mergeCell ref="A1510:E1510"/>
    <mergeCell ref="A1143:E1143"/>
    <mergeCell ref="A111:E111"/>
    <mergeCell ref="B2937:F2937"/>
    <mergeCell ref="A548:F548"/>
    <mergeCell ref="B1725:F1725"/>
    <mergeCell ref="A3755:E3755"/>
    <mergeCell ref="A2423:F2423"/>
    <mergeCell ref="B2234:F2234"/>
    <mergeCell ref="A1480:F1480"/>
    <mergeCell ref="A1169:E1169"/>
    <mergeCell ref="B2963:F2963"/>
    <mergeCell ref="A4086:E4086"/>
    <mergeCell ref="A318:F318"/>
    <mergeCell ref="A1957:E1957"/>
    <mergeCell ref="A3737:E3737"/>
    <mergeCell ref="A1225:E1225"/>
    <mergeCell ref="A1960:F1960"/>
    <mergeCell ref="A2924:E2924"/>
    <mergeCell ref="A3774:E3774"/>
    <mergeCell ref="A3013:E3013"/>
    <mergeCell ref="A1983:E1983"/>
    <mergeCell ref="B1949:F1949"/>
    <mergeCell ref="B1623:F1623"/>
    <mergeCell ref="B591:F591"/>
    <mergeCell ref="B3350:F3350"/>
    <mergeCell ref="B1196:F1196"/>
    <mergeCell ref="B4077:F4077"/>
    <mergeCell ref="A488:E488"/>
    <mergeCell ref="A3642:E3642"/>
    <mergeCell ref="A1551:E1551"/>
    <mergeCell ref="B3739:F3739"/>
    <mergeCell ref="A2189:F2189"/>
    <mergeCell ref="A1671:E1671"/>
    <mergeCell ref="A667:E667"/>
    <mergeCell ref="A3066:E3066"/>
    <mergeCell ref="B1977:F1977"/>
    <mergeCell ref="A3243:F3243"/>
    <mergeCell ref="B2091:F2091"/>
    <mergeCell ref="A4127:E4127"/>
    <mergeCell ref="B1845:F1845"/>
    <mergeCell ref="A1270:E1270"/>
    <mergeCell ref="A211:E211"/>
    <mergeCell ref="A54:F54"/>
    <mergeCell ref="A1147:F1147"/>
    <mergeCell ref="A413:F413"/>
    <mergeCell ref="A3261:F3261"/>
    <mergeCell ref="A1447:F1447"/>
    <mergeCell ref="A567:E567"/>
    <mergeCell ref="B962:F962"/>
    <mergeCell ref="A1170:E1170"/>
    <mergeCell ref="A1747:F1747"/>
    <mergeCell ref="B505:F505"/>
    <mergeCell ref="A2964:F2964"/>
    <mergeCell ref="A1897:E1897"/>
    <mergeCell ref="B1262:F1262"/>
    <mergeCell ref="A3408:E3408"/>
    <mergeCell ref="B2619:F2619"/>
    <mergeCell ref="A2981:E2981"/>
    <mergeCell ref="A441:F441"/>
    <mergeCell ref="A135:E135"/>
    <mergeCell ref="A1204:F1204"/>
    <mergeCell ref="A1160:F1160"/>
    <mergeCell ref="A1502:F1502"/>
    <mergeCell ref="A1458:F1458"/>
    <mergeCell ref="A2982:E2982"/>
    <mergeCell ref="A1802:F1802"/>
    <mergeCell ref="B2349:F2349"/>
    <mergeCell ref="B2672:F2672"/>
    <mergeCell ref="A3615:F3615"/>
    <mergeCell ref="A1641:E1641"/>
    <mergeCell ref="A2368:E2368"/>
    <mergeCell ref="B547:F547"/>
    <mergeCell ref="A2281:E2281"/>
    <mergeCell ref="A2099:E2099"/>
    <mergeCell ref="B2974:F2974"/>
    <mergeCell ref="A2913:E2913"/>
    <mergeCell ref="A577:E577"/>
    <mergeCell ref="A1217:F1217"/>
    <mergeCell ref="A2399:E2399"/>
    <mergeCell ref="A3037:E3037"/>
    <mergeCell ref="A1969:F1969"/>
    <mergeCell ref="A4054:F4054"/>
    <mergeCell ref="A2916:F2916"/>
    <mergeCell ref="A1846:F1846"/>
    <mergeCell ref="A1992:E1992"/>
    <mergeCell ref="A84:F84"/>
    <mergeCell ref="A2292:E2292"/>
    <mergeCell ref="A2450:E2450"/>
    <mergeCell ref="A2171:F2171"/>
    <mergeCell ref="A4114:E4114"/>
    <mergeCell ref="B1663:F1663"/>
    <mergeCell ref="A2295:F2295"/>
    <mergeCell ref="B931:F931"/>
    <mergeCell ref="A3513:E3513"/>
    <mergeCell ref="A3381:F3381"/>
    <mergeCell ref="A681:E681"/>
    <mergeCell ref="A2049:E2049"/>
    <mergeCell ref="B2746:F2746"/>
    <mergeCell ref="A4167:E4167"/>
    <mergeCell ref="A2890:E2890"/>
    <mergeCell ref="A1917:E1917"/>
    <mergeCell ref="A220:E220"/>
    <mergeCell ref="A1410:E1410"/>
    <mergeCell ref="A3583:F3583"/>
    <mergeCell ref="A2680:E2680"/>
    <mergeCell ref="A1621:E1621"/>
    <mergeCell ref="A2225:F2225"/>
    <mergeCell ref="A1281:E1281"/>
    <mergeCell ref="A3407:E3407"/>
    <mergeCell ref="A2763:E2763"/>
    <mergeCell ref="B43:F43"/>
    <mergeCell ref="B639:F639"/>
    <mergeCell ref="A254:F254"/>
    <mergeCell ref="B2161:F2161"/>
    <mergeCell ref="B1402:F1402"/>
    <mergeCell ref="A1009:E1009"/>
    <mergeCell ref="B2461:F2461"/>
    <mergeCell ref="B972:F972"/>
    <mergeCell ref="A4004:E4004"/>
    <mergeCell ref="A127:F127"/>
    <mergeCell ref="A3121:E3121"/>
    <mergeCell ref="A1334:E1334"/>
    <mergeCell ref="B3401:F3401"/>
    <mergeCell ref="A3120:E3120"/>
    <mergeCell ref="A3875:E3875"/>
    <mergeCell ref="A2543:F2543"/>
    <mergeCell ref="A4182:E4182"/>
    <mergeCell ref="B359:F359"/>
    <mergeCell ref="A1940:F1940"/>
    <mergeCell ref="A2824:E2824"/>
    <mergeCell ref="A3422:F3422"/>
    <mergeCell ref="A4175:E4175"/>
    <mergeCell ref="A1513:F1513"/>
    <mergeCell ref="A2519:E2519"/>
    <mergeCell ref="A1062:E1062"/>
    <mergeCell ref="B273:F273"/>
    <mergeCell ref="B2482:F2482"/>
    <mergeCell ref="A2079:E2079"/>
    <mergeCell ref="A2744:E2744"/>
    <mergeCell ref="A1660:E1660"/>
    <mergeCell ref="A1345:E1345"/>
    <mergeCell ref="A899:E899"/>
    <mergeCell ref="A1241:F1241"/>
    <mergeCell ref="A2721:E2721"/>
    <mergeCell ref="A636:E636"/>
    <mergeCell ref="A1048:E1048"/>
    <mergeCell ref="B1929:F1929"/>
    <mergeCell ref="A2597:F2597"/>
    <mergeCell ref="A1654:F1654"/>
    <mergeCell ref="A20:E20"/>
    <mergeCell ref="B1316:F1316"/>
    <mergeCell ref="B1468:F1468"/>
    <mergeCell ref="B1011:F1011"/>
    <mergeCell ref="A1381:F1381"/>
    <mergeCell ref="A1075:E1075"/>
    <mergeCell ref="A314:E314"/>
    <mergeCell ref="B2412:F2412"/>
    <mergeCell ref="A648:E648"/>
    <mergeCell ref="A1252:F1252"/>
    <mergeCell ref="A191:E191"/>
    <mergeCell ref="A3220:E3220"/>
    <mergeCell ref="A51:E51"/>
    <mergeCell ref="A2459:E2459"/>
    <mergeCell ref="A918:E918"/>
    <mergeCell ref="A3186:E3186"/>
    <mergeCell ref="A2469:E2469"/>
    <mergeCell ref="A315:E315"/>
    <mergeCell ref="A649:E649"/>
    <mergeCell ref="A194:F194"/>
    <mergeCell ref="B1369:F1369"/>
    <mergeCell ref="B3314:F3314"/>
    <mergeCell ref="A2339:F2339"/>
    <mergeCell ref="A2306:F2306"/>
    <mergeCell ref="B1064:F1064"/>
    <mergeCell ref="B3614:F3614"/>
    <mergeCell ref="B2880:F2880"/>
    <mergeCell ref="A1303:E1303"/>
    <mergeCell ref="A62:E62"/>
    <mergeCell ref="A544:E544"/>
    <mergeCell ref="A3548:E3548"/>
    <mergeCell ref="A2787:E2787"/>
    <mergeCell ref="A1306:F1306"/>
    <mergeCell ref="A2059:E2059"/>
    <mergeCell ref="B3943:F3943"/>
    <mergeCell ref="A3452:F3452"/>
    <mergeCell ref="B1240:F1240"/>
    <mergeCell ref="A2361:F2361"/>
    <mergeCell ref="A2961:E2961"/>
    <mergeCell ref="A720:E720"/>
    <mergeCell ref="B53:F53"/>
    <mergeCell ref="A2419:E2419"/>
    <mergeCell ref="A3778:F3778"/>
    <mergeCell ref="A1624:F1624"/>
    <mergeCell ref="A2808:F2808"/>
    <mergeCell ref="A1476:E1476"/>
    <mergeCell ref="A4078:F4078"/>
    <mergeCell ref="A1776:E1776"/>
    <mergeCell ref="A3431:F3431"/>
    <mergeCell ref="A1832:E1832"/>
    <mergeCell ref="A3462:E3462"/>
    <mergeCell ref="A1377:E1377"/>
    <mergeCell ref="A2430:E2430"/>
    <mergeCell ref="B1909:F1909"/>
    <mergeCell ref="B2522:F2522"/>
    <mergeCell ref="A3465:F3465"/>
    <mergeCell ref="A1074:E1074"/>
    <mergeCell ref="A2433:F2433"/>
    <mergeCell ref="A953:F953"/>
    <mergeCell ref="B2551:F2551"/>
    <mergeCell ref="B1790:F1790"/>
    <mergeCell ref="B2682:F2682"/>
    <mergeCell ref="A3488:F3488"/>
    <mergeCell ref="A2272:E2272"/>
    <mergeCell ref="B722:F722"/>
    <mergeCell ref="A31:E31"/>
    <mergeCell ref="A2572:E2572"/>
    <mergeCell ref="A963:F963"/>
    <mergeCell ref="A2791:F2791"/>
    <mergeCell ref="A1392:F1392"/>
    <mergeCell ref="A664:F664"/>
    <mergeCell ref="A3239:E3239"/>
    <mergeCell ref="A4150:F4150"/>
    <mergeCell ref="A2453:F2453"/>
    <mergeCell ref="B2264:F2264"/>
    <mergeCell ref="A203:F203"/>
    <mergeCell ref="B3665:F3665"/>
    <mergeCell ref="B1968:F1968"/>
    <mergeCell ref="B3963:F3963"/>
    <mergeCell ref="A2663:F2663"/>
    <mergeCell ref="A2357:E2357"/>
    <mergeCell ref="A689:E689"/>
    <mergeCell ref="A3092:F3092"/>
    <mergeCell ref="A50:E50"/>
    <mergeCell ref="B481:F481"/>
    <mergeCell ref="A3257:E3257"/>
    <mergeCell ref="A3855:E3855"/>
    <mergeCell ref="A1780:F1780"/>
    <mergeCell ref="A3681:E3681"/>
    <mergeCell ref="B1564:F1564"/>
    <mergeCell ref="A264:F264"/>
    <mergeCell ref="A2072:F2072"/>
    <mergeCell ref="A1317:F1317"/>
    <mergeCell ref="B3983:F3983"/>
    <mergeCell ref="A2499:E2499"/>
    <mergeCell ref="B1435:F1435"/>
    <mergeCell ref="B3380:F3380"/>
    <mergeCell ref="A1156:E1156"/>
    <mergeCell ref="A1498:E1498"/>
    <mergeCell ref="B3223:F3223"/>
    <mergeCell ref="B377:F377"/>
    <mergeCell ref="A3278:F3278"/>
    <mergeCell ref="A1491:F1491"/>
    <mergeCell ref="A1798:E1798"/>
    <mergeCell ref="A101:E101"/>
    <mergeCell ref="A1754:E1754"/>
    <mergeCell ref="A1157:E1157"/>
    <mergeCell ref="A1791:F1791"/>
    <mergeCell ref="A2062:F2062"/>
    <mergeCell ref="A2098:E2098"/>
    <mergeCell ref="A3759:F3759"/>
    <mergeCell ref="B2765:F2765"/>
    <mergeCell ref="A2825:E2825"/>
    <mergeCell ref="A1182:E1182"/>
    <mergeCell ref="B2338:F2338"/>
    <mergeCell ref="B1583:F1583"/>
    <mergeCell ref="A2818:F2818"/>
    <mergeCell ref="B2847:F2847"/>
    <mergeCell ref="B395:F395"/>
    <mergeCell ref="A3484:E3484"/>
    <mergeCell ref="A1640:E1640"/>
    <mergeCell ref="A757:E757"/>
    <mergeCell ref="A1213:E1213"/>
    <mergeCell ref="A458:E458"/>
    <mergeCell ref="A452:E452"/>
    <mergeCell ref="A756:E756"/>
    <mergeCell ref="A2912:E2912"/>
    <mergeCell ref="B1305:F1305"/>
    <mergeCell ref="A5:F5"/>
    <mergeCell ref="A2142:F2142"/>
    <mergeCell ref="B1603:F1603"/>
    <mergeCell ref="A468:E468"/>
    <mergeCell ref="A2167:E2167"/>
    <mergeCell ref="A3626:E3626"/>
    <mergeCell ref="A600:E600"/>
    <mergeCell ref="A2291:E2291"/>
    <mergeCell ref="A811:E811"/>
    <mergeCell ref="A777:F777"/>
    <mergeCell ref="A1226:E1226"/>
    <mergeCell ref="A1864:E1864"/>
    <mergeCell ref="A2168:E2168"/>
    <mergeCell ref="A2162:F2162"/>
    <mergeCell ref="A2775:F2775"/>
    <mergeCell ref="A682:E682"/>
    <mergeCell ref="A980:E980"/>
    <mergeCell ref="A2925:E2925"/>
    <mergeCell ref="A1127:E1127"/>
    <mergeCell ref="A393:E393"/>
    <mergeCell ref="A830:F830"/>
    <mergeCell ref="A396:F396"/>
    <mergeCell ref="A3067:E3067"/>
    <mergeCell ref="A3365:E3365"/>
    <mergeCell ref="A1280:E1280"/>
    <mergeCell ref="A4039:E4039"/>
    <mergeCell ref="B2432:F2432"/>
    <mergeCell ref="A2640:E2640"/>
    <mergeCell ref="A1580:E1580"/>
    <mergeCell ref="B3091:F3091"/>
    <mergeCell ref="A123:E123"/>
    <mergeCell ref="B4116:F4116"/>
    <mergeCell ref="B2031:F2031"/>
    <mergeCell ref="A2241:E2241"/>
    <mergeCell ref="A3294:E3294"/>
    <mergeCell ref="A2539:E2539"/>
    <mergeCell ref="A1813:F1813"/>
    <mergeCell ref="A1604:F1604"/>
    <mergeCell ref="A1936:E1936"/>
    <mergeCell ref="A3418:E3418"/>
    <mergeCell ref="B2360:F2360"/>
    <mergeCell ref="A1509:E1509"/>
    <mergeCell ref="A3297:F3297"/>
    <mergeCell ref="A2991:E2991"/>
    <mergeCell ref="B3392:F3392"/>
    <mergeCell ref="B1172:F1172"/>
    <mergeCell ref="A1809:E1809"/>
    <mergeCell ref="A2413:F2413"/>
    <mergeCell ref="A328:F328"/>
    <mergeCell ref="B1899:F1899"/>
    <mergeCell ref="A3901:F3901"/>
    <mergeCell ref="B1294:F1294"/>
    <mergeCell ref="B2662:F2662"/>
    <mergeCell ref="A628:F628"/>
    <mergeCell ref="B114:F114"/>
    <mergeCell ref="A2410:E2410"/>
    <mergeCell ref="A3315:F3315"/>
    <mergeCell ref="A169:E169"/>
    <mergeCell ref="B3016:F3016"/>
    <mergeCell ref="A4042:F4042"/>
    <mergeCell ref="A1065:F1065"/>
    <mergeCell ref="A1651:E1651"/>
    <mergeCell ref="B2502:F2502"/>
    <mergeCell ref="A2255:F2255"/>
    <mergeCell ref="B1103:F1103"/>
    <mergeCell ref="A1194:E1194"/>
    <mergeCell ref="A3348:E3348"/>
    <mergeCell ref="A917:E917"/>
    <mergeCell ref="A1346:E1346"/>
    <mergeCell ref="A14:F14"/>
    <mergeCell ref="A2712:E2712"/>
    <mergeCell ref="A3954:F3954"/>
    <mergeCell ref="A3439:E3439"/>
    <mergeCell ref="A3221:E3221"/>
    <mergeCell ref="A2766:F2766"/>
    <mergeCell ref="A950:E950"/>
    <mergeCell ref="B283:F283"/>
    <mergeCell ref="A1248:E1248"/>
    <mergeCell ref="A1975:E1975"/>
    <mergeCell ref="A1214:E1214"/>
    <mergeCell ref="A3366:E3366"/>
    <mergeCell ref="A180:E180"/>
    <mergeCell ref="A190:E190"/>
    <mergeCell ref="A2336:E2336"/>
    <mergeCell ref="A1856:F1856"/>
    <mergeCell ref="A3369:F3369"/>
    <mergeCell ref="A2302:E2302"/>
    <mergeCell ref="A183:F183"/>
    <mergeCell ref="A3974:F3974"/>
    <mergeCell ref="B3487:F3487"/>
    <mergeCell ref="A2934:E2934"/>
    <mergeCell ref="B2305:F2305"/>
    <mergeCell ref="B2734:F2734"/>
    <mergeCell ref="A1726:F1726"/>
    <mergeCell ref="B2903:F2903"/>
    <mergeCell ref="A2660:E2660"/>
    <mergeCell ref="A3089:E3089"/>
    <mergeCell ref="B603:F603"/>
    <mergeCell ref="A3081:E3081"/>
    <mergeCell ref="A210:E210"/>
    <mergeCell ref="A2960:E2960"/>
    <mergeCell ref="A814:F814"/>
    <mergeCell ref="A1723:E1723"/>
    <mergeCell ref="A3389:E3389"/>
    <mergeCell ref="A534:F534"/>
    <mergeCell ref="A1900:F1900"/>
    <mergeCell ref="A3084:F3084"/>
    <mergeCell ref="A3599:F3599"/>
    <mergeCell ref="B952:F952"/>
    <mergeCell ref="B233:F233"/>
    <mergeCell ref="A261:E261"/>
    <mergeCell ref="B2013:F2013"/>
    <mergeCell ref="B2442:F2442"/>
    <mergeCell ref="A867:F867"/>
    <mergeCell ref="A1620:E1620"/>
    <mergeCell ref="A2804:E2804"/>
    <mergeCell ref="A2347:E2347"/>
    <mergeCell ref="A3740:F3740"/>
    <mergeCell ref="A2683:F2683"/>
    <mergeCell ref="A4190:E4190"/>
    <mergeCell ref="A280:E280"/>
    <mergeCell ref="A4191:E4191"/>
    <mergeCell ref="A4066:F4066"/>
    <mergeCell ref="A1335:E1335"/>
    <mergeCell ref="B1939:F1939"/>
    <mergeCell ref="A2271:E2271"/>
    <mergeCell ref="A3461:E3461"/>
    <mergeCell ref="B1613:F1613"/>
    <mergeCell ref="A2429:E2429"/>
    <mergeCell ref="A3795:E3795"/>
    <mergeCell ref="A4087:E4087"/>
    <mergeCell ref="A146:E146"/>
    <mergeCell ref="A1974:E1974"/>
    <mergeCell ref="A2152:F2152"/>
    <mergeCell ref="A1555:F1555"/>
    <mergeCell ref="A959:E959"/>
    <mergeCell ref="A1694:F1694"/>
    <mergeCell ref="A1388:E1388"/>
    <mergeCell ref="A1984:E1984"/>
    <mergeCell ref="B1028:F1028"/>
    <mergeCell ref="B1326:F1326"/>
    <mergeCell ref="A1565:F1565"/>
    <mergeCell ref="A1259:E1259"/>
    <mergeCell ref="A3204:E3204"/>
    <mergeCell ref="A2449:E2449"/>
    <mergeCell ref="A960:E960"/>
    <mergeCell ref="A3931:E3931"/>
    <mergeCell ref="A199:E199"/>
    <mergeCell ref="A3203:E3203"/>
    <mergeCell ref="A3474:E3474"/>
    <mergeCell ref="A1389:E1389"/>
    <mergeCell ref="B3025:F3025"/>
    <mergeCell ref="A3055:F3055"/>
    <mergeCell ref="A1260:E1260"/>
    <mergeCell ref="A3503:E3503"/>
    <mergeCell ref="B327:F327"/>
    <mergeCell ref="B3900:F3900"/>
    <mergeCell ref="A378:F378"/>
    <mergeCell ref="B22:F22"/>
    <mergeCell ref="A674:E674"/>
    <mergeCell ref="A41:E41"/>
    <mergeCell ref="A375:E375"/>
    <mergeCell ref="A341:E341"/>
    <mergeCell ref="A3108:F3108"/>
    <mergeCell ref="A3398:E3398"/>
    <mergeCell ref="A675:E675"/>
    <mergeCell ref="A1313:E1313"/>
    <mergeCell ref="A3258:E3258"/>
    <mergeCell ref="A3137:F3137"/>
    <mergeCell ref="A983:F983"/>
    <mergeCell ref="A520:F520"/>
    <mergeCell ref="A3856:E3856"/>
    <mergeCell ref="B33:F33"/>
    <mergeCell ref="B2151:F2151"/>
    <mergeCell ref="A3274:E3274"/>
    <mergeCell ref="A1733:E1733"/>
    <mergeCell ref="A1787:E1787"/>
    <mergeCell ref="A2058:E2058"/>
    <mergeCell ref="A1026:E1026"/>
    <mergeCell ref="A271:E271"/>
    <mergeCell ref="A2690:E2690"/>
    <mergeCell ref="A1631:E1631"/>
    <mergeCell ref="A150:F150"/>
    <mergeCell ref="A2393:F2393"/>
    <mergeCell ref="A2358:E2358"/>
    <mergeCell ref="A2814:E2814"/>
    <mergeCell ref="B691:F691"/>
    <mergeCell ref="A2089:E2089"/>
    <mergeCell ref="A1634:F1634"/>
    <mergeCell ref="A302:E302"/>
    <mergeCell ref="B2179:F2179"/>
    <mergeCell ref="A2904:F2904"/>
    <mergeCell ref="B3242:F3242"/>
    <mergeCell ref="A3504:E3504"/>
    <mergeCell ref="A172:F172"/>
    <mergeCell ref="A2440:E2440"/>
    <mergeCell ref="A294:F294"/>
    <mergeCell ref="A592:F592"/>
    <mergeCell ref="A3351:F3351"/>
    <mergeCell ref="B412:F412"/>
    <mergeCell ref="A1499:E1499"/>
    <mergeCell ref="B1348:F1348"/>
    <mergeCell ref="B2111:F2111"/>
    <mergeCell ref="A469:E469"/>
    <mergeCell ref="A773:E773"/>
    <mergeCell ref="A1799:E1799"/>
    <mergeCell ref="B2867:F2867"/>
    <mergeCell ref="A2039:E2039"/>
    <mergeCell ref="A2159:E2159"/>
    <mergeCell ref="A1100:E1100"/>
    <mergeCell ref="A3185:E3185"/>
    <mergeCell ref="A1704:F1704"/>
    <mergeCell ref="B3922:F3922"/>
    <mergeCell ref="A1575:F1575"/>
    <mergeCell ref="B4:F4"/>
    <mergeCell ref="A1400:E1400"/>
    <mergeCell ref="B1090:F1090"/>
    <mergeCell ref="A2462:F2462"/>
    <mergeCell ref="B2422:F2422"/>
    <mergeCell ref="A1302:E1302"/>
    <mergeCell ref="A2029:E2029"/>
    <mergeCell ref="A244:F244"/>
    <mergeCell ref="A3240:E3240"/>
    <mergeCell ref="A2479:E2479"/>
    <mergeCell ref="A115:F115"/>
    <mergeCell ref="A1455:E1455"/>
    <mergeCell ref="A2032:F2032"/>
    <mergeCell ref="A4178:F4178"/>
    <mergeCell ref="A3994:E3994"/>
    <mergeCell ref="B1877:F1877"/>
    <mergeCell ref="B65:F65"/>
    <mergeCell ref="B776:F776"/>
    <mergeCell ref="A1755:E1755"/>
    <mergeCell ref="A112:E112"/>
    <mergeCell ref="A1600:E1600"/>
    <mergeCell ref="A1444:E1444"/>
    <mergeCell ref="A2109:E2109"/>
    <mergeCell ref="B2206:F2206"/>
    <mergeCell ref="A3898:E3898"/>
    <mergeCell ref="A2409:E2409"/>
    <mergeCell ref="A2540:E2540"/>
    <mergeCell ref="A1229:F1229"/>
    <mergeCell ref="A3478:F3478"/>
    <mergeCell ref="B1888:F1888"/>
    <mergeCell ref="B533:F533"/>
    <mergeCell ref="A624:E624"/>
    <mergeCell ref="A2533:F2533"/>
    <mergeCell ref="A438:E438"/>
    <mergeCell ref="A3017:F3017"/>
    <mergeCell ref="A932:F932"/>
    <mergeCell ref="A2711:E2711"/>
    <mergeCell ref="B2188:F2188"/>
    <mergeCell ref="B4139:F4139"/>
    <mergeCell ref="B2224:F2224"/>
    <mergeCell ref="A3311:E3311"/>
    <mergeCell ref="A4103:F4103"/>
    <mergeCell ref="A738:E738"/>
    <mergeCell ref="A4038:E4038"/>
    <mergeCell ref="B2532:F2532"/>
    <mergeCell ref="A2251:E2251"/>
    <mergeCell ref="A1674:F1674"/>
    <mergeCell ref="A3611:E3611"/>
    <mergeCell ref="A10:E10"/>
    <mergeCell ref="A3014:E3014"/>
    <mergeCell ref="A3312:E3312"/>
    <mergeCell ref="A2132:F2132"/>
    <mergeCell ref="A3612:E3612"/>
    <mergeCell ref="A3912:F3912"/>
    <mergeCell ref="A1521:E1521"/>
    <mergeCell ref="A943:F943"/>
    <mergeCell ref="B429:F429"/>
    <mergeCell ref="A1552:E1552"/>
    <mergeCell ref="B3277:F3277"/>
    <mergeCell ref="B1490:F1490"/>
    <mergeCell ref="A1852:E1852"/>
    <mergeCell ref="B4065:F4065"/>
    <mergeCell ref="A3818:F3818"/>
    <mergeCell ref="A3663:E3663"/>
    <mergeCell ref="A1966:E1966"/>
    <mergeCell ref="A3970:E3970"/>
    <mergeCell ref="A2177:E2177"/>
    <mergeCell ref="A1422:E1422"/>
    <mergeCell ref="A479:E479"/>
    <mergeCell ref="B447:F447"/>
    <mergeCell ref="A2185:E2185"/>
    <mergeCell ref="A2783:F2783"/>
    <mergeCell ref="A1722:E1722"/>
    <mergeCell ref="B3628:F3628"/>
    <mergeCell ref="A360:F360"/>
    <mergeCell ref="A2328:F2328"/>
    <mergeCell ref="B1228:F1228"/>
    <mergeCell ref="B1203:F1203"/>
    <mergeCell ref="B1116:F1116"/>
    <mergeCell ref="A810:E810"/>
    <mergeCell ref="A1863:E1863"/>
    <mergeCell ref="B3331:F3331"/>
    <mergeCell ref="A1896:E1896"/>
    <mergeCell ref="A3080:E3080"/>
    <mergeCell ref="A1433:E1433"/>
    <mergeCell ref="A3378:E3378"/>
    <mergeCell ref="A2617:E2617"/>
    <mergeCell ref="A2198:F2198"/>
    <mergeCell ref="A80:E80"/>
    <mergeCell ref="A3984:F3984"/>
    <mergeCell ref="B1554:F1554"/>
    <mergeCell ref="A3680:E3680"/>
    <mergeCell ref="A863:E863"/>
    <mergeCell ref="B829:F829"/>
    <mergeCell ref="B74:F74"/>
    <mergeCell ref="B2774:F2774"/>
    <mergeCell ref="A2679:E2679"/>
    <mergeCell ref="A2038:E2038"/>
    <mergeCell ref="A437:E437"/>
    <mergeCell ref="A2549:E2549"/>
    <mergeCell ref="A3153:F3153"/>
    <mergeCell ref="A124:E124"/>
    <mergeCell ref="A3189:F3189"/>
    <mergeCell ref="B1574:F1574"/>
    <mergeCell ref="B3817:F3817"/>
    <mergeCell ref="A3908:E3908"/>
    <mergeCell ref="A578:E578"/>
    <mergeCell ref="B848:F848"/>
    <mergeCell ref="B2512:F2512"/>
    <mergeCell ref="A3026:F3026"/>
    <mergeCell ref="A2878:E2878"/>
    <mergeCell ref="B4158:F4158"/>
    <mergeCell ref="A1937:E1937"/>
    <mergeCell ref="B4029:F4029"/>
    <mergeCell ref="A3023:E3023"/>
    <mergeCell ref="A2262:E2262"/>
    <mergeCell ref="B2244:F2244"/>
    <mergeCell ref="A3629:F3629"/>
    <mergeCell ref="A652:F652"/>
    <mergeCell ref="B138:F138"/>
    <mergeCell ref="A2868:F2868"/>
    <mergeCell ref="A4050:E4050"/>
    <mergeCell ref="A2265:F2265"/>
    <mergeCell ref="A291:E291"/>
    <mergeCell ref="A589:E589"/>
    <mergeCell ref="A2593:E2593"/>
    <mergeCell ref="B4089:F4089"/>
    <mergeCell ref="A1561:E1561"/>
    <mergeCell ref="A1650:E1650"/>
    <mergeCell ref="B2254:F2254"/>
    <mergeCell ref="B440:F440"/>
    <mergeCell ref="A2928:F2928"/>
    <mergeCell ref="A3051:E3051"/>
    <mergeCell ref="A2019:E2019"/>
    <mergeCell ref="B1501:F1501"/>
    <mergeCell ref="A1562:E1562"/>
    <mergeCell ref="A503:E503"/>
    <mergeCell ref="A2894:F2894"/>
    <mergeCell ref="A374:E374"/>
    <mergeCell ref="A1520:E1520"/>
    <mergeCell ref="A3684:F3684"/>
    <mergeCell ref="A92:E92"/>
    <mergeCell ref="B4102:F4102"/>
    <mergeCell ref="A3104:E3104"/>
    <mergeCell ref="A66:F66"/>
    <mergeCell ref="B3368:F3368"/>
    <mergeCell ref="B1643:F1643"/>
    <mergeCell ref="A95:F95"/>
    <mergeCell ref="A427:E427"/>
    <mergeCell ref="A1734:E1734"/>
    <mergeCell ref="A979:E979"/>
    <mergeCell ref="A1271:E1271"/>
    <mergeCell ref="A516:E516"/>
    <mergeCell ref="A3275:E3275"/>
    <mergeCell ref="A1488:E1488"/>
    <mergeCell ref="A849:F849"/>
    <mergeCell ref="B1703:F1703"/>
    <mergeCell ref="B942:F942"/>
    <mergeCell ref="A1788:E1788"/>
    <mergeCell ref="A1910:F1910"/>
    <mergeCell ref="A2523:F2523"/>
    <mergeCell ref="A3876:E3876"/>
    <mergeCell ref="B1273:F1273"/>
    <mergeCell ref="B3516:F3516"/>
    <mergeCell ref="A3721:F3721"/>
    <mergeCell ref="A1349:F1349"/>
    <mergeCell ref="A448:F448"/>
    <mergeCell ref="A1201:E1201"/>
    <mergeCell ref="A1630:E1630"/>
    <mergeCell ref="A2112:F2112"/>
    <mergeCell ref="A1052:F1052"/>
    <mergeCell ref="A2691:E2691"/>
    <mergeCell ref="A3329:E3329"/>
    <mergeCell ref="B866:F866"/>
    <mergeCell ref="B1593:F1593"/>
    <mergeCell ref="A4075:E4075"/>
    <mergeCell ref="B569:F569"/>
    <mergeCell ref="A1946:E1946"/>
    <mergeCell ref="B3442:F3442"/>
    <mergeCell ref="A290:E290"/>
    <mergeCell ref="A3224:F3224"/>
    <mergeCell ref="A588:E588"/>
    <mergeCell ref="B4169:F4169"/>
    <mergeCell ref="A3347:E3347"/>
    <mergeCell ref="A459:E459"/>
    <mergeCell ref="A2702:E2702"/>
    <mergeCell ref="B193:F193"/>
    <mergeCell ref="B4185:F4185"/>
    <mergeCell ref="B920:F920"/>
    <mergeCell ref="B580:F580"/>
    <mergeCell ref="A1701:E1701"/>
    <mergeCell ref="A1878:F1878"/>
    <mergeCell ref="A2762:E2762"/>
    <mergeCell ref="A3815:E3815"/>
    <mergeCell ref="A2001:E2001"/>
    <mergeCell ref="A3666:F3666"/>
    <mergeCell ref="A2002:E2002"/>
    <mergeCell ref="A970:E970"/>
    <mergeCell ref="B2121:F2121"/>
    <mergeCell ref="A357:E357"/>
    <mergeCell ref="A2659:E2659"/>
    <mergeCell ref="A4147:E4147"/>
    <mergeCell ref="A3088:E3088"/>
    <mergeCell ref="A688:E688"/>
    <mergeCell ref="A2028:E2028"/>
    <mergeCell ref="A4174:E4174"/>
    <mergeCell ref="A1601:E1601"/>
    <mergeCell ref="B1683:F1683"/>
    <mergeCell ref="B651:F651"/>
    <mergeCell ref="B2596:F2596"/>
    <mergeCell ref="A4019:F4019"/>
    <mergeCell ref="A1594:F1594"/>
    <mergeCell ref="B3839:F3839"/>
    <mergeCell ref="A2023:F2023"/>
    <mergeCell ref="A556:E556"/>
    <mergeCell ref="A2995:F2995"/>
    <mergeCell ref="B2141:F2141"/>
    <mergeCell ref="A251:E251"/>
    <mergeCell ref="B1714:F1714"/>
    <mergeCell ref="A559:F559"/>
    <mergeCell ref="A1443:E1443"/>
    <mergeCell ref="A3887:E3887"/>
    <mergeCell ref="A430:F430"/>
    <mergeCell ref="A1314:E1314"/>
    <mergeCell ref="A3897:E3897"/>
    <mergeCell ref="A1743:E1743"/>
    <mergeCell ref="A3134:E31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26"/>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10: STEEL WORK</t>
        </is>
      </c>
    </row>
    <row r="2" ht="28" customHeight="1">
      <c r="A2" s="8" t="inlineStr">
        <is>
          <t>53 priced items. Amount and SAY are live Excel formulas computed from the Quantity x Rate figures below - edit any Quantity or Rate and the item's rate recalculates.</t>
        </is>
      </c>
    </row>
    <row r="4" ht="28" customHeight="1">
      <c r="A4" s="9" t="inlineStr">
        <is>
          <t>10.1</t>
        </is>
      </c>
      <c r="B4" s="10" t="inlineStr">
        <is>
          <t>Structural steel work in single section, fixed with or without connecting plate, including cutting, hoisting, fixing in position and applyin</t>
        </is>
      </c>
      <c r="C4" s="11" t="n"/>
      <c r="D4" s="11" t="n"/>
      <c r="E4" s="11" t="n"/>
      <c r="F4" s="11" t="n"/>
    </row>
    <row r="5">
      <c r="A5" s="12" t="inlineStr">
        <is>
          <t>Rate basis: per q  (source: cost for 1 q)</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13.50.3</t>
        </is>
      </c>
      <c r="B7" s="14" t="inlineStr">
        <is>
          <t>Rate as per SH: 13.50.3</t>
        </is>
      </c>
      <c r="C7" s="13" t="inlineStr">
        <is>
          <t>sqm</t>
        </is>
      </c>
      <c r="D7" s="15" t="n">
        <v>3</v>
      </c>
      <c r="E7" s="16" t="n">
        <v>50.7</v>
      </c>
      <c r="F7" s="16">
        <f>D7*E7</f>
        <v/>
      </c>
    </row>
    <row r="8">
      <c r="A8" s="13" t="inlineStr">
        <is>
          <t>1007</t>
        </is>
      </c>
      <c r="B8" s="14" t="inlineStr">
        <is>
          <t>Structurals such as tees,angles channels and R.S. joists</t>
        </is>
      </c>
      <c r="C8" s="13" t="inlineStr">
        <is>
          <t>quintal</t>
        </is>
      </c>
      <c r="D8" s="15" t="n">
        <v>1.05</v>
      </c>
      <c r="E8" s="16" t="n">
        <v>4600</v>
      </c>
      <c r="F8" s="16">
        <f>D8*E8</f>
        <v/>
      </c>
    </row>
    <row r="9">
      <c r="A9" s="13" t="inlineStr">
        <is>
          <t>2205</t>
        </is>
      </c>
      <c r="B9" s="14" t="inlineStr">
        <is>
          <t>Carriage of Steel</t>
        </is>
      </c>
      <c r="C9" s="13" t="inlineStr">
        <is>
          <t>tonne</t>
        </is>
      </c>
      <c r="D9" s="15" t="n">
        <v>0.105</v>
      </c>
      <c r="E9" s="16" t="n">
        <v>92.23999999999999</v>
      </c>
      <c r="F9" s="16">
        <f>D9*E9</f>
        <v/>
      </c>
    </row>
    <row r="10">
      <c r="A10" s="13" t="inlineStr">
        <is>
          <t>0116</t>
        </is>
      </c>
      <c r="B10" s="14" t="inlineStr">
        <is>
          <t>Fitter (grade 1)</t>
        </is>
      </c>
      <c r="C10" s="13" t="inlineStr">
        <is>
          <t>day</t>
        </is>
      </c>
      <c r="D10" s="15" t="n">
        <v>0.5</v>
      </c>
      <c r="E10" s="16" t="n">
        <v>738</v>
      </c>
      <c r="F10" s="16">
        <f>D10*E10</f>
        <v/>
      </c>
    </row>
    <row r="11">
      <c r="A11" s="13" t="inlineStr">
        <is>
          <t>0103</t>
        </is>
      </c>
      <c r="B11" s="14" t="inlineStr">
        <is>
          <t>Blacksmith 2nd class</t>
        </is>
      </c>
      <c r="C11" s="13" t="inlineStr">
        <is>
          <t>day</t>
        </is>
      </c>
      <c r="D11" s="15" t="n">
        <v>0.75</v>
      </c>
      <c r="E11" s="16" t="n">
        <v>679</v>
      </c>
      <c r="F11" s="16">
        <f>D11*E11</f>
        <v/>
      </c>
    </row>
    <row r="12">
      <c r="A12" s="13" t="inlineStr">
        <is>
          <t>0114</t>
        </is>
      </c>
      <c r="B12" s="14" t="inlineStr">
        <is>
          <t>Beldar</t>
        </is>
      </c>
      <c r="C12" s="13" t="inlineStr">
        <is>
          <t>day</t>
        </is>
      </c>
      <c r="D12" s="15" t="n">
        <v>1</v>
      </c>
      <c r="E12" s="16" t="n">
        <v>558</v>
      </c>
      <c r="F12" s="16">
        <f>D12*E12</f>
        <v/>
      </c>
    </row>
    <row r="13">
      <c r="A13" s="13" t="inlineStr">
        <is>
          <t>9999</t>
        </is>
      </c>
      <c r="B13" s="14" t="inlineStr">
        <is>
          <t>Sundries</t>
        </is>
      </c>
      <c r="C13" s="13" t="inlineStr">
        <is>
          <t>L.S.</t>
        </is>
      </c>
      <c r="D13" s="15" t="n">
        <v>20.67</v>
      </c>
      <c r="E13" s="16" t="n">
        <v>2</v>
      </c>
      <c r="F13" s="16">
        <f>D13*E13</f>
        <v/>
      </c>
    </row>
    <row r="14">
      <c r="A14" s="17" t="inlineStr">
        <is>
          <t>Resource Total (Material + Labour + Machinery, as printed)</t>
        </is>
      </c>
      <c r="B14" s="18" t="n"/>
      <c r="C14" s="18" t="n"/>
      <c r="D14" s="18" t="n"/>
      <c r="E14" s="18" t="n"/>
      <c r="F14" s="19">
        <f>SUM(F7:F13)</f>
        <v/>
      </c>
    </row>
    <row r="15">
      <c r="A15" s="20" t="inlineStr">
        <is>
          <t>SAY (Rs.) — final DAR rate</t>
        </is>
      </c>
      <c r="B15" s="21" t="n"/>
      <c r="C15" s="21" t="n"/>
      <c r="D15" s="21" t="n"/>
      <c r="E15" s="21" t="n"/>
      <c r="F15" s="22" t="n">
        <v>86.05</v>
      </c>
    </row>
    <row r="17" ht="28" customHeight="1">
      <c r="A17" s="9" t="inlineStr">
        <is>
          <t>10.2</t>
        </is>
      </c>
      <c r="B17" s="10" t="inlineStr">
        <is>
          <t>Structural steel work riveted, bolted or welded in built up sections, trusses and framed work, including cutting, hoisting, fixing in positi</t>
        </is>
      </c>
      <c r="C17" s="11" t="n"/>
      <c r="D17" s="11" t="n"/>
      <c r="E17" s="11" t="n"/>
      <c r="F17" s="11" t="n"/>
    </row>
    <row r="18">
      <c r="A18" s="12" t="inlineStr">
        <is>
          <t>Rate basis: per quintal  (source: cost for 3.95 quintal)</t>
        </is>
      </c>
    </row>
    <row r="19">
      <c r="A19" s="5" t="inlineStr">
        <is>
          <t>Code</t>
        </is>
      </c>
      <c r="B19" s="5" t="inlineStr">
        <is>
          <t>Description</t>
        </is>
      </c>
      <c r="C19" s="5" t="inlineStr">
        <is>
          <t>Unit</t>
        </is>
      </c>
      <c r="D19" s="5" t="inlineStr">
        <is>
          <t>Quantity</t>
        </is>
      </c>
      <c r="E19" s="5" t="inlineStr">
        <is>
          <t>Rate (Rs.)</t>
        </is>
      </c>
      <c r="F19" s="5" t="inlineStr">
        <is>
          <t>Amount (Rs.)</t>
        </is>
      </c>
    </row>
    <row r="20">
      <c r="A20" s="13" t="inlineStr">
        <is>
          <t>13.50.3</t>
        </is>
      </c>
      <c r="B20" s="14" t="inlineStr">
        <is>
          <t>Rate as per SH: 13.50.3</t>
        </is>
      </c>
      <c r="C20" s="13" t="inlineStr">
        <is>
          <t>sqm</t>
        </is>
      </c>
      <c r="D20" s="15" t="n">
        <v>5.68</v>
      </c>
      <c r="E20" s="16" t="n">
        <v>50.7</v>
      </c>
      <c r="F20" s="16">
        <f>D20*E20</f>
        <v/>
      </c>
    </row>
    <row r="21">
      <c r="A21" s="13" t="inlineStr">
        <is>
          <t>1007</t>
        </is>
      </c>
      <c r="B21" s="14" t="inlineStr">
        <is>
          <t>Structurals such as tees,angles channels and R.S. joists</t>
        </is>
      </c>
      <c r="C21" s="13" t="inlineStr">
        <is>
          <t>quintal</t>
        </is>
      </c>
      <c r="D21" s="15" t="n">
        <v>1.6</v>
      </c>
      <c r="E21" s="16" t="n">
        <v>4600</v>
      </c>
      <c r="F21" s="16">
        <f>D21*E21</f>
        <v/>
      </c>
    </row>
    <row r="22">
      <c r="A22" s="13" t="inlineStr">
        <is>
          <t>1009</t>
        </is>
      </c>
      <c r="B22" s="14" t="inlineStr">
        <is>
          <t>Flats exceeding 10 mm in thickness</t>
        </is>
      </c>
      <c r="C22" s="13" t="inlineStr">
        <is>
          <t>quintal</t>
        </is>
      </c>
      <c r="D22" s="15" t="n">
        <v>0.53</v>
      </c>
      <c r="E22" s="16" t="n">
        <v>4600</v>
      </c>
      <c r="F22" s="16">
        <f>D22*E22</f>
        <v/>
      </c>
    </row>
    <row r="23">
      <c r="A23" s="13" t="inlineStr">
        <is>
          <t>1010</t>
        </is>
      </c>
      <c r="B23" s="14" t="inlineStr">
        <is>
          <t>Mild steel plates</t>
        </is>
      </c>
      <c r="C23" s="13" t="inlineStr">
        <is>
          <t>quintal</t>
        </is>
      </c>
      <c r="D23" s="15" t="n">
        <v>1.9</v>
      </c>
      <c r="E23" s="16" t="n">
        <v>4800</v>
      </c>
      <c r="F23" s="16">
        <f>D23*E23</f>
        <v/>
      </c>
    </row>
    <row r="24">
      <c r="A24" s="13" t="inlineStr">
        <is>
          <t>1020</t>
        </is>
      </c>
      <c r="B24" s="14" t="inlineStr">
        <is>
          <t>Mild steel rivets</t>
        </is>
      </c>
      <c r="C24" s="13" t="inlineStr">
        <is>
          <t>quintal</t>
        </is>
      </c>
      <c r="D24" s="15" t="n">
        <v>0.0684</v>
      </c>
      <c r="E24" s="16" t="n">
        <v>5000</v>
      </c>
      <c r="F24" s="16">
        <f>D24*E24</f>
        <v/>
      </c>
    </row>
    <row r="25">
      <c r="A25" s="13" t="inlineStr">
        <is>
          <t>1221</t>
        </is>
      </c>
      <c r="B25" s="14" t="inlineStr">
        <is>
          <t>20 mm dia holding down bolts</t>
        </is>
      </c>
      <c r="C25" s="13" t="inlineStr">
        <is>
          <t>quintal</t>
        </is>
      </c>
      <c r="D25" s="15" t="n">
        <v>0.0529</v>
      </c>
      <c r="E25" s="16" t="n">
        <v>6100</v>
      </c>
      <c r="F25" s="16">
        <f>D25*E25</f>
        <v/>
      </c>
    </row>
    <row r="26">
      <c r="A26" s="13" t="inlineStr">
        <is>
          <t>2205</t>
        </is>
      </c>
      <c r="B26" s="14" t="inlineStr">
        <is>
          <t>Carriage of Steel</t>
        </is>
      </c>
      <c r="C26" s="13" t="inlineStr">
        <is>
          <t>tonne</t>
        </is>
      </c>
      <c r="D26" s="15" t="n">
        <v>0.415</v>
      </c>
      <c r="E26" s="16" t="n">
        <v>92.23999999999999</v>
      </c>
      <c r="F26" s="16">
        <f>D26*E26</f>
        <v/>
      </c>
    </row>
    <row r="27">
      <c r="A27" s="13" t="inlineStr">
        <is>
          <t>0116</t>
        </is>
      </c>
      <c r="B27" s="14" t="inlineStr">
        <is>
          <t>Fitter (grade 1)</t>
        </is>
      </c>
      <c r="C27" s="13" t="inlineStr">
        <is>
          <t>day</t>
        </is>
      </c>
      <c r="D27" s="15" t="n">
        <v>2.7</v>
      </c>
      <c r="E27" s="16" t="n">
        <v>738</v>
      </c>
      <c r="F27" s="16">
        <f>D27*E27</f>
        <v/>
      </c>
    </row>
    <row r="28">
      <c r="A28" s="13" t="inlineStr">
        <is>
          <t>0103</t>
        </is>
      </c>
      <c r="B28" s="14" t="inlineStr">
        <is>
          <t>Blacksmith 2nd class</t>
        </is>
      </c>
      <c r="C28" s="13" t="inlineStr">
        <is>
          <t>day</t>
        </is>
      </c>
      <c r="D28" s="15" t="n">
        <v>3.6</v>
      </c>
      <c r="E28" s="16" t="n">
        <v>679</v>
      </c>
      <c r="F28" s="16">
        <f>D28*E28</f>
        <v/>
      </c>
    </row>
    <row r="29">
      <c r="A29" s="13" t="inlineStr">
        <is>
          <t>0139</t>
        </is>
      </c>
      <c r="B29" s="14" t="inlineStr">
        <is>
          <t>Skilled Beldar (for floor rubbing etc.)</t>
        </is>
      </c>
      <c r="C29" s="13" t="inlineStr">
        <is>
          <t>day</t>
        </is>
      </c>
      <c r="D29" s="15" t="n">
        <v>5.4</v>
      </c>
      <c r="E29" s="16" t="n">
        <v>617</v>
      </c>
      <c r="F29" s="16">
        <f>D29*E29</f>
        <v/>
      </c>
    </row>
    <row r="30">
      <c r="A30" s="13" t="inlineStr">
        <is>
          <t>0114</t>
        </is>
      </c>
      <c r="B30" s="14" t="inlineStr">
        <is>
          <t>Beldar</t>
        </is>
      </c>
      <c r="C30" s="13" t="inlineStr">
        <is>
          <t>day</t>
        </is>
      </c>
      <c r="D30" s="15" t="n">
        <v>3.6</v>
      </c>
      <c r="E30" s="16" t="n">
        <v>558</v>
      </c>
      <c r="F30" s="16">
        <f>D30*E30</f>
        <v/>
      </c>
    </row>
    <row r="31">
      <c r="A31" s="13" t="inlineStr">
        <is>
          <t>0100</t>
        </is>
      </c>
      <c r="B31" s="14" t="inlineStr">
        <is>
          <t>Bandhani</t>
        </is>
      </c>
      <c r="C31" s="13" t="inlineStr">
        <is>
          <t>day</t>
        </is>
      </c>
      <c r="D31" s="15" t="n">
        <v>0.44</v>
      </c>
      <c r="E31" s="16" t="n">
        <v>617</v>
      </c>
      <c r="F31" s="16">
        <f>D31*E31</f>
        <v/>
      </c>
    </row>
    <row r="32">
      <c r="A32" s="13" t="inlineStr">
        <is>
          <t>9999</t>
        </is>
      </c>
      <c r="B32" s="14" t="inlineStr">
        <is>
          <t>Sundries</t>
        </is>
      </c>
      <c r="C32" s="13" t="inlineStr">
        <is>
          <t>L.S.</t>
        </is>
      </c>
      <c r="D32" s="15" t="n">
        <v>80.73</v>
      </c>
      <c r="E32" s="16" t="n">
        <v>2</v>
      </c>
      <c r="F32" s="16">
        <f>D32*E32</f>
        <v/>
      </c>
    </row>
    <row r="33">
      <c r="A33" s="17" t="inlineStr">
        <is>
          <t>Resource Total (Material + Labour + Machinery, as printed)</t>
        </is>
      </c>
      <c r="B33" s="18" t="n"/>
      <c r="C33" s="18" t="n"/>
      <c r="D33" s="18" t="n"/>
      <c r="E33" s="18" t="n"/>
      <c r="F33" s="19">
        <f>SUM(F20:F32)</f>
        <v/>
      </c>
    </row>
    <row r="34">
      <c r="A34" s="20" t="inlineStr">
        <is>
          <t>SAY (Rs.) — final DAR rate</t>
        </is>
      </c>
      <c r="B34" s="21" t="n"/>
      <c r="C34" s="21" t="n"/>
      <c r="D34" s="21" t="n"/>
      <c r="E34" s="21" t="n"/>
      <c r="F34" s="22" t="n">
        <v>101.75</v>
      </c>
    </row>
    <row r="36" ht="28" customHeight="1">
      <c r="A36" s="9" t="inlineStr">
        <is>
          <t>10.3</t>
        </is>
      </c>
      <c r="B36" s="10" t="inlineStr">
        <is>
          <t>Providing and fixing in position collapsible steel shutters with vertical channels 20x10x2 mm and braced with flat iron diagonals 20x5 mm si</t>
        </is>
      </c>
      <c r="C36" s="11" t="n"/>
      <c r="D36" s="11" t="n"/>
      <c r="E36" s="11" t="n"/>
      <c r="F36" s="11" t="n"/>
    </row>
    <row r="37">
      <c r="A37" s="12" t="inlineStr">
        <is>
          <t>Rate basis: per sqm  (source: cost for 3.6 sqm)</t>
        </is>
      </c>
    </row>
    <row r="38">
      <c r="A38" s="5" t="inlineStr">
        <is>
          <t>Code</t>
        </is>
      </c>
      <c r="B38" s="5" t="inlineStr">
        <is>
          <t>Description</t>
        </is>
      </c>
      <c r="C38" s="5" t="inlineStr">
        <is>
          <t>Unit</t>
        </is>
      </c>
      <c r="D38" s="5" t="inlineStr">
        <is>
          <t>Quantity</t>
        </is>
      </c>
      <c r="E38" s="5" t="inlineStr">
        <is>
          <t>Rate (Rs.)</t>
        </is>
      </c>
      <c r="F38" s="5" t="inlineStr">
        <is>
          <t>Amount (Rs.)</t>
        </is>
      </c>
    </row>
    <row r="39">
      <c r="A39" s="13" t="inlineStr">
        <is>
          <t>13.50.3</t>
        </is>
      </c>
      <c r="B39" s="14" t="inlineStr">
        <is>
          <t>Rate as per SH: 13.50.3</t>
        </is>
      </c>
      <c r="C39" s="13" t="inlineStr">
        <is>
          <t>sqm</t>
        </is>
      </c>
      <c r="D39" s="15" t="n">
        <v>10.5</v>
      </c>
      <c r="E39" s="16" t="n">
        <v>50.7</v>
      </c>
      <c r="F39" s="16">
        <f>D39*E39</f>
        <v/>
      </c>
    </row>
    <row r="40">
      <c r="A40" s="13" t="inlineStr">
        <is>
          <t>1007</t>
        </is>
      </c>
      <c r="B40" s="14" t="inlineStr">
        <is>
          <t>Structurals such as tees,angles channels and R.S. joists</t>
        </is>
      </c>
      <c r="C40" s="13" t="inlineStr">
        <is>
          <t>quintal</t>
        </is>
      </c>
      <c r="D40" s="15" t="n">
        <v>0.53</v>
      </c>
      <c r="E40" s="16" t="n">
        <v>4600</v>
      </c>
      <c r="F40" s="16">
        <f>D40*E40</f>
        <v/>
      </c>
    </row>
    <row r="41">
      <c r="A41" s="13" t="inlineStr">
        <is>
          <t>1007</t>
        </is>
      </c>
      <c r="B41" s="14" t="inlineStr">
        <is>
          <t>Structurals such as tees,angles channels and R.S. joists</t>
        </is>
      </c>
      <c r="C41" s="13" t="inlineStr">
        <is>
          <t>quintal</t>
        </is>
      </c>
      <c r="D41" s="15" t="n">
        <v>0.13</v>
      </c>
      <c r="E41" s="16" t="n">
        <v>4600</v>
      </c>
      <c r="F41" s="16">
        <f>D41*E41</f>
        <v/>
      </c>
    </row>
    <row r="42">
      <c r="A42" s="13" t="inlineStr">
        <is>
          <t>1008</t>
        </is>
      </c>
      <c r="B42" s="14" t="inlineStr">
        <is>
          <t>Flats upto 10 mm in thickness</t>
        </is>
      </c>
      <c r="C42" s="13" t="inlineStr">
        <is>
          <t>quintal</t>
        </is>
      </c>
      <c r="D42" s="15" t="n">
        <v>0.6</v>
      </c>
      <c r="E42" s="16" t="n">
        <v>4500</v>
      </c>
      <c r="F42" s="16">
        <f>D42*E42</f>
        <v/>
      </c>
    </row>
    <row r="43">
      <c r="A43" s="13" t="inlineStr">
        <is>
          <t>2205</t>
        </is>
      </c>
      <c r="B43" s="14" t="inlineStr">
        <is>
          <t>Carriage of Steel</t>
        </is>
      </c>
      <c r="C43" s="13" t="inlineStr">
        <is>
          <t>tonne</t>
        </is>
      </c>
      <c r="D43" s="15" t="n">
        <v>0.126</v>
      </c>
      <c r="E43" s="16" t="n">
        <v>92.23999999999999</v>
      </c>
      <c r="F43" s="16">
        <f>D43*E43</f>
        <v/>
      </c>
    </row>
    <row r="44">
      <c r="A44" s="13" t="inlineStr">
        <is>
          <t>9999</t>
        </is>
      </c>
      <c r="B44" s="14" t="inlineStr">
        <is>
          <t>Cost of rivets fixing hooks and washers</t>
        </is>
      </c>
      <c r="C44" s="13" t="inlineStr">
        <is>
          <t>L.S.</t>
        </is>
      </c>
      <c r="D44" s="15" t="n">
        <v>269.1</v>
      </c>
      <c r="E44" s="16" t="n">
        <v>2</v>
      </c>
      <c r="F44" s="16">
        <f>D44*E44</f>
        <v/>
      </c>
    </row>
    <row r="45">
      <c r="A45" s="13" t="inlineStr">
        <is>
          <t>9999</t>
        </is>
      </c>
      <c r="B45" s="14" t="inlineStr">
        <is>
          <t>Cost of locking arrangements and handles</t>
        </is>
      </c>
      <c r="C45" s="13" t="inlineStr">
        <is>
          <t>L.S.</t>
        </is>
      </c>
      <c r="D45" s="15" t="n">
        <v>67.34</v>
      </c>
      <c r="E45" s="16" t="n">
        <v>2</v>
      </c>
      <c r="F45" s="16">
        <f>D45*E45</f>
        <v/>
      </c>
    </row>
    <row r="46">
      <c r="A46" s="13" t="inlineStr">
        <is>
          <t>4013</t>
        </is>
      </c>
      <c r="B46" s="14" t="inlineStr">
        <is>
          <t>Pully 40 mm dia</t>
        </is>
      </c>
      <c r="C46" s="13" t="inlineStr">
        <is>
          <t>each</t>
        </is>
      </c>
      <c r="D46" s="15" t="n">
        <v>10</v>
      </c>
      <c r="E46" s="16" t="n">
        <v>30</v>
      </c>
      <c r="F46" s="16">
        <f>D46*E46</f>
        <v/>
      </c>
    </row>
    <row r="47">
      <c r="A47" s="13" t="inlineStr">
        <is>
          <t>0116</t>
        </is>
      </c>
      <c r="B47" s="14" t="inlineStr">
        <is>
          <t>Fitter (grade 1)</t>
        </is>
      </c>
      <c r="C47" s="13" t="inlineStr">
        <is>
          <t>day</t>
        </is>
      </c>
      <c r="D47" s="15" t="n">
        <v>3</v>
      </c>
      <c r="E47" s="16" t="n">
        <v>738</v>
      </c>
      <c r="F47" s="16">
        <f>D47*E47</f>
        <v/>
      </c>
    </row>
    <row r="48">
      <c r="A48" s="13" t="inlineStr">
        <is>
          <t>0102</t>
        </is>
      </c>
      <c r="B48" s="14" t="inlineStr">
        <is>
          <t>Blacksmith 1st class</t>
        </is>
      </c>
      <c r="C48" s="13" t="inlineStr">
        <is>
          <t>day</t>
        </is>
      </c>
      <c r="D48" s="15" t="n">
        <v>6</v>
      </c>
      <c r="E48" s="16" t="n">
        <v>738</v>
      </c>
      <c r="F48" s="16">
        <f>D48*E48</f>
        <v/>
      </c>
    </row>
    <row r="49">
      <c r="A49" s="13" t="inlineStr">
        <is>
          <t>0103</t>
        </is>
      </c>
      <c r="B49" s="14" t="inlineStr">
        <is>
          <t>Blacksmith 2nd class</t>
        </is>
      </c>
      <c r="C49" s="13" t="inlineStr">
        <is>
          <t>day</t>
        </is>
      </c>
      <c r="D49" s="15" t="n">
        <v>6</v>
      </c>
      <c r="E49" s="16" t="n">
        <v>679</v>
      </c>
      <c r="F49" s="16">
        <f>D49*E49</f>
        <v/>
      </c>
    </row>
    <row r="50">
      <c r="A50" s="13" t="inlineStr">
        <is>
          <t>0123</t>
        </is>
      </c>
      <c r="B50" s="14" t="inlineStr">
        <is>
          <t>Mason (brick layer) 1st class</t>
        </is>
      </c>
      <c r="C50" s="13" t="inlineStr">
        <is>
          <t>day</t>
        </is>
      </c>
      <c r="D50" s="15" t="n">
        <v>0.5</v>
      </c>
      <c r="E50" s="16" t="n">
        <v>738</v>
      </c>
      <c r="F50" s="16">
        <f>D50*E50</f>
        <v/>
      </c>
    </row>
    <row r="51">
      <c r="A51" s="13" t="inlineStr">
        <is>
          <t>0124</t>
        </is>
      </c>
      <c r="B51" s="14" t="inlineStr">
        <is>
          <t>Mason (brick layer) 2nd class</t>
        </is>
      </c>
      <c r="C51" s="13" t="inlineStr">
        <is>
          <t>day</t>
        </is>
      </c>
      <c r="D51" s="15" t="n">
        <v>0.5</v>
      </c>
      <c r="E51" s="16" t="n">
        <v>679</v>
      </c>
      <c r="F51" s="16">
        <f>D51*E51</f>
        <v/>
      </c>
    </row>
    <row r="52">
      <c r="A52" s="13" t="inlineStr">
        <is>
          <t>0114</t>
        </is>
      </c>
      <c r="B52" s="14" t="inlineStr">
        <is>
          <t>Beldar</t>
        </is>
      </c>
      <c r="C52" s="13" t="inlineStr">
        <is>
          <t>day</t>
        </is>
      </c>
      <c r="D52" s="15" t="n">
        <v>8</v>
      </c>
      <c r="E52" s="16" t="n">
        <v>558</v>
      </c>
      <c r="F52" s="16">
        <f>D52*E52</f>
        <v/>
      </c>
    </row>
    <row r="53">
      <c r="A53" s="13" t="inlineStr">
        <is>
          <t>9999</t>
        </is>
      </c>
      <c r="B53" s="14" t="inlineStr">
        <is>
          <t>Sundries</t>
        </is>
      </c>
      <c r="C53" s="13" t="inlineStr">
        <is>
          <t>L.S.</t>
        </is>
      </c>
      <c r="D53" s="15" t="n">
        <v>161.46</v>
      </c>
      <c r="E53" s="16" t="n">
        <v>2</v>
      </c>
      <c r="F53" s="16">
        <f>D53*E53</f>
        <v/>
      </c>
    </row>
    <row r="54">
      <c r="A54" s="17" t="inlineStr">
        <is>
          <t>Resource Total (Material + Labour + Machinery, as printed)</t>
        </is>
      </c>
      <c r="B54" s="18" t="n"/>
      <c r="C54" s="18" t="n"/>
      <c r="D54" s="18" t="n"/>
      <c r="E54" s="18" t="n"/>
      <c r="F54" s="19">
        <f>SUM(F39:F53)</f>
        <v/>
      </c>
    </row>
    <row r="55">
      <c r="A55" s="20" t="inlineStr">
        <is>
          <t>SAY (Rs.) — final DAR rate</t>
        </is>
      </c>
      <c r="B55" s="21" t="n"/>
      <c r="C55" s="21" t="n"/>
      <c r="D55" s="21" t="n"/>
      <c r="E55" s="21" t="n"/>
      <c r="F55" s="22" t="n">
        <v>8670.5</v>
      </c>
    </row>
    <row r="57" ht="28" customHeight="1">
      <c r="A57" s="9" t="inlineStr">
        <is>
          <t>10.4</t>
        </is>
      </c>
      <c r="B57" s="10" t="inlineStr">
        <is>
          <t>Providing and fixing 1 mm thick M.S. sheet sliding-shutters, with frame and diagonal braces of 40x40x6 mm angle iron, 3 mm M.S. gusset plate</t>
        </is>
      </c>
      <c r="C57" s="11" t="n"/>
      <c r="D57" s="11" t="n"/>
      <c r="E57" s="11" t="n"/>
      <c r="F57" s="11" t="n"/>
    </row>
    <row r="58">
      <c r="A58" s="12" t="inlineStr">
        <is>
          <t>Rate basis: per sqm  (source: cost for 5.76 sqm)</t>
        </is>
      </c>
    </row>
    <row r="59">
      <c r="A59" s="5" t="inlineStr">
        <is>
          <t>Code</t>
        </is>
      </c>
      <c r="B59" s="5" t="inlineStr">
        <is>
          <t>Description</t>
        </is>
      </c>
      <c r="C59" s="5" t="inlineStr">
        <is>
          <t>Unit</t>
        </is>
      </c>
      <c r="D59" s="5" t="inlineStr">
        <is>
          <t>Quantity</t>
        </is>
      </c>
      <c r="E59" s="5" t="inlineStr">
        <is>
          <t>Rate (Rs.)</t>
        </is>
      </c>
      <c r="F59" s="5" t="inlineStr">
        <is>
          <t>Amount (Rs.)</t>
        </is>
      </c>
    </row>
    <row r="60">
      <c r="A60" s="13" t="inlineStr">
        <is>
          <t>13.50.3</t>
        </is>
      </c>
      <c r="B60" s="14" t="inlineStr">
        <is>
          <t>Rate as per SH: 13.50.3</t>
        </is>
      </c>
      <c r="C60" s="13" t="inlineStr">
        <is>
          <t>sqm</t>
        </is>
      </c>
      <c r="D60" s="15" t="n">
        <v>18</v>
      </c>
      <c r="E60" s="16" t="n">
        <v>50.7</v>
      </c>
      <c r="F60" s="16">
        <f>D60*E60</f>
        <v/>
      </c>
    </row>
    <row r="61">
      <c r="A61" s="13" t="inlineStr">
        <is>
          <t>1013</t>
        </is>
      </c>
      <c r="B61" s="14" t="inlineStr">
        <is>
          <t>Mild steel sheets for tanks</t>
        </is>
      </c>
      <c r="C61" s="13" t="inlineStr">
        <is>
          <t>quintal</t>
        </is>
      </c>
      <c r="D61" s="15" t="n">
        <v>0.497</v>
      </c>
      <c r="E61" s="16" t="n">
        <v>4600</v>
      </c>
      <c r="F61" s="16">
        <f>D61*E61</f>
        <v/>
      </c>
    </row>
    <row r="62">
      <c r="A62" s="13" t="inlineStr">
        <is>
          <t>1010</t>
        </is>
      </c>
      <c r="B62" s="14" t="inlineStr">
        <is>
          <t>Mild steel plates</t>
        </is>
      </c>
      <c r="C62" s="13" t="inlineStr">
        <is>
          <t>quintal</t>
        </is>
      </c>
      <c r="D62" s="15" t="n">
        <v>0.153</v>
      </c>
      <c r="E62" s="16" t="n">
        <v>4800</v>
      </c>
      <c r="F62" s="16">
        <f>D62*E62</f>
        <v/>
      </c>
    </row>
    <row r="63">
      <c r="A63" s="13" t="inlineStr">
        <is>
          <t>1007</t>
        </is>
      </c>
      <c r="B63" s="14" t="inlineStr">
        <is>
          <t>Structurals such as tees,angles channels and R.S. joists</t>
        </is>
      </c>
      <c r="C63" s="13" t="inlineStr">
        <is>
          <t>quintal</t>
        </is>
      </c>
      <c r="D63" s="15" t="n">
        <v>1.39</v>
      </c>
      <c r="E63" s="16" t="n">
        <v>4600</v>
      </c>
      <c r="F63" s="16">
        <f>D63*E63</f>
        <v/>
      </c>
    </row>
    <row r="64">
      <c r="A64" s="13" t="inlineStr">
        <is>
          <t>1007</t>
        </is>
      </c>
      <c r="B64" s="14" t="inlineStr">
        <is>
          <t>Structurals such as tees,angles channels and R.S. joists</t>
        </is>
      </c>
      <c r="C64" s="13" t="inlineStr">
        <is>
          <t>quintal</t>
        </is>
      </c>
      <c r="D64" s="15" t="n">
        <v>0.11</v>
      </c>
      <c r="E64" s="16" t="n">
        <v>4600</v>
      </c>
      <c r="F64" s="16">
        <f>D64*E64</f>
        <v/>
      </c>
    </row>
    <row r="65">
      <c r="A65" s="13" t="inlineStr">
        <is>
          <t>2205</t>
        </is>
      </c>
      <c r="B65" s="14" t="inlineStr">
        <is>
          <t>Carriage of Steel</t>
        </is>
      </c>
      <c r="C65" s="13" t="inlineStr">
        <is>
          <t>tonne</t>
        </is>
      </c>
      <c r="D65" s="15" t="n">
        <v>0.216</v>
      </c>
      <c r="E65" s="16" t="n">
        <v>92.23999999999999</v>
      </c>
      <c r="F65" s="16">
        <f>D65*E65</f>
        <v/>
      </c>
    </row>
    <row r="66">
      <c r="A66" s="13" t="inlineStr">
        <is>
          <t>9999</t>
        </is>
      </c>
      <c r="B66" s="14" t="inlineStr">
        <is>
          <t>(iv) Pully guide blocks including drilling holes</t>
        </is>
      </c>
      <c r="C66" s="13" t="inlineStr">
        <is>
          <t>L.S.</t>
        </is>
      </c>
      <c r="D66" s="15" t="n">
        <v>269.1</v>
      </c>
      <c r="E66" s="16" t="n">
        <v>2</v>
      </c>
      <c r="F66" s="16">
        <f>D66*E66</f>
        <v/>
      </c>
    </row>
    <row r="67">
      <c r="A67" s="13" t="inlineStr">
        <is>
          <t>0969</t>
        </is>
      </c>
      <c r="B67" s="14" t="inlineStr">
        <is>
          <t>Pully 25 mm dia</t>
        </is>
      </c>
      <c r="C67" s="13" t="inlineStr">
        <is>
          <t>each</t>
        </is>
      </c>
      <c r="D67" s="15" t="n">
        <v>8</v>
      </c>
      <c r="E67" s="16" t="n">
        <v>48</v>
      </c>
      <c r="F67" s="16">
        <f>D67*E67</f>
        <v/>
      </c>
    </row>
    <row r="68">
      <c r="A68" s="13" t="inlineStr">
        <is>
          <t>9999</t>
        </is>
      </c>
      <c r="B68" s="14" t="inlineStr">
        <is>
          <t>(vi) Handles and locking arrangements</t>
        </is>
      </c>
      <c r="C68" s="13" t="inlineStr">
        <is>
          <t>L.S.</t>
        </is>
      </c>
      <c r="D68" s="15" t="n">
        <v>167.75</v>
      </c>
      <c r="E68" s="16" t="n">
        <v>2</v>
      </c>
      <c r="F68" s="16">
        <f>D68*E68</f>
        <v/>
      </c>
    </row>
    <row r="69">
      <c r="A69" s="13" t="inlineStr">
        <is>
          <t>9999</t>
        </is>
      </c>
      <c r="B69" s="14" t="inlineStr">
        <is>
          <t>(vii) Bolts and rivets</t>
        </is>
      </c>
      <c r="C69" s="13" t="inlineStr">
        <is>
          <t>L.S.</t>
        </is>
      </c>
      <c r="D69" s="15" t="n">
        <v>269.1</v>
      </c>
      <c r="E69" s="16" t="n">
        <v>2</v>
      </c>
      <c r="F69" s="16">
        <f>D69*E69</f>
        <v/>
      </c>
    </row>
    <row r="70">
      <c r="A70" s="13" t="inlineStr">
        <is>
          <t>9999</t>
        </is>
      </c>
      <c r="B70" s="14" t="inlineStr">
        <is>
          <t>(viii)Cement concrete</t>
        </is>
      </c>
      <c r="C70" s="13" t="inlineStr">
        <is>
          <t>L.S.</t>
        </is>
      </c>
      <c r="D70" s="15" t="n">
        <v>13.52</v>
      </c>
      <c r="E70" s="16" t="n">
        <v>2</v>
      </c>
      <c r="F70" s="16">
        <f>D70*E70</f>
        <v/>
      </c>
    </row>
    <row r="71">
      <c r="A71" s="13" t="inlineStr">
        <is>
          <t>0116</t>
        </is>
      </c>
      <c r="B71" s="14" t="inlineStr">
        <is>
          <t>Fitter (grade 1)</t>
        </is>
      </c>
      <c r="C71" s="13" t="inlineStr">
        <is>
          <t>day</t>
        </is>
      </c>
      <c r="D71" s="15" t="n">
        <v>2</v>
      </c>
      <c r="E71" s="16" t="n">
        <v>738</v>
      </c>
      <c r="F71" s="16">
        <f>D71*E71</f>
        <v/>
      </c>
    </row>
    <row r="72">
      <c r="A72" s="13" t="inlineStr">
        <is>
          <t>0102</t>
        </is>
      </c>
      <c r="B72" s="14" t="inlineStr">
        <is>
          <t>Blacksmith 1st class</t>
        </is>
      </c>
      <c r="C72" s="13" t="inlineStr">
        <is>
          <t>day</t>
        </is>
      </c>
      <c r="D72" s="15" t="n">
        <v>3</v>
      </c>
      <c r="E72" s="16" t="n">
        <v>738</v>
      </c>
      <c r="F72" s="16">
        <f>D72*E72</f>
        <v/>
      </c>
    </row>
    <row r="73">
      <c r="A73" s="13" t="inlineStr">
        <is>
          <t>0103</t>
        </is>
      </c>
      <c r="B73" s="14" t="inlineStr">
        <is>
          <t>Blacksmith 2nd class</t>
        </is>
      </c>
      <c r="C73" s="13" t="inlineStr">
        <is>
          <t>day</t>
        </is>
      </c>
      <c r="D73" s="15" t="n">
        <v>4</v>
      </c>
      <c r="E73" s="16" t="n">
        <v>679</v>
      </c>
      <c r="F73" s="16">
        <f>D73*E73</f>
        <v/>
      </c>
    </row>
    <row r="74">
      <c r="A74" s="13" t="inlineStr">
        <is>
          <t>0114</t>
        </is>
      </c>
      <c r="B74" s="14" t="inlineStr">
        <is>
          <t>Beldar</t>
        </is>
      </c>
      <c r="C74" s="13" t="inlineStr">
        <is>
          <t>day</t>
        </is>
      </c>
      <c r="D74" s="15" t="n">
        <v>4</v>
      </c>
      <c r="E74" s="16" t="n">
        <v>558</v>
      </c>
      <c r="F74" s="16">
        <f>D74*E74</f>
        <v/>
      </c>
    </row>
    <row r="75">
      <c r="A75" s="13" t="inlineStr">
        <is>
          <t>0123</t>
        </is>
      </c>
      <c r="B75" s="14" t="inlineStr">
        <is>
          <t>Mason (brick layer) 1st class</t>
        </is>
      </c>
      <c r="C75" s="13" t="inlineStr">
        <is>
          <t>day</t>
        </is>
      </c>
      <c r="D75" s="15" t="n">
        <v>0.06</v>
      </c>
      <c r="E75" s="16" t="n">
        <v>738</v>
      </c>
      <c r="F75" s="16">
        <f>D75*E75</f>
        <v/>
      </c>
    </row>
    <row r="76">
      <c r="A76" s="13" t="inlineStr">
        <is>
          <t>0124</t>
        </is>
      </c>
      <c r="B76" s="14" t="inlineStr">
        <is>
          <t>Mason (brick layer) 2nd class</t>
        </is>
      </c>
      <c r="C76" s="13" t="inlineStr">
        <is>
          <t>day</t>
        </is>
      </c>
      <c r="D76" s="15" t="n">
        <v>0.06</v>
      </c>
      <c r="E76" s="16" t="n">
        <v>679</v>
      </c>
      <c r="F76" s="16">
        <f>D76*E76</f>
        <v/>
      </c>
    </row>
    <row r="77">
      <c r="A77" s="13" t="inlineStr">
        <is>
          <t>9999</t>
        </is>
      </c>
      <c r="B77" s="14" t="inlineStr">
        <is>
          <t>Sundries</t>
        </is>
      </c>
      <c r="C77" s="13" t="inlineStr">
        <is>
          <t>L.S.</t>
        </is>
      </c>
      <c r="D77" s="15" t="n">
        <v>161.46</v>
      </c>
      <c r="E77" s="16" t="n">
        <v>2</v>
      </c>
      <c r="F77" s="16">
        <f>D77*E77</f>
        <v/>
      </c>
    </row>
    <row r="78">
      <c r="A78" s="17" t="inlineStr">
        <is>
          <t>Resource Total (Material + Labour + Machinery, as printed)</t>
        </is>
      </c>
      <c r="B78" s="18" t="n"/>
      <c r="C78" s="18" t="n"/>
      <c r="D78" s="18" t="n"/>
      <c r="E78" s="18" t="n"/>
      <c r="F78" s="19">
        <f>SUM(F60:F77)</f>
        <v/>
      </c>
    </row>
    <row r="79">
      <c r="A79" s="20" t="inlineStr">
        <is>
          <t>SAY (Rs.) — final DAR rate</t>
        </is>
      </c>
      <c r="B79" s="21" t="n"/>
      <c r="C79" s="21" t="n"/>
      <c r="D79" s="21" t="n"/>
      <c r="E79" s="21" t="n"/>
      <c r="F79" s="22" t="n">
        <v>4992.05</v>
      </c>
    </row>
    <row r="81" ht="18" customHeight="1">
      <c r="A81" s="9" t="inlineStr">
        <is>
          <t>10.5.1</t>
        </is>
      </c>
      <c r="B81" s="10" t="inlineStr">
        <is>
          <t>Using M.S. angels 40x40x6 mm for diagonal braces</t>
        </is>
      </c>
      <c r="C81" s="11" t="n"/>
      <c r="D81" s="11" t="n"/>
      <c r="E81" s="11" t="n"/>
      <c r="F81" s="11" t="n"/>
    </row>
    <row r="82">
      <c r="A82" s="12" t="inlineStr">
        <is>
          <t>Rate basis: per sqm  (source: cost for 5.76 sqm)</t>
        </is>
      </c>
    </row>
    <row r="83">
      <c r="A83" s="5" t="inlineStr">
        <is>
          <t>Code</t>
        </is>
      </c>
      <c r="B83" s="5" t="inlineStr">
        <is>
          <t>Description</t>
        </is>
      </c>
      <c r="C83" s="5" t="inlineStr">
        <is>
          <t>Unit</t>
        </is>
      </c>
      <c r="D83" s="5" t="inlineStr">
        <is>
          <t>Quantity</t>
        </is>
      </c>
      <c r="E83" s="5" t="inlineStr">
        <is>
          <t>Rate (Rs.)</t>
        </is>
      </c>
      <c r="F83" s="5" t="inlineStr">
        <is>
          <t>Amount (Rs.)</t>
        </is>
      </c>
    </row>
    <row r="84">
      <c r="A84" s="13" t="inlineStr">
        <is>
          <t>13.50.3</t>
        </is>
      </c>
      <c r="B84" s="14" t="inlineStr">
        <is>
          <t>Rate as per SH: 13.50.3</t>
        </is>
      </c>
      <c r="C84" s="13" t="inlineStr">
        <is>
          <t>sqm</t>
        </is>
      </c>
      <c r="D84" s="15" t="n">
        <v>15.41</v>
      </c>
      <c r="E84" s="16" t="n">
        <v>50.7</v>
      </c>
      <c r="F84" s="16">
        <f>D84*E84</f>
        <v/>
      </c>
    </row>
    <row r="85">
      <c r="A85" s="13" t="inlineStr">
        <is>
          <t>1013</t>
        </is>
      </c>
      <c r="B85" s="14" t="inlineStr">
        <is>
          <t>Mild steel sheets for tanks</t>
        </is>
      </c>
      <c r="C85" s="13" t="inlineStr">
        <is>
          <t>quintal</t>
        </is>
      </c>
      <c r="D85" s="15" t="n">
        <v>0.497</v>
      </c>
      <c r="E85" s="16" t="n">
        <v>4600</v>
      </c>
      <c r="F85" s="16">
        <f>D85*E85</f>
        <v/>
      </c>
    </row>
    <row r="86">
      <c r="A86" s="13" t="inlineStr">
        <is>
          <t>1013</t>
        </is>
      </c>
      <c r="B86" s="14" t="inlineStr">
        <is>
          <t>Mild steel sheets for tanks</t>
        </is>
      </c>
      <c r="C86" s="13" t="inlineStr">
        <is>
          <t>quintal</t>
        </is>
      </c>
      <c r="D86" s="15" t="n">
        <v>0.153</v>
      </c>
      <c r="E86" s="16" t="n">
        <v>4600</v>
      </c>
      <c r="F86" s="16">
        <f>D86*E86</f>
        <v/>
      </c>
    </row>
    <row r="87">
      <c r="A87" s="13" t="inlineStr">
        <is>
          <t>1007</t>
        </is>
      </c>
      <c r="B87" s="14" t="inlineStr">
        <is>
          <t>Structurals such as tees,angles channels and R.S. joists</t>
        </is>
      </c>
      <c r="C87" s="13" t="inlineStr">
        <is>
          <t>quintal</t>
        </is>
      </c>
      <c r="D87" s="15" t="n">
        <v>0.9360000000000001</v>
      </c>
      <c r="E87" s="16" t="n">
        <v>4600</v>
      </c>
      <c r="F87" s="16">
        <f>D87*E87</f>
        <v/>
      </c>
    </row>
    <row r="88">
      <c r="A88" s="13" t="inlineStr">
        <is>
          <t>2205</t>
        </is>
      </c>
      <c r="B88" s="14" t="inlineStr">
        <is>
          <t>Carriage of Steel</t>
        </is>
      </c>
      <c r="C88" s="13" t="inlineStr">
        <is>
          <t>tonne</t>
        </is>
      </c>
      <c r="D88" s="15" t="n">
        <v>0.1586</v>
      </c>
      <c r="E88" s="16" t="n">
        <v>92.23999999999999</v>
      </c>
      <c r="F88" s="16">
        <f>D88*E88</f>
        <v/>
      </c>
    </row>
    <row r="89">
      <c r="A89" s="13" t="inlineStr">
        <is>
          <t>1036</t>
        </is>
      </c>
      <c r="B89" s="14" t="inlineStr">
        <is>
          <t>Iron pintels including welded pin</t>
        </is>
      </c>
      <c r="C89" s="13" t="inlineStr">
        <is>
          <t>each</t>
        </is>
      </c>
      <c r="D89" s="15" t="n">
        <v>4</v>
      </c>
      <c r="E89" s="16" t="n">
        <v>37</v>
      </c>
      <c r="F89" s="16">
        <f>D89*E89</f>
        <v/>
      </c>
    </row>
    <row r="90">
      <c r="A90" s="13" t="inlineStr">
        <is>
          <t>1222</t>
        </is>
      </c>
      <c r="B90" s="14" t="inlineStr">
        <is>
          <t>Mild steel sheets with bolts and nuts to rest on pintels</t>
        </is>
      </c>
      <c r="C90" s="13" t="inlineStr">
        <is>
          <t>each</t>
        </is>
      </c>
      <c r="D90" s="15" t="n">
        <v>4</v>
      </c>
      <c r="E90" s="16" t="n">
        <v>120</v>
      </c>
      <c r="F90" s="16">
        <f>D90*E90</f>
        <v/>
      </c>
    </row>
    <row r="91">
      <c r="A91" s="13" t="inlineStr">
        <is>
          <t>1019</t>
        </is>
      </c>
      <c r="B91" s="14" t="inlineStr">
        <is>
          <t>Mild steel hooks</t>
        </is>
      </c>
      <c r="C91" s="13" t="inlineStr">
        <is>
          <t>each</t>
        </is>
      </c>
      <c r="D91" s="15" t="n">
        <v>2</v>
      </c>
      <c r="E91" s="16" t="n">
        <v>32</v>
      </c>
      <c r="F91" s="16">
        <f>D91*E91</f>
        <v/>
      </c>
    </row>
    <row r="92">
      <c r="A92" s="13" t="inlineStr">
        <is>
          <t>9999</t>
        </is>
      </c>
      <c r="B92" s="14" t="inlineStr">
        <is>
          <t>Locking arrangements and handles</t>
        </is>
      </c>
      <c r="C92" s="13" t="inlineStr">
        <is>
          <t>L.S.</t>
        </is>
      </c>
      <c r="D92" s="15" t="n">
        <v>167.7</v>
      </c>
      <c r="E92" s="16" t="n">
        <v>2</v>
      </c>
      <c r="F92" s="16">
        <f>D92*E92</f>
        <v/>
      </c>
    </row>
    <row r="93">
      <c r="A93" s="13" t="inlineStr">
        <is>
          <t>9999</t>
        </is>
      </c>
      <c r="B93" s="14" t="inlineStr">
        <is>
          <t>Rivets</t>
        </is>
      </c>
      <c r="C93" s="13" t="inlineStr">
        <is>
          <t>L.S.</t>
        </is>
      </c>
      <c r="D93" s="15" t="n">
        <v>269.1</v>
      </c>
      <c r="E93" s="16" t="n">
        <v>2</v>
      </c>
      <c r="F93" s="16">
        <f>D93*E93</f>
        <v/>
      </c>
    </row>
    <row r="94">
      <c r="A94" s="13" t="inlineStr">
        <is>
          <t>0116</t>
        </is>
      </c>
      <c r="B94" s="14" t="inlineStr">
        <is>
          <t>Fitter (grade 1)</t>
        </is>
      </c>
      <c r="C94" s="13" t="inlineStr">
        <is>
          <t>day</t>
        </is>
      </c>
      <c r="D94" s="15" t="n">
        <v>2</v>
      </c>
      <c r="E94" s="16" t="n">
        <v>738</v>
      </c>
      <c r="F94" s="16">
        <f>D94*E94</f>
        <v/>
      </c>
    </row>
    <row r="95">
      <c r="A95" s="13" t="inlineStr">
        <is>
          <t>0102</t>
        </is>
      </c>
      <c r="B95" s="14" t="inlineStr">
        <is>
          <t>Blacksmith 1st class</t>
        </is>
      </c>
      <c r="C95" s="13" t="inlineStr">
        <is>
          <t>day</t>
        </is>
      </c>
      <c r="D95" s="15" t="n">
        <v>3</v>
      </c>
      <c r="E95" s="16" t="n">
        <v>738</v>
      </c>
      <c r="F95" s="16">
        <f>D95*E95</f>
        <v/>
      </c>
    </row>
    <row r="96">
      <c r="A96" s="13" t="inlineStr">
        <is>
          <t>0103</t>
        </is>
      </c>
      <c r="B96" s="14" t="inlineStr">
        <is>
          <t>Blacksmith 2nd class</t>
        </is>
      </c>
      <c r="C96" s="13" t="inlineStr">
        <is>
          <t>day</t>
        </is>
      </c>
      <c r="D96" s="15" t="n">
        <v>4</v>
      </c>
      <c r="E96" s="16" t="n">
        <v>679</v>
      </c>
      <c r="F96" s="16">
        <f>D96*E96</f>
        <v/>
      </c>
    </row>
    <row r="97">
      <c r="A97" s="13" t="inlineStr">
        <is>
          <t>0123</t>
        </is>
      </c>
      <c r="B97" s="14" t="inlineStr">
        <is>
          <t>Mason (brick layer) 1st class</t>
        </is>
      </c>
      <c r="C97" s="13" t="inlineStr">
        <is>
          <t>day</t>
        </is>
      </c>
      <c r="D97" s="15" t="n">
        <v>0.06</v>
      </c>
      <c r="E97" s="16" t="n">
        <v>738</v>
      </c>
      <c r="F97" s="16">
        <f>D97*E97</f>
        <v/>
      </c>
    </row>
    <row r="98">
      <c r="A98" s="13" t="inlineStr">
        <is>
          <t>0124</t>
        </is>
      </c>
      <c r="B98" s="14" t="inlineStr">
        <is>
          <t>Mason (brick layer) 2nd class</t>
        </is>
      </c>
      <c r="C98" s="13" t="inlineStr">
        <is>
          <t>day</t>
        </is>
      </c>
      <c r="D98" s="15" t="n">
        <v>0.06</v>
      </c>
      <c r="E98" s="16" t="n">
        <v>679</v>
      </c>
      <c r="F98" s="16">
        <f>D98*E98</f>
        <v/>
      </c>
    </row>
    <row r="99">
      <c r="A99" s="13" t="inlineStr">
        <is>
          <t>0114</t>
        </is>
      </c>
      <c r="B99" s="14" t="inlineStr">
        <is>
          <t>Beldar</t>
        </is>
      </c>
      <c r="C99" s="13" t="inlineStr">
        <is>
          <t>day</t>
        </is>
      </c>
      <c r="D99" s="15" t="n">
        <v>5</v>
      </c>
      <c r="E99" s="16" t="n">
        <v>558</v>
      </c>
      <c r="F99" s="16">
        <f>D99*E99</f>
        <v/>
      </c>
    </row>
    <row r="100">
      <c r="A100" s="13" t="inlineStr">
        <is>
          <t>9999</t>
        </is>
      </c>
      <c r="B100" s="14" t="inlineStr">
        <is>
          <t>Sundries</t>
        </is>
      </c>
      <c r="C100" s="13" t="inlineStr">
        <is>
          <t>L.S.</t>
        </is>
      </c>
      <c r="D100" s="15" t="n">
        <v>161.46</v>
      </c>
      <c r="E100" s="16" t="n">
        <v>2</v>
      </c>
      <c r="F100" s="16">
        <f>D100*E100</f>
        <v/>
      </c>
    </row>
    <row r="101">
      <c r="A101" s="17" t="inlineStr">
        <is>
          <t>Resource Total (Material + Labour + Machinery, as printed)</t>
        </is>
      </c>
      <c r="B101" s="18" t="n"/>
      <c r="C101" s="18" t="n"/>
      <c r="D101" s="18" t="n"/>
      <c r="E101" s="18" t="n"/>
      <c r="F101" s="19">
        <f>SUM(F84:F100)</f>
        <v/>
      </c>
    </row>
    <row r="102">
      <c r="A102" s="20" t="inlineStr">
        <is>
          <t>SAY (Rs.) — final DAR rate</t>
        </is>
      </c>
      <c r="B102" s="21" t="n"/>
      <c r="C102" s="21" t="n"/>
      <c r="D102" s="21" t="n"/>
      <c r="E102" s="21" t="n"/>
      <c r="F102" s="22" t="n">
        <v>4428.15</v>
      </c>
    </row>
    <row r="104" ht="18" customHeight="1">
      <c r="A104" s="9" t="inlineStr">
        <is>
          <t>10.5.2</t>
        </is>
      </c>
      <c r="B104" s="10" t="inlineStr">
        <is>
          <t>Using flats 30x6mm for diagonal braces and central cross piece</t>
        </is>
      </c>
      <c r="C104" s="11" t="n"/>
      <c r="D104" s="11" t="n"/>
      <c r="E104" s="11" t="n"/>
      <c r="F104" s="11" t="n"/>
    </row>
    <row r="105">
      <c r="A105" s="12" t="inlineStr">
        <is>
          <t>Rate basis: per sqm  (source: cost for 5.76 sqm)</t>
        </is>
      </c>
    </row>
    <row r="106">
      <c r="A106" s="5" t="inlineStr">
        <is>
          <t>Code</t>
        </is>
      </c>
      <c r="B106" s="5" t="inlineStr">
        <is>
          <t>Description</t>
        </is>
      </c>
      <c r="C106" s="5" t="inlineStr">
        <is>
          <t>Unit</t>
        </is>
      </c>
      <c r="D106" s="5" t="inlineStr">
        <is>
          <t>Quantity</t>
        </is>
      </c>
      <c r="E106" s="5" t="inlineStr">
        <is>
          <t>Rate (Rs.)</t>
        </is>
      </c>
      <c r="F106" s="5" t="inlineStr">
        <is>
          <t>Amount (Rs.)</t>
        </is>
      </c>
    </row>
    <row r="107">
      <c r="A107" s="13" t="inlineStr">
        <is>
          <t>13.50.3</t>
        </is>
      </c>
      <c r="B107" s="14" t="inlineStr">
        <is>
          <t>Rate as per SH: 13.50.3</t>
        </is>
      </c>
      <c r="C107" s="13" t="inlineStr">
        <is>
          <t>sqm</t>
        </is>
      </c>
      <c r="D107" s="15" t="n">
        <v>14.7</v>
      </c>
      <c r="E107" s="16" t="n">
        <v>50.7</v>
      </c>
      <c r="F107" s="16">
        <f>D107*E107</f>
        <v/>
      </c>
    </row>
    <row r="108">
      <c r="A108" s="13" t="inlineStr">
        <is>
          <t>1013</t>
        </is>
      </c>
      <c r="B108" s="14" t="inlineStr">
        <is>
          <t>Mild steel sheets for tanks</t>
        </is>
      </c>
      <c r="C108" s="13" t="inlineStr">
        <is>
          <t>quintal</t>
        </is>
      </c>
      <c r="D108" s="15" t="n">
        <v>0.497</v>
      </c>
      <c r="E108" s="16" t="n">
        <v>4600</v>
      </c>
      <c r="F108" s="16">
        <f>D108*E108</f>
        <v/>
      </c>
    </row>
    <row r="109">
      <c r="A109" s="13" t="inlineStr">
        <is>
          <t>1010</t>
        </is>
      </c>
      <c r="B109" s="14" t="inlineStr">
        <is>
          <t>Mild steel plates</t>
        </is>
      </c>
      <c r="C109" s="13" t="inlineStr">
        <is>
          <t>quintal</t>
        </is>
      </c>
      <c r="D109" s="15" t="n">
        <v>0.2078</v>
      </c>
      <c r="E109" s="16" t="n">
        <v>4800</v>
      </c>
      <c r="F109" s="16">
        <f>D109*E109</f>
        <v/>
      </c>
    </row>
    <row r="110">
      <c r="A110" s="13" t="inlineStr">
        <is>
          <t>1007</t>
        </is>
      </c>
      <c r="B110" s="14" t="inlineStr">
        <is>
          <t>Structurals such as tees, angles channels and R.S. joists</t>
        </is>
      </c>
      <c r="C110" s="13" t="inlineStr">
        <is>
          <t>quintal</t>
        </is>
      </c>
      <c r="D110" s="15" t="n">
        <v>0.554</v>
      </c>
      <c r="E110" s="16" t="n">
        <v>4600</v>
      </c>
      <c r="F110" s="16">
        <f>D110*E110</f>
        <v/>
      </c>
    </row>
    <row r="111">
      <c r="A111" s="13" t="inlineStr">
        <is>
          <t>1008</t>
        </is>
      </c>
      <c r="B111" s="14" t="inlineStr">
        <is>
          <t>Flats upto 10 mm in thickness</t>
        </is>
      </c>
      <c r="C111" s="13" t="inlineStr">
        <is>
          <t>quintal</t>
        </is>
      </c>
      <c r="D111" s="15" t="n">
        <v>0.188</v>
      </c>
      <c r="E111" s="16" t="n">
        <v>4500</v>
      </c>
      <c r="F111" s="16">
        <f>D111*E111</f>
        <v/>
      </c>
    </row>
    <row r="112">
      <c r="A112" s="13" t="inlineStr">
        <is>
          <t>2205</t>
        </is>
      </c>
      <c r="B112" s="14" t="inlineStr">
        <is>
          <t>Carriage of Steel</t>
        </is>
      </c>
      <c r="C112" s="13" t="inlineStr">
        <is>
          <t>tonne</t>
        </is>
      </c>
      <c r="D112" s="15" t="n">
        <v>0.1447</v>
      </c>
      <c r="E112" s="16" t="n">
        <v>92.23999999999999</v>
      </c>
      <c r="F112" s="16">
        <f>D112*E112</f>
        <v/>
      </c>
    </row>
    <row r="113">
      <c r="A113" s="13" t="inlineStr">
        <is>
          <t>1036</t>
        </is>
      </c>
      <c r="B113" s="14" t="inlineStr">
        <is>
          <t>Iron pintels including welded pin</t>
        </is>
      </c>
      <c r="C113" s="13" t="inlineStr">
        <is>
          <t>each</t>
        </is>
      </c>
      <c r="D113" s="15" t="n">
        <v>4</v>
      </c>
      <c r="E113" s="16" t="n">
        <v>37</v>
      </c>
      <c r="F113" s="16">
        <f>D113*E113</f>
        <v/>
      </c>
    </row>
    <row r="114">
      <c r="A114" s="13" t="inlineStr">
        <is>
          <t>1222</t>
        </is>
      </c>
      <c r="B114" s="14" t="inlineStr">
        <is>
          <t>Mild steel sheets with bolts and nuts to rest on pintels</t>
        </is>
      </c>
      <c r="C114" s="13" t="inlineStr">
        <is>
          <t>each</t>
        </is>
      </c>
      <c r="D114" s="15" t="n">
        <v>4</v>
      </c>
      <c r="E114" s="16" t="n">
        <v>120</v>
      </c>
      <c r="F114" s="16">
        <f>D114*E114</f>
        <v/>
      </c>
    </row>
    <row r="115">
      <c r="A115" s="13" t="inlineStr">
        <is>
          <t>1019</t>
        </is>
      </c>
      <c r="B115" s="14" t="inlineStr">
        <is>
          <t>Mild steel hooks</t>
        </is>
      </c>
      <c r="C115" s="13" t="inlineStr">
        <is>
          <t>each</t>
        </is>
      </c>
      <c r="D115" s="15" t="n">
        <v>2</v>
      </c>
      <c r="E115" s="16" t="n">
        <v>32</v>
      </c>
      <c r="F115" s="16">
        <f>D115*E115</f>
        <v/>
      </c>
    </row>
    <row r="116">
      <c r="A116" s="13" t="inlineStr">
        <is>
          <t>9999</t>
        </is>
      </c>
      <c r="B116" s="14" t="inlineStr">
        <is>
          <t>Locking arrangements and handles</t>
        </is>
      </c>
      <c r="C116" s="13" t="inlineStr">
        <is>
          <t>L.S.</t>
        </is>
      </c>
      <c r="D116" s="15" t="n">
        <v>167.7</v>
      </c>
      <c r="E116" s="16" t="n">
        <v>2</v>
      </c>
      <c r="F116" s="16">
        <f>D116*E116</f>
        <v/>
      </c>
    </row>
    <row r="117">
      <c r="A117" s="13" t="inlineStr">
        <is>
          <t>9999</t>
        </is>
      </c>
      <c r="B117" s="14" t="inlineStr">
        <is>
          <t>Rivets</t>
        </is>
      </c>
      <c r="C117" s="13" t="inlineStr">
        <is>
          <t>L.S.</t>
        </is>
      </c>
      <c r="D117" s="15" t="n">
        <v>269.1</v>
      </c>
      <c r="E117" s="16" t="n">
        <v>2</v>
      </c>
      <c r="F117" s="16">
        <f>D117*E117</f>
        <v/>
      </c>
    </row>
    <row r="118">
      <c r="A118" s="13" t="inlineStr">
        <is>
          <t>0116</t>
        </is>
      </c>
      <c r="B118" s="14" t="inlineStr">
        <is>
          <t>Fitter (grade 1)</t>
        </is>
      </c>
      <c r="C118" s="13" t="inlineStr">
        <is>
          <t>day</t>
        </is>
      </c>
      <c r="D118" s="15" t="n">
        <v>2</v>
      </c>
      <c r="E118" s="16" t="n">
        <v>738</v>
      </c>
      <c r="F118" s="16">
        <f>D118*E118</f>
        <v/>
      </c>
    </row>
    <row r="119">
      <c r="A119" s="13" t="inlineStr">
        <is>
          <t>0102</t>
        </is>
      </c>
      <c r="B119" s="14" t="inlineStr">
        <is>
          <t>Blacksmith 1st class</t>
        </is>
      </c>
      <c r="C119" s="13" t="inlineStr">
        <is>
          <t>day</t>
        </is>
      </c>
      <c r="D119" s="15" t="n">
        <v>3</v>
      </c>
      <c r="E119" s="16" t="n">
        <v>738</v>
      </c>
      <c r="F119" s="16">
        <f>D119*E119</f>
        <v/>
      </c>
    </row>
    <row r="120">
      <c r="A120" s="13" t="inlineStr">
        <is>
          <t>0103</t>
        </is>
      </c>
      <c r="B120" s="14" t="inlineStr">
        <is>
          <t>Blacksmith 2nd class</t>
        </is>
      </c>
      <c r="C120" s="13" t="inlineStr">
        <is>
          <t>day</t>
        </is>
      </c>
      <c r="D120" s="15" t="n">
        <v>4</v>
      </c>
      <c r="E120" s="16" t="n">
        <v>679</v>
      </c>
      <c r="F120" s="16">
        <f>D120*E120</f>
        <v/>
      </c>
    </row>
    <row r="121">
      <c r="A121" s="13" t="inlineStr">
        <is>
          <t>0123</t>
        </is>
      </c>
      <c r="B121" s="14" t="inlineStr">
        <is>
          <t>Mason (brick layer) 1st class</t>
        </is>
      </c>
      <c r="C121" s="13" t="inlineStr">
        <is>
          <t>day</t>
        </is>
      </c>
      <c r="D121" s="15" t="n">
        <v>0.06</v>
      </c>
      <c r="E121" s="16" t="n">
        <v>738</v>
      </c>
      <c r="F121" s="16">
        <f>D121*E121</f>
        <v/>
      </c>
    </row>
    <row r="122">
      <c r="A122" s="13" t="inlineStr">
        <is>
          <t>0124</t>
        </is>
      </c>
      <c r="B122" s="14" t="inlineStr">
        <is>
          <t>Mason (brick layer) 2nd class</t>
        </is>
      </c>
      <c r="C122" s="13" t="inlineStr">
        <is>
          <t>day</t>
        </is>
      </c>
      <c r="D122" s="15" t="n">
        <v>0.06</v>
      </c>
      <c r="E122" s="16" t="n">
        <v>679</v>
      </c>
      <c r="F122" s="16">
        <f>D122*E122</f>
        <v/>
      </c>
    </row>
    <row r="123">
      <c r="A123" s="13" t="inlineStr">
        <is>
          <t>0114</t>
        </is>
      </c>
      <c r="B123" s="14" t="inlineStr">
        <is>
          <t>Beldar</t>
        </is>
      </c>
      <c r="C123" s="13" t="inlineStr">
        <is>
          <t>day</t>
        </is>
      </c>
      <c r="D123" s="15" t="n">
        <v>5</v>
      </c>
      <c r="E123" s="16" t="n">
        <v>558</v>
      </c>
      <c r="F123" s="16">
        <f>D123*E123</f>
        <v/>
      </c>
    </row>
    <row r="124">
      <c r="A124" s="13" t="inlineStr">
        <is>
          <t>9999</t>
        </is>
      </c>
      <c r="B124" s="14" t="inlineStr">
        <is>
          <t>Sundries</t>
        </is>
      </c>
      <c r="C124" s="13" t="inlineStr">
        <is>
          <t>L.S.</t>
        </is>
      </c>
      <c r="D124" s="15" t="n">
        <v>161.46</v>
      </c>
      <c r="E124" s="16" t="n">
        <v>2</v>
      </c>
      <c r="F124" s="16">
        <f>D124*E124</f>
        <v/>
      </c>
    </row>
    <row r="125">
      <c r="A125" s="17" t="inlineStr">
        <is>
          <t>Resource Total (Material + Labour + Machinery, as printed)</t>
        </is>
      </c>
      <c r="B125" s="18" t="n"/>
      <c r="C125" s="18" t="n"/>
      <c r="D125" s="18" t="n"/>
      <c r="E125" s="18" t="n"/>
      <c r="F125" s="19">
        <f>SUM(F107:F124)</f>
        <v/>
      </c>
    </row>
    <row r="126">
      <c r="A126" s="20" t="inlineStr">
        <is>
          <t>SAY (Rs.) — final DAR rate</t>
        </is>
      </c>
      <c r="B126" s="21" t="n"/>
      <c r="C126" s="21" t="n"/>
      <c r="D126" s="21" t="n"/>
      <c r="E126" s="21" t="n"/>
      <c r="F126" s="22" t="n">
        <v>4278.15</v>
      </c>
    </row>
    <row r="128" ht="18" customHeight="1">
      <c r="A128" s="9" t="inlineStr">
        <is>
          <t>10.6.1</t>
        </is>
      </c>
      <c r="B128" s="10" t="inlineStr">
        <is>
          <t>80x1.25 mm M.S. laths with 1.25 mm thick top cover</t>
        </is>
      </c>
      <c r="C128" s="11" t="n"/>
      <c r="D128" s="11" t="n"/>
      <c r="E128" s="11" t="n"/>
      <c r="F128" s="11" t="n"/>
    </row>
    <row r="129">
      <c r="A129" s="12" t="inlineStr">
        <is>
          <t>Rate basis: per sqm  (source: cost for 7.5 sqm)</t>
        </is>
      </c>
    </row>
    <row r="130">
      <c r="A130" s="5" t="inlineStr">
        <is>
          <t>Code</t>
        </is>
      </c>
      <c r="B130" s="5" t="inlineStr">
        <is>
          <t>Description</t>
        </is>
      </c>
      <c r="C130" s="5" t="inlineStr">
        <is>
          <t>Unit</t>
        </is>
      </c>
      <c r="D130" s="5" t="inlineStr">
        <is>
          <t>Quantity</t>
        </is>
      </c>
      <c r="E130" s="5" t="inlineStr">
        <is>
          <t>Rate (Rs.)</t>
        </is>
      </c>
      <c r="F130" s="5" t="inlineStr">
        <is>
          <t>Amount (Rs.)</t>
        </is>
      </c>
    </row>
    <row r="131">
      <c r="A131" s="13" t="inlineStr">
        <is>
          <t>0973</t>
        </is>
      </c>
      <c r="B131" s="14" t="inlineStr">
        <is>
          <t>Rolling shutter made of 80x1.25 mm machine rolled laths</t>
        </is>
      </c>
      <c r="C131" s="13" t="inlineStr">
        <is>
          <t>sqm</t>
        </is>
      </c>
      <c r="D131" s="15" t="n">
        <v>7.5</v>
      </c>
      <c r="E131" s="16" t="n">
        <v>1400</v>
      </c>
      <c r="F131" s="16">
        <f>D131*E131</f>
        <v/>
      </c>
    </row>
    <row r="132">
      <c r="A132" s="13" t="inlineStr">
        <is>
          <t>0974</t>
        </is>
      </c>
      <c r="B132" s="14" t="inlineStr">
        <is>
          <t>Top cover for rolling shutters 1.25 mm thick</t>
        </is>
      </c>
      <c r="C132" s="13" t="inlineStr">
        <is>
          <t>metre</t>
        </is>
      </c>
      <c r="D132" s="15" t="n">
        <v>2.5</v>
      </c>
      <c r="E132" s="16" t="n">
        <v>800</v>
      </c>
      <c r="F132" s="16">
        <f>D132*E132</f>
        <v/>
      </c>
    </row>
    <row r="133">
      <c r="A133" s="13" t="inlineStr">
        <is>
          <t>0975</t>
        </is>
      </c>
      <c r="B133" s="14" t="inlineStr">
        <is>
          <t>27.5 cm long wire spring grade no 2 for rolling shutters</t>
        </is>
      </c>
      <c r="C133" s="13" t="inlineStr">
        <is>
          <t>each</t>
        </is>
      </c>
      <c r="D133" s="15" t="n">
        <v>1</v>
      </c>
      <c r="E133" s="16" t="n">
        <v>300</v>
      </c>
      <c r="F133" s="16">
        <f>D133*E133</f>
        <v/>
      </c>
    </row>
    <row r="134">
      <c r="A134" s="13" t="inlineStr">
        <is>
          <t>9977</t>
        </is>
      </c>
      <c r="B134" s="14" t="inlineStr">
        <is>
          <t>CARRIAGE</t>
        </is>
      </c>
      <c r="C134" s="13" t="inlineStr">
        <is>
          <t>L.S.</t>
        </is>
      </c>
      <c r="D134" s="15" t="n">
        <v>53.82</v>
      </c>
      <c r="E134" s="16" t="n">
        <v>2</v>
      </c>
      <c r="F134" s="16">
        <f>D134*E134</f>
        <v/>
      </c>
    </row>
    <row r="135">
      <c r="A135" s="13" t="inlineStr">
        <is>
          <t>0116</t>
        </is>
      </c>
      <c r="B135" s="14" t="inlineStr">
        <is>
          <t>Fitter (grade 1)</t>
        </is>
      </c>
      <c r="C135" s="13" t="inlineStr">
        <is>
          <t>day</t>
        </is>
      </c>
      <c r="D135" s="15" t="n">
        <v>2.55</v>
      </c>
      <c r="E135" s="16" t="n">
        <v>738</v>
      </c>
      <c r="F135" s="16">
        <f>D135*E135</f>
        <v/>
      </c>
    </row>
    <row r="136">
      <c r="A136" s="13" t="inlineStr">
        <is>
          <t>0114</t>
        </is>
      </c>
      <c r="B136" s="14" t="inlineStr">
        <is>
          <t>Beldar</t>
        </is>
      </c>
      <c r="C136" s="13" t="inlineStr">
        <is>
          <t>day</t>
        </is>
      </c>
      <c r="D136" s="15" t="n">
        <v>2.55</v>
      </c>
      <c r="E136" s="16" t="n">
        <v>558</v>
      </c>
      <c r="F136" s="16">
        <f>D136*E136</f>
        <v/>
      </c>
    </row>
    <row r="137">
      <c r="A137" s="13" t="inlineStr">
        <is>
          <t>0123</t>
        </is>
      </c>
      <c r="B137" s="14" t="inlineStr">
        <is>
          <t>Mason (brick layer) 1st class</t>
        </is>
      </c>
      <c r="C137" s="13" t="inlineStr">
        <is>
          <t>day</t>
        </is>
      </c>
      <c r="D137" s="15" t="n">
        <v>0.12</v>
      </c>
      <c r="E137" s="16" t="n">
        <v>738</v>
      </c>
      <c r="F137" s="16">
        <f>D137*E137</f>
        <v/>
      </c>
    </row>
    <row r="138">
      <c r="A138" s="13" t="inlineStr">
        <is>
          <t>0124</t>
        </is>
      </c>
      <c r="B138" s="14" t="inlineStr">
        <is>
          <t>Mason (brick layer) 2nd class</t>
        </is>
      </c>
      <c r="C138" s="13" t="inlineStr">
        <is>
          <t>day</t>
        </is>
      </c>
      <c r="D138" s="15" t="n">
        <v>0.12</v>
      </c>
      <c r="E138" s="16" t="n">
        <v>679</v>
      </c>
      <c r="F138" s="16">
        <f>D138*E138</f>
        <v/>
      </c>
    </row>
    <row r="139">
      <c r="A139" s="13" t="inlineStr">
        <is>
          <t>9999</t>
        </is>
      </c>
      <c r="B139" s="14" t="inlineStr">
        <is>
          <t>Sundries</t>
        </is>
      </c>
      <c r="C139" s="13" t="inlineStr">
        <is>
          <t>L.S.</t>
        </is>
      </c>
      <c r="D139" s="15" t="n">
        <v>60.58</v>
      </c>
      <c r="E139" s="16" t="n">
        <v>2</v>
      </c>
      <c r="F139" s="16">
        <f>D139*E139</f>
        <v/>
      </c>
    </row>
    <row r="140">
      <c r="A140" s="17" t="inlineStr">
        <is>
          <t>Resource Total (Material + Labour + Machinery, as printed)</t>
        </is>
      </c>
      <c r="B140" s="18" t="n"/>
      <c r="C140" s="18" t="n"/>
      <c r="D140" s="18" t="n"/>
      <c r="E140" s="18" t="n"/>
      <c r="F140" s="19">
        <f>SUM(F131:F139)</f>
        <v/>
      </c>
    </row>
    <row r="141">
      <c r="A141" s="20" t="inlineStr">
        <is>
          <t>SAY (Rs.) — final DAR rate</t>
        </is>
      </c>
      <c r="B141" s="21" t="n"/>
      <c r="C141" s="21" t="n"/>
      <c r="D141" s="21" t="n"/>
      <c r="E141" s="21" t="n"/>
      <c r="F141" s="22" t="n">
        <v>2944.1</v>
      </c>
    </row>
    <row r="143" ht="18" customHeight="1">
      <c r="A143" s="9" t="inlineStr">
        <is>
          <t>10.6.2</t>
        </is>
      </c>
      <c r="B143" s="10" t="inlineStr">
        <is>
          <t>80x1.20 mm M.S. laths with 1.20 mm thick top cover</t>
        </is>
      </c>
      <c r="C143" s="11" t="n"/>
      <c r="D143" s="11" t="n"/>
      <c r="E143" s="11" t="n"/>
      <c r="F143" s="11" t="n"/>
    </row>
    <row r="144">
      <c r="A144" s="12" t="inlineStr">
        <is>
          <t>Rate basis: per sqm  (source: cost for 7.5 sqm)</t>
        </is>
      </c>
    </row>
    <row r="145">
      <c r="A145" s="5" t="inlineStr">
        <is>
          <t>Code</t>
        </is>
      </c>
      <c r="B145" s="5" t="inlineStr">
        <is>
          <t>Description</t>
        </is>
      </c>
      <c r="C145" s="5" t="inlineStr">
        <is>
          <t>Unit</t>
        </is>
      </c>
      <c r="D145" s="5" t="inlineStr">
        <is>
          <t>Quantity</t>
        </is>
      </c>
      <c r="E145" s="5" t="inlineStr">
        <is>
          <t>Rate (Rs.)</t>
        </is>
      </c>
      <c r="F145" s="5" t="inlineStr">
        <is>
          <t>Amount (Rs.)</t>
        </is>
      </c>
    </row>
    <row r="146">
      <c r="A146" s="13" t="inlineStr">
        <is>
          <t>7045</t>
        </is>
      </c>
      <c r="B146" s="14" t="inlineStr">
        <is>
          <t>Rolling shutters of 80x1.2 mm laths</t>
        </is>
      </c>
      <c r="C146" s="13" t="inlineStr">
        <is>
          <t>sqm</t>
        </is>
      </c>
      <c r="D146" s="15" t="n">
        <v>7.5</v>
      </c>
      <c r="E146" s="16" t="n">
        <v>1375</v>
      </c>
      <c r="F146" s="16">
        <f>D146*E146</f>
        <v/>
      </c>
    </row>
    <row r="147">
      <c r="A147" s="13" t="inlineStr">
        <is>
          <t>7047</t>
        </is>
      </c>
      <c r="B147" s="14" t="inlineStr">
        <is>
          <t>Top cover of Rolling shutters 1.20 mm thick</t>
        </is>
      </c>
      <c r="C147" s="13" t="inlineStr">
        <is>
          <t>metre</t>
        </is>
      </c>
      <c r="D147" s="15" t="n">
        <v>2.5</v>
      </c>
      <c r="E147" s="16" t="n">
        <v>560</v>
      </c>
      <c r="F147" s="16">
        <f>D147*E147</f>
        <v/>
      </c>
    </row>
    <row r="148">
      <c r="A148" s="13" t="inlineStr">
        <is>
          <t>0975</t>
        </is>
      </c>
      <c r="B148" s="14" t="inlineStr">
        <is>
          <t>27.5 cm long wire spring grade no 2 for rolling shutters</t>
        </is>
      </c>
      <c r="C148" s="13" t="inlineStr">
        <is>
          <t>each</t>
        </is>
      </c>
      <c r="D148" s="15" t="n">
        <v>1</v>
      </c>
      <c r="E148" s="16" t="n">
        <v>300</v>
      </c>
      <c r="F148" s="16">
        <f>D148*E148</f>
        <v/>
      </c>
    </row>
    <row r="149">
      <c r="A149" s="13" t="inlineStr">
        <is>
          <t>9977</t>
        </is>
      </c>
      <c r="B149" s="14" t="inlineStr">
        <is>
          <t>CARRIAGE</t>
        </is>
      </c>
      <c r="C149" s="13" t="inlineStr">
        <is>
          <t>L.S.</t>
        </is>
      </c>
      <c r="D149" s="15" t="n">
        <v>53.82</v>
      </c>
      <c r="E149" s="16" t="n">
        <v>2</v>
      </c>
      <c r="F149" s="16">
        <f>D149*E149</f>
        <v/>
      </c>
    </row>
    <row r="150">
      <c r="A150" s="13" t="inlineStr">
        <is>
          <t>0116</t>
        </is>
      </c>
      <c r="B150" s="14" t="inlineStr">
        <is>
          <t>Fitter (grade 1)</t>
        </is>
      </c>
      <c r="C150" s="13" t="inlineStr">
        <is>
          <t>day</t>
        </is>
      </c>
      <c r="D150" s="15" t="n">
        <v>2.55</v>
      </c>
      <c r="E150" s="16" t="n">
        <v>738</v>
      </c>
      <c r="F150" s="16">
        <f>D150*E150</f>
        <v/>
      </c>
    </row>
    <row r="151">
      <c r="A151" s="13" t="inlineStr">
        <is>
          <t>0114</t>
        </is>
      </c>
      <c r="B151" s="14" t="inlineStr">
        <is>
          <t>Beldar</t>
        </is>
      </c>
      <c r="C151" s="13" t="inlineStr">
        <is>
          <t>day</t>
        </is>
      </c>
      <c r="D151" s="15" t="n">
        <v>2.55</v>
      </c>
      <c r="E151" s="16" t="n">
        <v>558</v>
      </c>
      <c r="F151" s="16">
        <f>D151*E151</f>
        <v/>
      </c>
    </row>
    <row r="152">
      <c r="A152" s="13" t="inlineStr">
        <is>
          <t>0123</t>
        </is>
      </c>
      <c r="B152" s="14" t="inlineStr">
        <is>
          <t>Mason (brick layer) 1st class</t>
        </is>
      </c>
      <c r="C152" s="13" t="inlineStr">
        <is>
          <t>day</t>
        </is>
      </c>
      <c r="D152" s="15" t="n">
        <v>0.12</v>
      </c>
      <c r="E152" s="16" t="n">
        <v>738</v>
      </c>
      <c r="F152" s="16">
        <f>D152*E152</f>
        <v/>
      </c>
    </row>
    <row r="153">
      <c r="A153" s="13" t="inlineStr">
        <is>
          <t>0124</t>
        </is>
      </c>
      <c r="B153" s="14" t="inlineStr">
        <is>
          <t>Mason (brick layer) 2nd class</t>
        </is>
      </c>
      <c r="C153" s="13" t="inlineStr">
        <is>
          <t>day</t>
        </is>
      </c>
      <c r="D153" s="15" t="n">
        <v>0.12</v>
      </c>
      <c r="E153" s="16" t="n">
        <v>679</v>
      </c>
      <c r="F153" s="16">
        <f>D153*E153</f>
        <v/>
      </c>
    </row>
    <row r="154">
      <c r="A154" s="13" t="inlineStr">
        <is>
          <t>9999</t>
        </is>
      </c>
      <c r="B154" s="14" t="inlineStr">
        <is>
          <t>Sundries</t>
        </is>
      </c>
      <c r="C154" s="13" t="inlineStr">
        <is>
          <t>L.S.</t>
        </is>
      </c>
      <c r="D154" s="15" t="n">
        <v>60.58</v>
      </c>
      <c r="E154" s="16" t="n">
        <v>2</v>
      </c>
      <c r="F154" s="16">
        <f>D154*E154</f>
        <v/>
      </c>
    </row>
    <row r="155">
      <c r="A155" s="17" t="inlineStr">
        <is>
          <t>Resource Total (Material + Labour + Machinery, as printed)</t>
        </is>
      </c>
      <c r="B155" s="18" t="n"/>
      <c r="C155" s="18" t="n"/>
      <c r="D155" s="18" t="n"/>
      <c r="E155" s="18" t="n"/>
      <c r="F155" s="19">
        <f>SUM(F146:F154)</f>
        <v/>
      </c>
    </row>
    <row r="156">
      <c r="A156" s="20" t="inlineStr">
        <is>
          <t>SAY (Rs.) — final DAR rate</t>
        </is>
      </c>
      <c r="B156" s="21" t="n"/>
      <c r="C156" s="21" t="n"/>
      <c r="D156" s="21" t="n"/>
      <c r="E156" s="21" t="n"/>
      <c r="F156" s="22" t="n">
        <v>2803.65</v>
      </c>
    </row>
    <row r="158" ht="18" customHeight="1">
      <c r="A158" s="9" t="inlineStr">
        <is>
          <t>10.6.3</t>
        </is>
      </c>
      <c r="B158" s="10" t="inlineStr">
        <is>
          <t>80x0.90 mm M.S. laths with 0.90 mm thick top cover</t>
        </is>
      </c>
      <c r="C158" s="11" t="n"/>
      <c r="D158" s="11" t="n"/>
      <c r="E158" s="11" t="n"/>
      <c r="F158" s="11" t="n"/>
    </row>
    <row r="159">
      <c r="A159" s="12" t="inlineStr">
        <is>
          <t>Rate basis: per sqm  (source: cost for 7.5 sqm)</t>
        </is>
      </c>
    </row>
    <row r="160">
      <c r="A160" s="5" t="inlineStr">
        <is>
          <t>Code</t>
        </is>
      </c>
      <c r="B160" s="5" t="inlineStr">
        <is>
          <t>Description</t>
        </is>
      </c>
      <c r="C160" s="5" t="inlineStr">
        <is>
          <t>Unit</t>
        </is>
      </c>
      <c r="D160" s="5" t="inlineStr">
        <is>
          <t>Quantity</t>
        </is>
      </c>
      <c r="E160" s="5" t="inlineStr">
        <is>
          <t>Rate (Rs.)</t>
        </is>
      </c>
      <c r="F160" s="5" t="inlineStr">
        <is>
          <t>Amount (Rs.)</t>
        </is>
      </c>
    </row>
    <row r="161">
      <c r="A161" s="13" t="inlineStr">
        <is>
          <t>7044</t>
        </is>
      </c>
      <c r="B161" s="14" t="inlineStr">
        <is>
          <t>Rolling shutters of 80x0.90 mm laths</t>
        </is>
      </c>
      <c r="C161" s="13" t="inlineStr">
        <is>
          <t>sqm</t>
        </is>
      </c>
      <c r="D161" s="15" t="n">
        <v>7.5</v>
      </c>
      <c r="E161" s="16" t="n">
        <v>1300</v>
      </c>
      <c r="F161" s="16">
        <f>D161*E161</f>
        <v/>
      </c>
    </row>
    <row r="162">
      <c r="A162" s="13" t="inlineStr">
        <is>
          <t>7046</t>
        </is>
      </c>
      <c r="B162" s="14" t="inlineStr">
        <is>
          <t>Top cover of Rolling shutters 0.90 mm thick</t>
        </is>
      </c>
      <c r="C162" s="13" t="inlineStr">
        <is>
          <t>metre</t>
        </is>
      </c>
      <c r="D162" s="15" t="n">
        <v>2.5</v>
      </c>
      <c r="E162" s="16" t="n">
        <v>450</v>
      </c>
      <c r="F162" s="16">
        <f>D162*E162</f>
        <v/>
      </c>
    </row>
    <row r="163">
      <c r="A163" s="13" t="inlineStr">
        <is>
          <t>0975</t>
        </is>
      </c>
      <c r="B163" s="14" t="inlineStr">
        <is>
          <t>27.5 cm long wire spring grade no 2 for rolling shutters</t>
        </is>
      </c>
      <c r="C163" s="13" t="inlineStr">
        <is>
          <t>each</t>
        </is>
      </c>
      <c r="D163" s="15" t="n">
        <v>1</v>
      </c>
      <c r="E163" s="16" t="n">
        <v>300</v>
      </c>
      <c r="F163" s="16">
        <f>D163*E163</f>
        <v/>
      </c>
    </row>
    <row r="164">
      <c r="A164" s="13" t="inlineStr">
        <is>
          <t>9977</t>
        </is>
      </c>
      <c r="B164" s="14" t="inlineStr">
        <is>
          <t>CARRIAGE</t>
        </is>
      </c>
      <c r="C164" s="13" t="inlineStr">
        <is>
          <t>L.S.</t>
        </is>
      </c>
      <c r="D164" s="15" t="n">
        <v>53.82</v>
      </c>
      <c r="E164" s="16" t="n">
        <v>2</v>
      </c>
      <c r="F164" s="16">
        <f>D164*E164</f>
        <v/>
      </c>
    </row>
    <row r="165">
      <c r="A165" s="13" t="inlineStr">
        <is>
          <t>0116</t>
        </is>
      </c>
      <c r="B165" s="14" t="inlineStr">
        <is>
          <t>Fitter (grade 1)</t>
        </is>
      </c>
      <c r="C165" s="13" t="inlineStr">
        <is>
          <t>day</t>
        </is>
      </c>
      <c r="D165" s="15" t="n">
        <v>2.55</v>
      </c>
      <c r="E165" s="16" t="n">
        <v>738</v>
      </c>
      <c r="F165" s="16">
        <f>D165*E165</f>
        <v/>
      </c>
    </row>
    <row r="166">
      <c r="A166" s="13" t="inlineStr">
        <is>
          <t>0114</t>
        </is>
      </c>
      <c r="B166" s="14" t="inlineStr">
        <is>
          <t>Beldar</t>
        </is>
      </c>
      <c r="C166" s="13" t="inlineStr">
        <is>
          <t>day</t>
        </is>
      </c>
      <c r="D166" s="15" t="n">
        <v>2.55</v>
      </c>
      <c r="E166" s="16" t="n">
        <v>558</v>
      </c>
      <c r="F166" s="16">
        <f>D166*E166</f>
        <v/>
      </c>
    </row>
    <row r="167">
      <c r="A167" s="13" t="inlineStr">
        <is>
          <t>0123</t>
        </is>
      </c>
      <c r="B167" s="14" t="inlineStr">
        <is>
          <t>Mason (brick layer) 1st class</t>
        </is>
      </c>
      <c r="C167" s="13" t="inlineStr">
        <is>
          <t>day</t>
        </is>
      </c>
      <c r="D167" s="15" t="n">
        <v>0.12</v>
      </c>
      <c r="E167" s="16" t="n">
        <v>738</v>
      </c>
      <c r="F167" s="16">
        <f>D167*E167</f>
        <v/>
      </c>
    </row>
    <row r="168">
      <c r="A168" s="13" t="inlineStr">
        <is>
          <t>0124</t>
        </is>
      </c>
      <c r="B168" s="14" t="inlineStr">
        <is>
          <t>Mason (brick layer) 2nd class</t>
        </is>
      </c>
      <c r="C168" s="13" t="inlineStr">
        <is>
          <t>day</t>
        </is>
      </c>
      <c r="D168" s="15" t="n">
        <v>0.12</v>
      </c>
      <c r="E168" s="16" t="n">
        <v>679</v>
      </c>
      <c r="F168" s="16">
        <f>D168*E168</f>
        <v/>
      </c>
    </row>
    <row r="169">
      <c r="A169" s="13" t="inlineStr">
        <is>
          <t>9999</t>
        </is>
      </c>
      <c r="B169" s="14" t="inlineStr">
        <is>
          <t>Sundries</t>
        </is>
      </c>
      <c r="C169" s="13" t="inlineStr">
        <is>
          <t>L.S.</t>
        </is>
      </c>
      <c r="D169" s="15" t="n">
        <v>60.58</v>
      </c>
      <c r="E169" s="16" t="n">
        <v>2</v>
      </c>
      <c r="F169" s="16">
        <f>D169*E169</f>
        <v/>
      </c>
    </row>
    <row r="170">
      <c r="A170" s="17" t="inlineStr">
        <is>
          <t>Resource Total (Material + Labour + Machinery, as printed)</t>
        </is>
      </c>
      <c r="B170" s="18" t="n"/>
      <c r="C170" s="18" t="n"/>
      <c r="D170" s="18" t="n"/>
      <c r="E170" s="18" t="n"/>
      <c r="F170" s="19">
        <f>SUM(F161:F169)</f>
        <v/>
      </c>
    </row>
    <row r="171">
      <c r="A171" s="20" t="inlineStr">
        <is>
          <t>SAY (Rs.) — final DAR rate</t>
        </is>
      </c>
      <c r="B171" s="21" t="n"/>
      <c r="C171" s="21" t="n"/>
      <c r="D171" s="21" t="n"/>
      <c r="E171" s="21" t="n"/>
      <c r="F171" s="22" t="n">
        <v>2654.25</v>
      </c>
    </row>
    <row r="173" ht="18" customHeight="1">
      <c r="A173" s="9" t="inlineStr">
        <is>
          <t>10.7</t>
        </is>
      </c>
      <c r="B173" s="10" t="inlineStr">
        <is>
          <t>Providing and fixing ball bearing for rolling shutters.</t>
        </is>
      </c>
      <c r="C173" s="11" t="n"/>
      <c r="D173" s="11" t="n"/>
      <c r="E173" s="11" t="n"/>
      <c r="F173" s="11" t="n"/>
    </row>
    <row r="174">
      <c r="A174" s="12" t="inlineStr">
        <is>
          <t>Rate basis: per No  (source: cost for 1 No)</t>
        </is>
      </c>
    </row>
    <row r="175">
      <c r="A175" s="5" t="inlineStr">
        <is>
          <t>Code</t>
        </is>
      </c>
      <c r="B175" s="5" t="inlineStr">
        <is>
          <t>Description</t>
        </is>
      </c>
      <c r="C175" s="5" t="inlineStr">
        <is>
          <t>Unit</t>
        </is>
      </c>
      <c r="D175" s="5" t="inlineStr">
        <is>
          <t>Quantity</t>
        </is>
      </c>
      <c r="E175" s="5" t="inlineStr">
        <is>
          <t>Rate (Rs.)</t>
        </is>
      </c>
      <c r="F175" s="5" t="inlineStr">
        <is>
          <t>Amount (Rs.)</t>
        </is>
      </c>
    </row>
    <row r="176">
      <c r="A176" s="13" t="inlineStr">
        <is>
          <t>0976</t>
        </is>
      </c>
      <c r="B176" s="14" t="inlineStr">
        <is>
          <t>Ball bearing for rolling shutters</t>
        </is>
      </c>
      <c r="C176" s="13" t="inlineStr">
        <is>
          <t>each</t>
        </is>
      </c>
      <c r="D176" s="15" t="n">
        <v>1</v>
      </c>
      <c r="E176" s="16" t="n">
        <v>260</v>
      </c>
      <c r="F176" s="16">
        <f>D176*E176</f>
        <v/>
      </c>
    </row>
    <row r="177">
      <c r="A177" s="13" t="inlineStr">
        <is>
          <t>9999</t>
        </is>
      </c>
      <c r="B177" s="14" t="inlineStr">
        <is>
          <t>Sundries</t>
        </is>
      </c>
      <c r="C177" s="13" t="inlineStr">
        <is>
          <t>L.S.</t>
        </is>
      </c>
      <c r="D177" s="15" t="n">
        <v>26.91</v>
      </c>
      <c r="E177" s="16" t="n">
        <v>2</v>
      </c>
      <c r="F177" s="16">
        <f>D177*E177</f>
        <v/>
      </c>
    </row>
    <row r="178">
      <c r="A178" s="17" t="inlineStr">
        <is>
          <t>Resource Total (Material + Labour + Machinery, as printed)</t>
        </is>
      </c>
      <c r="B178" s="18" t="n"/>
      <c r="C178" s="18" t="n"/>
      <c r="D178" s="18" t="n"/>
      <c r="E178" s="18" t="n"/>
      <c r="F178" s="19">
        <f>SUM(F176:F177)</f>
        <v/>
      </c>
    </row>
    <row r="179">
      <c r="A179" s="20" t="inlineStr">
        <is>
          <t>SAY (Rs.) — final DAR rate</t>
        </is>
      </c>
      <c r="B179" s="21" t="n"/>
      <c r="C179" s="21" t="n"/>
      <c r="D179" s="21" t="n"/>
      <c r="E179" s="21" t="n"/>
      <c r="F179" s="22" t="n">
        <v>419.85</v>
      </c>
    </row>
    <row r="181" ht="18" customHeight="1">
      <c r="A181" s="9" t="inlineStr">
        <is>
          <t>10.8.1</t>
        </is>
      </c>
      <c r="B181" s="10" t="inlineStr">
        <is>
          <t>Exceeding 10.00 sqm and upto 16.80 sqm in the area</t>
        </is>
      </c>
      <c r="C181" s="11" t="n"/>
      <c r="D181" s="11" t="n"/>
      <c r="E181" s="11" t="n"/>
      <c r="F181" s="11" t="n"/>
    </row>
    <row r="182">
      <c r="A182" s="12" t="inlineStr">
        <is>
          <t>Rate basis: per nos  (source: cost for 1 nos)</t>
        </is>
      </c>
    </row>
    <row r="183">
      <c r="A183" s="5" t="inlineStr">
        <is>
          <t>Code</t>
        </is>
      </c>
      <c r="B183" s="5" t="inlineStr">
        <is>
          <t>Description</t>
        </is>
      </c>
      <c r="C183" s="5" t="inlineStr">
        <is>
          <t>Unit</t>
        </is>
      </c>
      <c r="D183" s="5" t="inlineStr">
        <is>
          <t>Quantity</t>
        </is>
      </c>
      <c r="E183" s="5" t="inlineStr">
        <is>
          <t>Rate (Rs.)</t>
        </is>
      </c>
      <c r="F183" s="5" t="inlineStr">
        <is>
          <t>Amount (Rs.)</t>
        </is>
      </c>
    </row>
    <row r="184">
      <c r="A184" s="13" t="inlineStr">
        <is>
          <t>0977</t>
        </is>
      </c>
      <c r="B184" s="14" t="inlineStr">
        <is>
          <t>Extra for mechanical devices chain and cranked operation for operatingrolling shutters : exceeding 10.00 sq.m and upto 16.80 sq.m area of door</t>
        </is>
      </c>
      <c r="C184" s="13" t="inlineStr">
        <is>
          <t>sqm</t>
        </is>
      </c>
      <c r="D184" s="15" t="n">
        <v>1</v>
      </c>
      <c r="E184" s="16" t="n">
        <v>800</v>
      </c>
      <c r="F184" s="16">
        <f>D184*E184</f>
        <v/>
      </c>
    </row>
    <row r="185">
      <c r="A185" s="13" t="inlineStr">
        <is>
          <t>9999</t>
        </is>
      </c>
      <c r="B185" s="14" t="inlineStr">
        <is>
          <t>Sundries</t>
        </is>
      </c>
      <c r="C185" s="13" t="inlineStr">
        <is>
          <t>L.S.</t>
        </is>
      </c>
      <c r="D185" s="15" t="n">
        <v>13.52</v>
      </c>
      <c r="E185" s="16" t="n">
        <v>2</v>
      </c>
      <c r="F185" s="16">
        <f>D185*E185</f>
        <v/>
      </c>
    </row>
    <row r="186">
      <c r="A186" s="17" t="inlineStr">
        <is>
          <t>Resource Total (Material + Labour + Machinery, as printed)</t>
        </is>
      </c>
      <c r="B186" s="18" t="n"/>
      <c r="C186" s="18" t="n"/>
      <c r="D186" s="18" t="n"/>
      <c r="E186" s="18" t="n"/>
      <c r="F186" s="19">
        <f>SUM(F184:F185)</f>
        <v/>
      </c>
    </row>
    <row r="187">
      <c r="A187" s="20" t="inlineStr">
        <is>
          <t>SAY (Rs.) — final DAR rate</t>
        </is>
      </c>
      <c r="B187" s="21" t="n"/>
      <c r="C187" s="21" t="n"/>
      <c r="D187" s="21" t="n"/>
      <c r="E187" s="21" t="n"/>
      <c r="F187" s="22" t="n">
        <v>1106.55</v>
      </c>
    </row>
    <row r="189" ht="18" customHeight="1">
      <c r="A189" s="9" t="inlineStr">
        <is>
          <t>10.8.2</t>
        </is>
      </c>
      <c r="B189" s="10" t="inlineStr">
        <is>
          <t>Exceeding 16.80 sqm in area</t>
        </is>
      </c>
      <c r="C189" s="11" t="n"/>
      <c r="D189" s="11" t="n"/>
      <c r="E189" s="11" t="n"/>
      <c r="F189" s="11" t="n"/>
    </row>
    <row r="190">
      <c r="A190" s="12" t="inlineStr">
        <is>
          <t>Rate basis: per nos  (source: cost for 1 nos)</t>
        </is>
      </c>
    </row>
    <row r="191">
      <c r="A191" s="5" t="inlineStr">
        <is>
          <t>Code</t>
        </is>
      </c>
      <c r="B191" s="5" t="inlineStr">
        <is>
          <t>Description</t>
        </is>
      </c>
      <c r="C191" s="5" t="inlineStr">
        <is>
          <t>Unit</t>
        </is>
      </c>
      <c r="D191" s="5" t="inlineStr">
        <is>
          <t>Quantity</t>
        </is>
      </c>
      <c r="E191" s="5" t="inlineStr">
        <is>
          <t>Rate (Rs.)</t>
        </is>
      </c>
      <c r="F191" s="5" t="inlineStr">
        <is>
          <t>Amount (Rs.)</t>
        </is>
      </c>
    </row>
    <row r="192">
      <c r="A192" s="13" t="inlineStr">
        <is>
          <t>0978</t>
        </is>
      </c>
      <c r="B192" s="14" t="inlineStr">
        <is>
          <t>Extra for mechanical devices chain and cranked operation for operating rolling shutters : exceeding 16.80 sq.m area of door</t>
        </is>
      </c>
      <c r="C192" s="13" t="inlineStr">
        <is>
          <t>sqm</t>
        </is>
      </c>
      <c r="D192" s="15" t="n">
        <v>1</v>
      </c>
      <c r="E192" s="16" t="n">
        <v>800</v>
      </c>
      <c r="F192" s="16">
        <f>D192*E192</f>
        <v/>
      </c>
    </row>
    <row r="193">
      <c r="A193" s="13" t="inlineStr">
        <is>
          <t>9999</t>
        </is>
      </c>
      <c r="B193" s="14" t="inlineStr">
        <is>
          <t>Sundries</t>
        </is>
      </c>
      <c r="C193" s="13" t="inlineStr">
        <is>
          <t>L.S.</t>
        </is>
      </c>
      <c r="D193" s="15" t="n">
        <v>13.52</v>
      </c>
      <c r="E193" s="16" t="n">
        <v>2</v>
      </c>
      <c r="F193" s="16">
        <f>D193*E193</f>
        <v/>
      </c>
    </row>
    <row r="194">
      <c r="A194" s="17" t="inlineStr">
        <is>
          <t>Resource Total (Material + Labour + Machinery, as printed)</t>
        </is>
      </c>
      <c r="B194" s="18" t="n"/>
      <c r="C194" s="18" t="n"/>
      <c r="D194" s="18" t="n"/>
      <c r="E194" s="18" t="n"/>
      <c r="F194" s="19">
        <f>SUM(F192:F193)</f>
        <v/>
      </c>
    </row>
    <row r="195">
      <c r="A195" s="20" t="inlineStr">
        <is>
          <t>SAY (Rs.) — final DAR rate</t>
        </is>
      </c>
      <c r="B195" s="21" t="n"/>
      <c r="C195" s="21" t="n"/>
      <c r="D195" s="21" t="n"/>
      <c r="E195" s="21" t="n"/>
      <c r="F195" s="22" t="n">
        <v>1106.55</v>
      </c>
    </row>
    <row r="197" ht="28" customHeight="1">
      <c r="A197" s="9" t="inlineStr">
        <is>
          <t>10.9</t>
        </is>
      </c>
      <c r="B197" s="10" t="inlineStr">
        <is>
          <t>Extra for providing grilled rolling shutters manufactured out of 8 mm dia M.S. bar instead of laths as per design approved by Engineer-in- c</t>
        </is>
      </c>
      <c r="C197" s="11" t="n"/>
      <c r="D197" s="11" t="n"/>
      <c r="E197" s="11" t="n"/>
      <c r="F197" s="11" t="n"/>
    </row>
    <row r="198">
      <c r="A198" s="12" t="inlineStr">
        <is>
          <t>Rate basis: per sqm  (source: cost for 1.5 sqm)</t>
        </is>
      </c>
    </row>
    <row r="199">
      <c r="A199" s="5" t="inlineStr">
        <is>
          <t>Code</t>
        </is>
      </c>
      <c r="B199" s="5" t="inlineStr">
        <is>
          <t>Description</t>
        </is>
      </c>
      <c r="C199" s="5" t="inlineStr">
        <is>
          <t>Unit</t>
        </is>
      </c>
      <c r="D199" s="5" t="inlineStr">
        <is>
          <t>Quantity</t>
        </is>
      </c>
      <c r="E199" s="5" t="inlineStr">
        <is>
          <t>Rate (Rs.)</t>
        </is>
      </c>
      <c r="F199" s="5" t="inlineStr">
        <is>
          <t>Amount (Rs.)</t>
        </is>
      </c>
    </row>
    <row r="200">
      <c r="A200" s="13" t="inlineStr">
        <is>
          <t>7068</t>
        </is>
      </c>
      <c r="B200" s="14" t="inlineStr">
        <is>
          <t>Extra for providing grilled rolling shutters with 8 mm dia M.S. rod</t>
        </is>
      </c>
      <c r="C200" s="13" t="inlineStr">
        <is>
          <t>sqm</t>
        </is>
      </c>
      <c r="D200" s="15" t="n">
        <v>1.5</v>
      </c>
      <c r="E200" s="16" t="n">
        <v>500</v>
      </c>
      <c r="F200" s="16">
        <f>D200*E200</f>
        <v/>
      </c>
    </row>
    <row r="201">
      <c r="A201" s="17" t="inlineStr">
        <is>
          <t>Resource Total (Material + Labour + Machinery, as printed)</t>
        </is>
      </c>
      <c r="B201" s="18" t="n"/>
      <c r="C201" s="18" t="n"/>
      <c r="D201" s="18" t="n"/>
      <c r="E201" s="18" t="n"/>
      <c r="F201" s="19">
        <f>SUM(F200:F200)</f>
        <v/>
      </c>
    </row>
    <row r="202">
      <c r="A202" s="20" t="inlineStr">
        <is>
          <t>SAY (Rs.) — final DAR rate</t>
        </is>
      </c>
      <c r="B202" s="21" t="n"/>
      <c r="C202" s="21" t="n"/>
      <c r="D202" s="21" t="n"/>
      <c r="E202" s="21" t="n"/>
      <c r="F202" s="22" t="n">
        <v>668.95</v>
      </c>
    </row>
    <row r="204" ht="28" customHeight="1">
      <c r="A204" s="9" t="inlineStr">
        <is>
          <t>10.10.1</t>
        </is>
      </c>
      <c r="B204" s="10" t="inlineStr">
        <is>
          <t>Fixing with 15x3 mm lugs 10 cm long embedded in cement concrete block 15x10x10 cm of C.C. 1:3:6 (1 Cement : 3 coarse sand : 6 graded stone a</t>
        </is>
      </c>
      <c r="C204" s="11" t="n"/>
      <c r="D204" s="11" t="n"/>
      <c r="E204" s="11" t="n"/>
      <c r="F204" s="11" t="n"/>
    </row>
    <row r="205">
      <c r="A205" s="12" t="inlineStr">
        <is>
          <t>Rate basis: per sqm  (source: cost for 1.52 sqm)</t>
        </is>
      </c>
    </row>
    <row r="206">
      <c r="A206" s="5" t="inlineStr">
        <is>
          <t>Code</t>
        </is>
      </c>
      <c r="B206" s="5" t="inlineStr">
        <is>
          <t>Description</t>
        </is>
      </c>
      <c r="C206" s="5" t="inlineStr">
        <is>
          <t>Unit</t>
        </is>
      </c>
      <c r="D206" s="5" t="inlineStr">
        <is>
          <t>Quantity</t>
        </is>
      </c>
      <c r="E206" s="5" t="inlineStr">
        <is>
          <t>Rate (Rs.)</t>
        </is>
      </c>
      <c r="F206" s="5" t="inlineStr">
        <is>
          <t>Amount (Rs.)</t>
        </is>
      </c>
    </row>
    <row r="207">
      <c r="A207" s="13" t="inlineStr">
        <is>
          <t>4.2.5</t>
        </is>
      </c>
      <c r="B207" s="14" t="inlineStr">
        <is>
          <t>Rate as per SH: 4.2.5</t>
        </is>
      </c>
      <c r="C207" s="13" t="inlineStr">
        <is>
          <t>cum</t>
        </is>
      </c>
      <c r="D207" s="15" t="n">
        <v>0.008999999999999999</v>
      </c>
      <c r="E207" s="16" t="n">
        <v>8025</v>
      </c>
      <c r="F207" s="16">
        <f>D207*E207</f>
        <v/>
      </c>
    </row>
    <row r="208">
      <c r="A208" s="13" t="inlineStr">
        <is>
          <t>0102</t>
        </is>
      </c>
      <c r="B208" s="14" t="inlineStr">
        <is>
          <t>Blacksmith 1st class</t>
        </is>
      </c>
      <c r="C208" s="13" t="inlineStr">
        <is>
          <t>day</t>
        </is>
      </c>
      <c r="D208" s="15" t="n">
        <v>0.17</v>
      </c>
      <c r="E208" s="16" t="n">
        <v>738</v>
      </c>
      <c r="F208" s="16">
        <f>D208*E208</f>
        <v/>
      </c>
    </row>
    <row r="209">
      <c r="A209" s="13" t="inlineStr">
        <is>
          <t>0123</t>
        </is>
      </c>
      <c r="B209" s="14" t="inlineStr">
        <is>
          <t>Mason (brick layer) 1st class</t>
        </is>
      </c>
      <c r="C209" s="13" t="inlineStr">
        <is>
          <t>day</t>
        </is>
      </c>
      <c r="D209" s="15" t="n">
        <v>0.08</v>
      </c>
      <c r="E209" s="16" t="n">
        <v>738</v>
      </c>
      <c r="F209" s="16">
        <f>D209*E209</f>
        <v/>
      </c>
    </row>
    <row r="210">
      <c r="A210" s="13" t="inlineStr">
        <is>
          <t>0124</t>
        </is>
      </c>
      <c r="B210" s="14" t="inlineStr">
        <is>
          <t>Mason (brick layer) 2nd class</t>
        </is>
      </c>
      <c r="C210" s="13" t="inlineStr">
        <is>
          <t>day</t>
        </is>
      </c>
      <c r="D210" s="15" t="n">
        <v>0.08</v>
      </c>
      <c r="E210" s="16" t="n">
        <v>679</v>
      </c>
      <c r="F210" s="16">
        <f>D210*E210</f>
        <v/>
      </c>
    </row>
    <row r="211">
      <c r="A211" s="13" t="inlineStr">
        <is>
          <t>0114</t>
        </is>
      </c>
      <c r="B211" s="14" t="inlineStr">
        <is>
          <t>Beldar</t>
        </is>
      </c>
      <c r="C211" s="13" t="inlineStr">
        <is>
          <t>day</t>
        </is>
      </c>
      <c r="D211" s="15" t="n">
        <v>0.5</v>
      </c>
      <c r="E211" s="16" t="n">
        <v>558</v>
      </c>
      <c r="F211" s="16">
        <f>D211*E211</f>
        <v/>
      </c>
    </row>
    <row r="212">
      <c r="A212" s="13" t="inlineStr">
        <is>
          <t>9977</t>
        </is>
      </c>
      <c r="B212" s="14" t="inlineStr">
        <is>
          <t>Sundries for carriage of material</t>
        </is>
      </c>
      <c r="C212" s="13" t="inlineStr">
        <is>
          <t>L.S.</t>
        </is>
      </c>
      <c r="D212" s="15" t="n">
        <v>67.28</v>
      </c>
      <c r="E212" s="16" t="n">
        <v>2</v>
      </c>
      <c r="F212" s="16">
        <f>D212*E212</f>
        <v/>
      </c>
    </row>
    <row r="213">
      <c r="A213" s="17" t="inlineStr">
        <is>
          <t>Resource Total (Material + Labour + Machinery, as printed)</t>
        </is>
      </c>
      <c r="B213" s="18" t="n"/>
      <c r="C213" s="18" t="n"/>
      <c r="D213" s="18" t="n"/>
      <c r="E213" s="18" t="n"/>
      <c r="F213" s="19">
        <f>SUM(F207:F212)</f>
        <v/>
      </c>
    </row>
    <row r="214">
      <c r="A214" s="20" t="inlineStr">
        <is>
          <t>SAY (Rs.) — final DAR rate</t>
        </is>
      </c>
      <c r="B214" s="21" t="n"/>
      <c r="C214" s="21" t="n"/>
      <c r="D214" s="21" t="n"/>
      <c r="E214" s="21" t="n"/>
      <c r="F214" s="22" t="n">
        <v>63</v>
      </c>
    </row>
    <row r="216" ht="28" customHeight="1">
      <c r="A216" s="9" t="inlineStr">
        <is>
          <t>10.10.2</t>
        </is>
      </c>
      <c r="B216" s="10" t="inlineStr">
        <is>
          <t>Fixing with carbon steel galvanised dash fastener of required dia and size (to be paid for separately)</t>
        </is>
      </c>
      <c r="C216" s="11" t="n"/>
      <c r="D216" s="11" t="n"/>
      <c r="E216" s="11" t="n"/>
      <c r="F216" s="11" t="n"/>
    </row>
    <row r="217">
      <c r="A217" s="12" t="inlineStr">
        <is>
          <t>Rate basis: per sqm  (source: cost for 1.52 sqm)</t>
        </is>
      </c>
    </row>
    <row r="218">
      <c r="A218" s="5" t="inlineStr">
        <is>
          <t>Code</t>
        </is>
      </c>
      <c r="B218" s="5" t="inlineStr">
        <is>
          <t>Description</t>
        </is>
      </c>
      <c r="C218" s="5" t="inlineStr">
        <is>
          <t>Unit</t>
        </is>
      </c>
      <c r="D218" s="5" t="inlineStr">
        <is>
          <t>Quantity</t>
        </is>
      </c>
      <c r="E218" s="5" t="inlineStr">
        <is>
          <t>Rate (Rs.)</t>
        </is>
      </c>
      <c r="F218" s="5" t="inlineStr">
        <is>
          <t>Amount (Rs.)</t>
        </is>
      </c>
    </row>
    <row r="219">
      <c r="A219" s="13" t="inlineStr">
        <is>
          <t>0123</t>
        </is>
      </c>
      <c r="B219" s="14" t="inlineStr">
        <is>
          <t>Mason (brick layer) 1st class</t>
        </is>
      </c>
      <c r="C219" s="13" t="inlineStr">
        <is>
          <t>day</t>
        </is>
      </c>
      <c r="D219" s="15" t="n">
        <v>0.17</v>
      </c>
      <c r="E219" s="16" t="n">
        <v>738</v>
      </c>
      <c r="F219" s="16">
        <f>D219*E219</f>
        <v/>
      </c>
    </row>
    <row r="220">
      <c r="A220" s="13" t="inlineStr">
        <is>
          <t>0114</t>
        </is>
      </c>
      <c r="B220" s="14" t="inlineStr">
        <is>
          <t>Beldar</t>
        </is>
      </c>
      <c r="C220" s="13" t="inlineStr">
        <is>
          <t>day</t>
        </is>
      </c>
      <c r="D220" s="15" t="n">
        <v>0.17</v>
      </c>
      <c r="E220" s="16" t="n">
        <v>558</v>
      </c>
      <c r="F220" s="16">
        <f>D220*E220</f>
        <v/>
      </c>
    </row>
    <row r="221">
      <c r="A221" s="13" t="inlineStr">
        <is>
          <t>9977</t>
        </is>
      </c>
      <c r="B221" s="14" t="inlineStr">
        <is>
          <t>Sundries for Carriage of material</t>
        </is>
      </c>
      <c r="C221" s="13" t="inlineStr">
        <is>
          <t>L.S.</t>
        </is>
      </c>
      <c r="D221" s="15" t="n">
        <v>67.28</v>
      </c>
      <c r="E221" s="16" t="n">
        <v>2</v>
      </c>
      <c r="F221" s="16">
        <f>D221*E221</f>
        <v/>
      </c>
    </row>
    <row r="222">
      <c r="A222" s="17" t="inlineStr">
        <is>
          <t>Resource Total (Material + Labour + Machinery, as printed)</t>
        </is>
      </c>
      <c r="B222" s="18" t="n"/>
      <c r="C222" s="18" t="n"/>
      <c r="D222" s="18" t="n"/>
      <c r="E222" s="18" t="n"/>
      <c r="F222" s="19">
        <f>SUM(F219:F221)</f>
        <v/>
      </c>
    </row>
    <row r="223">
      <c r="A223" s="20" t="inlineStr">
        <is>
          <t>SAY (Rs.) — final DAR rate</t>
        </is>
      </c>
      <c r="B223" s="21" t="n"/>
      <c r="C223" s="21" t="n"/>
      <c r="D223" s="21" t="n"/>
      <c r="E223" s="21" t="n"/>
      <c r="F223" s="22" t="n">
        <v>31.65</v>
      </c>
    </row>
    <row r="225" ht="28" customHeight="1">
      <c r="A225" s="9" t="inlineStr">
        <is>
          <t>10.11.1</t>
        </is>
      </c>
      <c r="B225" s="10" t="inlineStr">
        <is>
          <t>Fixing with 15x3 mm lugs 10 cm long embedded in cement concrete block 15x10x10 cm of C.C. 1:3:6 (1 Cement : 3 coarse sand : 6 graded stone a</t>
        </is>
      </c>
      <c r="C225" s="11" t="n"/>
      <c r="D225" s="11" t="n"/>
      <c r="E225" s="11" t="n"/>
      <c r="F225" s="11" t="n"/>
    </row>
    <row r="226">
      <c r="A226" s="12" t="inlineStr">
        <is>
          <t>Rate basis: per sqm  (source: cost for 2.44 sqm)</t>
        </is>
      </c>
    </row>
    <row r="227">
      <c r="A227" s="5" t="inlineStr">
        <is>
          <t>Code</t>
        </is>
      </c>
      <c r="B227" s="5" t="inlineStr">
        <is>
          <t>Description</t>
        </is>
      </c>
      <c r="C227" s="5" t="inlineStr">
        <is>
          <t>Unit</t>
        </is>
      </c>
      <c r="D227" s="5" t="inlineStr">
        <is>
          <t>Quantity</t>
        </is>
      </c>
      <c r="E227" s="5" t="inlineStr">
        <is>
          <t>Rate (Rs.)</t>
        </is>
      </c>
      <c r="F227" s="5" t="inlineStr">
        <is>
          <t>Amount (Rs.)</t>
        </is>
      </c>
    </row>
    <row r="228">
      <c r="A228" s="13" t="inlineStr">
        <is>
          <t>10.10.1</t>
        </is>
      </c>
      <c r="B228" s="14" t="inlineStr">
        <is>
          <t>Rate as per SH: 10.10.1</t>
        </is>
      </c>
      <c r="C228" s="13" t="inlineStr">
        <is>
          <t>kg</t>
        </is>
      </c>
      <c r="D228" s="15" t="n">
        <v>30</v>
      </c>
      <c r="E228" s="16" t="n">
        <v>63</v>
      </c>
      <c r="F228" s="16">
        <f>D228*E228</f>
        <v/>
      </c>
    </row>
    <row r="229">
      <c r="A229" s="13" t="inlineStr">
        <is>
          <t>13.50.3</t>
        </is>
      </c>
      <c r="B229" s="14" t="inlineStr">
        <is>
          <t>Rate as per SH: 13.50.3</t>
        </is>
      </c>
      <c r="C229" s="13" t="inlineStr">
        <is>
          <t>sqm</t>
        </is>
      </c>
      <c r="D229" s="15" t="n">
        <v>2.44</v>
      </c>
      <c r="E229" s="16" t="n">
        <v>50.7</v>
      </c>
      <c r="F229" s="16">
        <f>D229*E229</f>
        <v/>
      </c>
    </row>
    <row r="230">
      <c r="A230" s="13" t="inlineStr">
        <is>
          <t>1011</t>
        </is>
      </c>
      <c r="B230" s="14" t="inlineStr">
        <is>
          <t>Steel glazed door,window/ ventilator, all members like as F7D, F4B, K11 and K12B etc.</t>
        </is>
      </c>
      <c r="C230" s="13" t="inlineStr">
        <is>
          <t>kg</t>
        </is>
      </c>
      <c r="D230" s="15" t="n">
        <v>30</v>
      </c>
      <c r="E230" s="16" t="n">
        <v>54</v>
      </c>
      <c r="F230" s="16">
        <f>D230*E230</f>
        <v/>
      </c>
    </row>
    <row r="231">
      <c r="A231" s="13" t="inlineStr">
        <is>
          <t>9977</t>
        </is>
      </c>
      <c r="B231" s="14" t="inlineStr">
        <is>
          <t>Carriage of Steel Door</t>
        </is>
      </c>
      <c r="C231" s="13" t="inlineStr">
        <is>
          <t>L.S.</t>
        </is>
      </c>
      <c r="D231" s="15" t="n">
        <v>40.37</v>
      </c>
      <c r="E231" s="16" t="n">
        <v>2</v>
      </c>
      <c r="F231" s="16">
        <f>D231*E231</f>
        <v/>
      </c>
    </row>
    <row r="232">
      <c r="A232" s="13" t="inlineStr">
        <is>
          <t>0103</t>
        </is>
      </c>
      <c r="B232" s="14" t="inlineStr">
        <is>
          <t>Blacksmith 2nd class</t>
        </is>
      </c>
      <c r="C232" s="13" t="inlineStr">
        <is>
          <t>day</t>
        </is>
      </c>
      <c r="D232" s="15" t="n">
        <v>0.17</v>
      </c>
      <c r="E232" s="16" t="n">
        <v>679</v>
      </c>
      <c r="F232" s="16">
        <f>D232*E232</f>
        <v/>
      </c>
    </row>
    <row r="233">
      <c r="A233" s="13" t="inlineStr">
        <is>
          <t>0116</t>
        </is>
      </c>
      <c r="B233" s="14" t="inlineStr">
        <is>
          <t>Fitter (grade 1)</t>
        </is>
      </c>
      <c r="C233" s="13" t="inlineStr">
        <is>
          <t>day</t>
        </is>
      </c>
      <c r="D233" s="15" t="n">
        <v>0.26</v>
      </c>
      <c r="E233" s="16" t="n">
        <v>738</v>
      </c>
      <c r="F233" s="16">
        <f>D233*E233</f>
        <v/>
      </c>
    </row>
    <row r="234">
      <c r="A234" s="13" t="inlineStr">
        <is>
          <t>0114</t>
        </is>
      </c>
      <c r="B234" s="14" t="inlineStr">
        <is>
          <t>Beldar</t>
        </is>
      </c>
      <c r="C234" s="13" t="inlineStr">
        <is>
          <t>day</t>
        </is>
      </c>
      <c r="D234" s="15" t="n">
        <v>0.34</v>
      </c>
      <c r="E234" s="16" t="n">
        <v>558</v>
      </c>
      <c r="F234" s="16">
        <f>D234*E234</f>
        <v/>
      </c>
    </row>
    <row r="235">
      <c r="A235" s="13" t="inlineStr">
        <is>
          <t>9999</t>
        </is>
      </c>
      <c r="B235" s="14" t="inlineStr">
        <is>
          <t>Sundries</t>
        </is>
      </c>
      <c r="C235" s="13" t="inlineStr">
        <is>
          <t>L.S.</t>
        </is>
      </c>
      <c r="D235" s="15" t="n">
        <v>15.37</v>
      </c>
      <c r="E235" s="16" t="n">
        <v>2</v>
      </c>
      <c r="F235" s="16">
        <f>D235*E235</f>
        <v/>
      </c>
    </row>
    <row r="236">
      <c r="A236" s="17" t="inlineStr">
        <is>
          <t>Resource Total (Material + Labour + Machinery, as printed)</t>
        </is>
      </c>
      <c r="B236" s="18" t="n"/>
      <c r="C236" s="18" t="n"/>
      <c r="D236" s="18" t="n"/>
      <c r="E236" s="18" t="n"/>
      <c r="F236" s="19">
        <f>SUM(F228:F235)</f>
        <v/>
      </c>
    </row>
    <row r="237">
      <c r="A237" s="20" t="inlineStr">
        <is>
          <t>SAY (Rs.) — final DAR rate</t>
        </is>
      </c>
      <c r="B237" s="21" t="n"/>
      <c r="C237" s="21" t="n"/>
      <c r="D237" s="21" t="n"/>
      <c r="E237" s="21" t="n"/>
      <c r="F237" s="22" t="n">
        <v>166.5</v>
      </c>
    </row>
    <row r="239" ht="28" customHeight="1">
      <c r="A239" s="9" t="inlineStr">
        <is>
          <t>10.11.2</t>
        </is>
      </c>
      <c r="B239" s="10" t="inlineStr">
        <is>
          <t>Fixing with carbon steel galvanised dash fastener of required dia and size (to be paid for separately)</t>
        </is>
      </c>
      <c r="C239" s="11" t="n"/>
      <c r="D239" s="11" t="n"/>
      <c r="E239" s="11" t="n"/>
      <c r="F239" s="11" t="n"/>
    </row>
    <row r="240">
      <c r="A240" s="12" t="inlineStr">
        <is>
          <t>Rate basis: per sqm  (source: cost for 2.44 sqm)</t>
        </is>
      </c>
    </row>
    <row r="241">
      <c r="A241" s="5" t="inlineStr">
        <is>
          <t>Code</t>
        </is>
      </c>
      <c r="B241" s="5" t="inlineStr">
        <is>
          <t>Description</t>
        </is>
      </c>
      <c r="C241" s="5" t="inlineStr">
        <is>
          <t>Unit</t>
        </is>
      </c>
      <c r="D241" s="5" t="inlineStr">
        <is>
          <t>Quantity</t>
        </is>
      </c>
      <c r="E241" s="5" t="inlineStr">
        <is>
          <t>Rate (Rs.)</t>
        </is>
      </c>
      <c r="F241" s="5" t="inlineStr">
        <is>
          <t>Amount (Rs.)</t>
        </is>
      </c>
    </row>
    <row r="242">
      <c r="A242" s="13" t="inlineStr">
        <is>
          <t>13.50.3</t>
        </is>
      </c>
      <c r="B242" s="14" t="inlineStr">
        <is>
          <t>Rate as per SH: 13.50.3</t>
        </is>
      </c>
      <c r="C242" s="13" t="inlineStr">
        <is>
          <t>sqm</t>
        </is>
      </c>
      <c r="D242" s="15" t="n">
        <v>2.44</v>
      </c>
      <c r="E242" s="16" t="n">
        <v>50.7</v>
      </c>
      <c r="F242" s="16">
        <f>D242*E242</f>
        <v/>
      </c>
    </row>
    <row r="243">
      <c r="A243" s="13" t="inlineStr">
        <is>
          <t>1011</t>
        </is>
      </c>
      <c r="B243" s="14" t="inlineStr">
        <is>
          <t>Steel glazed door,window/ ventilator, all members like as F7D, F4B, K11 and K12B etc.</t>
        </is>
      </c>
      <c r="C243" s="13" t="inlineStr">
        <is>
          <t>kg</t>
        </is>
      </c>
      <c r="D243" s="15" t="n">
        <v>30</v>
      </c>
      <c r="E243" s="16" t="n">
        <v>54</v>
      </c>
      <c r="F243" s="16">
        <f>D243*E243</f>
        <v/>
      </c>
    </row>
    <row r="244">
      <c r="A244" s="13" t="inlineStr">
        <is>
          <t>9977</t>
        </is>
      </c>
      <c r="B244" s="14" t="inlineStr">
        <is>
          <t>Carriage of Steel Door</t>
        </is>
      </c>
      <c r="C244" s="13" t="inlineStr">
        <is>
          <t>L.S.</t>
        </is>
      </c>
      <c r="D244" s="15" t="n">
        <v>40.37</v>
      </c>
      <c r="E244" s="16" t="n">
        <v>2</v>
      </c>
      <c r="F244" s="16">
        <f>D244*E244</f>
        <v/>
      </c>
    </row>
    <row r="245">
      <c r="A245" s="13" t="inlineStr">
        <is>
          <t>0103</t>
        </is>
      </c>
      <c r="B245" s="14" t="inlineStr">
        <is>
          <t>Blacksmith 2nd class</t>
        </is>
      </c>
      <c r="C245" s="13" t="inlineStr">
        <is>
          <t>day</t>
        </is>
      </c>
      <c r="D245" s="15" t="n">
        <v>0.17</v>
      </c>
      <c r="E245" s="16" t="n">
        <v>679</v>
      </c>
      <c r="F245" s="16">
        <f>D245*E245</f>
        <v/>
      </c>
    </row>
    <row r="246">
      <c r="A246" s="13" t="inlineStr">
        <is>
          <t>0116</t>
        </is>
      </c>
      <c r="B246" s="14" t="inlineStr">
        <is>
          <t>Fitter (grade 1)</t>
        </is>
      </c>
      <c r="C246" s="13" t="inlineStr">
        <is>
          <t>day</t>
        </is>
      </c>
      <c r="D246" s="15" t="n">
        <v>0.26</v>
      </c>
      <c r="E246" s="16" t="n">
        <v>738</v>
      </c>
      <c r="F246" s="16">
        <f>D246*E246</f>
        <v/>
      </c>
    </row>
    <row r="247">
      <c r="A247" s="13" t="inlineStr">
        <is>
          <t>0114</t>
        </is>
      </c>
      <c r="B247" s="14" t="inlineStr">
        <is>
          <t>Beldar</t>
        </is>
      </c>
      <c r="C247" s="13" t="inlineStr">
        <is>
          <t>day</t>
        </is>
      </c>
      <c r="D247" s="15" t="n">
        <v>0.34</v>
      </c>
      <c r="E247" s="16" t="n">
        <v>558</v>
      </c>
      <c r="F247" s="16">
        <f>D247*E247</f>
        <v/>
      </c>
    </row>
    <row r="248">
      <c r="A248" s="13" t="inlineStr">
        <is>
          <t>9999</t>
        </is>
      </c>
      <c r="B248" s="14" t="inlineStr">
        <is>
          <t>Sundries</t>
        </is>
      </c>
      <c r="C248" s="13" t="inlineStr">
        <is>
          <t>L.S.</t>
        </is>
      </c>
      <c r="D248" s="15" t="n">
        <v>15.37</v>
      </c>
      <c r="E248" s="16" t="n">
        <v>2</v>
      </c>
      <c r="F248" s="16">
        <f>D248*E248</f>
        <v/>
      </c>
    </row>
    <row r="249">
      <c r="A249" s="13" t="inlineStr">
        <is>
          <t>0114</t>
        </is>
      </c>
      <c r="B249" s="14" t="inlineStr">
        <is>
          <t>Beldar</t>
        </is>
      </c>
      <c r="C249" s="13" t="inlineStr">
        <is>
          <t>day</t>
        </is>
      </c>
      <c r="D249" s="15" t="n">
        <v>0.027</v>
      </c>
      <c r="E249" s="16" t="n">
        <v>558</v>
      </c>
      <c r="F249" s="16">
        <f>D249*E249</f>
        <v/>
      </c>
    </row>
    <row r="250">
      <c r="A250" s="13" t="inlineStr">
        <is>
          <t>0115</t>
        </is>
      </c>
      <c r="B250" s="14" t="inlineStr">
        <is>
          <t>Collie</t>
        </is>
      </c>
      <c r="C250" s="13" t="inlineStr">
        <is>
          <t>day</t>
        </is>
      </c>
      <c r="D250" s="15" t="n">
        <v>0.0195</v>
      </c>
      <c r="E250" s="16" t="n">
        <v>558</v>
      </c>
      <c r="F250" s="16">
        <f>D250*E250</f>
        <v/>
      </c>
    </row>
    <row r="251">
      <c r="A251" s="13" t="inlineStr">
        <is>
          <t>0130</t>
        </is>
      </c>
      <c r="B251" s="14" t="inlineStr">
        <is>
          <t>Mistry</t>
        </is>
      </c>
      <c r="C251" s="13" t="inlineStr">
        <is>
          <t>day</t>
        </is>
      </c>
      <c r="D251" s="15" t="n">
        <v>0.008399999999999999</v>
      </c>
      <c r="E251" s="16" t="n">
        <v>738</v>
      </c>
      <c r="F251" s="16">
        <f>D251*E251</f>
        <v/>
      </c>
    </row>
    <row r="252">
      <c r="A252" s="13" t="inlineStr">
        <is>
          <t>0128</t>
        </is>
      </c>
      <c r="B252" s="14" t="inlineStr">
        <is>
          <t>Mate</t>
        </is>
      </c>
      <c r="C252" s="13" t="inlineStr">
        <is>
          <t>day</t>
        </is>
      </c>
      <c r="D252" s="15" t="n">
        <v>0.0012</v>
      </c>
      <c r="E252" s="16" t="n">
        <v>617</v>
      </c>
      <c r="F252" s="16">
        <f>D252*E252</f>
        <v/>
      </c>
    </row>
    <row r="253">
      <c r="A253" s="13" t="inlineStr">
        <is>
          <t>9999</t>
        </is>
      </c>
      <c r="B253" s="14" t="inlineStr">
        <is>
          <t>Hire charges of drill machine, scaffolding and sundries</t>
        </is>
      </c>
      <c r="C253" s="13" t="inlineStr">
        <is>
          <t>L.S.</t>
        </is>
      </c>
      <c r="D253" s="15" t="n">
        <v>12.22</v>
      </c>
      <c r="E253" s="16" t="n">
        <v>2</v>
      </c>
      <c r="F253" s="16">
        <f>D253*E253</f>
        <v/>
      </c>
    </row>
    <row r="254">
      <c r="A254" s="17" t="inlineStr">
        <is>
          <t>Resource Total (Material + Labour + Machinery, as printed)</t>
        </is>
      </c>
      <c r="B254" s="18" t="n"/>
      <c r="C254" s="18" t="n"/>
      <c r="D254" s="18" t="n"/>
      <c r="E254" s="18" t="n"/>
      <c r="F254" s="19">
        <f>SUM(F242:F253)</f>
        <v/>
      </c>
    </row>
    <row r="255">
      <c r="A255" s="20" t="inlineStr">
        <is>
          <t>SAY (Rs.) — final DAR rate</t>
        </is>
      </c>
      <c r="B255" s="21" t="n"/>
      <c r="C255" s="21" t="n"/>
      <c r="D255" s="21" t="n"/>
      <c r="E255" s="21" t="n"/>
      <c r="F255" s="22" t="n">
        <v>106.05</v>
      </c>
    </row>
    <row r="257" ht="28" customHeight="1">
      <c r="A257" s="9" t="inlineStr">
        <is>
          <t>10.12</t>
        </is>
      </c>
      <c r="B257" s="10" t="inlineStr">
        <is>
          <t xml:space="preserve">Extra for providing and fixing steel beading of size 10 x 10 x 1.6 mm (box type), approved shape and section with screws instead of glazing </t>
        </is>
      </c>
      <c r="C257" s="11" t="n"/>
      <c r="D257" s="11" t="n"/>
      <c r="E257" s="11" t="n"/>
      <c r="F257" s="11" t="n"/>
    </row>
    <row r="258">
      <c r="A258" s="12" t="inlineStr">
        <is>
          <t>Rate basis: per metre  (source: cost for 1 metre)</t>
        </is>
      </c>
    </row>
    <row r="259">
      <c r="A259" s="5" t="inlineStr">
        <is>
          <t>Code</t>
        </is>
      </c>
      <c r="B259" s="5" t="inlineStr">
        <is>
          <t>Description</t>
        </is>
      </c>
      <c r="C259" s="5" t="inlineStr">
        <is>
          <t>Unit</t>
        </is>
      </c>
      <c r="D259" s="5" t="inlineStr">
        <is>
          <t>Quantity</t>
        </is>
      </c>
      <c r="E259" s="5" t="inlineStr">
        <is>
          <t>Rate (Rs.)</t>
        </is>
      </c>
      <c r="F259" s="5" t="inlineStr">
        <is>
          <t>Amount (Rs.)</t>
        </is>
      </c>
    </row>
    <row r="260">
      <c r="A260" s="13" t="inlineStr">
        <is>
          <t>1143</t>
        </is>
      </c>
      <c r="B260" s="14" t="inlineStr">
        <is>
          <t>Steel beading size 10 x 10 x 1.6 mm (box type)</t>
        </is>
      </c>
      <c r="C260" s="13" t="inlineStr">
        <is>
          <t>metre</t>
        </is>
      </c>
      <c r="D260" s="15" t="n">
        <v>1</v>
      </c>
      <c r="E260" s="16" t="n">
        <v>27</v>
      </c>
      <c r="F260" s="16">
        <f>D260*E260</f>
        <v/>
      </c>
    </row>
    <row r="261">
      <c r="A261" s="13" t="inlineStr">
        <is>
          <t>9999</t>
        </is>
      </c>
      <c r="B261" s="14" t="inlineStr">
        <is>
          <t>Applying priming coat</t>
        </is>
      </c>
      <c r="C261" s="13" t="inlineStr">
        <is>
          <t>L.S.</t>
        </is>
      </c>
      <c r="D261" s="15" t="n">
        <v>0.46</v>
      </c>
      <c r="E261" s="16" t="n">
        <v>2</v>
      </c>
      <c r="F261" s="16">
        <f>D261*E261</f>
        <v/>
      </c>
    </row>
    <row r="262">
      <c r="A262" s="13" t="inlineStr">
        <is>
          <t>9999</t>
        </is>
      </c>
      <c r="B262" s="14" t="inlineStr">
        <is>
          <t>Fixing charges</t>
        </is>
      </c>
      <c r="C262" s="13" t="inlineStr">
        <is>
          <t>L.S.</t>
        </is>
      </c>
      <c r="D262" s="15" t="n">
        <v>3.01</v>
      </c>
      <c r="E262" s="16" t="n">
        <v>2</v>
      </c>
      <c r="F262" s="16">
        <f>D262*E262</f>
        <v/>
      </c>
    </row>
    <row r="263">
      <c r="A263" s="17" t="inlineStr">
        <is>
          <t>Resource Total (Material + Labour + Machinery, as printed)</t>
        </is>
      </c>
      <c r="B263" s="18" t="n"/>
      <c r="C263" s="18" t="n"/>
      <c r="D263" s="18" t="n"/>
      <c r="E263" s="18" t="n"/>
      <c r="F263" s="19">
        <f>SUM(F260:F262)</f>
        <v/>
      </c>
    </row>
    <row r="264">
      <c r="A264" s="20" t="inlineStr">
        <is>
          <t>SAY (Rs.) — final DAR rate</t>
        </is>
      </c>
      <c r="B264" s="21" t="n"/>
      <c r="C264" s="21" t="n"/>
      <c r="D264" s="21" t="n"/>
      <c r="E264" s="21" t="n"/>
      <c r="F264" s="22" t="n">
        <v>45.4</v>
      </c>
    </row>
    <row r="266" ht="28" customHeight="1">
      <c r="A266" s="9" t="inlineStr">
        <is>
          <t>10.13.1</t>
        </is>
      </c>
      <c r="B266" s="10" t="inlineStr">
        <is>
          <t>Fixing with 15x3 mm lugs 10 cm long embedded in cement concrete block 15x10x10 cm of C.C. 1:3:6 (1 Cement : 3 coarse sand : 6 graded stone a</t>
        </is>
      </c>
      <c r="C266" s="11" t="n"/>
      <c r="D266" s="11" t="n"/>
      <c r="E266" s="11" t="n"/>
      <c r="F266" s="11" t="n"/>
    </row>
    <row r="267">
      <c r="A267" s="12" t="inlineStr">
        <is>
          <t>Rate basis: per Kg  (source: cost for 17.5 Kg)</t>
        </is>
      </c>
    </row>
    <row r="268">
      <c r="A268" s="5" t="inlineStr">
        <is>
          <t>Code</t>
        </is>
      </c>
      <c r="B268" s="5" t="inlineStr">
        <is>
          <t>Description</t>
        </is>
      </c>
      <c r="C268" s="5" t="inlineStr">
        <is>
          <t>Unit</t>
        </is>
      </c>
      <c r="D268" s="5" t="inlineStr">
        <is>
          <t>Quantity</t>
        </is>
      </c>
      <c r="E268" s="5" t="inlineStr">
        <is>
          <t>Rate (Rs.)</t>
        </is>
      </c>
      <c r="F268" s="5" t="inlineStr">
        <is>
          <t>Amount (Rs.)</t>
        </is>
      </c>
    </row>
    <row r="269">
      <c r="A269" s="13" t="inlineStr">
        <is>
          <t>4.2.5</t>
        </is>
      </c>
      <c r="B269" s="14" t="inlineStr">
        <is>
          <t>Rate as per SH: 4.2.5</t>
        </is>
      </c>
      <c r="C269" s="13" t="inlineStr">
        <is>
          <t>cum</t>
        </is>
      </c>
      <c r="D269" s="15" t="n">
        <v>0.008999999999999999</v>
      </c>
      <c r="E269" s="16" t="n">
        <v>8025</v>
      </c>
      <c r="F269" s="16">
        <f>D269*E269</f>
        <v/>
      </c>
    </row>
    <row r="270">
      <c r="A270" s="13" t="inlineStr">
        <is>
          <t>1007</t>
        </is>
      </c>
      <c r="B270" s="14" t="inlineStr">
        <is>
          <t>Structurals such as tees,angles channels and R.S. joists</t>
        </is>
      </c>
      <c r="C270" s="13" t="inlineStr">
        <is>
          <t>quintal</t>
        </is>
      </c>
      <c r="D270" s="15" t="n">
        <v>0.18</v>
      </c>
      <c r="E270" s="16" t="n">
        <v>4600</v>
      </c>
      <c r="F270" s="16">
        <f>D270*E270</f>
        <v/>
      </c>
    </row>
    <row r="271">
      <c r="A271" s="13" t="inlineStr">
        <is>
          <t>1002</t>
        </is>
      </c>
      <c r="B271" s="14" t="inlineStr">
        <is>
          <t>Mild steel round bar 12 mm dia and below</t>
        </is>
      </c>
      <c r="C271" s="13" t="inlineStr">
        <is>
          <t>quintal</t>
        </is>
      </c>
      <c r="D271" s="15" t="n">
        <v>0.006</v>
      </c>
      <c r="E271" s="16" t="n">
        <v>4500</v>
      </c>
      <c r="F271" s="16">
        <f>D271*E271</f>
        <v/>
      </c>
    </row>
    <row r="272">
      <c r="A272" s="13" t="inlineStr">
        <is>
          <t>1008</t>
        </is>
      </c>
      <c r="B272" s="14" t="inlineStr">
        <is>
          <t>Flats upto 10 mm in thickness</t>
        </is>
      </c>
      <c r="C272" s="13" t="inlineStr">
        <is>
          <t>quintal</t>
        </is>
      </c>
      <c r="D272" s="15" t="n">
        <v>0.002</v>
      </c>
      <c r="E272" s="16" t="n">
        <v>4500</v>
      </c>
      <c r="F272" s="16">
        <f>D272*E272</f>
        <v/>
      </c>
    </row>
    <row r="273">
      <c r="A273" s="13" t="inlineStr">
        <is>
          <t>0595</t>
        </is>
      </c>
      <c r="B273" s="14" t="inlineStr">
        <is>
          <t>Bright finished or black enamelled mild steel butt hinges 100x58x1.90 mm</t>
        </is>
      </c>
      <c r="C273" s="13" t="inlineStr">
        <is>
          <t>10 Nos</t>
        </is>
      </c>
      <c r="D273" s="15" t="n">
        <v>0.6</v>
      </c>
      <c r="E273" s="16" t="n">
        <v>80</v>
      </c>
      <c r="F273" s="16">
        <f>D273*E273</f>
        <v/>
      </c>
    </row>
    <row r="274">
      <c r="A274" s="13" t="inlineStr">
        <is>
          <t>9999</t>
        </is>
      </c>
      <c r="B274" s="14" t="inlineStr">
        <is>
          <t>For screws and nuts and bolts</t>
        </is>
      </c>
      <c r="C274" s="13" t="inlineStr">
        <is>
          <t>L.S.</t>
        </is>
      </c>
      <c r="D274" s="15" t="n">
        <v>35.88</v>
      </c>
      <c r="E274" s="16" t="n">
        <v>2</v>
      </c>
      <c r="F274" s="16">
        <f>D274*E274</f>
        <v/>
      </c>
    </row>
    <row r="275">
      <c r="A275" s="13" t="inlineStr">
        <is>
          <t>9999</t>
        </is>
      </c>
      <c r="B275" s="14" t="inlineStr">
        <is>
          <t>For applying steel primer</t>
        </is>
      </c>
      <c r="C275" s="13" t="inlineStr">
        <is>
          <t>L.S.</t>
        </is>
      </c>
      <c r="D275" s="15" t="n">
        <v>17.94</v>
      </c>
      <c r="E275" s="16" t="n">
        <v>2</v>
      </c>
      <c r="F275" s="16">
        <f>D275*E275</f>
        <v/>
      </c>
    </row>
    <row r="276">
      <c r="A276" s="13" t="inlineStr">
        <is>
          <t>9977</t>
        </is>
      </c>
      <c r="B276" s="14" t="inlineStr">
        <is>
          <t>Carriage of material</t>
        </is>
      </c>
      <c r="C276" s="13" t="inlineStr">
        <is>
          <t>L.S.</t>
        </is>
      </c>
      <c r="D276" s="15" t="n">
        <v>5.33</v>
      </c>
      <c r="E276" s="16" t="n">
        <v>2</v>
      </c>
      <c r="F276" s="16">
        <f>D276*E276</f>
        <v/>
      </c>
    </row>
    <row r="277">
      <c r="A277" s="13" t="inlineStr">
        <is>
          <t>0103</t>
        </is>
      </c>
      <c r="B277" s="14" t="inlineStr">
        <is>
          <t>Blacksmith 2nd class</t>
        </is>
      </c>
      <c r="C277" s="13" t="inlineStr">
        <is>
          <t>day</t>
        </is>
      </c>
      <c r="D277" s="15" t="n">
        <v>0.1</v>
      </c>
      <c r="E277" s="16" t="n">
        <v>679</v>
      </c>
      <c r="F277" s="16">
        <f>D277*E277</f>
        <v/>
      </c>
    </row>
    <row r="278">
      <c r="A278" s="13" t="inlineStr">
        <is>
          <t>0116</t>
        </is>
      </c>
      <c r="B278" s="14" t="inlineStr">
        <is>
          <t>Fitter (grade 1)</t>
        </is>
      </c>
      <c r="C278" s="13" t="inlineStr">
        <is>
          <t>day</t>
        </is>
      </c>
      <c r="D278" s="15" t="n">
        <v>0.15</v>
      </c>
      <c r="E278" s="16" t="n">
        <v>738</v>
      </c>
      <c r="F278" s="16">
        <f>D278*E278</f>
        <v/>
      </c>
    </row>
    <row r="279">
      <c r="A279" s="13" t="inlineStr">
        <is>
          <t>0114</t>
        </is>
      </c>
      <c r="B279" s="14" t="inlineStr">
        <is>
          <t>Beldar</t>
        </is>
      </c>
      <c r="C279" s="13" t="inlineStr">
        <is>
          <t>day</t>
        </is>
      </c>
      <c r="D279" s="15" t="n">
        <v>0.2</v>
      </c>
      <c r="E279" s="16" t="n">
        <v>558</v>
      </c>
      <c r="F279" s="16">
        <f>D279*E279</f>
        <v/>
      </c>
    </row>
    <row r="280">
      <c r="A280" s="13" t="inlineStr">
        <is>
          <t>9999</t>
        </is>
      </c>
      <c r="B280" s="14" t="inlineStr">
        <is>
          <t>Sundries</t>
        </is>
      </c>
      <c r="C280" s="13" t="inlineStr">
        <is>
          <t>L.S.</t>
        </is>
      </c>
      <c r="D280" s="15" t="n">
        <v>8.970000000000001</v>
      </c>
      <c r="E280" s="16" t="n">
        <v>2</v>
      </c>
      <c r="F280" s="16">
        <f>D280*E280</f>
        <v/>
      </c>
    </row>
    <row r="281">
      <c r="A281" s="17" t="inlineStr">
        <is>
          <t>Resource Total (Material + Labour + Machinery, as printed)</t>
        </is>
      </c>
      <c r="B281" s="18" t="n"/>
      <c r="C281" s="18" t="n"/>
      <c r="D281" s="18" t="n"/>
      <c r="E281" s="18" t="n"/>
      <c r="F281" s="19">
        <f>SUM(F269:F280)</f>
        <v/>
      </c>
    </row>
    <row r="282">
      <c r="A282" s="20" t="inlineStr">
        <is>
          <t>SAY (Rs.) — final DAR rate</t>
        </is>
      </c>
      <c r="B282" s="21" t="n"/>
      <c r="C282" s="21" t="n"/>
      <c r="D282" s="21" t="n"/>
      <c r="E282" s="21" t="n"/>
      <c r="F282" s="22" t="n">
        <v>106.45</v>
      </c>
    </row>
    <row r="284" ht="28" customHeight="1">
      <c r="A284" s="9" t="inlineStr">
        <is>
          <t>10.13.2</t>
        </is>
      </c>
      <c r="B284" s="10" t="inlineStr">
        <is>
          <t>Fixing with carbon steel galvanised dash fastener of required dia and size (to be paid for separately)</t>
        </is>
      </c>
      <c r="C284" s="11" t="n"/>
      <c r="D284" s="11" t="n"/>
      <c r="E284" s="11" t="n"/>
      <c r="F284" s="11" t="n"/>
    </row>
    <row r="285">
      <c r="A285" s="12" t="inlineStr">
        <is>
          <t>Rate basis: per Kg  (source: cost for 17.5 Kg)</t>
        </is>
      </c>
    </row>
    <row r="286">
      <c r="A286" s="5" t="inlineStr">
        <is>
          <t>Code</t>
        </is>
      </c>
      <c r="B286" s="5" t="inlineStr">
        <is>
          <t>Description</t>
        </is>
      </c>
      <c r="C286" s="5" t="inlineStr">
        <is>
          <t>Unit</t>
        </is>
      </c>
      <c r="D286" s="5" t="inlineStr">
        <is>
          <t>Quantity</t>
        </is>
      </c>
      <c r="E286" s="5" t="inlineStr">
        <is>
          <t>Rate (Rs.)</t>
        </is>
      </c>
      <c r="F286" s="5" t="inlineStr">
        <is>
          <t>Amount (Rs.)</t>
        </is>
      </c>
    </row>
    <row r="287">
      <c r="A287" s="13" t="inlineStr">
        <is>
          <t>1007</t>
        </is>
      </c>
      <c r="B287" s="14" t="inlineStr">
        <is>
          <t>Structurals such as tees, angles channels and R.S. joists</t>
        </is>
      </c>
      <c r="C287" s="13" t="inlineStr">
        <is>
          <t>quintal</t>
        </is>
      </c>
      <c r="D287" s="15" t="n">
        <v>0.18</v>
      </c>
      <c r="E287" s="16" t="n">
        <v>4600</v>
      </c>
      <c r="F287" s="16">
        <f>D287*E287</f>
        <v/>
      </c>
    </row>
    <row r="288">
      <c r="A288" s="13" t="inlineStr">
        <is>
          <t>1002</t>
        </is>
      </c>
      <c r="B288" s="14" t="inlineStr">
        <is>
          <t>Mild steel round bar 12 mm dia and below</t>
        </is>
      </c>
      <c r="C288" s="13" t="inlineStr">
        <is>
          <t>quintal</t>
        </is>
      </c>
      <c r="D288" s="15" t="n">
        <v>0.006</v>
      </c>
      <c r="E288" s="16" t="n">
        <v>4500</v>
      </c>
      <c r="F288" s="16">
        <f>D288*E288</f>
        <v/>
      </c>
    </row>
    <row r="289">
      <c r="A289" s="13" t="inlineStr">
        <is>
          <t>0595</t>
        </is>
      </c>
      <c r="B289" s="14" t="inlineStr">
        <is>
          <t>Bright finished or black enamelled mild steel butt hinges 100x58x1.90 mm</t>
        </is>
      </c>
      <c r="C289" s="13" t="inlineStr">
        <is>
          <t>10 Nos</t>
        </is>
      </c>
      <c r="D289" s="15" t="n">
        <v>0.6</v>
      </c>
      <c r="E289" s="16" t="n">
        <v>80</v>
      </c>
      <c r="F289" s="16">
        <f>D289*E289</f>
        <v/>
      </c>
    </row>
    <row r="290">
      <c r="A290" s="13" t="inlineStr">
        <is>
          <t>9999</t>
        </is>
      </c>
      <c r="B290" s="14" t="inlineStr">
        <is>
          <t>For screws and nuts and bolts</t>
        </is>
      </c>
      <c r="C290" s="13" t="inlineStr">
        <is>
          <t>L.S.</t>
        </is>
      </c>
      <c r="D290" s="15" t="n">
        <v>35.88</v>
      </c>
      <c r="E290" s="16" t="n">
        <v>2</v>
      </c>
      <c r="F290" s="16">
        <f>D290*E290</f>
        <v/>
      </c>
    </row>
    <row r="291">
      <c r="A291" s="13" t="inlineStr">
        <is>
          <t>9999</t>
        </is>
      </c>
      <c r="B291" s="14" t="inlineStr">
        <is>
          <t>For applying steel primer</t>
        </is>
      </c>
      <c r="C291" s="13" t="inlineStr">
        <is>
          <t>L.S.</t>
        </is>
      </c>
      <c r="D291" s="15" t="n">
        <v>17.94</v>
      </c>
      <c r="E291" s="16" t="n">
        <v>2</v>
      </c>
      <c r="F291" s="16">
        <f>D291*E291</f>
        <v/>
      </c>
    </row>
    <row r="292">
      <c r="A292" s="13" t="inlineStr">
        <is>
          <t>9977</t>
        </is>
      </c>
      <c r="B292" s="14" t="inlineStr">
        <is>
          <t>Carriage of material</t>
        </is>
      </c>
      <c r="C292" s="13" t="inlineStr">
        <is>
          <t>L.S.</t>
        </is>
      </c>
      <c r="D292" s="15" t="n">
        <v>5.33</v>
      </c>
      <c r="E292" s="16" t="n">
        <v>2</v>
      </c>
      <c r="F292" s="16">
        <f>D292*E292</f>
        <v/>
      </c>
    </row>
    <row r="293">
      <c r="A293" s="13" t="inlineStr">
        <is>
          <t>0103</t>
        </is>
      </c>
      <c r="B293" s="14" t="inlineStr">
        <is>
          <t>Blacksmith 2nd class</t>
        </is>
      </c>
      <c r="C293" s="13" t="inlineStr">
        <is>
          <t>day</t>
        </is>
      </c>
      <c r="D293" s="15" t="n">
        <v>0.1</v>
      </c>
      <c r="E293" s="16" t="n">
        <v>679</v>
      </c>
      <c r="F293" s="16">
        <f>D293*E293</f>
        <v/>
      </c>
    </row>
    <row r="294">
      <c r="A294" s="13" t="inlineStr">
        <is>
          <t>0116</t>
        </is>
      </c>
      <c r="B294" s="14" t="inlineStr">
        <is>
          <t>Fitter (grade 1)</t>
        </is>
      </c>
      <c r="C294" s="13" t="inlineStr">
        <is>
          <t>day</t>
        </is>
      </c>
      <c r="D294" s="15" t="n">
        <v>0.15</v>
      </c>
      <c r="E294" s="16" t="n">
        <v>738</v>
      </c>
      <c r="F294" s="16">
        <f>D294*E294</f>
        <v/>
      </c>
    </row>
    <row r="295">
      <c r="A295" s="13" t="inlineStr">
        <is>
          <t>0114</t>
        </is>
      </c>
      <c r="B295" s="14" t="inlineStr">
        <is>
          <t>Beldar</t>
        </is>
      </c>
      <c r="C295" s="13" t="inlineStr">
        <is>
          <t>day</t>
        </is>
      </c>
      <c r="D295" s="15" t="n">
        <v>0.2</v>
      </c>
      <c r="E295" s="16" t="n">
        <v>558</v>
      </c>
      <c r="F295" s="16">
        <f>D295*E295</f>
        <v/>
      </c>
    </row>
    <row r="296">
      <c r="A296" s="13" t="inlineStr">
        <is>
          <t>9999</t>
        </is>
      </c>
      <c r="B296" s="14" t="inlineStr">
        <is>
          <t>Sundries</t>
        </is>
      </c>
      <c r="C296" s="13" t="inlineStr">
        <is>
          <t>L.S.</t>
        </is>
      </c>
      <c r="D296" s="15" t="n">
        <v>8.970000000000001</v>
      </c>
      <c r="E296" s="16" t="n">
        <v>2</v>
      </c>
      <c r="F296" s="16">
        <f>D296*E296</f>
        <v/>
      </c>
    </row>
    <row r="297">
      <c r="A297" s="17" t="inlineStr">
        <is>
          <t>Resource Total (Material + Labour + Machinery, as printed)</t>
        </is>
      </c>
      <c r="B297" s="18" t="n"/>
      <c r="C297" s="18" t="n"/>
      <c r="D297" s="18" t="n"/>
      <c r="E297" s="18" t="n"/>
      <c r="F297" s="19">
        <f>SUM(F287:F296)</f>
        <v/>
      </c>
    </row>
    <row r="298">
      <c r="A298" s="20" t="inlineStr">
        <is>
          <t>SAY (Rs.) — final DAR rate</t>
        </is>
      </c>
      <c r="B298" s="21" t="n"/>
      <c r="C298" s="21" t="n"/>
      <c r="D298" s="21" t="n"/>
      <c r="E298" s="21" t="n"/>
      <c r="F298" s="22" t="n">
        <v>101.65</v>
      </c>
    </row>
    <row r="300" ht="18" customHeight="1">
      <c r="A300" s="9" t="inlineStr">
        <is>
          <t>10.14.1.1</t>
        </is>
      </c>
      <c r="B300" s="10" t="inlineStr">
        <is>
          <t>Fixing with adjustable lugs with split end tail to each jamb</t>
        </is>
      </c>
      <c r="C300" s="11" t="n"/>
      <c r="D300" s="11" t="n"/>
      <c r="E300" s="11" t="n"/>
      <c r="F300" s="11" t="n"/>
    </row>
    <row r="301">
      <c r="A301" s="12" t="inlineStr">
        <is>
          <t>Rate basis: per metre  (source: cost for 5 metre)</t>
        </is>
      </c>
    </row>
    <row r="302">
      <c r="A302" s="5" t="inlineStr">
        <is>
          <t>Code</t>
        </is>
      </c>
      <c r="B302" s="5" t="inlineStr">
        <is>
          <t>Description</t>
        </is>
      </c>
      <c r="C302" s="5" t="inlineStr">
        <is>
          <t>Unit</t>
        </is>
      </c>
      <c r="D302" s="5" t="inlineStr">
        <is>
          <t>Quantity</t>
        </is>
      </c>
      <c r="E302" s="5" t="inlineStr">
        <is>
          <t>Rate (Rs.)</t>
        </is>
      </c>
      <c r="F302" s="5" t="inlineStr">
        <is>
          <t>Amount (Rs.)</t>
        </is>
      </c>
    </row>
    <row r="303">
      <c r="A303" s="13" t="inlineStr">
        <is>
          <t>13.50.3</t>
        </is>
      </c>
      <c r="B303" s="14" t="inlineStr">
        <is>
          <t>Rate as per SH: 13.50.3</t>
        </is>
      </c>
      <c r="C303" s="13" t="inlineStr">
        <is>
          <t>sqm</t>
        </is>
      </c>
      <c r="D303" s="15" t="n">
        <v>2.69</v>
      </c>
      <c r="E303" s="16" t="n">
        <v>50.7</v>
      </c>
      <c r="F303" s="16">
        <f>D303*E303</f>
        <v/>
      </c>
    </row>
    <row r="304">
      <c r="A304" s="13" t="inlineStr">
        <is>
          <t>4006</t>
        </is>
      </c>
      <c r="B304" s="14" t="inlineStr">
        <is>
          <t>Pressed steel door frames (mild steel sheet 1.60mm) Profile "B" frame</t>
        </is>
      </c>
      <c r="C304" s="13" t="inlineStr">
        <is>
          <t>metre</t>
        </is>
      </c>
      <c r="D304" s="15" t="n">
        <v>5</v>
      </c>
      <c r="E304" s="16" t="n">
        <v>190</v>
      </c>
      <c r="F304" s="16">
        <f>D304*E304</f>
        <v/>
      </c>
    </row>
    <row r="305">
      <c r="A305" s="13" t="inlineStr">
        <is>
          <t>0595</t>
        </is>
      </c>
      <c r="B305" s="14" t="inlineStr">
        <is>
          <t>Bright finished or black enamelled mild steel butt hinges 100x58x1.90 mm</t>
        </is>
      </c>
      <c r="C305" s="13" t="inlineStr">
        <is>
          <t>10 Nos</t>
        </is>
      </c>
      <c r="D305" s="15" t="n">
        <v>0.6</v>
      </c>
      <c r="E305" s="16" t="n">
        <v>80</v>
      </c>
      <c r="F305" s="16">
        <f>D305*E305</f>
        <v/>
      </c>
    </row>
    <row r="306">
      <c r="A306" s="13" t="inlineStr">
        <is>
          <t>9999</t>
        </is>
      </c>
      <c r="B306" s="14" t="inlineStr">
        <is>
          <t>Screws, nuts and bolts</t>
        </is>
      </c>
      <c r="C306" s="13" t="inlineStr">
        <is>
          <t>L.S.</t>
        </is>
      </c>
      <c r="D306" s="15" t="n">
        <v>35.88</v>
      </c>
      <c r="E306" s="16" t="n">
        <v>2</v>
      </c>
      <c r="F306" s="16">
        <f>D306*E306</f>
        <v/>
      </c>
    </row>
    <row r="307">
      <c r="A307" s="13" t="inlineStr">
        <is>
          <t>1007</t>
        </is>
      </c>
      <c r="B307" s="14" t="inlineStr">
        <is>
          <t>Structurals such as tees,angles channels and R.S. joists</t>
        </is>
      </c>
      <c r="C307" s="13" t="inlineStr">
        <is>
          <t>quintal</t>
        </is>
      </c>
      <c r="D307" s="15" t="n">
        <v>0.03</v>
      </c>
      <c r="E307" s="16" t="n">
        <v>4600</v>
      </c>
      <c r="F307" s="16">
        <f>D307*E307</f>
        <v/>
      </c>
    </row>
    <row r="308">
      <c r="A308" s="13" t="inlineStr">
        <is>
          <t>9977</t>
        </is>
      </c>
      <c r="B308" s="14" t="inlineStr">
        <is>
          <t>Carriage of material</t>
        </is>
      </c>
      <c r="C308" s="13" t="inlineStr">
        <is>
          <t>L.S.</t>
        </is>
      </c>
      <c r="D308" s="15" t="n">
        <v>5.33</v>
      </c>
      <c r="E308" s="16" t="n">
        <v>2</v>
      </c>
      <c r="F308" s="16">
        <f>D308*E308</f>
        <v/>
      </c>
    </row>
    <row r="309">
      <c r="A309" s="13" t="inlineStr">
        <is>
          <t>0116</t>
        </is>
      </c>
      <c r="B309" s="14" t="inlineStr">
        <is>
          <t>Fitter (grade 1)</t>
        </is>
      </c>
      <c r="C309" s="13" t="inlineStr">
        <is>
          <t>day</t>
        </is>
      </c>
      <c r="D309" s="15" t="n">
        <v>0.15</v>
      </c>
      <c r="E309" s="16" t="n">
        <v>738</v>
      </c>
      <c r="F309" s="16">
        <f>D309*E309</f>
        <v/>
      </c>
    </row>
    <row r="310">
      <c r="A310" s="13" t="inlineStr">
        <is>
          <t>0114</t>
        </is>
      </c>
      <c r="B310" s="14" t="inlineStr">
        <is>
          <t>Beldar</t>
        </is>
      </c>
      <c r="C310" s="13" t="inlineStr">
        <is>
          <t>day</t>
        </is>
      </c>
      <c r="D310" s="15" t="n">
        <v>0.2</v>
      </c>
      <c r="E310" s="16" t="n">
        <v>558</v>
      </c>
      <c r="F310" s="16">
        <f>D310*E310</f>
        <v/>
      </c>
    </row>
    <row r="311">
      <c r="A311" s="13" t="inlineStr">
        <is>
          <t>9999</t>
        </is>
      </c>
      <c r="B311" s="14" t="inlineStr">
        <is>
          <t>Sundries</t>
        </is>
      </c>
      <c r="C311" s="13" t="inlineStr">
        <is>
          <t>L.S.</t>
        </is>
      </c>
      <c r="D311" s="15" t="n">
        <v>8.970000000000001</v>
      </c>
      <c r="E311" s="16" t="n">
        <v>2</v>
      </c>
      <c r="F311" s="16">
        <f>D311*E311</f>
        <v/>
      </c>
    </row>
    <row r="312">
      <c r="A312" s="17" t="inlineStr">
        <is>
          <t>Resource Total (Material + Labour + Machinery, as printed)</t>
        </is>
      </c>
      <c r="B312" s="18" t="n"/>
      <c r="C312" s="18" t="n"/>
      <c r="D312" s="18" t="n"/>
      <c r="E312" s="18" t="n"/>
      <c r="F312" s="19">
        <f>SUM(F303:F311)</f>
        <v/>
      </c>
    </row>
    <row r="313">
      <c r="A313" s="20" t="inlineStr">
        <is>
          <t>SAY (Rs.) — final DAR rate</t>
        </is>
      </c>
      <c r="B313" s="21" t="n"/>
      <c r="C313" s="21" t="n"/>
      <c r="D313" s="21" t="n"/>
      <c r="E313" s="21" t="n"/>
      <c r="F313" s="22" t="n">
        <v>417.6</v>
      </c>
    </row>
    <row r="315" ht="28" customHeight="1">
      <c r="A315" s="9" t="inlineStr">
        <is>
          <t>10.14.1.2</t>
        </is>
      </c>
      <c r="B315" s="10" t="inlineStr">
        <is>
          <t>Fixing with carbon steel galvanised dash fastener of required dia and size (to be paid for separately)</t>
        </is>
      </c>
      <c r="C315" s="11" t="n"/>
      <c r="D315" s="11" t="n"/>
      <c r="E315" s="11" t="n"/>
      <c r="F315" s="11" t="n"/>
    </row>
    <row r="316">
      <c r="A316" s="12" t="inlineStr">
        <is>
          <t>Rate basis: per metre  (source: cost for 5 metre)</t>
        </is>
      </c>
    </row>
    <row r="317">
      <c r="A317" s="5" t="inlineStr">
        <is>
          <t>Code</t>
        </is>
      </c>
      <c r="B317" s="5" t="inlineStr">
        <is>
          <t>Description</t>
        </is>
      </c>
      <c r="C317" s="5" t="inlineStr">
        <is>
          <t>Unit</t>
        </is>
      </c>
      <c r="D317" s="5" t="inlineStr">
        <is>
          <t>Quantity</t>
        </is>
      </c>
      <c r="E317" s="5" t="inlineStr">
        <is>
          <t>Rate (Rs.)</t>
        </is>
      </c>
      <c r="F317" s="5" t="inlineStr">
        <is>
          <t>Amount (Rs.)</t>
        </is>
      </c>
    </row>
    <row r="318">
      <c r="A318" s="13" t="inlineStr">
        <is>
          <t>13.50.3</t>
        </is>
      </c>
      <c r="B318" s="14" t="inlineStr">
        <is>
          <t>Rate as per SH: 13.50.3</t>
        </is>
      </c>
      <c r="C318" s="13" t="inlineStr">
        <is>
          <t>sqm</t>
        </is>
      </c>
      <c r="D318" s="15" t="n">
        <v>2.69</v>
      </c>
      <c r="E318" s="16" t="n">
        <v>50.7</v>
      </c>
      <c r="F318" s="16">
        <f>D318*E318</f>
        <v/>
      </c>
    </row>
    <row r="319">
      <c r="A319" s="13" t="inlineStr">
        <is>
          <t>4006</t>
        </is>
      </c>
      <c r="B319" s="14" t="inlineStr">
        <is>
          <t>Pressed steel door frames (mild steel sheet 1.60mm) Profile "B" frame</t>
        </is>
      </c>
      <c r="C319" s="13" t="inlineStr">
        <is>
          <t>metre</t>
        </is>
      </c>
      <c r="D319" s="15" t="n">
        <v>5</v>
      </c>
      <c r="E319" s="16" t="n">
        <v>190</v>
      </c>
      <c r="F319" s="16">
        <f>D319*E319</f>
        <v/>
      </c>
    </row>
    <row r="320">
      <c r="A320" s="13" t="inlineStr">
        <is>
          <t>0595</t>
        </is>
      </c>
      <c r="B320" s="14" t="inlineStr">
        <is>
          <t>Bright finished or black enamelled mild steel butt hinges 100x58x1.90 mm</t>
        </is>
      </c>
      <c r="C320" s="13" t="inlineStr">
        <is>
          <t>10 Nos</t>
        </is>
      </c>
      <c r="D320" s="15" t="n">
        <v>0.6</v>
      </c>
      <c r="E320" s="16" t="n">
        <v>80</v>
      </c>
      <c r="F320" s="16">
        <f>D320*E320</f>
        <v/>
      </c>
    </row>
    <row r="321">
      <c r="A321" s="13" t="inlineStr">
        <is>
          <t>9999</t>
        </is>
      </c>
      <c r="B321" s="14" t="inlineStr">
        <is>
          <t>Screws, nuts and bolts</t>
        </is>
      </c>
      <c r="C321" s="13" t="inlineStr">
        <is>
          <t>L.S.</t>
        </is>
      </c>
      <c r="D321" s="15" t="n">
        <v>35.88</v>
      </c>
      <c r="E321" s="16" t="n">
        <v>2</v>
      </c>
      <c r="F321" s="16">
        <f>D321*E321</f>
        <v/>
      </c>
    </row>
    <row r="322">
      <c r="A322" s="13" t="inlineStr">
        <is>
          <t>1007</t>
        </is>
      </c>
      <c r="B322" s="14" t="inlineStr">
        <is>
          <t>Structurals such as tees,angles channels and R.S. joists</t>
        </is>
      </c>
      <c r="C322" s="13" t="inlineStr">
        <is>
          <t>quintal</t>
        </is>
      </c>
      <c r="D322" s="15" t="n">
        <v>0.03</v>
      </c>
      <c r="E322" s="16" t="n">
        <v>4600</v>
      </c>
      <c r="F322" s="16">
        <f>D322*E322</f>
        <v/>
      </c>
    </row>
    <row r="323">
      <c r="A323" s="13" t="inlineStr">
        <is>
          <t>9977</t>
        </is>
      </c>
      <c r="B323" s="14" t="inlineStr">
        <is>
          <t>Carriage of material</t>
        </is>
      </c>
      <c r="C323" s="13" t="inlineStr">
        <is>
          <t>L.S.</t>
        </is>
      </c>
      <c r="D323" s="15" t="n">
        <v>5.33</v>
      </c>
      <c r="E323" s="16" t="n">
        <v>2</v>
      </c>
      <c r="F323" s="16">
        <f>D323*E323</f>
        <v/>
      </c>
    </row>
    <row r="324">
      <c r="A324" s="13" t="inlineStr">
        <is>
          <t>0116</t>
        </is>
      </c>
      <c r="B324" s="14" t="inlineStr">
        <is>
          <t>Fitter (grade 1)</t>
        </is>
      </c>
      <c r="C324" s="13" t="inlineStr">
        <is>
          <t>day</t>
        </is>
      </c>
      <c r="D324" s="15" t="n">
        <v>0.15</v>
      </c>
      <c r="E324" s="16" t="n">
        <v>738</v>
      </c>
      <c r="F324" s="16">
        <f>D324*E324</f>
        <v/>
      </c>
    </row>
    <row r="325">
      <c r="A325" s="13" t="inlineStr">
        <is>
          <t>0114</t>
        </is>
      </c>
      <c r="B325" s="14" t="inlineStr">
        <is>
          <t>Beldar</t>
        </is>
      </c>
      <c r="C325" s="13" t="inlineStr">
        <is>
          <t>day</t>
        </is>
      </c>
      <c r="D325" s="15" t="n">
        <v>0.2</v>
      </c>
      <c r="E325" s="16" t="n">
        <v>558</v>
      </c>
      <c r="F325" s="16">
        <f>D325*E325</f>
        <v/>
      </c>
    </row>
    <row r="326">
      <c r="A326" s="13" t="inlineStr">
        <is>
          <t>9999</t>
        </is>
      </c>
      <c r="B326" s="14" t="inlineStr">
        <is>
          <t>Sundries</t>
        </is>
      </c>
      <c r="C326" s="13" t="inlineStr">
        <is>
          <t>L.S.</t>
        </is>
      </c>
      <c r="D326" s="15" t="n">
        <v>8.970000000000001</v>
      </c>
      <c r="E326" s="16" t="n">
        <v>2</v>
      </c>
      <c r="F326" s="16">
        <f>D326*E326</f>
        <v/>
      </c>
    </row>
    <row r="327">
      <c r="A327" s="17" t="inlineStr">
        <is>
          <t>Resource Total (Material + Labour + Machinery, as printed)</t>
        </is>
      </c>
      <c r="B327" s="18" t="n"/>
      <c r="C327" s="18" t="n"/>
      <c r="D327" s="18" t="n"/>
      <c r="E327" s="18" t="n"/>
      <c r="F327" s="19">
        <f>SUM(F318:F326)</f>
        <v/>
      </c>
    </row>
    <row r="328">
      <c r="A328" s="20" t="inlineStr">
        <is>
          <t>SAY (Rs.) — final DAR rate</t>
        </is>
      </c>
      <c r="B328" s="21" t="n"/>
      <c r="C328" s="21" t="n"/>
      <c r="D328" s="21" t="n"/>
      <c r="E328" s="21" t="n"/>
      <c r="F328" s="22" t="n">
        <v>406.9</v>
      </c>
    </row>
    <row r="330" ht="18" customHeight="1">
      <c r="A330" s="9" t="inlineStr">
        <is>
          <t>10.14.2.1</t>
        </is>
      </c>
      <c r="B330" s="10" t="inlineStr">
        <is>
          <t>Fixing with adjustable lugs with split end tail to each jamb</t>
        </is>
      </c>
      <c r="C330" s="11" t="n"/>
      <c r="D330" s="11" t="n"/>
      <c r="E330" s="11" t="n"/>
      <c r="F330" s="11" t="n"/>
    </row>
    <row r="331">
      <c r="A331" s="12" t="inlineStr">
        <is>
          <t>Rate basis: per metre  (source: cost for 5 metre)</t>
        </is>
      </c>
    </row>
    <row r="332">
      <c r="A332" s="5" t="inlineStr">
        <is>
          <t>Code</t>
        </is>
      </c>
      <c r="B332" s="5" t="inlineStr">
        <is>
          <t>Description</t>
        </is>
      </c>
      <c r="C332" s="5" t="inlineStr">
        <is>
          <t>Unit</t>
        </is>
      </c>
      <c r="D332" s="5" t="inlineStr">
        <is>
          <t>Quantity</t>
        </is>
      </c>
      <c r="E332" s="5" t="inlineStr">
        <is>
          <t>Rate (Rs.)</t>
        </is>
      </c>
      <c r="F332" s="5" t="inlineStr">
        <is>
          <t>Amount (Rs.)</t>
        </is>
      </c>
    </row>
    <row r="333">
      <c r="A333" s="13" t="inlineStr">
        <is>
          <t>13.50.3</t>
        </is>
      </c>
      <c r="B333" s="14" t="inlineStr">
        <is>
          <t>Rate as per SH: 13.50.3</t>
        </is>
      </c>
      <c r="C333" s="13" t="inlineStr">
        <is>
          <t>sqm</t>
        </is>
      </c>
      <c r="D333" s="15" t="n">
        <v>2.69</v>
      </c>
      <c r="E333" s="16" t="n">
        <v>50.7</v>
      </c>
      <c r="F333" s="16">
        <f>D333*E333</f>
        <v/>
      </c>
    </row>
    <row r="334">
      <c r="A334" s="13" t="inlineStr">
        <is>
          <t>4007</t>
        </is>
      </c>
      <c r="B334" s="14" t="inlineStr">
        <is>
          <t>Pressed steel door frames (mild steel sheet 1.60mm) Profile "C"</t>
        </is>
      </c>
      <c r="C334" s="13" t="inlineStr">
        <is>
          <t>metre</t>
        </is>
      </c>
      <c r="D334" s="15" t="n">
        <v>5</v>
      </c>
      <c r="E334" s="16" t="n">
        <v>210</v>
      </c>
      <c r="F334" s="16">
        <f>D334*E334</f>
        <v/>
      </c>
    </row>
    <row r="335">
      <c r="A335" s="13" t="inlineStr">
        <is>
          <t>0595</t>
        </is>
      </c>
      <c r="B335" s="14" t="inlineStr">
        <is>
          <t>Bright finished or black enamelled mild steel butt hinges 100x58x1.90 mm</t>
        </is>
      </c>
      <c r="C335" s="13" t="inlineStr">
        <is>
          <t>10 Nos</t>
        </is>
      </c>
      <c r="D335" s="15" t="n">
        <v>0.6</v>
      </c>
      <c r="E335" s="16" t="n">
        <v>80</v>
      </c>
      <c r="F335" s="16">
        <f>D335*E335</f>
        <v/>
      </c>
    </row>
    <row r="336">
      <c r="A336" s="13" t="inlineStr">
        <is>
          <t>9999</t>
        </is>
      </c>
      <c r="B336" s="14" t="inlineStr">
        <is>
          <t>Screws, nuts and bolts</t>
        </is>
      </c>
      <c r="C336" s="13" t="inlineStr">
        <is>
          <t>L.S.</t>
        </is>
      </c>
      <c r="D336" s="15" t="n">
        <v>35.88</v>
      </c>
      <c r="E336" s="16" t="n">
        <v>2</v>
      </c>
      <c r="F336" s="16">
        <f>D336*E336</f>
        <v/>
      </c>
    </row>
    <row r="337">
      <c r="A337" s="13" t="inlineStr">
        <is>
          <t>1007</t>
        </is>
      </c>
      <c r="B337" s="14" t="inlineStr">
        <is>
          <t>Structurals such as tees, angles channels and R.S. joists</t>
        </is>
      </c>
      <c r="C337" s="13" t="inlineStr">
        <is>
          <t>quintal</t>
        </is>
      </c>
      <c r="D337" s="15" t="n">
        <v>0.03</v>
      </c>
      <c r="E337" s="16" t="n">
        <v>4600</v>
      </c>
      <c r="F337" s="16">
        <f>D337*E337</f>
        <v/>
      </c>
    </row>
    <row r="338">
      <c r="A338" s="13" t="inlineStr">
        <is>
          <t>9977</t>
        </is>
      </c>
      <c r="B338" s="14" t="inlineStr">
        <is>
          <t>Carriage of material</t>
        </is>
      </c>
      <c r="C338" s="13" t="inlineStr">
        <is>
          <t>L.S.</t>
        </is>
      </c>
      <c r="D338" s="15" t="n">
        <v>5.33</v>
      </c>
      <c r="E338" s="16" t="n">
        <v>2</v>
      </c>
      <c r="F338" s="16">
        <f>D338*E338</f>
        <v/>
      </c>
    </row>
    <row r="339">
      <c r="A339" s="13" t="inlineStr">
        <is>
          <t>0116</t>
        </is>
      </c>
      <c r="B339" s="14" t="inlineStr">
        <is>
          <t>Fitter (grade 1)</t>
        </is>
      </c>
      <c r="C339" s="13" t="inlineStr">
        <is>
          <t>day</t>
        </is>
      </c>
      <c r="D339" s="15" t="n">
        <v>0.15</v>
      </c>
      <c r="E339" s="16" t="n">
        <v>738</v>
      </c>
      <c r="F339" s="16">
        <f>D339*E339</f>
        <v/>
      </c>
    </row>
    <row r="340">
      <c r="A340" s="13" t="inlineStr">
        <is>
          <t>0114</t>
        </is>
      </c>
      <c r="B340" s="14" t="inlineStr">
        <is>
          <t>Beldar</t>
        </is>
      </c>
      <c r="C340" s="13" t="inlineStr">
        <is>
          <t>day</t>
        </is>
      </c>
      <c r="D340" s="15" t="n">
        <v>0.2</v>
      </c>
      <c r="E340" s="16" t="n">
        <v>558</v>
      </c>
      <c r="F340" s="16">
        <f>D340*E340</f>
        <v/>
      </c>
    </row>
    <row r="341">
      <c r="A341" s="13" t="inlineStr">
        <is>
          <t>9999</t>
        </is>
      </c>
      <c r="B341" s="14" t="inlineStr">
        <is>
          <t>Sundries</t>
        </is>
      </c>
      <c r="C341" s="13" t="inlineStr">
        <is>
          <t>L.S.</t>
        </is>
      </c>
      <c r="D341" s="15" t="n">
        <v>8.970000000000001</v>
      </c>
      <c r="E341" s="16" t="n">
        <v>2</v>
      </c>
      <c r="F341" s="16">
        <f>D341*E341</f>
        <v/>
      </c>
    </row>
    <row r="342">
      <c r="A342" s="17" t="inlineStr">
        <is>
          <t>Resource Total (Material + Labour + Machinery, as printed)</t>
        </is>
      </c>
      <c r="B342" s="18" t="n"/>
      <c r="C342" s="18" t="n"/>
      <c r="D342" s="18" t="n"/>
      <c r="E342" s="18" t="n"/>
      <c r="F342" s="19">
        <f>SUM(F333:F341)</f>
        <v/>
      </c>
    </row>
    <row r="343">
      <c r="A343" s="20" t="inlineStr">
        <is>
          <t>SAY (Rs.) — final DAR rate</t>
        </is>
      </c>
      <c r="B343" s="21" t="n"/>
      <c r="C343" s="21" t="n"/>
      <c r="D343" s="21" t="n"/>
      <c r="E343" s="21" t="n"/>
      <c r="F343" s="22" t="n">
        <v>444.35</v>
      </c>
    </row>
    <row r="345" ht="28" customHeight="1">
      <c r="A345" s="9" t="inlineStr">
        <is>
          <t>10.14.2.2</t>
        </is>
      </c>
      <c r="B345" s="10" t="inlineStr">
        <is>
          <t>Fixing with carbon steel galvanised dash fastener of required dia and size (to be paid for separately)</t>
        </is>
      </c>
      <c r="C345" s="11" t="n"/>
      <c r="D345" s="11" t="n"/>
      <c r="E345" s="11" t="n"/>
      <c r="F345" s="11" t="n"/>
    </row>
    <row r="346">
      <c r="A346" s="12" t="inlineStr">
        <is>
          <t>Rate basis: per metre  (source: cost for 5 metre)</t>
        </is>
      </c>
    </row>
    <row r="347">
      <c r="A347" s="5" t="inlineStr">
        <is>
          <t>Code</t>
        </is>
      </c>
      <c r="B347" s="5" t="inlineStr">
        <is>
          <t>Description</t>
        </is>
      </c>
      <c r="C347" s="5" t="inlineStr">
        <is>
          <t>Unit</t>
        </is>
      </c>
      <c r="D347" s="5" t="inlineStr">
        <is>
          <t>Quantity</t>
        </is>
      </c>
      <c r="E347" s="5" t="inlineStr">
        <is>
          <t>Rate (Rs.)</t>
        </is>
      </c>
      <c r="F347" s="5" t="inlineStr">
        <is>
          <t>Amount (Rs.)</t>
        </is>
      </c>
    </row>
    <row r="348">
      <c r="A348" s="13" t="inlineStr">
        <is>
          <t>13.50.3</t>
        </is>
      </c>
      <c r="B348" s="14" t="inlineStr">
        <is>
          <t>Rate as per SH: 13.50.3</t>
        </is>
      </c>
      <c r="C348" s="13" t="inlineStr">
        <is>
          <t>sqm</t>
        </is>
      </c>
      <c r="D348" s="15" t="n">
        <v>2.69</v>
      </c>
      <c r="E348" s="16" t="n">
        <v>50.7</v>
      </c>
      <c r="F348" s="16">
        <f>D348*E348</f>
        <v/>
      </c>
    </row>
    <row r="349">
      <c r="A349" s="13" t="inlineStr">
        <is>
          <t>4007</t>
        </is>
      </c>
      <c r="B349" s="14" t="inlineStr">
        <is>
          <t>Pressed steel door frames (mild steel sheet 1.60mm) Profile "C"</t>
        </is>
      </c>
      <c r="C349" s="13" t="inlineStr">
        <is>
          <t>metre</t>
        </is>
      </c>
      <c r="D349" s="15" t="n">
        <v>5</v>
      </c>
      <c r="E349" s="16" t="n">
        <v>210</v>
      </c>
      <c r="F349" s="16">
        <f>D349*E349</f>
        <v/>
      </c>
    </row>
    <row r="350">
      <c r="A350" s="13" t="inlineStr">
        <is>
          <t>0595</t>
        </is>
      </c>
      <c r="B350" s="14" t="inlineStr">
        <is>
          <t>Bright finished or black enamelled mild steel butt hinges 100x58x1.90 mm</t>
        </is>
      </c>
      <c r="C350" s="13" t="inlineStr">
        <is>
          <t>10 Nos</t>
        </is>
      </c>
      <c r="D350" s="15" t="n">
        <v>0.6</v>
      </c>
      <c r="E350" s="16" t="n">
        <v>80</v>
      </c>
      <c r="F350" s="16">
        <f>D350*E350</f>
        <v/>
      </c>
    </row>
    <row r="351">
      <c r="A351" s="13" t="inlineStr">
        <is>
          <t>9999</t>
        </is>
      </c>
      <c r="B351" s="14" t="inlineStr">
        <is>
          <t>Screws, nuts and bolts</t>
        </is>
      </c>
      <c r="C351" s="13" t="inlineStr">
        <is>
          <t>L.S.</t>
        </is>
      </c>
      <c r="D351" s="15" t="n">
        <v>35.88</v>
      </c>
      <c r="E351" s="16" t="n">
        <v>2</v>
      </c>
      <c r="F351" s="16">
        <f>D351*E351</f>
        <v/>
      </c>
    </row>
    <row r="352">
      <c r="A352" s="13" t="inlineStr">
        <is>
          <t>1007</t>
        </is>
      </c>
      <c r="B352" s="14" t="inlineStr">
        <is>
          <t>Structurals such as tees, angles channels and R.S. joists</t>
        </is>
      </c>
      <c r="C352" s="13" t="inlineStr">
        <is>
          <t>quintal</t>
        </is>
      </c>
      <c r="D352" s="15" t="n">
        <v>0.03</v>
      </c>
      <c r="E352" s="16" t="n">
        <v>4600</v>
      </c>
      <c r="F352" s="16">
        <f>D352*E352</f>
        <v/>
      </c>
    </row>
    <row r="353">
      <c r="A353" s="13" t="inlineStr">
        <is>
          <t>9977</t>
        </is>
      </c>
      <c r="B353" s="14" t="inlineStr">
        <is>
          <t>Carriage of material</t>
        </is>
      </c>
      <c r="C353" s="13" t="inlineStr">
        <is>
          <t>L.S.</t>
        </is>
      </c>
      <c r="D353" s="15" t="n">
        <v>5.33</v>
      </c>
      <c r="E353" s="16" t="n">
        <v>2</v>
      </c>
      <c r="F353" s="16">
        <f>D353*E353</f>
        <v/>
      </c>
    </row>
    <row r="354">
      <c r="A354" s="13" t="inlineStr">
        <is>
          <t>0116</t>
        </is>
      </c>
      <c r="B354" s="14" t="inlineStr">
        <is>
          <t>Fitter (grade 1)</t>
        </is>
      </c>
      <c r="C354" s="13" t="inlineStr">
        <is>
          <t>day</t>
        </is>
      </c>
      <c r="D354" s="15" t="n">
        <v>0.15</v>
      </c>
      <c r="E354" s="16" t="n">
        <v>738</v>
      </c>
      <c r="F354" s="16">
        <f>D354*E354</f>
        <v/>
      </c>
    </row>
    <row r="355">
      <c r="A355" s="13" t="inlineStr">
        <is>
          <t>0114</t>
        </is>
      </c>
      <c r="B355" s="14" t="inlineStr">
        <is>
          <t>Beldar</t>
        </is>
      </c>
      <c r="C355" s="13" t="inlineStr">
        <is>
          <t>day</t>
        </is>
      </c>
      <c r="D355" s="15" t="n">
        <v>0.2</v>
      </c>
      <c r="E355" s="16" t="n">
        <v>558</v>
      </c>
      <c r="F355" s="16">
        <f>D355*E355</f>
        <v/>
      </c>
    </row>
    <row r="356">
      <c r="A356" s="13" t="inlineStr">
        <is>
          <t>9999</t>
        </is>
      </c>
      <c r="B356" s="14" t="inlineStr">
        <is>
          <t>Sundries</t>
        </is>
      </c>
      <c r="C356" s="13" t="inlineStr">
        <is>
          <t>L.S.</t>
        </is>
      </c>
      <c r="D356" s="15" t="n">
        <v>8.970000000000001</v>
      </c>
      <c r="E356" s="16" t="n">
        <v>2</v>
      </c>
      <c r="F356" s="16">
        <f>D356*E356</f>
        <v/>
      </c>
    </row>
    <row r="357">
      <c r="A357" s="17" t="inlineStr">
        <is>
          <t>Resource Total (Material + Labour + Machinery, as printed)</t>
        </is>
      </c>
      <c r="B357" s="18" t="n"/>
      <c r="C357" s="18" t="n"/>
      <c r="D357" s="18" t="n"/>
      <c r="E357" s="18" t="n"/>
      <c r="F357" s="19">
        <f>SUM(F348:F356)</f>
        <v/>
      </c>
    </row>
    <row r="358">
      <c r="A358" s="20" t="inlineStr">
        <is>
          <t>SAY (Rs.) — final DAR rate</t>
        </is>
      </c>
      <c r="B358" s="21" t="n"/>
      <c r="C358" s="21" t="n"/>
      <c r="D358" s="21" t="n"/>
      <c r="E358" s="21" t="n"/>
      <c r="F358" s="22" t="n">
        <v>433.65</v>
      </c>
    </row>
    <row r="360" ht="18" customHeight="1">
      <c r="A360" s="9" t="inlineStr">
        <is>
          <t>10.14.3.1</t>
        </is>
      </c>
      <c r="B360" s="10" t="inlineStr">
        <is>
          <t>Fixing with adjustable lugs with split end tail to each jamb</t>
        </is>
      </c>
      <c r="C360" s="11" t="n"/>
      <c r="D360" s="11" t="n"/>
      <c r="E360" s="11" t="n"/>
      <c r="F360" s="11" t="n"/>
    </row>
    <row r="361">
      <c r="A361" s="12" t="inlineStr">
        <is>
          <t>Rate basis: per metre  (source: cost for 5 metre)</t>
        </is>
      </c>
    </row>
    <row r="362">
      <c r="A362" s="5" t="inlineStr">
        <is>
          <t>Code</t>
        </is>
      </c>
      <c r="B362" s="5" t="inlineStr">
        <is>
          <t>Description</t>
        </is>
      </c>
      <c r="C362" s="5" t="inlineStr">
        <is>
          <t>Unit</t>
        </is>
      </c>
      <c r="D362" s="5" t="inlineStr">
        <is>
          <t>Quantity</t>
        </is>
      </c>
      <c r="E362" s="5" t="inlineStr">
        <is>
          <t>Rate (Rs.)</t>
        </is>
      </c>
      <c r="F362" s="5" t="inlineStr">
        <is>
          <t>Amount (Rs.)</t>
        </is>
      </c>
    </row>
    <row r="363">
      <c r="A363" s="13" t="inlineStr">
        <is>
          <t>13.50.3</t>
        </is>
      </c>
      <c r="B363" s="14" t="inlineStr">
        <is>
          <t>Rate as per SH: 13.50.3</t>
        </is>
      </c>
      <c r="C363" s="13" t="inlineStr">
        <is>
          <t>sqm</t>
        </is>
      </c>
      <c r="D363" s="15" t="n">
        <v>2.69</v>
      </c>
      <c r="E363" s="16" t="n">
        <v>50.7</v>
      </c>
      <c r="F363" s="16">
        <f>D363*E363</f>
        <v/>
      </c>
    </row>
    <row r="364">
      <c r="A364" s="13" t="inlineStr">
        <is>
          <t>4008</t>
        </is>
      </c>
      <c r="B364" s="14" t="inlineStr">
        <is>
          <t>Pressed steel door frames (mild steel sheet 1.60mm) Profile "E"</t>
        </is>
      </c>
      <c r="C364" s="13" t="inlineStr">
        <is>
          <t>metre</t>
        </is>
      </c>
      <c r="D364" s="15" t="n">
        <v>5</v>
      </c>
      <c r="E364" s="16" t="n">
        <v>240</v>
      </c>
      <c r="F364" s="16">
        <f>D364*E364</f>
        <v/>
      </c>
    </row>
    <row r="365">
      <c r="A365" s="13" t="inlineStr">
        <is>
          <t>0595</t>
        </is>
      </c>
      <c r="B365" s="14" t="inlineStr">
        <is>
          <t>Bright finished or black enamelled mild steel butt hinges 100x58x1.90 mm</t>
        </is>
      </c>
      <c r="C365" s="13" t="inlineStr">
        <is>
          <t>10 Nos</t>
        </is>
      </c>
      <c r="D365" s="15" t="n">
        <v>0.6</v>
      </c>
      <c r="E365" s="16" t="n">
        <v>80</v>
      </c>
      <c r="F365" s="16">
        <f>D365*E365</f>
        <v/>
      </c>
    </row>
    <row r="366">
      <c r="A366" s="13" t="inlineStr">
        <is>
          <t>9999</t>
        </is>
      </c>
      <c r="B366" s="14" t="inlineStr">
        <is>
          <t>Screws, nuts and bolts</t>
        </is>
      </c>
      <c r="C366" s="13" t="inlineStr">
        <is>
          <t>L.S.</t>
        </is>
      </c>
      <c r="D366" s="15" t="n">
        <v>35.88</v>
      </c>
      <c r="E366" s="16" t="n">
        <v>2</v>
      </c>
      <c r="F366" s="16">
        <f>D366*E366</f>
        <v/>
      </c>
    </row>
    <row r="367">
      <c r="A367" s="13" t="inlineStr">
        <is>
          <t>1007</t>
        </is>
      </c>
      <c r="B367" s="14" t="inlineStr">
        <is>
          <t>Structurals such as tees,angles channels and R.S. joists</t>
        </is>
      </c>
      <c r="C367" s="13" t="inlineStr">
        <is>
          <t>quintal</t>
        </is>
      </c>
      <c r="D367" s="15" t="n">
        <v>0.03</v>
      </c>
      <c r="E367" s="16" t="n">
        <v>4600</v>
      </c>
      <c r="F367" s="16">
        <f>D367*E367</f>
        <v/>
      </c>
    </row>
    <row r="368">
      <c r="A368" s="13" t="inlineStr">
        <is>
          <t>9977</t>
        </is>
      </c>
      <c r="B368" s="14" t="inlineStr">
        <is>
          <t>Carriage of material</t>
        </is>
      </c>
      <c r="C368" s="13" t="inlineStr">
        <is>
          <t>L.S.</t>
        </is>
      </c>
      <c r="D368" s="15" t="n">
        <v>5.33</v>
      </c>
      <c r="E368" s="16" t="n">
        <v>2</v>
      </c>
      <c r="F368" s="16">
        <f>D368*E368</f>
        <v/>
      </c>
    </row>
    <row r="369">
      <c r="A369" s="13" t="inlineStr">
        <is>
          <t>0116</t>
        </is>
      </c>
      <c r="B369" s="14" t="inlineStr">
        <is>
          <t>Fitter (grade 1)</t>
        </is>
      </c>
      <c r="C369" s="13" t="inlineStr">
        <is>
          <t>day</t>
        </is>
      </c>
      <c r="D369" s="15" t="n">
        <v>0.15</v>
      </c>
      <c r="E369" s="16" t="n">
        <v>738</v>
      </c>
      <c r="F369" s="16">
        <f>D369*E369</f>
        <v/>
      </c>
    </row>
    <row r="370">
      <c r="A370" s="13" t="inlineStr">
        <is>
          <t>0114</t>
        </is>
      </c>
      <c r="B370" s="14" t="inlineStr">
        <is>
          <t>Beldar</t>
        </is>
      </c>
      <c r="C370" s="13" t="inlineStr">
        <is>
          <t>day</t>
        </is>
      </c>
      <c r="D370" s="15" t="n">
        <v>0.2</v>
      </c>
      <c r="E370" s="16" t="n">
        <v>558</v>
      </c>
      <c r="F370" s="16">
        <f>D370*E370</f>
        <v/>
      </c>
    </row>
    <row r="371">
      <c r="A371" s="13" t="inlineStr">
        <is>
          <t>9999</t>
        </is>
      </c>
      <c r="B371" s="14" t="inlineStr">
        <is>
          <t>Sundries</t>
        </is>
      </c>
      <c r="C371" s="13" t="inlineStr">
        <is>
          <t>L.S.</t>
        </is>
      </c>
      <c r="D371" s="15" t="n">
        <v>8.970000000000001</v>
      </c>
      <c r="E371" s="16" t="n">
        <v>2</v>
      </c>
      <c r="F371" s="16">
        <f>D371*E371</f>
        <v/>
      </c>
    </row>
    <row r="372">
      <c r="A372" s="17" t="inlineStr">
        <is>
          <t>Resource Total (Material + Labour + Machinery, as printed)</t>
        </is>
      </c>
      <c r="B372" s="18" t="n"/>
      <c r="C372" s="18" t="n"/>
      <c r="D372" s="18" t="n"/>
      <c r="E372" s="18" t="n"/>
      <c r="F372" s="19">
        <f>SUM(F363:F371)</f>
        <v/>
      </c>
    </row>
    <row r="373">
      <c r="A373" s="20" t="inlineStr">
        <is>
          <t>SAY (Rs.) — final DAR rate</t>
        </is>
      </c>
      <c r="B373" s="21" t="n"/>
      <c r="C373" s="21" t="n"/>
      <c r="D373" s="21" t="n"/>
      <c r="E373" s="21" t="n"/>
      <c r="F373" s="22" t="n">
        <v>484.5</v>
      </c>
    </row>
    <row r="375" ht="28" customHeight="1">
      <c r="A375" s="9" t="inlineStr">
        <is>
          <t>10.14.3.2</t>
        </is>
      </c>
      <c r="B375" s="10" t="inlineStr">
        <is>
          <t>Fixing with carbon steel galvanised dash fastener of required dia and size (to be paid for separately)</t>
        </is>
      </c>
      <c r="C375" s="11" t="n"/>
      <c r="D375" s="11" t="n"/>
      <c r="E375" s="11" t="n"/>
      <c r="F375" s="11" t="n"/>
    </row>
    <row r="376">
      <c r="A376" s="12" t="inlineStr">
        <is>
          <t>Rate basis: per metre  (source: cost for 5 metre)</t>
        </is>
      </c>
    </row>
    <row r="377">
      <c r="A377" s="5" t="inlineStr">
        <is>
          <t>Code</t>
        </is>
      </c>
      <c r="B377" s="5" t="inlineStr">
        <is>
          <t>Description</t>
        </is>
      </c>
      <c r="C377" s="5" t="inlineStr">
        <is>
          <t>Unit</t>
        </is>
      </c>
      <c r="D377" s="5" t="inlineStr">
        <is>
          <t>Quantity</t>
        </is>
      </c>
      <c r="E377" s="5" t="inlineStr">
        <is>
          <t>Rate (Rs.)</t>
        </is>
      </c>
      <c r="F377" s="5" t="inlineStr">
        <is>
          <t>Amount (Rs.)</t>
        </is>
      </c>
    </row>
    <row r="378">
      <c r="A378" s="13" t="inlineStr">
        <is>
          <t>13.50.3</t>
        </is>
      </c>
      <c r="B378" s="14" t="inlineStr">
        <is>
          <t>Rate as per SH: 13.50.3</t>
        </is>
      </c>
      <c r="C378" s="13" t="inlineStr">
        <is>
          <t>sqm</t>
        </is>
      </c>
      <c r="D378" s="15" t="n">
        <v>2.69</v>
      </c>
      <c r="E378" s="16" t="n">
        <v>50.7</v>
      </c>
      <c r="F378" s="16">
        <f>D378*E378</f>
        <v/>
      </c>
    </row>
    <row r="379">
      <c r="A379" s="13" t="inlineStr">
        <is>
          <t>4008</t>
        </is>
      </c>
      <c r="B379" s="14" t="inlineStr">
        <is>
          <t>Pressed steel door frames (mild steel sheet 1.60mm) Profile "E"</t>
        </is>
      </c>
      <c r="C379" s="13" t="inlineStr">
        <is>
          <t>metre</t>
        </is>
      </c>
      <c r="D379" s="15" t="n">
        <v>5</v>
      </c>
      <c r="E379" s="16" t="n">
        <v>240</v>
      </c>
      <c r="F379" s="16">
        <f>D379*E379</f>
        <v/>
      </c>
    </row>
    <row r="380">
      <c r="A380" s="13" t="inlineStr">
        <is>
          <t>0595</t>
        </is>
      </c>
      <c r="B380" s="14" t="inlineStr">
        <is>
          <t>Bright finished or black enamelled mild steel butt hinges 100x58x1.90 mm</t>
        </is>
      </c>
      <c r="C380" s="13" t="inlineStr">
        <is>
          <t>10 Nos</t>
        </is>
      </c>
      <c r="D380" s="15" t="n">
        <v>0.6</v>
      </c>
      <c r="E380" s="16" t="n">
        <v>80</v>
      </c>
      <c r="F380" s="16">
        <f>D380*E380</f>
        <v/>
      </c>
    </row>
    <row r="381">
      <c r="A381" s="13" t="inlineStr">
        <is>
          <t>9999</t>
        </is>
      </c>
      <c r="B381" s="14" t="inlineStr">
        <is>
          <t>Screws, nuts and bolts</t>
        </is>
      </c>
      <c r="C381" s="13" t="inlineStr">
        <is>
          <t>L.S.</t>
        </is>
      </c>
      <c r="D381" s="15" t="n">
        <v>35.88</v>
      </c>
      <c r="E381" s="16" t="n">
        <v>2</v>
      </c>
      <c r="F381" s="16">
        <f>D381*E381</f>
        <v/>
      </c>
    </row>
    <row r="382">
      <c r="A382" s="13" t="inlineStr">
        <is>
          <t>1007</t>
        </is>
      </c>
      <c r="B382" s="14" t="inlineStr">
        <is>
          <t>Structurals such as tees,angles channels and R.S. joists</t>
        </is>
      </c>
      <c r="C382" s="13" t="inlineStr">
        <is>
          <t>quintal</t>
        </is>
      </c>
      <c r="D382" s="15" t="n">
        <v>0.03</v>
      </c>
      <c r="E382" s="16" t="n">
        <v>4600</v>
      </c>
      <c r="F382" s="16">
        <f>D382*E382</f>
        <v/>
      </c>
    </row>
    <row r="383">
      <c r="A383" s="13" t="inlineStr">
        <is>
          <t>9977</t>
        </is>
      </c>
      <c r="B383" s="14" t="inlineStr">
        <is>
          <t>Carriage of material</t>
        </is>
      </c>
      <c r="C383" s="13" t="inlineStr">
        <is>
          <t>L.S.</t>
        </is>
      </c>
      <c r="D383" s="15" t="n">
        <v>5.33</v>
      </c>
      <c r="E383" s="16" t="n">
        <v>2</v>
      </c>
      <c r="F383" s="16">
        <f>D383*E383</f>
        <v/>
      </c>
    </row>
    <row r="384">
      <c r="A384" s="13" t="inlineStr">
        <is>
          <t>0116</t>
        </is>
      </c>
      <c r="B384" s="14" t="inlineStr">
        <is>
          <t>Fitter (grade 1)</t>
        </is>
      </c>
      <c r="C384" s="13" t="inlineStr">
        <is>
          <t>day</t>
        </is>
      </c>
      <c r="D384" s="15" t="n">
        <v>0.15</v>
      </c>
      <c r="E384" s="16" t="n">
        <v>738</v>
      </c>
      <c r="F384" s="16">
        <f>D384*E384</f>
        <v/>
      </c>
    </row>
    <row r="385">
      <c r="A385" s="13" t="inlineStr">
        <is>
          <t>0114</t>
        </is>
      </c>
      <c r="B385" s="14" t="inlineStr">
        <is>
          <t>Beldar</t>
        </is>
      </c>
      <c r="C385" s="13" t="inlineStr">
        <is>
          <t>day</t>
        </is>
      </c>
      <c r="D385" s="15" t="n">
        <v>0.2</v>
      </c>
      <c r="E385" s="16" t="n">
        <v>558</v>
      </c>
      <c r="F385" s="16">
        <f>D385*E385</f>
        <v/>
      </c>
    </row>
    <row r="386">
      <c r="A386" s="13" t="inlineStr">
        <is>
          <t>9999</t>
        </is>
      </c>
      <c r="B386" s="14" t="inlineStr">
        <is>
          <t>Sundries</t>
        </is>
      </c>
      <c r="C386" s="13" t="inlineStr">
        <is>
          <t>L.S.</t>
        </is>
      </c>
      <c r="D386" s="15" t="n">
        <v>8.970000000000001</v>
      </c>
      <c r="E386" s="16" t="n">
        <v>2</v>
      </c>
      <c r="F386" s="16">
        <f>D386*E386</f>
        <v/>
      </c>
    </row>
    <row r="387">
      <c r="A387" s="17" t="inlineStr">
        <is>
          <t>Resource Total (Material + Labour + Machinery, as printed)</t>
        </is>
      </c>
      <c r="B387" s="18" t="n"/>
      <c r="C387" s="18" t="n"/>
      <c r="D387" s="18" t="n"/>
      <c r="E387" s="18" t="n"/>
      <c r="F387" s="19">
        <f>SUM(F378:F386)</f>
        <v/>
      </c>
    </row>
    <row r="388">
      <c r="A388" s="20" t="inlineStr">
        <is>
          <t>SAY (Rs.) — final DAR rate</t>
        </is>
      </c>
      <c r="B388" s="21" t="n"/>
      <c r="C388" s="21" t="n"/>
      <c r="D388" s="21" t="n"/>
      <c r="E388" s="21" t="n"/>
      <c r="F388" s="22" t="n">
        <v>473.8</v>
      </c>
    </row>
    <row r="390" ht="28" customHeight="1">
      <c r="A390" s="9" t="inlineStr">
        <is>
          <t>10.15.1</t>
        </is>
      </c>
      <c r="B390" s="10" t="inlineStr">
        <is>
          <t>Fixing with 15x3 mm lugs 10 cm long embedded in cement concrete block 15x10x10 cm of C.C. 1:3:6 (1 Cement : 3 coarse sand : 6 graded stone a</t>
        </is>
      </c>
      <c r="C390" s="11" t="n"/>
      <c r="D390" s="11" t="n"/>
      <c r="E390" s="11" t="n"/>
      <c r="F390" s="11" t="n"/>
    </row>
    <row r="391">
      <c r="A391" s="12" t="inlineStr">
        <is>
          <t>Rate basis: per Kg  (source: cost for 7.13 Kg)</t>
        </is>
      </c>
    </row>
    <row r="392">
      <c r="A392" s="5" t="inlineStr">
        <is>
          <t>Code</t>
        </is>
      </c>
      <c r="B392" s="5" t="inlineStr">
        <is>
          <t>Description</t>
        </is>
      </c>
      <c r="C392" s="5" t="inlineStr">
        <is>
          <t>Unit</t>
        </is>
      </c>
      <c r="D392" s="5" t="inlineStr">
        <is>
          <t>Quantity</t>
        </is>
      </c>
      <c r="E392" s="5" t="inlineStr">
        <is>
          <t>Rate (Rs.)</t>
        </is>
      </c>
      <c r="F392" s="5" t="inlineStr">
        <is>
          <t>Amount (Rs.)</t>
        </is>
      </c>
    </row>
    <row r="393">
      <c r="A393" s="13" t="inlineStr">
        <is>
          <t>4.2.5</t>
        </is>
      </c>
      <c r="B393" s="14" t="inlineStr">
        <is>
          <t>Rate as per SH: 4.2.5</t>
        </is>
      </c>
      <c r="C393" s="13" t="inlineStr">
        <is>
          <t>cum</t>
        </is>
      </c>
      <c r="D393" s="15" t="n">
        <v>0.008999999999999999</v>
      </c>
      <c r="E393" s="16" t="n">
        <v>8025</v>
      </c>
      <c r="F393" s="16">
        <f>D393*E393</f>
        <v/>
      </c>
    </row>
    <row r="394">
      <c r="A394" s="13" t="inlineStr">
        <is>
          <t>4011</t>
        </is>
      </c>
      <c r="B394" s="14" t="inlineStr">
        <is>
          <t>Mild steel tubes electric resistant or induction butt welded</t>
        </is>
      </c>
      <c r="C394" s="13" t="inlineStr">
        <is>
          <t>kilogram</t>
        </is>
      </c>
      <c r="D394" s="15" t="n">
        <v>7.49</v>
      </c>
      <c r="E394" s="16" t="n">
        <v>47</v>
      </c>
      <c r="F394" s="16">
        <f>D394*E394</f>
        <v/>
      </c>
    </row>
    <row r="395">
      <c r="A395" s="13" t="inlineStr">
        <is>
          <t>1002</t>
        </is>
      </c>
      <c r="B395" s="14" t="inlineStr">
        <is>
          <t>Mild steel round bar 12 mm dia and below</t>
        </is>
      </c>
      <c r="C395" s="13" t="inlineStr">
        <is>
          <t>quintal</t>
        </is>
      </c>
      <c r="D395" s="15" t="n">
        <v>0.006</v>
      </c>
      <c r="E395" s="16" t="n">
        <v>4500</v>
      </c>
      <c r="F395" s="16">
        <f>D395*E395</f>
        <v/>
      </c>
    </row>
    <row r="396">
      <c r="A396" s="13" t="inlineStr">
        <is>
          <t>1008</t>
        </is>
      </c>
      <c r="B396" s="14" t="inlineStr">
        <is>
          <t>Flats upto 10 mm in thickness</t>
        </is>
      </c>
      <c r="C396" s="13" t="inlineStr">
        <is>
          <t>quintal</t>
        </is>
      </c>
      <c r="D396" s="15" t="n">
        <v>0.002</v>
      </c>
      <c r="E396" s="16" t="n">
        <v>4500</v>
      </c>
      <c r="F396" s="16">
        <f>D396*E396</f>
        <v/>
      </c>
    </row>
    <row r="397">
      <c r="A397" s="13" t="inlineStr">
        <is>
          <t>0595</t>
        </is>
      </c>
      <c r="B397" s="14" t="inlineStr">
        <is>
          <t>Bright finished or black enamelled mild steel butt hinges 100x58x1.90 mm</t>
        </is>
      </c>
      <c r="C397" s="13" t="inlineStr">
        <is>
          <t>10 Nos</t>
        </is>
      </c>
      <c r="D397" s="15" t="n">
        <v>0.6</v>
      </c>
      <c r="E397" s="16" t="n">
        <v>80</v>
      </c>
      <c r="F397" s="16">
        <f>D397*E397</f>
        <v/>
      </c>
    </row>
    <row r="398">
      <c r="A398" s="13" t="inlineStr">
        <is>
          <t>9999</t>
        </is>
      </c>
      <c r="B398" s="14" t="inlineStr">
        <is>
          <t>For screws and nuts and bolts</t>
        </is>
      </c>
      <c r="C398" s="13" t="inlineStr">
        <is>
          <t>L.S.</t>
        </is>
      </c>
      <c r="D398" s="15" t="n">
        <v>35.88</v>
      </c>
      <c r="E398" s="16" t="n">
        <v>2</v>
      </c>
      <c r="F398" s="16">
        <f>D398*E398</f>
        <v/>
      </c>
    </row>
    <row r="399">
      <c r="A399" s="13" t="inlineStr">
        <is>
          <t>9999</t>
        </is>
      </c>
      <c r="B399" s="14" t="inlineStr">
        <is>
          <t>For applying steel primer</t>
        </is>
      </c>
      <c r="C399" s="13" t="inlineStr">
        <is>
          <t>L.S.</t>
        </is>
      </c>
      <c r="D399" s="15" t="n">
        <v>17.94</v>
      </c>
      <c r="E399" s="16" t="n">
        <v>2</v>
      </c>
      <c r="F399" s="16">
        <f>D399*E399</f>
        <v/>
      </c>
    </row>
    <row r="400">
      <c r="A400" s="13" t="inlineStr">
        <is>
          <t>9977</t>
        </is>
      </c>
      <c r="B400" s="14" t="inlineStr">
        <is>
          <t>Carriage of material</t>
        </is>
      </c>
      <c r="C400" s="13" t="inlineStr">
        <is>
          <t>L.S.</t>
        </is>
      </c>
      <c r="D400" s="15" t="n">
        <v>5.33</v>
      </c>
      <c r="E400" s="16" t="n">
        <v>2</v>
      </c>
      <c r="F400" s="16">
        <f>D400*E400</f>
        <v/>
      </c>
    </row>
    <row r="401">
      <c r="A401" s="13" t="inlineStr">
        <is>
          <t>0103</t>
        </is>
      </c>
      <c r="B401" s="14" t="inlineStr">
        <is>
          <t>Blacksmith 2nd class</t>
        </is>
      </c>
      <c r="C401" s="13" t="inlineStr">
        <is>
          <t>day</t>
        </is>
      </c>
      <c r="D401" s="15" t="n">
        <v>0.04</v>
      </c>
      <c r="E401" s="16" t="n">
        <v>679</v>
      </c>
      <c r="F401" s="16">
        <f>D401*E401</f>
        <v/>
      </c>
    </row>
    <row r="402">
      <c r="A402" s="13" t="inlineStr">
        <is>
          <t>0116</t>
        </is>
      </c>
      <c r="B402" s="14" t="inlineStr">
        <is>
          <t>Fitter (grade 1)</t>
        </is>
      </c>
      <c r="C402" s="13" t="inlineStr">
        <is>
          <t>day</t>
        </is>
      </c>
      <c r="D402" s="15" t="n">
        <v>0.06</v>
      </c>
      <c r="E402" s="16" t="n">
        <v>738</v>
      </c>
      <c r="F402" s="16">
        <f>D402*E402</f>
        <v/>
      </c>
    </row>
    <row r="403">
      <c r="A403" s="13" t="inlineStr">
        <is>
          <t>0114</t>
        </is>
      </c>
      <c r="B403" s="14" t="inlineStr">
        <is>
          <t>Beldar</t>
        </is>
      </c>
      <c r="C403" s="13" t="inlineStr">
        <is>
          <t>day</t>
        </is>
      </c>
      <c r="D403" s="15" t="n">
        <v>0.08</v>
      </c>
      <c r="E403" s="16" t="n">
        <v>558</v>
      </c>
      <c r="F403" s="16">
        <f>D403*E403</f>
        <v/>
      </c>
    </row>
    <row r="404">
      <c r="A404" s="13" t="inlineStr">
        <is>
          <t>9999</t>
        </is>
      </c>
      <c r="B404" s="14" t="inlineStr">
        <is>
          <t>Sundries</t>
        </is>
      </c>
      <c r="C404" s="13" t="inlineStr">
        <is>
          <t>L.S.</t>
        </is>
      </c>
      <c r="D404" s="15" t="n">
        <v>3.64</v>
      </c>
      <c r="E404" s="16" t="n">
        <v>2</v>
      </c>
      <c r="F404" s="16">
        <f>D404*E404</f>
        <v/>
      </c>
    </row>
    <row r="405">
      <c r="A405" s="17" t="inlineStr">
        <is>
          <t>Resource Total (Material + Labour + Machinery, as printed)</t>
        </is>
      </c>
      <c r="B405" s="18" t="n"/>
      <c r="C405" s="18" t="n"/>
      <c r="D405" s="18" t="n"/>
      <c r="E405" s="18" t="n"/>
      <c r="F405" s="19">
        <f>SUM(F393:F404)</f>
        <v/>
      </c>
    </row>
    <row r="406">
      <c r="A406" s="20" t="inlineStr">
        <is>
          <t>SAY (Rs.) — final DAR rate</t>
        </is>
      </c>
      <c r="B406" s="21" t="n"/>
      <c r="C406" s="21" t="n"/>
      <c r="D406" s="21" t="n"/>
      <c r="E406" s="21" t="n"/>
      <c r="F406" s="22" t="n">
        <v>137.3</v>
      </c>
    </row>
    <row r="408" ht="28" customHeight="1">
      <c r="A408" s="9" t="inlineStr">
        <is>
          <t>10.15.2</t>
        </is>
      </c>
      <c r="B408" s="10" t="inlineStr">
        <is>
          <t>Fixing with carbon steel galvanised dash fastener of required dia and size (to be paid for separately)</t>
        </is>
      </c>
      <c r="C408" s="11" t="n"/>
      <c r="D408" s="11" t="n"/>
      <c r="E408" s="11" t="n"/>
      <c r="F408" s="11" t="n"/>
    </row>
    <row r="409">
      <c r="A409" s="12" t="inlineStr">
        <is>
          <t>Rate basis: per Kg  (source: cost for 7.13 Kg)</t>
        </is>
      </c>
    </row>
    <row r="410">
      <c r="A410" s="5" t="inlineStr">
        <is>
          <t>Code</t>
        </is>
      </c>
      <c r="B410" s="5" t="inlineStr">
        <is>
          <t>Description</t>
        </is>
      </c>
      <c r="C410" s="5" t="inlineStr">
        <is>
          <t>Unit</t>
        </is>
      </c>
      <c r="D410" s="5" t="inlineStr">
        <is>
          <t>Quantity</t>
        </is>
      </c>
      <c r="E410" s="5" t="inlineStr">
        <is>
          <t>Rate (Rs.)</t>
        </is>
      </c>
      <c r="F410" s="5" t="inlineStr">
        <is>
          <t>Amount (Rs.)</t>
        </is>
      </c>
    </row>
    <row r="411">
      <c r="A411" s="13" t="inlineStr">
        <is>
          <t>4011</t>
        </is>
      </c>
      <c r="B411" s="14" t="inlineStr">
        <is>
          <t>Mild steel tubes electric resistant or induction butt welded</t>
        </is>
      </c>
      <c r="C411" s="13" t="inlineStr">
        <is>
          <t>kilogram</t>
        </is>
      </c>
      <c r="D411" s="15" t="n">
        <v>7.49</v>
      </c>
      <c r="E411" s="16" t="n">
        <v>47</v>
      </c>
      <c r="F411" s="16">
        <f>D411*E411</f>
        <v/>
      </c>
    </row>
    <row r="412">
      <c r="A412" s="13" t="inlineStr">
        <is>
          <t>1002</t>
        </is>
      </c>
      <c r="B412" s="14" t="inlineStr">
        <is>
          <t>Mild steel round bar 12 mm dia and below</t>
        </is>
      </c>
      <c r="C412" s="13" t="inlineStr">
        <is>
          <t>quintal</t>
        </is>
      </c>
      <c r="D412" s="15" t="n">
        <v>0.006</v>
      </c>
      <c r="E412" s="16" t="n">
        <v>4500</v>
      </c>
      <c r="F412" s="16">
        <f>D412*E412</f>
        <v/>
      </c>
    </row>
    <row r="413">
      <c r="A413" s="13" t="inlineStr">
        <is>
          <t>0595</t>
        </is>
      </c>
      <c r="B413" s="14" t="inlineStr">
        <is>
          <t>Bright finished or black enamelled mild steel butt hinges 100x58x1.90 mm</t>
        </is>
      </c>
      <c r="C413" s="13" t="inlineStr">
        <is>
          <t>10 Nos</t>
        </is>
      </c>
      <c r="D413" s="15" t="n">
        <v>0.6</v>
      </c>
      <c r="E413" s="16" t="n">
        <v>80</v>
      </c>
      <c r="F413" s="16">
        <f>D413*E413</f>
        <v/>
      </c>
    </row>
    <row r="414">
      <c r="A414" s="13" t="inlineStr">
        <is>
          <t>9999</t>
        </is>
      </c>
      <c r="B414" s="14" t="inlineStr">
        <is>
          <t>For screws and nuts and bolts</t>
        </is>
      </c>
      <c r="C414" s="13" t="inlineStr">
        <is>
          <t>L.S.</t>
        </is>
      </c>
      <c r="D414" s="15" t="n">
        <v>35.88</v>
      </c>
      <c r="E414" s="16" t="n">
        <v>2</v>
      </c>
      <c r="F414" s="16">
        <f>D414*E414</f>
        <v/>
      </c>
    </row>
    <row r="415">
      <c r="A415" s="13" t="inlineStr">
        <is>
          <t>9999</t>
        </is>
      </c>
      <c r="B415" s="14" t="inlineStr">
        <is>
          <t>For applying steel primer</t>
        </is>
      </c>
      <c r="C415" s="13" t="inlineStr">
        <is>
          <t>L.S.</t>
        </is>
      </c>
      <c r="D415" s="15" t="n">
        <v>17.94</v>
      </c>
      <c r="E415" s="16" t="n">
        <v>2</v>
      </c>
      <c r="F415" s="16">
        <f>D415*E415</f>
        <v/>
      </c>
    </row>
    <row r="416">
      <c r="A416" s="13" t="inlineStr">
        <is>
          <t>9977</t>
        </is>
      </c>
      <c r="B416" s="14" t="inlineStr">
        <is>
          <t>Carriage of material</t>
        </is>
      </c>
      <c r="C416" s="13" t="inlineStr">
        <is>
          <t>L.S.</t>
        </is>
      </c>
      <c r="D416" s="15" t="n">
        <v>5.33</v>
      </c>
      <c r="E416" s="16" t="n">
        <v>2</v>
      </c>
      <c r="F416" s="16">
        <f>D416*E416</f>
        <v/>
      </c>
    </row>
    <row r="417">
      <c r="A417" s="13" t="inlineStr">
        <is>
          <t>0103</t>
        </is>
      </c>
      <c r="B417" s="14" t="inlineStr">
        <is>
          <t>Blacksmith 2nd class</t>
        </is>
      </c>
      <c r="C417" s="13" t="inlineStr">
        <is>
          <t>day</t>
        </is>
      </c>
      <c r="D417" s="15" t="n">
        <v>0.04</v>
      </c>
      <c r="E417" s="16" t="n">
        <v>679</v>
      </c>
      <c r="F417" s="16">
        <f>D417*E417</f>
        <v/>
      </c>
    </row>
    <row r="418">
      <c r="A418" s="13" t="inlineStr">
        <is>
          <t>0116</t>
        </is>
      </c>
      <c r="B418" s="14" t="inlineStr">
        <is>
          <t>Fitter (grade 1)</t>
        </is>
      </c>
      <c r="C418" s="13" t="inlineStr">
        <is>
          <t>day</t>
        </is>
      </c>
      <c r="D418" s="15" t="n">
        <v>0.06</v>
      </c>
      <c r="E418" s="16" t="n">
        <v>738</v>
      </c>
      <c r="F418" s="16">
        <f>D418*E418</f>
        <v/>
      </c>
    </row>
    <row r="419">
      <c r="A419" s="13" t="inlineStr">
        <is>
          <t>0114</t>
        </is>
      </c>
      <c r="B419" s="14" t="inlineStr">
        <is>
          <t>Beldar</t>
        </is>
      </c>
      <c r="C419" s="13" t="inlineStr">
        <is>
          <t>day</t>
        </is>
      </c>
      <c r="D419" s="15" t="n">
        <v>0.08</v>
      </c>
      <c r="E419" s="16" t="n">
        <v>558</v>
      </c>
      <c r="F419" s="16">
        <f>D419*E419</f>
        <v/>
      </c>
    </row>
    <row r="420">
      <c r="A420" s="13" t="inlineStr">
        <is>
          <t>9999</t>
        </is>
      </c>
      <c r="B420" s="14" t="inlineStr">
        <is>
          <t>Sundries</t>
        </is>
      </c>
      <c r="C420" s="13" t="inlineStr">
        <is>
          <t>L.S.</t>
        </is>
      </c>
      <c r="D420" s="15" t="n">
        <v>3.64</v>
      </c>
      <c r="E420" s="16" t="n">
        <v>2</v>
      </c>
      <c r="F420" s="16">
        <f>D420*E420</f>
        <v/>
      </c>
    </row>
    <row r="421">
      <c r="A421" s="17" t="inlineStr">
        <is>
          <t>Resource Total (Material + Labour + Machinery, as printed)</t>
        </is>
      </c>
      <c r="B421" s="18" t="n"/>
      <c r="C421" s="18" t="n"/>
      <c r="D421" s="18" t="n"/>
      <c r="E421" s="18" t="n"/>
      <c r="F421" s="19">
        <f>SUM(F411:F420)</f>
        <v/>
      </c>
    </row>
    <row r="422">
      <c r="A422" s="20" t="inlineStr">
        <is>
          <t>SAY (Rs.) — final DAR rate</t>
        </is>
      </c>
      <c r="B422" s="21" t="n"/>
      <c r="C422" s="21" t="n"/>
      <c r="D422" s="21" t="n"/>
      <c r="E422" s="21" t="n"/>
      <c r="F422" s="22" t="n">
        <v>125.5</v>
      </c>
    </row>
    <row r="424" ht="18" customHeight="1">
      <c r="A424" s="9" t="inlineStr">
        <is>
          <t>10.16.1</t>
        </is>
      </c>
      <c r="B424" s="10" t="inlineStr">
        <is>
          <t>Hot finished welded type tubes</t>
        </is>
      </c>
      <c r="C424" s="11" t="n"/>
      <c r="D424" s="11" t="n"/>
      <c r="E424" s="11" t="n"/>
      <c r="F424" s="11" t="n"/>
    </row>
    <row r="425">
      <c r="A425" s="12" t="inlineStr">
        <is>
          <t>Rate basis: per kg  (source: cost for 119 kg)</t>
        </is>
      </c>
    </row>
    <row r="426">
      <c r="A426" s="5" t="inlineStr">
        <is>
          <t>Code</t>
        </is>
      </c>
      <c r="B426" s="5" t="inlineStr">
        <is>
          <t>Description</t>
        </is>
      </c>
      <c r="C426" s="5" t="inlineStr">
        <is>
          <t>Unit</t>
        </is>
      </c>
      <c r="D426" s="5" t="inlineStr">
        <is>
          <t>Quantity</t>
        </is>
      </c>
      <c r="E426" s="5" t="inlineStr">
        <is>
          <t>Rate (Rs.)</t>
        </is>
      </c>
      <c r="F426" s="5" t="inlineStr">
        <is>
          <t>Amount (Rs.)</t>
        </is>
      </c>
    </row>
    <row r="427">
      <c r="A427" s="13" t="inlineStr">
        <is>
          <t>13.50.3</t>
        </is>
      </c>
      <c r="B427" s="14" t="inlineStr">
        <is>
          <t>Rate as per SH: 13.50.3</t>
        </is>
      </c>
      <c r="C427" s="13" t="inlineStr">
        <is>
          <t>sqm</t>
        </is>
      </c>
      <c r="D427" s="15" t="n">
        <v>2.8</v>
      </c>
      <c r="E427" s="16" t="n">
        <v>50.7</v>
      </c>
      <c r="F427" s="16">
        <f>D427*E427</f>
        <v/>
      </c>
    </row>
    <row r="428">
      <c r="A428" s="13" t="inlineStr">
        <is>
          <t>4009</t>
        </is>
      </c>
      <c r="B428" s="14" t="inlineStr">
        <is>
          <t>Mild steel tubes hot finished welded type</t>
        </is>
      </c>
      <c r="C428" s="13" t="inlineStr">
        <is>
          <t>kilogram</t>
        </is>
      </c>
      <c r="D428" s="15" t="n">
        <v>125</v>
      </c>
      <c r="E428" s="16" t="n">
        <v>57</v>
      </c>
      <c r="F428" s="16">
        <f>D428*E428</f>
        <v/>
      </c>
    </row>
    <row r="429">
      <c r="A429" s="13" t="inlineStr">
        <is>
          <t>2205</t>
        </is>
      </c>
      <c r="B429" s="14" t="inlineStr">
        <is>
          <t>Carriage of Steel</t>
        </is>
      </c>
      <c r="C429" s="13" t="inlineStr">
        <is>
          <t>tonne</t>
        </is>
      </c>
      <c r="D429" s="15" t="n">
        <v>0.125</v>
      </c>
      <c r="E429" s="16" t="n">
        <v>92.23999999999999</v>
      </c>
      <c r="F429" s="16">
        <f>D429*E429</f>
        <v/>
      </c>
    </row>
    <row r="430">
      <c r="A430" s="13" t="inlineStr">
        <is>
          <t>1215</t>
        </is>
      </c>
      <c r="B430" s="14" t="inlineStr">
        <is>
          <t>Welding by electric plant</t>
        </is>
      </c>
      <c r="C430" s="13" t="inlineStr">
        <is>
          <t>cm</t>
        </is>
      </c>
      <c r="D430" s="15" t="n">
        <v>357</v>
      </c>
      <c r="E430" s="16" t="n">
        <v>2</v>
      </c>
      <c r="F430" s="16">
        <f>D430*E430</f>
        <v/>
      </c>
    </row>
    <row r="431">
      <c r="A431" s="13" t="inlineStr">
        <is>
          <t>0102</t>
        </is>
      </c>
      <c r="B431" s="14" t="inlineStr">
        <is>
          <t>Blacksmith 1st class</t>
        </is>
      </c>
      <c r="C431" s="13" t="inlineStr">
        <is>
          <t>day</t>
        </is>
      </c>
      <c r="D431" s="15" t="n">
        <v>1.5</v>
      </c>
      <c r="E431" s="16" t="n">
        <v>738</v>
      </c>
      <c r="F431" s="16">
        <f>D431*E431</f>
        <v/>
      </c>
    </row>
    <row r="432">
      <c r="A432" s="13" t="inlineStr">
        <is>
          <t>0100</t>
        </is>
      </c>
      <c r="B432" s="14" t="inlineStr">
        <is>
          <t>Bandhani</t>
        </is>
      </c>
      <c r="C432" s="13" t="inlineStr">
        <is>
          <t>day</t>
        </is>
      </c>
      <c r="D432" s="15" t="n">
        <v>0.75</v>
      </c>
      <c r="E432" s="16" t="n">
        <v>617</v>
      </c>
      <c r="F432" s="16">
        <f>D432*E432</f>
        <v/>
      </c>
    </row>
    <row r="433">
      <c r="A433" s="13" t="inlineStr">
        <is>
          <t>0114</t>
        </is>
      </c>
      <c r="B433" s="14" t="inlineStr">
        <is>
          <t>Beldar</t>
        </is>
      </c>
      <c r="C433" s="13" t="inlineStr">
        <is>
          <t>day</t>
        </is>
      </c>
      <c r="D433" s="15" t="n">
        <v>5.5</v>
      </c>
      <c r="E433" s="16" t="n">
        <v>558</v>
      </c>
      <c r="F433" s="16">
        <f>D433*E433</f>
        <v/>
      </c>
    </row>
    <row r="434">
      <c r="A434" s="13" t="inlineStr">
        <is>
          <t>9999</t>
        </is>
      </c>
      <c r="B434" s="14" t="inlineStr">
        <is>
          <t>Sundries</t>
        </is>
      </c>
      <c r="C434" s="13" t="inlineStr">
        <is>
          <t>L.S.</t>
        </is>
      </c>
      <c r="D434" s="15" t="n">
        <v>80.73</v>
      </c>
      <c r="E434" s="16" t="n">
        <v>2</v>
      </c>
      <c r="F434" s="16">
        <f>D434*E434</f>
        <v/>
      </c>
    </row>
    <row r="435">
      <c r="A435" s="17" t="inlineStr">
        <is>
          <t>Resource Total (Material + Labour + Machinery, as printed)</t>
        </is>
      </c>
      <c r="B435" s="18" t="n"/>
      <c r="C435" s="18" t="n"/>
      <c r="D435" s="18" t="n"/>
      <c r="E435" s="18" t="n"/>
      <c r="F435" s="19">
        <f>SUM(F427:F434)</f>
        <v/>
      </c>
    </row>
    <row r="436">
      <c r="A436" s="20" t="inlineStr">
        <is>
          <t>SAY (Rs.) — final DAR rate</t>
        </is>
      </c>
      <c r="B436" s="21" t="n"/>
      <c r="C436" s="21" t="n"/>
      <c r="D436" s="21" t="n"/>
      <c r="E436" s="21" t="n"/>
      <c r="F436" s="22" t="n">
        <v>143.45</v>
      </c>
    </row>
    <row r="438" ht="18" customHeight="1">
      <c r="A438" s="9" t="inlineStr">
        <is>
          <t>10.16.2</t>
        </is>
      </c>
      <c r="B438" s="10" t="inlineStr">
        <is>
          <t>Hot finished seamless type tubes</t>
        </is>
      </c>
      <c r="C438" s="11" t="n"/>
      <c r="D438" s="11" t="n"/>
      <c r="E438" s="11" t="n"/>
      <c r="F438" s="11" t="n"/>
    </row>
    <row r="439">
      <c r="A439" s="12" t="inlineStr">
        <is>
          <t>Rate basis: per kg  (source: cost for 119 kg)</t>
        </is>
      </c>
    </row>
    <row r="440">
      <c r="A440" s="5" t="inlineStr">
        <is>
          <t>Code</t>
        </is>
      </c>
      <c r="B440" s="5" t="inlineStr">
        <is>
          <t>Description</t>
        </is>
      </c>
      <c r="C440" s="5" t="inlineStr">
        <is>
          <t>Unit</t>
        </is>
      </c>
      <c r="D440" s="5" t="inlineStr">
        <is>
          <t>Quantity</t>
        </is>
      </c>
      <c r="E440" s="5" t="inlineStr">
        <is>
          <t>Rate (Rs.)</t>
        </is>
      </c>
      <c r="F440" s="5" t="inlineStr">
        <is>
          <t>Amount (Rs.)</t>
        </is>
      </c>
    </row>
    <row r="441">
      <c r="A441" s="13" t="inlineStr">
        <is>
          <t>13.50.3</t>
        </is>
      </c>
      <c r="B441" s="14" t="inlineStr">
        <is>
          <t>Rate as per SH: 13.50.3</t>
        </is>
      </c>
      <c r="C441" s="13" t="inlineStr">
        <is>
          <t>sqm</t>
        </is>
      </c>
      <c r="D441" s="15" t="n">
        <v>2.8</v>
      </c>
      <c r="E441" s="16" t="n">
        <v>50.7</v>
      </c>
      <c r="F441" s="16">
        <f>D441*E441</f>
        <v/>
      </c>
    </row>
    <row r="442">
      <c r="A442" s="13" t="inlineStr">
        <is>
          <t>4010</t>
        </is>
      </c>
      <c r="B442" s="14" t="inlineStr">
        <is>
          <t>Mild steel tubes hot finished seamless type</t>
        </is>
      </c>
      <c r="C442" s="13" t="inlineStr">
        <is>
          <t>kilogram</t>
        </is>
      </c>
      <c r="D442" s="15" t="n">
        <v>125</v>
      </c>
      <c r="E442" s="16" t="n">
        <v>67</v>
      </c>
      <c r="F442" s="16">
        <f>D442*E442</f>
        <v/>
      </c>
    </row>
    <row r="443">
      <c r="A443" s="13" t="inlineStr">
        <is>
          <t>2205</t>
        </is>
      </c>
      <c r="B443" s="14" t="inlineStr">
        <is>
          <t>Carriage of Steel</t>
        </is>
      </c>
      <c r="C443" s="13" t="inlineStr">
        <is>
          <t>tonne</t>
        </is>
      </c>
      <c r="D443" s="15" t="n">
        <v>0.125</v>
      </c>
      <c r="E443" s="16" t="n">
        <v>92.23999999999999</v>
      </c>
      <c r="F443" s="16">
        <f>D443*E443</f>
        <v/>
      </c>
    </row>
    <row r="444">
      <c r="A444" s="13" t="inlineStr">
        <is>
          <t>1215</t>
        </is>
      </c>
      <c r="B444" s="14" t="inlineStr">
        <is>
          <t>Welding by electric plant</t>
        </is>
      </c>
      <c r="C444" s="13" t="inlineStr">
        <is>
          <t>cm</t>
        </is>
      </c>
      <c r="D444" s="15" t="n">
        <v>357</v>
      </c>
      <c r="E444" s="16" t="n">
        <v>2</v>
      </c>
      <c r="F444" s="16">
        <f>D444*E444</f>
        <v/>
      </c>
    </row>
    <row r="445">
      <c r="A445" s="13" t="inlineStr">
        <is>
          <t>0102</t>
        </is>
      </c>
      <c r="B445" s="14" t="inlineStr">
        <is>
          <t>Blacksmith 1st class</t>
        </is>
      </c>
      <c r="C445" s="13" t="inlineStr">
        <is>
          <t>day</t>
        </is>
      </c>
      <c r="D445" s="15" t="n">
        <v>1.5</v>
      </c>
      <c r="E445" s="16" t="n">
        <v>738</v>
      </c>
      <c r="F445" s="16">
        <f>D445*E445</f>
        <v/>
      </c>
    </row>
    <row r="446">
      <c r="A446" s="13" t="inlineStr">
        <is>
          <t>0100</t>
        </is>
      </c>
      <c r="B446" s="14" t="inlineStr">
        <is>
          <t>Bandhani</t>
        </is>
      </c>
      <c r="C446" s="13" t="inlineStr">
        <is>
          <t>day</t>
        </is>
      </c>
      <c r="D446" s="15" t="n">
        <v>0.75</v>
      </c>
      <c r="E446" s="16" t="n">
        <v>617</v>
      </c>
      <c r="F446" s="16">
        <f>D446*E446</f>
        <v/>
      </c>
    </row>
    <row r="447">
      <c r="A447" s="13" t="inlineStr">
        <is>
          <t>0114</t>
        </is>
      </c>
      <c r="B447" s="14" t="inlineStr">
        <is>
          <t>Beldar</t>
        </is>
      </c>
      <c r="C447" s="13" t="inlineStr">
        <is>
          <t>day</t>
        </is>
      </c>
      <c r="D447" s="15" t="n">
        <v>5.5</v>
      </c>
      <c r="E447" s="16" t="n">
        <v>558</v>
      </c>
      <c r="F447" s="16">
        <f>D447*E447</f>
        <v/>
      </c>
    </row>
    <row r="448">
      <c r="A448" s="13" t="inlineStr">
        <is>
          <t>9999</t>
        </is>
      </c>
      <c r="B448" s="14" t="inlineStr">
        <is>
          <t>Sundries</t>
        </is>
      </c>
      <c r="C448" s="13" t="inlineStr">
        <is>
          <t>L.S.</t>
        </is>
      </c>
      <c r="D448" s="15" t="n">
        <v>80.73</v>
      </c>
      <c r="E448" s="16" t="n">
        <v>2</v>
      </c>
      <c r="F448" s="16">
        <f>D448*E448</f>
        <v/>
      </c>
    </row>
    <row r="449">
      <c r="A449" s="17" t="inlineStr">
        <is>
          <t>Resource Total (Material + Labour + Machinery, as printed)</t>
        </is>
      </c>
      <c r="B449" s="18" t="n"/>
      <c r="C449" s="18" t="n"/>
      <c r="D449" s="18" t="n"/>
      <c r="E449" s="18" t="n"/>
      <c r="F449" s="19">
        <f>SUM(F441:F448)</f>
        <v/>
      </c>
    </row>
    <row r="450">
      <c r="A450" s="20" t="inlineStr">
        <is>
          <t>SAY (Rs.) — final DAR rate</t>
        </is>
      </c>
      <c r="B450" s="21" t="n"/>
      <c r="C450" s="21" t="n"/>
      <c r="D450" s="21" t="n"/>
      <c r="E450" s="21" t="n"/>
      <c r="F450" s="22" t="n">
        <v>157.5</v>
      </c>
    </row>
    <row r="452" ht="18" customHeight="1">
      <c r="A452" s="9" t="inlineStr">
        <is>
          <t>10.16.3</t>
        </is>
      </c>
      <c r="B452" s="10" t="inlineStr">
        <is>
          <t>Electric resistance or induction butt welded tubes</t>
        </is>
      </c>
      <c r="C452" s="11" t="n"/>
      <c r="D452" s="11" t="n"/>
      <c r="E452" s="11" t="n"/>
      <c r="F452" s="11" t="n"/>
    </row>
    <row r="453">
      <c r="A453" s="12" t="inlineStr">
        <is>
          <t>Rate basis: per kg  (source: cost for 119 kg)</t>
        </is>
      </c>
    </row>
    <row r="454">
      <c r="A454" s="5" t="inlineStr">
        <is>
          <t>Code</t>
        </is>
      </c>
      <c r="B454" s="5" t="inlineStr">
        <is>
          <t>Description</t>
        </is>
      </c>
      <c r="C454" s="5" t="inlineStr">
        <is>
          <t>Unit</t>
        </is>
      </c>
      <c r="D454" s="5" t="inlineStr">
        <is>
          <t>Quantity</t>
        </is>
      </c>
      <c r="E454" s="5" t="inlineStr">
        <is>
          <t>Rate (Rs.)</t>
        </is>
      </c>
      <c r="F454" s="5" t="inlineStr">
        <is>
          <t>Amount (Rs.)</t>
        </is>
      </c>
    </row>
    <row r="455">
      <c r="A455" s="13" t="inlineStr">
        <is>
          <t>13.50.3</t>
        </is>
      </c>
      <c r="B455" s="14" t="inlineStr">
        <is>
          <t>Rate as per SH: 13.50.3</t>
        </is>
      </c>
      <c r="C455" s="13" t="inlineStr">
        <is>
          <t>sqm</t>
        </is>
      </c>
      <c r="D455" s="15" t="n">
        <v>2.8</v>
      </c>
      <c r="E455" s="16" t="n">
        <v>50.7</v>
      </c>
      <c r="F455" s="16">
        <f>D455*E455</f>
        <v/>
      </c>
    </row>
    <row r="456">
      <c r="A456" s="13" t="inlineStr">
        <is>
          <t>4011</t>
        </is>
      </c>
      <c r="B456" s="14" t="inlineStr">
        <is>
          <t>Mild steel tubes electric resistant or induction butt welded</t>
        </is>
      </c>
      <c r="C456" s="13" t="inlineStr">
        <is>
          <t>kilogram</t>
        </is>
      </c>
      <c r="D456" s="15" t="n">
        <v>125</v>
      </c>
      <c r="E456" s="16" t="n">
        <v>47</v>
      </c>
      <c r="F456" s="16">
        <f>D456*E456</f>
        <v/>
      </c>
    </row>
    <row r="457">
      <c r="A457" s="13" t="inlineStr">
        <is>
          <t>2205</t>
        </is>
      </c>
      <c r="B457" s="14" t="inlineStr">
        <is>
          <t>Carriage of Steel</t>
        </is>
      </c>
      <c r="C457" s="13" t="inlineStr">
        <is>
          <t>tonne</t>
        </is>
      </c>
      <c r="D457" s="15" t="n">
        <v>0.125</v>
      </c>
      <c r="E457" s="16" t="n">
        <v>92.23999999999999</v>
      </c>
      <c r="F457" s="16">
        <f>D457*E457</f>
        <v/>
      </c>
    </row>
    <row r="458">
      <c r="A458" s="13" t="inlineStr">
        <is>
          <t>1215</t>
        </is>
      </c>
      <c r="B458" s="14" t="inlineStr">
        <is>
          <t>Welding by electric plant</t>
        </is>
      </c>
      <c r="C458" s="13" t="inlineStr">
        <is>
          <t>cm</t>
        </is>
      </c>
      <c r="D458" s="15" t="n">
        <v>357</v>
      </c>
      <c r="E458" s="16" t="n">
        <v>2</v>
      </c>
      <c r="F458" s="16">
        <f>D458*E458</f>
        <v/>
      </c>
    </row>
    <row r="459">
      <c r="A459" s="13" t="inlineStr">
        <is>
          <t>0102</t>
        </is>
      </c>
      <c r="B459" s="14" t="inlineStr">
        <is>
          <t>Blacksmith 1st class</t>
        </is>
      </c>
      <c r="C459" s="13" t="inlineStr">
        <is>
          <t>day</t>
        </is>
      </c>
      <c r="D459" s="15" t="n">
        <v>1.5</v>
      </c>
      <c r="E459" s="16" t="n">
        <v>738</v>
      </c>
      <c r="F459" s="16">
        <f>D459*E459</f>
        <v/>
      </c>
    </row>
    <row r="460">
      <c r="A460" s="13" t="inlineStr">
        <is>
          <t>0100</t>
        </is>
      </c>
      <c r="B460" s="14" t="inlineStr">
        <is>
          <t>Bandhani</t>
        </is>
      </c>
      <c r="C460" s="13" t="inlineStr">
        <is>
          <t>day</t>
        </is>
      </c>
      <c r="D460" s="15" t="n">
        <v>0.75</v>
      </c>
      <c r="E460" s="16" t="n">
        <v>617</v>
      </c>
      <c r="F460" s="16">
        <f>D460*E460</f>
        <v/>
      </c>
    </row>
    <row r="461">
      <c r="A461" s="13" t="inlineStr">
        <is>
          <t>0114</t>
        </is>
      </c>
      <c r="B461" s="14" t="inlineStr">
        <is>
          <t>Beldar</t>
        </is>
      </c>
      <c r="C461" s="13" t="inlineStr">
        <is>
          <t>day</t>
        </is>
      </c>
      <c r="D461" s="15" t="n">
        <v>5.5</v>
      </c>
      <c r="E461" s="16" t="n">
        <v>558</v>
      </c>
      <c r="F461" s="16">
        <f>D461*E461</f>
        <v/>
      </c>
    </row>
    <row r="462">
      <c r="A462" s="13" t="inlineStr">
        <is>
          <t>9999</t>
        </is>
      </c>
      <c r="B462" s="14" t="inlineStr">
        <is>
          <t>Sundries</t>
        </is>
      </c>
      <c r="C462" s="13" t="inlineStr">
        <is>
          <t>L.S.</t>
        </is>
      </c>
      <c r="D462" s="15" t="n">
        <v>80.73</v>
      </c>
      <c r="E462" s="16" t="n">
        <v>2</v>
      </c>
      <c r="F462" s="16">
        <f>D462*E462</f>
        <v/>
      </c>
    </row>
    <row r="463">
      <c r="A463" s="17" t="inlineStr">
        <is>
          <t>Resource Total (Material + Labour + Machinery, as printed)</t>
        </is>
      </c>
      <c r="B463" s="18" t="n"/>
      <c r="C463" s="18" t="n"/>
      <c r="D463" s="18" t="n"/>
      <c r="E463" s="18" t="n"/>
      <c r="F463" s="19">
        <f>SUM(F455:F462)</f>
        <v/>
      </c>
    </row>
    <row r="464">
      <c r="A464" s="20" t="inlineStr">
        <is>
          <t>SAY (Rs.) — final DAR rate</t>
        </is>
      </c>
      <c r="B464" s="21" t="n"/>
      <c r="C464" s="21" t="n"/>
      <c r="D464" s="21" t="n"/>
      <c r="E464" s="21" t="n"/>
      <c r="F464" s="22" t="n">
        <v>129.35</v>
      </c>
    </row>
    <row r="466" ht="28" customHeight="1">
      <c r="A466" s="9" t="inlineStr">
        <is>
          <t>10.17</t>
        </is>
      </c>
      <c r="B466" s="10" t="inlineStr">
        <is>
          <t>Providing and fixing M.S. fan clamp type I or II of 16 mm dia M.S. bar, bent to shape with hooked ends in R.C.C. slabs or beams during layin</t>
        </is>
      </c>
      <c r="C466" s="11" t="n"/>
      <c r="D466" s="11" t="n"/>
      <c r="E466" s="11" t="n"/>
      <c r="F466" s="11" t="n"/>
    </row>
    <row r="467">
      <c r="A467" s="12" t="inlineStr">
        <is>
          <t>Rate basis: per clamp  (source: cost for 1 clamp)</t>
        </is>
      </c>
    </row>
    <row r="468">
      <c r="A468" s="5" t="inlineStr">
        <is>
          <t>Code</t>
        </is>
      </c>
      <c r="B468" s="5" t="inlineStr">
        <is>
          <t>Description</t>
        </is>
      </c>
      <c r="C468" s="5" t="inlineStr">
        <is>
          <t>Unit</t>
        </is>
      </c>
      <c r="D468" s="5" t="inlineStr">
        <is>
          <t>Quantity</t>
        </is>
      </c>
      <c r="E468" s="5" t="inlineStr">
        <is>
          <t>Rate (Rs.)</t>
        </is>
      </c>
      <c r="F468" s="5" t="inlineStr">
        <is>
          <t>Amount (Rs.)</t>
        </is>
      </c>
    </row>
    <row r="469">
      <c r="A469" s="13" t="inlineStr">
        <is>
          <t>1003</t>
        </is>
      </c>
      <c r="B469" s="14" t="inlineStr">
        <is>
          <t>Mild steel round bar above 12 mm dia</t>
        </is>
      </c>
      <c r="C469" s="13" t="inlineStr">
        <is>
          <t>quintal</t>
        </is>
      </c>
      <c r="D469" s="15" t="n">
        <v>0.017</v>
      </c>
      <c r="E469" s="16" t="n">
        <v>4400</v>
      </c>
      <c r="F469" s="16">
        <f>D469*E469</f>
        <v/>
      </c>
    </row>
    <row r="470">
      <c r="A470" s="13" t="inlineStr">
        <is>
          <t>0103</t>
        </is>
      </c>
      <c r="B470" s="14" t="inlineStr">
        <is>
          <t>Blacksmith 2nd class</t>
        </is>
      </c>
      <c r="C470" s="13" t="inlineStr">
        <is>
          <t>day</t>
        </is>
      </c>
      <c r="D470" s="15" t="n">
        <v>0.04</v>
      </c>
      <c r="E470" s="16" t="n">
        <v>679</v>
      </c>
      <c r="F470" s="16">
        <f>D470*E470</f>
        <v/>
      </c>
    </row>
    <row r="471">
      <c r="A471" s="13" t="inlineStr">
        <is>
          <t>0114</t>
        </is>
      </c>
      <c r="B471" s="14" t="inlineStr">
        <is>
          <t>Beldar</t>
        </is>
      </c>
      <c r="C471" s="13" t="inlineStr">
        <is>
          <t>day</t>
        </is>
      </c>
      <c r="D471" s="15" t="n">
        <v>0.04</v>
      </c>
      <c r="E471" s="16" t="n">
        <v>558</v>
      </c>
      <c r="F471" s="16">
        <f>D471*E471</f>
        <v/>
      </c>
    </row>
    <row r="472">
      <c r="A472" s="13" t="inlineStr">
        <is>
          <t>9988</t>
        </is>
      </c>
      <c r="B472" s="14" t="inlineStr">
        <is>
          <t>Sundries (Carriage, fixing and painting etc.)</t>
        </is>
      </c>
      <c r="C472" s="13" t="inlineStr">
        <is>
          <t>L.S.</t>
        </is>
      </c>
      <c r="D472" s="15" t="n">
        <v>1.82</v>
      </c>
      <c r="E472" s="16" t="n">
        <v>2</v>
      </c>
      <c r="F472" s="16">
        <f>D472*E472</f>
        <v/>
      </c>
    </row>
    <row r="473">
      <c r="A473" s="17" t="inlineStr">
        <is>
          <t>Resource Total (Material + Labour + Machinery, as printed)</t>
        </is>
      </c>
      <c r="B473" s="18" t="n"/>
      <c r="C473" s="18" t="n"/>
      <c r="D473" s="18" t="n"/>
      <c r="E473" s="18" t="n"/>
      <c r="F473" s="19">
        <f>SUM(F469:F472)</f>
        <v/>
      </c>
    </row>
    <row r="474">
      <c r="A474" s="20" t="inlineStr">
        <is>
          <t>SAY (Rs.) — final DAR rate</t>
        </is>
      </c>
      <c r="B474" s="21" t="n"/>
      <c r="C474" s="21" t="n"/>
      <c r="D474" s="21" t="n"/>
      <c r="E474" s="21" t="n"/>
      <c r="F474" s="22" t="n">
        <v>171.15</v>
      </c>
    </row>
    <row r="476" ht="28" customHeight="1">
      <c r="A476" s="9" t="inlineStr">
        <is>
          <t>10.18</t>
        </is>
      </c>
      <c r="B476" s="10" t="inlineStr">
        <is>
          <t>Providing and fixing circular/ Hexagonal cast iron or M.S. sheet box for ceiling fan clamp, of internal dia 140 mm, 73 mm height, top lid of</t>
        </is>
      </c>
      <c r="C476" s="11" t="n"/>
      <c r="D476" s="11" t="n"/>
      <c r="E476" s="11" t="n"/>
      <c r="F476" s="11" t="n"/>
    </row>
    <row r="477">
      <c r="A477" s="12" t="inlineStr">
        <is>
          <t>Rate basis: per kg  (source: cost for 0.72 kg)</t>
        </is>
      </c>
    </row>
    <row r="478">
      <c r="A478" s="5" t="inlineStr">
        <is>
          <t>Code</t>
        </is>
      </c>
      <c r="B478" s="5" t="inlineStr">
        <is>
          <t>Description</t>
        </is>
      </c>
      <c r="C478" s="5" t="inlineStr">
        <is>
          <t>Unit</t>
        </is>
      </c>
      <c r="D478" s="5" t="inlineStr">
        <is>
          <t>Quantity</t>
        </is>
      </c>
      <c r="E478" s="5" t="inlineStr">
        <is>
          <t>Rate (Rs.)</t>
        </is>
      </c>
      <c r="F478" s="5" t="inlineStr">
        <is>
          <t>Amount (Rs.)</t>
        </is>
      </c>
    </row>
    <row r="479">
      <c r="A479" s="13" t="inlineStr">
        <is>
          <t>4012</t>
        </is>
      </c>
      <c r="B479" s="14" t="inlineStr">
        <is>
          <t>Circular C.I. Box for ceiling fan</t>
        </is>
      </c>
      <c r="C479" s="13" t="inlineStr">
        <is>
          <t>each</t>
        </is>
      </c>
      <c r="D479" s="15" t="n">
        <v>1</v>
      </c>
      <c r="E479" s="16" t="n">
        <v>52</v>
      </c>
      <c r="F479" s="16">
        <f>D479*E479</f>
        <v/>
      </c>
    </row>
    <row r="480">
      <c r="A480" s="13" t="inlineStr">
        <is>
          <t>1002</t>
        </is>
      </c>
      <c r="B480" s="14" t="inlineStr">
        <is>
          <t>Mild steel round bar 12 mm dia and below</t>
        </is>
      </c>
      <c r="C480" s="13" t="inlineStr">
        <is>
          <t>quintal</t>
        </is>
      </c>
      <c r="D480" s="15" t="n">
        <v>0.008</v>
      </c>
      <c r="E480" s="16" t="n">
        <v>4500</v>
      </c>
      <c r="F480" s="16">
        <f>D480*E480</f>
        <v/>
      </c>
    </row>
    <row r="481">
      <c r="A481" s="13" t="inlineStr">
        <is>
          <t>0103</t>
        </is>
      </c>
      <c r="B481" s="14" t="inlineStr">
        <is>
          <t>Blacksmith 2nd class</t>
        </is>
      </c>
      <c r="C481" s="13" t="inlineStr">
        <is>
          <t>day</t>
        </is>
      </c>
      <c r="D481" s="15" t="n">
        <v>0.03</v>
      </c>
      <c r="E481" s="16" t="n">
        <v>679</v>
      </c>
      <c r="F481" s="16">
        <f>D481*E481</f>
        <v/>
      </c>
    </row>
    <row r="482">
      <c r="A482" s="13" t="inlineStr">
        <is>
          <t>0114</t>
        </is>
      </c>
      <c r="B482" s="14" t="inlineStr">
        <is>
          <t>Beldar</t>
        </is>
      </c>
      <c r="C482" s="13" t="inlineStr">
        <is>
          <t>day</t>
        </is>
      </c>
      <c r="D482" s="15" t="n">
        <v>0.03</v>
      </c>
      <c r="E482" s="16" t="n">
        <v>558</v>
      </c>
      <c r="F482" s="16">
        <f>D482*E482</f>
        <v/>
      </c>
    </row>
    <row r="483">
      <c r="A483" s="13" t="inlineStr">
        <is>
          <t>9988</t>
        </is>
      </c>
      <c r="B483" s="14" t="inlineStr">
        <is>
          <t>Sundries (Carriage, fixing and painting etc.)</t>
        </is>
      </c>
      <c r="C483" s="13" t="inlineStr">
        <is>
          <t>L.S.</t>
        </is>
      </c>
      <c r="D483" s="15" t="n">
        <v>1.82</v>
      </c>
      <c r="E483" s="16" t="n">
        <v>2</v>
      </c>
      <c r="F483" s="16">
        <f>D483*E483</f>
        <v/>
      </c>
    </row>
    <row r="484">
      <c r="A484" s="17" t="inlineStr">
        <is>
          <t>Resource Total (Material + Labour + Machinery, as printed)</t>
        </is>
      </c>
      <c r="B484" s="18" t="n"/>
      <c r="C484" s="18" t="n"/>
      <c r="D484" s="18" t="n"/>
      <c r="E484" s="18" t="n"/>
      <c r="F484" s="19">
        <f>SUM(F479:F483)</f>
        <v/>
      </c>
    </row>
    <row r="485">
      <c r="A485" s="20" t="inlineStr">
        <is>
          <t>SAY (Rs.) — final DAR rate</t>
        </is>
      </c>
      <c r="B485" s="21" t="n"/>
      <c r="C485" s="21" t="n"/>
      <c r="D485" s="21" t="n"/>
      <c r="E485" s="21" t="n"/>
      <c r="F485" s="22" t="n">
        <v>172.25</v>
      </c>
    </row>
    <row r="487" ht="28" customHeight="1">
      <c r="A487" s="9" t="inlineStr">
        <is>
          <t>10.19</t>
        </is>
      </c>
      <c r="B487" s="10" t="inlineStr">
        <is>
          <t>Providing and fixing mild steel round holding down bolts with nuts and washer plates complete.</t>
        </is>
      </c>
      <c r="C487" s="11" t="n"/>
      <c r="D487" s="11" t="n"/>
      <c r="E487" s="11" t="n"/>
      <c r="F487" s="11" t="n"/>
    </row>
    <row r="488">
      <c r="A488" s="12" t="inlineStr">
        <is>
          <t>Rate basis: per kg  (source: cost for 1.895 kg)</t>
        </is>
      </c>
    </row>
    <row r="489">
      <c r="A489" s="5" t="inlineStr">
        <is>
          <t>Code</t>
        </is>
      </c>
      <c r="B489" s="5" t="inlineStr">
        <is>
          <t>Description</t>
        </is>
      </c>
      <c r="C489" s="5" t="inlineStr">
        <is>
          <t>Unit</t>
        </is>
      </c>
      <c r="D489" s="5" t="inlineStr">
        <is>
          <t>Quantity</t>
        </is>
      </c>
      <c r="E489" s="5" t="inlineStr">
        <is>
          <t>Rate (Rs.)</t>
        </is>
      </c>
      <c r="F489" s="5" t="inlineStr">
        <is>
          <t>Amount (Rs.)</t>
        </is>
      </c>
    </row>
    <row r="490">
      <c r="A490" s="13" t="inlineStr">
        <is>
          <t>1035</t>
        </is>
      </c>
      <c r="B490" s="14" t="inlineStr">
        <is>
          <t>Bolts and nuts above 300 mm in length</t>
        </is>
      </c>
      <c r="C490" s="13" t="inlineStr">
        <is>
          <t>quintal</t>
        </is>
      </c>
      <c r="D490" s="15" t="n">
        <v>0.019</v>
      </c>
      <c r="E490" s="16" t="n">
        <v>5100</v>
      </c>
      <c r="F490" s="16">
        <f>D490*E490</f>
        <v/>
      </c>
    </row>
    <row r="491">
      <c r="A491" s="13" t="inlineStr">
        <is>
          <t>1010</t>
        </is>
      </c>
      <c r="B491" s="14" t="inlineStr">
        <is>
          <t>Mild steel plates</t>
        </is>
      </c>
      <c r="C491" s="13" t="inlineStr">
        <is>
          <t>quintal</t>
        </is>
      </c>
      <c r="D491" s="15" t="n">
        <v>0.005</v>
      </c>
      <c r="E491" s="16" t="n">
        <v>4800</v>
      </c>
      <c r="F491" s="16">
        <f>D491*E491</f>
        <v/>
      </c>
    </row>
    <row r="492">
      <c r="A492" s="13" t="inlineStr">
        <is>
          <t>0103</t>
        </is>
      </c>
      <c r="B492" s="14" t="inlineStr">
        <is>
          <t>Blacksmith 2nd class</t>
        </is>
      </c>
      <c r="C492" s="13" t="inlineStr">
        <is>
          <t>day</t>
        </is>
      </c>
      <c r="D492" s="15" t="n">
        <v>0.03</v>
      </c>
      <c r="E492" s="16" t="n">
        <v>679</v>
      </c>
      <c r="F492" s="16">
        <f>D492*E492</f>
        <v/>
      </c>
    </row>
    <row r="493">
      <c r="A493" s="13" t="inlineStr">
        <is>
          <t>9988</t>
        </is>
      </c>
      <c r="B493" s="14" t="inlineStr">
        <is>
          <t>Carriage and labour for fixing</t>
        </is>
      </c>
      <c r="C493" s="13" t="inlineStr">
        <is>
          <t>L.S.</t>
        </is>
      </c>
      <c r="D493" s="15" t="n">
        <v>4.55</v>
      </c>
      <c r="E493" s="16" t="n">
        <v>2</v>
      </c>
      <c r="F493" s="16">
        <f>D493*E493</f>
        <v/>
      </c>
    </row>
    <row r="494">
      <c r="A494" s="17" t="inlineStr">
        <is>
          <t>Resource Total (Material + Labour + Machinery, as printed)</t>
        </is>
      </c>
      <c r="B494" s="18" t="n"/>
      <c r="C494" s="18" t="n"/>
      <c r="D494" s="18" t="n"/>
      <c r="E494" s="18" t="n"/>
      <c r="F494" s="19">
        <f>SUM(F490:F493)</f>
        <v/>
      </c>
    </row>
    <row r="495">
      <c r="A495" s="20" t="inlineStr">
        <is>
          <t>SAY (Rs.) — final DAR rate</t>
        </is>
      </c>
      <c r="B495" s="21" t="n"/>
      <c r="C495" s="21" t="n"/>
      <c r="D495" s="21" t="n"/>
      <c r="E495" s="21" t="n"/>
      <c r="F495" s="22" t="n">
        <v>83.84999999999999</v>
      </c>
    </row>
    <row r="497" ht="18" customHeight="1">
      <c r="A497" s="9" t="inlineStr">
        <is>
          <t>10.20</t>
        </is>
      </c>
      <c r="B497" s="10" t="inlineStr">
        <is>
          <t>Providing and fixing bolts including nuts and washers complete.</t>
        </is>
      </c>
      <c r="C497" s="11" t="n"/>
      <c r="D497" s="11" t="n"/>
      <c r="E497" s="11" t="n"/>
      <c r="F497" s="11" t="n"/>
    </row>
    <row r="498">
      <c r="A498" s="12" t="inlineStr">
        <is>
          <t>Rate basis: per q  (source: cost for 0.1 q)</t>
        </is>
      </c>
    </row>
    <row r="499">
      <c r="A499" s="5" t="inlineStr">
        <is>
          <t>Code</t>
        </is>
      </c>
      <c r="B499" s="5" t="inlineStr">
        <is>
          <t>Description</t>
        </is>
      </c>
      <c r="C499" s="5" t="inlineStr">
        <is>
          <t>Unit</t>
        </is>
      </c>
      <c r="D499" s="5" t="inlineStr">
        <is>
          <t>Quantity</t>
        </is>
      </c>
      <c r="E499" s="5" t="inlineStr">
        <is>
          <t>Rate (Rs.)</t>
        </is>
      </c>
      <c r="F499" s="5" t="inlineStr">
        <is>
          <t>Amount (Rs.)</t>
        </is>
      </c>
    </row>
    <row r="500">
      <c r="A500" s="13" t="inlineStr">
        <is>
          <t>1034</t>
        </is>
      </c>
      <c r="B500" s="14" t="inlineStr">
        <is>
          <t>Bolts and nuts upto 300 mm in length</t>
        </is>
      </c>
      <c r="C500" s="13" t="inlineStr">
        <is>
          <t>quintal</t>
        </is>
      </c>
      <c r="D500" s="15" t="n">
        <v>0.1</v>
      </c>
      <c r="E500" s="16" t="n">
        <v>4800</v>
      </c>
      <c r="F500" s="16">
        <f>D500*E500</f>
        <v/>
      </c>
    </row>
    <row r="501">
      <c r="A501" s="13" t="inlineStr">
        <is>
          <t>2205</t>
        </is>
      </c>
      <c r="B501" s="14" t="inlineStr">
        <is>
          <t>Carriage of Steel</t>
        </is>
      </c>
      <c r="C501" s="13" t="inlineStr">
        <is>
          <t>tonne</t>
        </is>
      </c>
      <c r="D501" s="15" t="n">
        <v>0.01</v>
      </c>
      <c r="E501" s="16" t="n">
        <v>92.23999999999999</v>
      </c>
      <c r="F501" s="16">
        <f>D501*E501</f>
        <v/>
      </c>
    </row>
    <row r="502">
      <c r="A502" s="13" t="inlineStr">
        <is>
          <t>0103</t>
        </is>
      </c>
      <c r="B502" s="14" t="inlineStr">
        <is>
          <t>Blacksmith 2nd class</t>
        </is>
      </c>
      <c r="C502" s="13" t="inlineStr">
        <is>
          <t>day</t>
        </is>
      </c>
      <c r="D502" s="15" t="n">
        <v>0.38</v>
      </c>
      <c r="E502" s="16" t="n">
        <v>679</v>
      </c>
      <c r="F502" s="16">
        <f>D502*E502</f>
        <v/>
      </c>
    </row>
    <row r="503">
      <c r="A503" s="13" t="inlineStr">
        <is>
          <t>0114</t>
        </is>
      </c>
      <c r="B503" s="14" t="inlineStr">
        <is>
          <t>Beldar</t>
        </is>
      </c>
      <c r="C503" s="13" t="inlineStr">
        <is>
          <t>day</t>
        </is>
      </c>
      <c r="D503" s="15" t="n">
        <v>0.38</v>
      </c>
      <c r="E503" s="16" t="n">
        <v>558</v>
      </c>
      <c r="F503" s="16">
        <f>D503*E503</f>
        <v/>
      </c>
    </row>
    <row r="504">
      <c r="A504" s="13" t="inlineStr">
        <is>
          <t>9999</t>
        </is>
      </c>
      <c r="B504" s="14" t="inlineStr">
        <is>
          <t>Sundries</t>
        </is>
      </c>
      <c r="C504" s="13" t="inlineStr">
        <is>
          <t>L.S.</t>
        </is>
      </c>
      <c r="D504" s="15" t="n">
        <v>4.55</v>
      </c>
      <c r="E504" s="16" t="n">
        <v>2</v>
      </c>
      <c r="F504" s="16">
        <f>D504*E504</f>
        <v/>
      </c>
    </row>
    <row r="505">
      <c r="A505" s="17" t="inlineStr">
        <is>
          <t>Resource Total (Material + Labour + Machinery, as printed)</t>
        </is>
      </c>
      <c r="B505" s="18" t="n"/>
      <c r="C505" s="18" t="n"/>
      <c r="D505" s="18" t="n"/>
      <c r="E505" s="18" t="n"/>
      <c r="F505" s="19">
        <f>SUM(F500:F504)</f>
        <v/>
      </c>
    </row>
    <row r="506">
      <c r="A506" s="20" t="inlineStr">
        <is>
          <t>SAY (Rs.) — final DAR rate</t>
        </is>
      </c>
      <c r="B506" s="21" t="n"/>
      <c r="C506" s="21" t="n"/>
      <c r="D506" s="21" t="n"/>
      <c r="E506" s="21" t="n"/>
      <c r="F506" s="22" t="n">
        <v>128.45</v>
      </c>
    </row>
    <row r="508" ht="18" customHeight="1">
      <c r="A508" s="9" t="inlineStr">
        <is>
          <t>10.21</t>
        </is>
      </c>
      <c r="B508" s="10" t="inlineStr">
        <is>
          <t>Providing and fixing M.S. rivets of sizes in position.</t>
        </is>
      </c>
      <c r="C508" s="11" t="n"/>
      <c r="D508" s="11" t="n"/>
      <c r="E508" s="11" t="n"/>
      <c r="F508" s="11" t="n"/>
    </row>
    <row r="509">
      <c r="A509" s="12" t="inlineStr">
        <is>
          <t>Rate basis: per q  (source: cost for 0.1 q)</t>
        </is>
      </c>
    </row>
    <row r="510">
      <c r="A510" s="5" t="inlineStr">
        <is>
          <t>Code</t>
        </is>
      </c>
      <c r="B510" s="5" t="inlineStr">
        <is>
          <t>Description</t>
        </is>
      </c>
      <c r="C510" s="5" t="inlineStr">
        <is>
          <t>Unit</t>
        </is>
      </c>
      <c r="D510" s="5" t="inlineStr">
        <is>
          <t>Quantity</t>
        </is>
      </c>
      <c r="E510" s="5" t="inlineStr">
        <is>
          <t>Rate (Rs.)</t>
        </is>
      </c>
      <c r="F510" s="5" t="inlineStr">
        <is>
          <t>Amount (Rs.)</t>
        </is>
      </c>
    </row>
    <row r="511">
      <c r="A511" s="13" t="inlineStr">
        <is>
          <t>1020</t>
        </is>
      </c>
      <c r="B511" s="14" t="inlineStr">
        <is>
          <t>Mild steel rivets</t>
        </is>
      </c>
      <c r="C511" s="13" t="inlineStr">
        <is>
          <t>quintal</t>
        </is>
      </c>
      <c r="D511" s="15" t="n">
        <v>0.1</v>
      </c>
      <c r="E511" s="16" t="n">
        <v>5000</v>
      </c>
      <c r="F511" s="16">
        <f>D511*E511</f>
        <v/>
      </c>
    </row>
    <row r="512">
      <c r="A512" s="13" t="inlineStr">
        <is>
          <t>2205</t>
        </is>
      </c>
      <c r="B512" s="14" t="inlineStr">
        <is>
          <t>Carriage of Steel</t>
        </is>
      </c>
      <c r="C512" s="13" t="inlineStr">
        <is>
          <t>tonne</t>
        </is>
      </c>
      <c r="D512" s="15" t="n">
        <v>0.01</v>
      </c>
      <c r="E512" s="16" t="n">
        <v>92.23999999999999</v>
      </c>
      <c r="F512" s="16">
        <f>D512*E512</f>
        <v/>
      </c>
    </row>
    <row r="513">
      <c r="A513" s="13" t="inlineStr">
        <is>
          <t>0116</t>
        </is>
      </c>
      <c r="B513" s="14" t="inlineStr">
        <is>
          <t>Fitter (grade 1)</t>
        </is>
      </c>
      <c r="C513" s="13" t="inlineStr">
        <is>
          <t>day</t>
        </is>
      </c>
      <c r="D513" s="15" t="n">
        <v>0.83</v>
      </c>
      <c r="E513" s="16" t="n">
        <v>738</v>
      </c>
      <c r="F513" s="16">
        <f>D513*E513</f>
        <v/>
      </c>
    </row>
    <row r="514">
      <c r="A514" s="13" t="inlineStr">
        <is>
          <t>0139</t>
        </is>
      </c>
      <c r="B514" s="14" t="inlineStr">
        <is>
          <t>Skilled Beldar (for floor rubbing etc.)</t>
        </is>
      </c>
      <c r="C514" s="13" t="inlineStr">
        <is>
          <t>day</t>
        </is>
      </c>
      <c r="D514" s="15" t="n">
        <v>0.83</v>
      </c>
      <c r="E514" s="16" t="n">
        <v>617</v>
      </c>
      <c r="F514" s="16">
        <f>D514*E514</f>
        <v/>
      </c>
    </row>
    <row r="515">
      <c r="A515" s="13" t="inlineStr">
        <is>
          <t>9999</t>
        </is>
      </c>
      <c r="B515" s="14" t="inlineStr">
        <is>
          <t>Sundries</t>
        </is>
      </c>
      <c r="C515" s="13" t="inlineStr">
        <is>
          <t>L.S.</t>
        </is>
      </c>
      <c r="D515" s="15" t="n">
        <v>10.79</v>
      </c>
      <c r="E515" s="16" t="n">
        <v>2</v>
      </c>
      <c r="F515" s="16">
        <f>D515*E515</f>
        <v/>
      </c>
    </row>
    <row r="516">
      <c r="A516" s="17" t="inlineStr">
        <is>
          <t>Resource Total (Material + Labour + Machinery, as printed)</t>
        </is>
      </c>
      <c r="B516" s="18" t="n"/>
      <c r="C516" s="18" t="n"/>
      <c r="D516" s="18" t="n"/>
      <c r="E516" s="18" t="n"/>
      <c r="F516" s="19">
        <f>SUM(F511:F515)</f>
        <v/>
      </c>
    </row>
    <row r="517">
      <c r="A517" s="20" t="inlineStr">
        <is>
          <t>SAY (Rs.) — final DAR rate</t>
        </is>
      </c>
      <c r="B517" s="21" t="n"/>
      <c r="C517" s="21" t="n"/>
      <c r="D517" s="21" t="n"/>
      <c r="E517" s="21" t="n"/>
      <c r="F517" s="22" t="n">
        <v>220.4</v>
      </c>
    </row>
    <row r="519" ht="18" customHeight="1">
      <c r="A519" s="9" t="inlineStr">
        <is>
          <t>10.22</t>
        </is>
      </c>
      <c r="B519" s="10" t="inlineStr">
        <is>
          <t>Welding by gas or electric plant including transportation of plant at site etc. complete.</t>
        </is>
      </c>
      <c r="C519" s="11" t="n"/>
      <c r="D519" s="11" t="n"/>
      <c r="E519" s="11" t="n"/>
      <c r="F519" s="11" t="n"/>
    </row>
    <row r="520">
      <c r="A520" s="12" t="inlineStr">
        <is>
          <t>Rate basis: per nos  (source: cost for 1 nos)</t>
        </is>
      </c>
    </row>
    <row r="521">
      <c r="A521" s="5" t="inlineStr">
        <is>
          <t>Code</t>
        </is>
      </c>
      <c r="B521" s="5" t="inlineStr">
        <is>
          <t>Description</t>
        </is>
      </c>
      <c r="C521" s="5" t="inlineStr">
        <is>
          <t>Unit</t>
        </is>
      </c>
      <c r="D521" s="5" t="inlineStr">
        <is>
          <t>Quantity</t>
        </is>
      </c>
      <c r="E521" s="5" t="inlineStr">
        <is>
          <t>Rate (Rs.)</t>
        </is>
      </c>
      <c r="F521" s="5" t="inlineStr">
        <is>
          <t>Amount (Rs.)</t>
        </is>
      </c>
    </row>
    <row r="522">
      <c r="A522" s="13" t="inlineStr">
        <is>
          <t>1214</t>
        </is>
      </c>
      <c r="B522" s="14" t="inlineStr">
        <is>
          <t>Welding by gas plant</t>
        </is>
      </c>
      <c r="C522" s="13" t="inlineStr">
        <is>
          <t>cm</t>
        </is>
      </c>
      <c r="D522" s="15" t="n">
        <v>1</v>
      </c>
      <c r="E522" s="16" t="n">
        <v>2</v>
      </c>
      <c r="F522" s="16">
        <f>D522*E522</f>
        <v/>
      </c>
    </row>
    <row r="523">
      <c r="A523" s="13" t="inlineStr">
        <is>
          <t>9999</t>
        </is>
      </c>
      <c r="B523" s="14" t="inlineStr">
        <is>
          <t>Sundries</t>
        </is>
      </c>
      <c r="C523" s="13" t="inlineStr">
        <is>
          <t>L.S.</t>
        </is>
      </c>
      <c r="D523" s="15" t="n">
        <v>0.26</v>
      </c>
      <c r="E523" s="16" t="n">
        <v>2</v>
      </c>
      <c r="F523" s="16">
        <f>D523*E523</f>
        <v/>
      </c>
    </row>
    <row r="524">
      <c r="A524" s="17" t="inlineStr">
        <is>
          <t>Resource Total (Material + Labour + Machinery, as printed)</t>
        </is>
      </c>
      <c r="B524" s="18" t="n"/>
      <c r="C524" s="18" t="n"/>
      <c r="D524" s="18" t="n"/>
      <c r="E524" s="18" t="n"/>
      <c r="F524" s="19">
        <f>SUM(F522:F523)</f>
        <v/>
      </c>
    </row>
    <row r="525">
      <c r="A525" s="20" t="inlineStr">
        <is>
          <t>SAY (Rs.) — final DAR rate</t>
        </is>
      </c>
      <c r="B525" s="21" t="n"/>
      <c r="C525" s="21" t="n"/>
      <c r="D525" s="21" t="n"/>
      <c r="E525" s="21" t="n"/>
      <c r="F525" s="22" t="n">
        <v>3.35</v>
      </c>
    </row>
    <row r="527" ht="28" customHeight="1">
      <c r="A527" s="9" t="inlineStr">
        <is>
          <t>10.25.1</t>
        </is>
      </c>
      <c r="B527" s="10" t="inlineStr">
        <is>
          <t>In stringers, treads, landings etc. of stair cases, including use of chequered plate wherever required, all complete</t>
        </is>
      </c>
      <c r="C527" s="11" t="n"/>
      <c r="D527" s="11" t="n"/>
      <c r="E527" s="11" t="n"/>
      <c r="F527" s="11" t="n"/>
    </row>
    <row r="528">
      <c r="A528" s="12" t="inlineStr">
        <is>
          <t>Rate basis: per kg  (source: cost for 5.331 kg)</t>
        </is>
      </c>
    </row>
    <row r="529">
      <c r="A529" s="5" t="inlineStr">
        <is>
          <t>Code</t>
        </is>
      </c>
      <c r="B529" s="5" t="inlineStr">
        <is>
          <t>Description</t>
        </is>
      </c>
      <c r="C529" s="5" t="inlineStr">
        <is>
          <t>Unit</t>
        </is>
      </c>
      <c r="D529" s="5" t="inlineStr">
        <is>
          <t>Quantity</t>
        </is>
      </c>
      <c r="E529" s="5" t="inlineStr">
        <is>
          <t>Rate (Rs.)</t>
        </is>
      </c>
      <c r="F529" s="5" t="inlineStr">
        <is>
          <t>Amount (Rs.)</t>
        </is>
      </c>
    </row>
    <row r="530">
      <c r="A530" s="13" t="inlineStr">
        <is>
          <t>13.50.3</t>
        </is>
      </c>
      <c r="B530" s="14" t="inlineStr">
        <is>
          <t>Rate as per SH: 13.50.3</t>
        </is>
      </c>
      <c r="C530" s="13" t="inlineStr">
        <is>
          <t>sqm</t>
        </is>
      </c>
      <c r="D530" s="15" t="n">
        <v>48.29</v>
      </c>
      <c r="E530" s="16" t="n">
        <v>50.7</v>
      </c>
      <c r="F530" s="16">
        <f>D530*E530</f>
        <v/>
      </c>
    </row>
    <row r="531">
      <c r="A531" s="13" t="inlineStr">
        <is>
          <t>1007</t>
        </is>
      </c>
      <c r="B531" s="14" t="inlineStr">
        <is>
          <t>Structurals such as tees,angles channels and R.S. joists</t>
        </is>
      </c>
      <c r="C531" s="13" t="inlineStr">
        <is>
          <t>quintal</t>
        </is>
      </c>
      <c r="D531" s="15" t="n">
        <v>3.161</v>
      </c>
      <c r="E531" s="16" t="n">
        <v>4600</v>
      </c>
      <c r="F531" s="16">
        <f>D531*E531</f>
        <v/>
      </c>
    </row>
    <row r="532">
      <c r="A532" s="13" t="inlineStr">
        <is>
          <t>1010</t>
        </is>
      </c>
      <c r="B532" s="14" t="inlineStr">
        <is>
          <t>Mild steel plates</t>
        </is>
      </c>
      <c r="C532" s="13" t="inlineStr">
        <is>
          <t>quintal</t>
        </is>
      </c>
      <c r="D532" s="15" t="n">
        <v>1.103</v>
      </c>
      <c r="E532" s="16" t="n">
        <v>4800</v>
      </c>
      <c r="F532" s="16">
        <f>D532*E532</f>
        <v/>
      </c>
    </row>
    <row r="533">
      <c r="A533" s="13" t="inlineStr">
        <is>
          <t>1549</t>
        </is>
      </c>
      <c r="B533" s="14" t="inlineStr">
        <is>
          <t>G.I. pipes 40 mm dia</t>
        </is>
      </c>
      <c r="C533" s="13" t="inlineStr">
        <is>
          <t>metre</t>
        </is>
      </c>
      <c r="D533" s="15" t="n">
        <v>26.65</v>
      </c>
      <c r="E533" s="16" t="n">
        <v>250</v>
      </c>
      <c r="F533" s="16">
        <f>D533*E533</f>
        <v/>
      </c>
    </row>
    <row r="534">
      <c r="A534" s="13" t="inlineStr">
        <is>
          <t>1003</t>
        </is>
      </c>
      <c r="B534" s="14" t="inlineStr">
        <is>
          <t>Mild steel round bar above 12 mm dia</t>
        </is>
      </c>
      <c r="C534" s="13" t="inlineStr">
        <is>
          <t>quintal</t>
        </is>
      </c>
      <c r="D534" s="15" t="n">
        <v>0.373</v>
      </c>
      <c r="E534" s="16" t="n">
        <v>4400</v>
      </c>
      <c r="F534" s="16">
        <f>D534*E534</f>
        <v/>
      </c>
    </row>
    <row r="535">
      <c r="A535" s="13" t="inlineStr">
        <is>
          <t>2205</t>
        </is>
      </c>
      <c r="B535" s="14" t="inlineStr">
        <is>
          <t>Carriage of Steel</t>
        </is>
      </c>
      <c r="C535" s="13" t="inlineStr">
        <is>
          <t>tonne</t>
        </is>
      </c>
      <c r="D535" s="15" t="n">
        <v>0.4637</v>
      </c>
      <c r="E535" s="16" t="n">
        <v>92.23999999999999</v>
      </c>
      <c r="F535" s="16">
        <f>D535*E535</f>
        <v/>
      </c>
    </row>
    <row r="536">
      <c r="A536" s="13" t="inlineStr">
        <is>
          <t>2271</t>
        </is>
      </c>
      <c r="B536" s="14" t="inlineStr">
        <is>
          <t>Carriage of G.I. pipes below 100 mm dia</t>
        </is>
      </c>
      <c r="C536" s="13" t="inlineStr">
        <is>
          <t>tonne</t>
        </is>
      </c>
      <c r="D536" s="15" t="n">
        <v>0.09909999999999999</v>
      </c>
      <c r="E536" s="16" t="n">
        <v>92.23999999999999</v>
      </c>
      <c r="F536" s="16">
        <f>D536*E536</f>
        <v/>
      </c>
    </row>
    <row r="537">
      <c r="A537" s="13" t="inlineStr">
        <is>
          <t>1215</t>
        </is>
      </c>
      <c r="B537" s="14" t="inlineStr">
        <is>
          <t>Welding by electric plant</t>
        </is>
      </c>
      <c r="C537" s="13" t="inlineStr">
        <is>
          <t>cm</t>
        </is>
      </c>
      <c r="D537" s="15" t="n">
        <v>2320</v>
      </c>
      <c r="E537" s="16" t="n">
        <v>2</v>
      </c>
      <c r="F537" s="16">
        <f>D537*E537</f>
        <v/>
      </c>
    </row>
    <row r="538">
      <c r="A538" s="13" t="inlineStr">
        <is>
          <t>0102</t>
        </is>
      </c>
      <c r="B538" s="14" t="inlineStr">
        <is>
          <t>Blacksmith 1st class</t>
        </is>
      </c>
      <c r="C538" s="13" t="inlineStr">
        <is>
          <t>day</t>
        </is>
      </c>
      <c r="D538" s="15" t="n">
        <v>1.85</v>
      </c>
      <c r="E538" s="16" t="n">
        <v>738</v>
      </c>
      <c r="F538" s="16">
        <f>D538*E538</f>
        <v/>
      </c>
    </row>
    <row r="539">
      <c r="A539" s="13" t="inlineStr">
        <is>
          <t>0114</t>
        </is>
      </c>
      <c r="B539" s="14" t="inlineStr">
        <is>
          <t>Beldar</t>
        </is>
      </c>
      <c r="C539" s="13" t="inlineStr">
        <is>
          <t>day</t>
        </is>
      </c>
      <c r="D539" s="15" t="n">
        <v>1.25</v>
      </c>
      <c r="E539" s="16" t="n">
        <v>558</v>
      </c>
      <c r="F539" s="16">
        <f>D539*E539</f>
        <v/>
      </c>
    </row>
    <row r="540">
      <c r="A540" s="13" t="inlineStr">
        <is>
          <t>0100</t>
        </is>
      </c>
      <c r="B540" s="14" t="inlineStr">
        <is>
          <t>Bandhani</t>
        </is>
      </c>
      <c r="C540" s="13" t="inlineStr">
        <is>
          <t>day</t>
        </is>
      </c>
      <c r="D540" s="15" t="n">
        <v>0.6</v>
      </c>
      <c r="E540" s="16" t="n">
        <v>617</v>
      </c>
      <c r="F540" s="16">
        <f>D540*E540</f>
        <v/>
      </c>
    </row>
    <row r="541">
      <c r="A541" s="13" t="inlineStr">
        <is>
          <t>9999</t>
        </is>
      </c>
      <c r="B541" s="14" t="inlineStr">
        <is>
          <t>Sundries</t>
        </is>
      </c>
      <c r="C541" s="13" t="inlineStr">
        <is>
          <t>L.S.</t>
        </is>
      </c>
      <c r="D541" s="15" t="n">
        <v>110.89</v>
      </c>
      <c r="E541" s="16" t="n">
        <v>2</v>
      </c>
      <c r="F541" s="16">
        <f>D541*E541</f>
        <v/>
      </c>
    </row>
    <row r="542">
      <c r="A542" s="17" t="inlineStr">
        <is>
          <t>Resource Total (Material + Labour + Machinery, as printed)</t>
        </is>
      </c>
      <c r="B542" s="18" t="n"/>
      <c r="C542" s="18" t="n"/>
      <c r="D542" s="18" t="n"/>
      <c r="E542" s="18" t="n"/>
      <c r="F542" s="19">
        <f>SUM(F530:F541)</f>
        <v/>
      </c>
    </row>
    <row r="543">
      <c r="A543" s="20" t="inlineStr">
        <is>
          <t>SAY (Rs.) — final DAR rate</t>
        </is>
      </c>
      <c r="B543" s="21" t="n"/>
      <c r="C543" s="21" t="n"/>
      <c r="D543" s="21" t="n"/>
      <c r="E543" s="21" t="n"/>
      <c r="F543" s="22" t="n">
        <v>93.65000000000001</v>
      </c>
    </row>
    <row r="545" ht="18" customHeight="1">
      <c r="A545" s="9" t="inlineStr">
        <is>
          <t>10.25.2</t>
        </is>
      </c>
      <c r="B545" s="10" t="inlineStr">
        <is>
          <t>In gratings, frames, guard bar, ladder, railings, brackets, gates and similar works</t>
        </is>
      </c>
      <c r="C545" s="11" t="n"/>
      <c r="D545" s="11" t="n"/>
      <c r="E545" s="11" t="n"/>
      <c r="F545" s="11" t="n"/>
    </row>
    <row r="546">
      <c r="A546" s="12" t="inlineStr">
        <is>
          <t>Rate basis: per nos  (source: cost for 1 nos)</t>
        </is>
      </c>
    </row>
    <row r="547">
      <c r="A547" s="5" t="inlineStr">
        <is>
          <t>Code</t>
        </is>
      </c>
      <c r="B547" s="5" t="inlineStr">
        <is>
          <t>Description</t>
        </is>
      </c>
      <c r="C547" s="5" t="inlineStr">
        <is>
          <t>Unit</t>
        </is>
      </c>
      <c r="D547" s="5" t="inlineStr">
        <is>
          <t>Quantity</t>
        </is>
      </c>
      <c r="E547" s="5" t="inlineStr">
        <is>
          <t>Rate (Rs.)</t>
        </is>
      </c>
      <c r="F547" s="5" t="inlineStr">
        <is>
          <t>Amount (Rs.)</t>
        </is>
      </c>
    </row>
    <row r="548">
      <c r="A548" s="13" t="inlineStr">
        <is>
          <t>13.50.3</t>
        </is>
      </c>
      <c r="B548" s="14" t="inlineStr">
        <is>
          <t>Rate as per SH: 13.50.3</t>
        </is>
      </c>
      <c r="C548" s="13" t="inlineStr">
        <is>
          <t>sqm</t>
        </is>
      </c>
      <c r="D548" s="15" t="n">
        <v>0.6</v>
      </c>
      <c r="E548" s="16" t="n">
        <v>50.7</v>
      </c>
      <c r="F548" s="16">
        <f>D548*E548</f>
        <v/>
      </c>
    </row>
    <row r="549">
      <c r="A549" s="13" t="inlineStr">
        <is>
          <t>1008</t>
        </is>
      </c>
      <c r="B549" s="14" t="inlineStr">
        <is>
          <t>Flats upto 10 mm in thickness</t>
        </is>
      </c>
      <c r="C549" s="13" t="inlineStr">
        <is>
          <t>quintal</t>
        </is>
      </c>
      <c r="D549" s="15" t="n">
        <v>0.145</v>
      </c>
      <c r="E549" s="16" t="n">
        <v>4500</v>
      </c>
      <c r="F549" s="16">
        <f>D549*E549</f>
        <v/>
      </c>
    </row>
    <row r="550">
      <c r="A550" s="13" t="inlineStr">
        <is>
          <t>1002</t>
        </is>
      </c>
      <c r="B550" s="14" t="inlineStr">
        <is>
          <t>Mild steel round bar 12 mm dia and below</t>
        </is>
      </c>
      <c r="C550" s="13" t="inlineStr">
        <is>
          <t>quintal</t>
        </is>
      </c>
      <c r="D550" s="15" t="n">
        <v>0.08400000000000001</v>
      </c>
      <c r="E550" s="16" t="n">
        <v>4500</v>
      </c>
      <c r="F550" s="16">
        <f>D550*E550</f>
        <v/>
      </c>
    </row>
    <row r="551">
      <c r="A551" s="13" t="inlineStr">
        <is>
          <t>2205</t>
        </is>
      </c>
      <c r="B551" s="14" t="inlineStr">
        <is>
          <t>Carriage of Steel</t>
        </is>
      </c>
      <c r="C551" s="13" t="inlineStr">
        <is>
          <t>tonne</t>
        </is>
      </c>
      <c r="D551" s="15" t="n">
        <v>0.0229</v>
      </c>
      <c r="E551" s="16" t="n">
        <v>92.23999999999999</v>
      </c>
      <c r="F551" s="16">
        <f>D551*E551</f>
        <v/>
      </c>
    </row>
    <row r="552">
      <c r="A552" s="13" t="inlineStr">
        <is>
          <t>1215</t>
        </is>
      </c>
      <c r="B552" s="14" t="inlineStr">
        <is>
          <t>Welding by electric plant 60 cm</t>
        </is>
      </c>
      <c r="C552" s="13" t="inlineStr">
        <is>
          <t>cm</t>
        </is>
      </c>
      <c r="D552" s="15" t="n">
        <v>60</v>
      </c>
      <c r="E552" s="16" t="n">
        <v>2</v>
      </c>
      <c r="F552" s="16">
        <f>D552*E552</f>
        <v/>
      </c>
    </row>
    <row r="553">
      <c r="A553" s="13" t="inlineStr">
        <is>
          <t>0102</t>
        </is>
      </c>
      <c r="B553" s="14" t="inlineStr">
        <is>
          <t>Blacksmith 1st class</t>
        </is>
      </c>
      <c r="C553" s="13" t="inlineStr">
        <is>
          <t>day</t>
        </is>
      </c>
      <c r="D553" s="15" t="n">
        <v>0.7</v>
      </c>
      <c r="E553" s="16" t="n">
        <v>738</v>
      </c>
      <c r="F553" s="16">
        <f>D553*E553</f>
        <v/>
      </c>
    </row>
    <row r="554">
      <c r="A554" s="13" t="inlineStr">
        <is>
          <t>0114</t>
        </is>
      </c>
      <c r="B554" s="14" t="inlineStr">
        <is>
          <t>Beldar</t>
        </is>
      </c>
      <c r="C554" s="13" t="inlineStr">
        <is>
          <t>day</t>
        </is>
      </c>
      <c r="D554" s="15" t="n">
        <v>0.5</v>
      </c>
      <c r="E554" s="16" t="n">
        <v>558</v>
      </c>
      <c r="F554" s="16">
        <f>D554*E554</f>
        <v/>
      </c>
    </row>
    <row r="555">
      <c r="A555" s="13" t="inlineStr">
        <is>
          <t>0100</t>
        </is>
      </c>
      <c r="B555" s="14" t="inlineStr">
        <is>
          <t>Bandhani</t>
        </is>
      </c>
      <c r="C555" s="13" t="inlineStr">
        <is>
          <t>day</t>
        </is>
      </c>
      <c r="D555" s="15" t="n">
        <v>0.25</v>
      </c>
      <c r="E555" s="16" t="n">
        <v>617</v>
      </c>
      <c r="F555" s="16">
        <f>D555*E555</f>
        <v/>
      </c>
    </row>
    <row r="556">
      <c r="A556" s="13" t="inlineStr">
        <is>
          <t>9999</t>
        </is>
      </c>
      <c r="B556" s="14" t="inlineStr">
        <is>
          <t>Sundries</t>
        </is>
      </c>
      <c r="C556" s="13" t="inlineStr">
        <is>
          <t>L.S.</t>
        </is>
      </c>
      <c r="D556" s="15" t="n">
        <v>4.55</v>
      </c>
      <c r="E556" s="16" t="n">
        <v>2</v>
      </c>
      <c r="F556" s="16">
        <f>D556*E556</f>
        <v/>
      </c>
    </row>
    <row r="557">
      <c r="A557" s="17" t="inlineStr">
        <is>
          <t>Resource Total (Material + Labour + Machinery, as printed)</t>
        </is>
      </c>
      <c r="B557" s="18" t="n"/>
      <c r="C557" s="18" t="n"/>
      <c r="D557" s="18" t="n"/>
      <c r="E557" s="18" t="n"/>
      <c r="F557" s="19">
        <f>SUM(F548:F556)</f>
        <v/>
      </c>
    </row>
    <row r="558">
      <c r="A558" s="20" t="inlineStr">
        <is>
          <t>SAY (Rs.) — final DAR rate</t>
        </is>
      </c>
      <c r="B558" s="21" t="n"/>
      <c r="C558" s="21" t="n"/>
      <c r="D558" s="21" t="n"/>
      <c r="E558" s="21" t="n"/>
      <c r="F558" s="22" t="n">
        <v>131</v>
      </c>
    </row>
    <row r="560" ht="18" customHeight="1">
      <c r="A560" s="9" t="inlineStr">
        <is>
          <t>10.26.1</t>
        </is>
      </c>
      <c r="B560" s="10" t="inlineStr">
        <is>
          <t>M.S. tube</t>
        </is>
      </c>
      <c r="C560" s="11" t="n"/>
      <c r="D560" s="11" t="n"/>
      <c r="E560" s="11" t="n"/>
      <c r="F560" s="11" t="n"/>
    </row>
    <row r="561">
      <c r="A561" s="12" t="inlineStr">
        <is>
          <t>Rate basis: per kg  (source: cost for 19.49 kg)</t>
        </is>
      </c>
    </row>
    <row r="562">
      <c r="A562" s="5" t="inlineStr">
        <is>
          <t>Code</t>
        </is>
      </c>
      <c r="B562" s="5" t="inlineStr">
        <is>
          <t>Description</t>
        </is>
      </c>
      <c r="C562" s="5" t="inlineStr">
        <is>
          <t>Unit</t>
        </is>
      </c>
      <c r="D562" s="5" t="inlineStr">
        <is>
          <t>Quantity</t>
        </is>
      </c>
      <c r="E562" s="5" t="inlineStr">
        <is>
          <t>Rate (Rs.)</t>
        </is>
      </c>
      <c r="F562" s="5" t="inlineStr">
        <is>
          <t>Amount (Rs.)</t>
        </is>
      </c>
    </row>
    <row r="563">
      <c r="A563" s="13" t="inlineStr">
        <is>
          <t>13.50.3</t>
        </is>
      </c>
      <c r="B563" s="14" t="inlineStr">
        <is>
          <t>Rate as per SH: 13.50.3</t>
        </is>
      </c>
      <c r="C563" s="13" t="inlineStr">
        <is>
          <t>sqm</t>
        </is>
      </c>
      <c r="D563" s="15" t="n">
        <v>0.82</v>
      </c>
      <c r="E563" s="16" t="n">
        <v>50.7</v>
      </c>
      <c r="F563" s="16">
        <f>D563*E563</f>
        <v/>
      </c>
    </row>
    <row r="564">
      <c r="A564" s="13" t="inlineStr">
        <is>
          <t>4009</t>
        </is>
      </c>
      <c r="B564" s="14" t="inlineStr">
        <is>
          <t>Mild steel tubes hot finished welded type</t>
        </is>
      </c>
      <c r="C564" s="13" t="inlineStr">
        <is>
          <t>kilogram</t>
        </is>
      </c>
      <c r="D564" s="15" t="n">
        <v>20.46</v>
      </c>
      <c r="E564" s="16" t="n">
        <v>57</v>
      </c>
      <c r="F564" s="16">
        <f>D564*E564</f>
        <v/>
      </c>
    </row>
    <row r="565">
      <c r="A565" s="13" t="inlineStr">
        <is>
          <t>2205</t>
        </is>
      </c>
      <c r="B565" s="14" t="inlineStr">
        <is>
          <t>Carriage of Steel</t>
        </is>
      </c>
      <c r="C565" s="13" t="inlineStr">
        <is>
          <t>tonne</t>
        </is>
      </c>
      <c r="D565" s="15" t="n">
        <v>0.0205</v>
      </c>
      <c r="E565" s="16" t="n">
        <v>92.23999999999999</v>
      </c>
      <c r="F565" s="16">
        <f>D565*E565</f>
        <v/>
      </c>
    </row>
    <row r="566">
      <c r="A566" s="13" t="inlineStr">
        <is>
          <t>1215</t>
        </is>
      </c>
      <c r="B566" s="14" t="inlineStr">
        <is>
          <t>Welding by electric plant</t>
        </is>
      </c>
      <c r="C566" s="13" t="inlineStr">
        <is>
          <t>cm</t>
        </is>
      </c>
      <c r="D566" s="15" t="n">
        <v>72</v>
      </c>
      <c r="E566" s="16" t="n">
        <v>2</v>
      </c>
      <c r="F566" s="16">
        <f>D566*E566</f>
        <v/>
      </c>
    </row>
    <row r="567">
      <c r="A567" s="13" t="inlineStr">
        <is>
          <t>0102</t>
        </is>
      </c>
      <c r="B567" s="14" t="inlineStr">
        <is>
          <t>Blacksmith 1st class</t>
        </is>
      </c>
      <c r="C567" s="13" t="inlineStr">
        <is>
          <t>day</t>
        </is>
      </c>
      <c r="D567" s="15" t="n">
        <v>0.24</v>
      </c>
      <c r="E567" s="16" t="n">
        <v>738</v>
      </c>
      <c r="F567" s="16">
        <f>D567*E567</f>
        <v/>
      </c>
    </row>
    <row r="568">
      <c r="A568" s="13" t="inlineStr">
        <is>
          <t>0114</t>
        </is>
      </c>
      <c r="B568" s="14" t="inlineStr">
        <is>
          <t>Beldar</t>
        </is>
      </c>
      <c r="C568" s="13" t="inlineStr">
        <is>
          <t>day</t>
        </is>
      </c>
      <c r="D568" s="15" t="n">
        <v>0.9</v>
      </c>
      <c r="E568" s="16" t="n">
        <v>558</v>
      </c>
      <c r="F568" s="16">
        <f>D568*E568</f>
        <v/>
      </c>
    </row>
    <row r="569">
      <c r="A569" s="13" t="inlineStr">
        <is>
          <t>0100</t>
        </is>
      </c>
      <c r="B569" s="14" t="inlineStr">
        <is>
          <t>Bandhani</t>
        </is>
      </c>
      <c r="C569" s="13" t="inlineStr">
        <is>
          <t>day</t>
        </is>
      </c>
      <c r="D569" s="15" t="n">
        <v>0.12</v>
      </c>
      <c r="E569" s="16" t="n">
        <v>617</v>
      </c>
      <c r="F569" s="16">
        <f>D569*E569</f>
        <v/>
      </c>
    </row>
    <row r="570">
      <c r="A570" s="13" t="inlineStr">
        <is>
          <t>9999</t>
        </is>
      </c>
      <c r="B570" s="14" t="inlineStr">
        <is>
          <t>Sundries</t>
        </is>
      </c>
      <c r="C570" s="13" t="inlineStr">
        <is>
          <t>L.S.</t>
        </is>
      </c>
      <c r="D570" s="15" t="n">
        <v>12.48</v>
      </c>
      <c r="E570" s="16" t="n">
        <v>2</v>
      </c>
      <c r="F570" s="16">
        <f>D570*E570</f>
        <v/>
      </c>
    </row>
    <row r="571">
      <c r="A571" s="17" t="inlineStr">
        <is>
          <t>Resource Total (Material + Labour + Machinery, as printed)</t>
        </is>
      </c>
      <c r="B571" s="18" t="n"/>
      <c r="C571" s="18" t="n"/>
      <c r="D571" s="18" t="n"/>
      <c r="E571" s="18" t="n"/>
      <c r="F571" s="19">
        <f>SUM(F563:F570)</f>
        <v/>
      </c>
    </row>
    <row r="572">
      <c r="A572" s="20" t="inlineStr">
        <is>
          <t>SAY (Rs.) — final DAR rate</t>
        </is>
      </c>
      <c r="B572" s="21" t="n"/>
      <c r="C572" s="21" t="n"/>
      <c r="D572" s="21" t="n"/>
      <c r="E572" s="21" t="n"/>
      <c r="F572" s="22" t="n">
        <v>145.65</v>
      </c>
    </row>
    <row r="574" ht="18" customHeight="1">
      <c r="A574" s="9" t="inlineStr">
        <is>
          <t>10.26.2</t>
        </is>
      </c>
      <c r="B574" s="10" t="inlineStr">
        <is>
          <t>E.R.W. tubes</t>
        </is>
      </c>
      <c r="C574" s="11" t="n"/>
      <c r="D574" s="11" t="n"/>
      <c r="E574" s="11" t="n"/>
      <c r="F574" s="11" t="n"/>
    </row>
    <row r="575">
      <c r="A575" s="12" t="inlineStr">
        <is>
          <t>Rate basis: per kg  (source: cost for 17.71 kg)</t>
        </is>
      </c>
    </row>
    <row r="576">
      <c r="A576" s="5" t="inlineStr">
        <is>
          <t>Code</t>
        </is>
      </c>
      <c r="B576" s="5" t="inlineStr">
        <is>
          <t>Description</t>
        </is>
      </c>
      <c r="C576" s="5" t="inlineStr">
        <is>
          <t>Unit</t>
        </is>
      </c>
      <c r="D576" s="5" t="inlineStr">
        <is>
          <t>Quantity</t>
        </is>
      </c>
      <c r="E576" s="5" t="inlineStr">
        <is>
          <t>Rate (Rs.)</t>
        </is>
      </c>
      <c r="F576" s="5" t="inlineStr">
        <is>
          <t>Amount (Rs.)</t>
        </is>
      </c>
    </row>
    <row r="577">
      <c r="A577" s="13" t="inlineStr">
        <is>
          <t>13.50.3</t>
        </is>
      </c>
      <c r="B577" s="14" t="inlineStr">
        <is>
          <t>Rate as per SH: 13.50.3</t>
        </is>
      </c>
      <c r="C577" s="13" t="inlineStr">
        <is>
          <t>sqm</t>
        </is>
      </c>
      <c r="D577" s="15" t="n">
        <v>0.82</v>
      </c>
      <c r="E577" s="16" t="n">
        <v>50.7</v>
      </c>
      <c r="F577" s="16">
        <f>D577*E577</f>
        <v/>
      </c>
    </row>
    <row r="578">
      <c r="A578" s="13" t="inlineStr">
        <is>
          <t>4011</t>
        </is>
      </c>
      <c r="B578" s="14" t="inlineStr">
        <is>
          <t>Mild steel tubes electric resistant or induction butt welded</t>
        </is>
      </c>
      <c r="C578" s="13" t="inlineStr">
        <is>
          <t>kilogram</t>
        </is>
      </c>
      <c r="D578" s="15" t="n">
        <v>18.59</v>
      </c>
      <c r="E578" s="16" t="n">
        <v>47</v>
      </c>
      <c r="F578" s="16">
        <f>D578*E578</f>
        <v/>
      </c>
    </row>
    <row r="579">
      <c r="A579" s="13" t="inlineStr">
        <is>
          <t>2205</t>
        </is>
      </c>
      <c r="B579" s="14" t="inlineStr">
        <is>
          <t>Carriage of Steel</t>
        </is>
      </c>
      <c r="C579" s="13" t="inlineStr">
        <is>
          <t>tonne</t>
        </is>
      </c>
      <c r="D579" s="15" t="n">
        <v>0.0186</v>
      </c>
      <c r="E579" s="16" t="n">
        <v>92.23999999999999</v>
      </c>
      <c r="F579" s="16">
        <f>D579*E579</f>
        <v/>
      </c>
    </row>
    <row r="580">
      <c r="A580" s="13" t="inlineStr">
        <is>
          <t>1215</t>
        </is>
      </c>
      <c r="B580" s="14" t="inlineStr">
        <is>
          <t>Welding by electric plant</t>
        </is>
      </c>
      <c r="C580" s="13" t="inlineStr">
        <is>
          <t>cm</t>
        </is>
      </c>
      <c r="D580" s="15" t="n">
        <v>72</v>
      </c>
      <c r="E580" s="16" t="n">
        <v>2</v>
      </c>
      <c r="F580" s="16">
        <f>D580*E580</f>
        <v/>
      </c>
    </row>
    <row r="581">
      <c r="A581" s="13" t="inlineStr">
        <is>
          <t>0102</t>
        </is>
      </c>
      <c r="B581" s="14" t="inlineStr">
        <is>
          <t>Blacksmith 1st class</t>
        </is>
      </c>
      <c r="C581" s="13" t="inlineStr">
        <is>
          <t>day</t>
        </is>
      </c>
      <c r="D581" s="15" t="n">
        <v>0.24</v>
      </c>
      <c r="E581" s="16" t="n">
        <v>738</v>
      </c>
      <c r="F581" s="16">
        <f>D581*E581</f>
        <v/>
      </c>
    </row>
    <row r="582">
      <c r="A582" s="13" t="inlineStr">
        <is>
          <t>0114</t>
        </is>
      </c>
      <c r="B582" s="14" t="inlineStr">
        <is>
          <t>Beldar</t>
        </is>
      </c>
      <c r="C582" s="13" t="inlineStr">
        <is>
          <t>day</t>
        </is>
      </c>
      <c r="D582" s="15" t="n">
        <v>0.9</v>
      </c>
      <c r="E582" s="16" t="n">
        <v>558</v>
      </c>
      <c r="F582" s="16">
        <f>D582*E582</f>
        <v/>
      </c>
    </row>
    <row r="583">
      <c r="A583" s="13" t="inlineStr">
        <is>
          <t>0100</t>
        </is>
      </c>
      <c r="B583" s="14" t="inlineStr">
        <is>
          <t>Bandhani</t>
        </is>
      </c>
      <c r="C583" s="13" t="inlineStr">
        <is>
          <t>day</t>
        </is>
      </c>
      <c r="D583" s="15" t="n">
        <v>0.12</v>
      </c>
      <c r="E583" s="16" t="n">
        <v>617</v>
      </c>
      <c r="F583" s="16">
        <f>D583*E583</f>
        <v/>
      </c>
    </row>
    <row r="584">
      <c r="A584" s="13" t="inlineStr">
        <is>
          <t>9999</t>
        </is>
      </c>
      <c r="B584" s="14" t="inlineStr">
        <is>
          <t>Sundries</t>
        </is>
      </c>
      <c r="C584" s="13" t="inlineStr">
        <is>
          <t>L.S.</t>
        </is>
      </c>
      <c r="D584" s="15" t="n">
        <v>12.48</v>
      </c>
      <c r="E584" s="16" t="n">
        <v>2</v>
      </c>
      <c r="F584" s="16">
        <f>D584*E584</f>
        <v/>
      </c>
    </row>
    <row r="585">
      <c r="A585" s="17" t="inlineStr">
        <is>
          <t>Resource Total (Material + Labour + Machinery, as printed)</t>
        </is>
      </c>
      <c r="B585" s="18" t="n"/>
      <c r="C585" s="18" t="n"/>
      <c r="D585" s="18" t="n"/>
      <c r="E585" s="18" t="n"/>
      <c r="F585" s="19">
        <f>SUM(F577:F584)</f>
        <v/>
      </c>
    </row>
    <row r="586">
      <c r="A586" s="20" t="inlineStr">
        <is>
          <t>SAY (Rs.) — final DAR rate</t>
        </is>
      </c>
      <c r="B586" s="21" t="n"/>
      <c r="C586" s="21" t="n"/>
      <c r="D586" s="21" t="n"/>
      <c r="E586" s="21" t="n"/>
      <c r="F586" s="22" t="n">
        <v>138.15</v>
      </c>
    </row>
    <row r="588" ht="18" customHeight="1">
      <c r="A588" s="9" t="inlineStr">
        <is>
          <t>10.26.3</t>
        </is>
      </c>
      <c r="B588" s="10" t="inlineStr">
        <is>
          <t>G.I. pipes</t>
        </is>
      </c>
      <c r="C588" s="11" t="n"/>
      <c r="D588" s="11" t="n"/>
      <c r="E588" s="11" t="n"/>
      <c r="F588" s="11" t="n"/>
    </row>
    <row r="589">
      <c r="A589" s="12" t="inlineStr">
        <is>
          <t>Rate basis: per m  (source: cost for 5.4 m)</t>
        </is>
      </c>
    </row>
    <row r="590">
      <c r="A590" s="5" t="inlineStr">
        <is>
          <t>Code</t>
        </is>
      </c>
      <c r="B590" s="5" t="inlineStr">
        <is>
          <t>Description</t>
        </is>
      </c>
      <c r="C590" s="5" t="inlineStr">
        <is>
          <t>Unit</t>
        </is>
      </c>
      <c r="D590" s="5" t="inlineStr">
        <is>
          <t>Quantity</t>
        </is>
      </c>
      <c r="E590" s="5" t="inlineStr">
        <is>
          <t>Rate (Rs.)</t>
        </is>
      </c>
      <c r="F590" s="5" t="inlineStr">
        <is>
          <t>Amount (Rs.)</t>
        </is>
      </c>
    </row>
    <row r="591">
      <c r="A591" s="13" t="inlineStr">
        <is>
          <t>13.50.3</t>
        </is>
      </c>
      <c r="B591" s="14" t="inlineStr">
        <is>
          <t>Rate as per SH: 13.50.3</t>
        </is>
      </c>
      <c r="C591" s="13" t="inlineStr">
        <is>
          <t>sqm</t>
        </is>
      </c>
      <c r="D591" s="15" t="n">
        <v>0.82</v>
      </c>
      <c r="E591" s="16" t="n">
        <v>50.7</v>
      </c>
      <c r="F591" s="16">
        <f>D591*E591</f>
        <v/>
      </c>
    </row>
    <row r="592">
      <c r="A592" s="13" t="inlineStr">
        <is>
          <t>1549</t>
        </is>
      </c>
      <c r="B592" s="14" t="inlineStr">
        <is>
          <t>G.I. pipes 40 mm dia</t>
        </is>
      </c>
      <c r="C592" s="13" t="inlineStr">
        <is>
          <t>metre</t>
        </is>
      </c>
      <c r="D592" s="15" t="n">
        <v>5.67</v>
      </c>
      <c r="E592" s="16" t="n">
        <v>250</v>
      </c>
      <c r="F592" s="16">
        <f>D592*E592</f>
        <v/>
      </c>
    </row>
    <row r="593">
      <c r="A593" s="13" t="inlineStr">
        <is>
          <t>2271</t>
        </is>
      </c>
      <c r="B593" s="14" t="inlineStr">
        <is>
          <t>Carriage of G.I. pipes below 100 mm dia</t>
        </is>
      </c>
      <c r="C593" s="13" t="inlineStr">
        <is>
          <t>tonne</t>
        </is>
      </c>
      <c r="D593" s="15" t="n">
        <v>0.0211</v>
      </c>
      <c r="E593" s="16" t="n">
        <v>92.23999999999999</v>
      </c>
      <c r="F593" s="16">
        <f>D593*E593</f>
        <v/>
      </c>
    </row>
    <row r="594">
      <c r="A594" s="13" t="inlineStr">
        <is>
          <t>1215</t>
        </is>
      </c>
      <c r="B594" s="14" t="inlineStr">
        <is>
          <t>Welding by electric plant</t>
        </is>
      </c>
      <c r="C594" s="13" t="inlineStr">
        <is>
          <t>cm</t>
        </is>
      </c>
      <c r="D594" s="15" t="n">
        <v>72</v>
      </c>
      <c r="E594" s="16" t="n">
        <v>2</v>
      </c>
      <c r="F594" s="16">
        <f>D594*E594</f>
        <v/>
      </c>
    </row>
    <row r="595">
      <c r="A595" s="13" t="inlineStr">
        <is>
          <t>0102</t>
        </is>
      </c>
      <c r="B595" s="14" t="inlineStr">
        <is>
          <t>Blacksmith 1st class</t>
        </is>
      </c>
      <c r="C595" s="13" t="inlineStr">
        <is>
          <t>day</t>
        </is>
      </c>
      <c r="D595" s="15" t="n">
        <v>0.24</v>
      </c>
      <c r="E595" s="16" t="n">
        <v>738</v>
      </c>
      <c r="F595" s="16">
        <f>D595*E595</f>
        <v/>
      </c>
    </row>
    <row r="596">
      <c r="A596" s="13" t="inlineStr">
        <is>
          <t>0114</t>
        </is>
      </c>
      <c r="B596" s="14" t="inlineStr">
        <is>
          <t>Beldar</t>
        </is>
      </c>
      <c r="C596" s="13" t="inlineStr">
        <is>
          <t>day</t>
        </is>
      </c>
      <c r="D596" s="15" t="n">
        <v>0.9</v>
      </c>
      <c r="E596" s="16" t="n">
        <v>558</v>
      </c>
      <c r="F596" s="16">
        <f>D596*E596</f>
        <v/>
      </c>
    </row>
    <row r="597">
      <c r="A597" s="13" t="inlineStr">
        <is>
          <t>0100</t>
        </is>
      </c>
      <c r="B597" s="14" t="inlineStr">
        <is>
          <t>Bandhani</t>
        </is>
      </c>
      <c r="C597" s="13" t="inlineStr">
        <is>
          <t>day</t>
        </is>
      </c>
      <c r="D597" s="15" t="n">
        <v>0.12</v>
      </c>
      <c r="E597" s="16" t="n">
        <v>617</v>
      </c>
      <c r="F597" s="16">
        <f>D597*E597</f>
        <v/>
      </c>
    </row>
    <row r="598">
      <c r="A598" s="13" t="inlineStr">
        <is>
          <t>9999</t>
        </is>
      </c>
      <c r="B598" s="14" t="inlineStr">
        <is>
          <t>Sundries</t>
        </is>
      </c>
      <c r="C598" s="13" t="inlineStr">
        <is>
          <t>L.S.</t>
        </is>
      </c>
      <c r="D598" s="15" t="n">
        <v>12.48</v>
      </c>
      <c r="E598" s="16" t="n">
        <v>2</v>
      </c>
      <c r="F598" s="16">
        <f>D598*E598</f>
        <v/>
      </c>
    </row>
    <row r="599">
      <c r="A599" s="17" t="inlineStr">
        <is>
          <t>Resource Total (Material + Labour + Machinery, as printed)</t>
        </is>
      </c>
      <c r="B599" s="18" t="n"/>
      <c r="C599" s="18" t="n"/>
      <c r="D599" s="18" t="n"/>
      <c r="E599" s="18" t="n"/>
      <c r="F599" s="19">
        <f>SUM(F591:F598)</f>
        <v/>
      </c>
    </row>
    <row r="600">
      <c r="A600" s="20" t="inlineStr">
        <is>
          <t>SAY (Rs.) — final DAR rate</t>
        </is>
      </c>
      <c r="B600" s="21" t="n"/>
      <c r="C600" s="21" t="n"/>
      <c r="D600" s="21" t="n"/>
      <c r="E600" s="21" t="n"/>
      <c r="F600" s="22" t="n">
        <v>158</v>
      </c>
    </row>
    <row r="602" ht="18" customHeight="1">
      <c r="A602" s="9" t="inlineStr">
        <is>
          <t>10.27.1</t>
        </is>
      </c>
      <c r="B602" s="10" t="inlineStr">
        <is>
          <t>10 x 60 mm</t>
        </is>
      </c>
      <c r="C602" s="11" t="n"/>
      <c r="D602" s="11" t="n"/>
      <c r="E602" s="11" t="n"/>
      <c r="F602" s="11" t="n"/>
    </row>
    <row r="603">
      <c r="A603" s="12" t="inlineStr">
        <is>
          <t>Rate basis: per nos  (source: cost for 10 nos)</t>
        </is>
      </c>
    </row>
    <row r="604">
      <c r="A604" s="5" t="inlineStr">
        <is>
          <t>Code</t>
        </is>
      </c>
      <c r="B604" s="5" t="inlineStr">
        <is>
          <t>Description</t>
        </is>
      </c>
      <c r="C604" s="5" t="inlineStr">
        <is>
          <t>Unit</t>
        </is>
      </c>
      <c r="D604" s="5" t="inlineStr">
        <is>
          <t>Quantity</t>
        </is>
      </c>
      <c r="E604" s="5" t="inlineStr">
        <is>
          <t>Rate (Rs.)</t>
        </is>
      </c>
      <c r="F604" s="5" t="inlineStr">
        <is>
          <t>Amount (Rs.)</t>
        </is>
      </c>
    </row>
    <row r="605">
      <c r="A605" s="13" t="inlineStr">
        <is>
          <t>2506</t>
        </is>
      </c>
      <c r="B605" s="14" t="inlineStr">
        <is>
          <t>Carben Steel galvanised dash fastner (min 5 micron) of 10 mm dia double threaded 6.8 grade counter sunk head screw comprising of 10 mm dia polyamide PA 6 grade sleave. Size 10mm x 60mm</t>
        </is>
      </c>
      <c r="C605" s="13" t="inlineStr">
        <is>
          <t>10 nos</t>
        </is>
      </c>
      <c r="D605" s="15" t="n">
        <v>1</v>
      </c>
      <c r="E605" s="16" t="n">
        <v>260</v>
      </c>
      <c r="F605" s="16">
        <f>D605*E605</f>
        <v/>
      </c>
    </row>
    <row r="606">
      <c r="A606" s="13" t="inlineStr">
        <is>
          <t>0124</t>
        </is>
      </c>
      <c r="B606" s="14" t="inlineStr">
        <is>
          <t>Mason (brick layer) 2nd class</t>
        </is>
      </c>
      <c r="C606" s="13" t="inlineStr">
        <is>
          <t>day</t>
        </is>
      </c>
      <c r="D606" s="15" t="n">
        <v>0.4</v>
      </c>
      <c r="E606" s="16" t="n">
        <v>679</v>
      </c>
      <c r="F606" s="16">
        <f>D606*E606</f>
        <v/>
      </c>
    </row>
    <row r="607">
      <c r="A607" s="13" t="inlineStr">
        <is>
          <t>0114</t>
        </is>
      </c>
      <c r="B607" s="14" t="inlineStr">
        <is>
          <t>Beldar</t>
        </is>
      </c>
      <c r="C607" s="13" t="inlineStr">
        <is>
          <t>day</t>
        </is>
      </c>
      <c r="D607" s="15" t="n">
        <v>0.4</v>
      </c>
      <c r="E607" s="16" t="n">
        <v>558</v>
      </c>
      <c r="F607" s="16">
        <f>D607*E607</f>
        <v/>
      </c>
    </row>
    <row r="608">
      <c r="A608" s="13" t="inlineStr">
        <is>
          <t>9977</t>
        </is>
      </c>
      <c r="B608" s="14" t="inlineStr">
        <is>
          <t>Sundries for carriage of material</t>
        </is>
      </c>
      <c r="C608" s="13" t="inlineStr">
        <is>
          <t>L.S.</t>
        </is>
      </c>
      <c r="D608" s="15" t="n">
        <v>10</v>
      </c>
      <c r="E608" s="16" t="n">
        <v>2</v>
      </c>
      <c r="F608" s="16">
        <f>D608*E608</f>
        <v/>
      </c>
    </row>
    <row r="609">
      <c r="A609" s="17" t="inlineStr">
        <is>
          <t>Resource Total (Material + Labour + Machinery, as printed)</t>
        </is>
      </c>
      <c r="B609" s="18" t="n"/>
      <c r="C609" s="18" t="n"/>
      <c r="D609" s="18" t="n"/>
      <c r="E609" s="18" t="n"/>
      <c r="F609" s="19">
        <f>SUM(F605:F608)</f>
        <v/>
      </c>
    </row>
    <row r="610">
      <c r="A610" s="20" t="inlineStr">
        <is>
          <t>SAY (Rs.) — final DAR rate</t>
        </is>
      </c>
      <c r="B610" s="21" t="n"/>
      <c r="C610" s="21" t="n"/>
      <c r="D610" s="21" t="n"/>
      <c r="E610" s="21" t="n"/>
      <c r="F610" s="22" t="n">
        <v>103.65</v>
      </c>
    </row>
    <row r="612" ht="18" customHeight="1">
      <c r="A612" s="9" t="inlineStr">
        <is>
          <t>10.27.2</t>
        </is>
      </c>
      <c r="B612" s="10" t="inlineStr">
        <is>
          <t>10 x 80 mm</t>
        </is>
      </c>
      <c r="C612" s="11" t="n"/>
      <c r="D612" s="11" t="n"/>
      <c r="E612" s="11" t="n"/>
      <c r="F612" s="11" t="n"/>
    </row>
    <row r="613">
      <c r="A613" s="12" t="inlineStr">
        <is>
          <t>Rate basis: per nos  (source: cost for 10 nos)</t>
        </is>
      </c>
    </row>
    <row r="614">
      <c r="A614" s="5" t="inlineStr">
        <is>
          <t>Code</t>
        </is>
      </c>
      <c r="B614" s="5" t="inlineStr">
        <is>
          <t>Description</t>
        </is>
      </c>
      <c r="C614" s="5" t="inlineStr">
        <is>
          <t>Unit</t>
        </is>
      </c>
      <c r="D614" s="5" t="inlineStr">
        <is>
          <t>Quantity</t>
        </is>
      </c>
      <c r="E614" s="5" t="inlineStr">
        <is>
          <t>Rate (Rs.)</t>
        </is>
      </c>
      <c r="F614" s="5" t="inlineStr">
        <is>
          <t>Amount (Rs.)</t>
        </is>
      </c>
    </row>
    <row r="615">
      <c r="A615" s="13" t="inlineStr">
        <is>
          <t>2507</t>
        </is>
      </c>
      <c r="B615" s="14" t="inlineStr">
        <is>
          <t>Carben Steel galvanised dash fastner (min5 micron) of 10 mm dia double threaded 6.8 grade counter sunk head screw comprising of 10 mm dia polyamide PA 6 grade sleave. Size 10mm x 80mm</t>
        </is>
      </c>
      <c r="C615" s="13" t="inlineStr">
        <is>
          <t>10 nos</t>
        </is>
      </c>
      <c r="D615" s="15" t="n">
        <v>1</v>
      </c>
      <c r="E615" s="16" t="n">
        <v>300</v>
      </c>
      <c r="F615" s="16">
        <f>D615*E615</f>
        <v/>
      </c>
    </row>
    <row r="616">
      <c r="A616" s="13" t="inlineStr">
        <is>
          <t>0124</t>
        </is>
      </c>
      <c r="B616" s="14" t="inlineStr">
        <is>
          <t>Mason (brick layer) 2nd class</t>
        </is>
      </c>
      <c r="C616" s="13" t="inlineStr">
        <is>
          <t>day</t>
        </is>
      </c>
      <c r="D616" s="15" t="n">
        <v>0.4</v>
      </c>
      <c r="E616" s="16" t="n">
        <v>679</v>
      </c>
      <c r="F616" s="16">
        <f>D616*E616</f>
        <v/>
      </c>
    </row>
    <row r="617">
      <c r="A617" s="13" t="inlineStr">
        <is>
          <t>0114</t>
        </is>
      </c>
      <c r="B617" s="14" t="inlineStr">
        <is>
          <t>Beldar</t>
        </is>
      </c>
      <c r="C617" s="13" t="inlineStr">
        <is>
          <t>day</t>
        </is>
      </c>
      <c r="D617" s="15" t="n">
        <v>0.4</v>
      </c>
      <c r="E617" s="16" t="n">
        <v>558</v>
      </c>
      <c r="F617" s="16">
        <f>D617*E617</f>
        <v/>
      </c>
    </row>
    <row r="618">
      <c r="A618" s="13" t="inlineStr">
        <is>
          <t>9977</t>
        </is>
      </c>
      <c r="B618" s="14" t="inlineStr">
        <is>
          <t>Sundries for carriage of material</t>
        </is>
      </c>
      <c r="C618" s="13" t="inlineStr">
        <is>
          <t>L.S.</t>
        </is>
      </c>
      <c r="D618" s="15" t="n">
        <v>10</v>
      </c>
      <c r="E618" s="16" t="n">
        <v>2</v>
      </c>
      <c r="F618" s="16">
        <f>D618*E618</f>
        <v/>
      </c>
    </row>
    <row r="619">
      <c r="A619" s="17" t="inlineStr">
        <is>
          <t>Resource Total (Material + Labour + Machinery, as printed)</t>
        </is>
      </c>
      <c r="B619" s="18" t="n"/>
      <c r="C619" s="18" t="n"/>
      <c r="D619" s="18" t="n"/>
      <c r="E619" s="18" t="n"/>
      <c r="F619" s="19">
        <f>SUM(F615:F618)</f>
        <v/>
      </c>
    </row>
    <row r="620">
      <c r="A620" s="20" t="inlineStr">
        <is>
          <t>SAY (Rs.) — final DAR rate</t>
        </is>
      </c>
      <c r="B620" s="21" t="n"/>
      <c r="C620" s="21" t="n"/>
      <c r="D620" s="21" t="n"/>
      <c r="E620" s="21" t="n"/>
      <c r="F620" s="22" t="n">
        <v>109</v>
      </c>
    </row>
    <row r="622" ht="18" customHeight="1">
      <c r="A622" s="9" t="inlineStr">
        <is>
          <t>10.27.3</t>
        </is>
      </c>
      <c r="B622" s="10" t="inlineStr">
        <is>
          <t>10 x 120 mm</t>
        </is>
      </c>
      <c r="C622" s="11" t="n"/>
      <c r="D622" s="11" t="n"/>
      <c r="E622" s="11" t="n"/>
      <c r="F622" s="11" t="n"/>
    </row>
    <row r="623">
      <c r="A623" s="12" t="inlineStr">
        <is>
          <t>Rate basis: per nos  (source: cost for 10 nos)</t>
        </is>
      </c>
    </row>
    <row r="624">
      <c r="A624" s="5" t="inlineStr">
        <is>
          <t>Code</t>
        </is>
      </c>
      <c r="B624" s="5" t="inlineStr">
        <is>
          <t>Description</t>
        </is>
      </c>
      <c r="C624" s="5" t="inlineStr">
        <is>
          <t>Unit</t>
        </is>
      </c>
      <c r="D624" s="5" t="inlineStr">
        <is>
          <t>Quantity</t>
        </is>
      </c>
      <c r="E624" s="5" t="inlineStr">
        <is>
          <t>Rate (Rs.)</t>
        </is>
      </c>
      <c r="F624" s="5" t="inlineStr">
        <is>
          <t>Amount (Rs.)</t>
        </is>
      </c>
    </row>
    <row r="625">
      <c r="A625" s="13" t="inlineStr">
        <is>
          <t>2508</t>
        </is>
      </c>
      <c r="B625" s="14" t="inlineStr">
        <is>
          <t>Carben Steel galvanised dash fastner (min 5 micron) of 10 mm dia double threaded 6.8 grade counter sunk head screw comprising of 10 mm dia polyamide PA 6 grade sleave. Size 10mm x 120mm</t>
        </is>
      </c>
      <c r="C625" s="13" t="inlineStr">
        <is>
          <t>10 nos</t>
        </is>
      </c>
      <c r="D625" s="15" t="n">
        <v>1</v>
      </c>
      <c r="E625" s="16" t="n">
        <v>365</v>
      </c>
      <c r="F625" s="16">
        <f>D625*E625</f>
        <v/>
      </c>
    </row>
    <row r="626">
      <c r="A626" s="13" t="inlineStr">
        <is>
          <t>0124</t>
        </is>
      </c>
      <c r="B626" s="14" t="inlineStr">
        <is>
          <t>Mason (brick layer) 2nd class</t>
        </is>
      </c>
      <c r="C626" s="13" t="inlineStr">
        <is>
          <t>day</t>
        </is>
      </c>
      <c r="D626" s="15" t="n">
        <v>0.5</v>
      </c>
      <c r="E626" s="16" t="n">
        <v>679</v>
      </c>
      <c r="F626" s="16">
        <f>D626*E626</f>
        <v/>
      </c>
    </row>
    <row r="627">
      <c r="A627" s="13" t="inlineStr">
        <is>
          <t>0114</t>
        </is>
      </c>
      <c r="B627" s="14" t="inlineStr">
        <is>
          <t>Beldar</t>
        </is>
      </c>
      <c r="C627" s="13" t="inlineStr">
        <is>
          <t>day</t>
        </is>
      </c>
      <c r="D627" s="15" t="n">
        <v>0.5</v>
      </c>
      <c r="E627" s="16" t="n">
        <v>558</v>
      </c>
      <c r="F627" s="16">
        <f>D627*E627</f>
        <v/>
      </c>
    </row>
    <row r="628">
      <c r="A628" s="13" t="inlineStr">
        <is>
          <t>9977</t>
        </is>
      </c>
      <c r="B628" s="14" t="inlineStr">
        <is>
          <t>Sundries for carriage of material</t>
        </is>
      </c>
      <c r="C628" s="13" t="inlineStr">
        <is>
          <t>L.S.</t>
        </is>
      </c>
      <c r="D628" s="15" t="n">
        <v>10</v>
      </c>
      <c r="E628" s="16" t="n">
        <v>2</v>
      </c>
      <c r="F628" s="16">
        <f>D628*E628</f>
        <v/>
      </c>
    </row>
    <row r="629">
      <c r="A629" s="17" t="inlineStr">
        <is>
          <t>Resource Total (Material + Labour + Machinery, as printed)</t>
        </is>
      </c>
      <c r="B629" s="18" t="n"/>
      <c r="C629" s="18" t="n"/>
      <c r="D629" s="18" t="n"/>
      <c r="E629" s="18" t="n"/>
      <c r="F629" s="19">
        <f>SUM(F625:F628)</f>
        <v/>
      </c>
    </row>
    <row r="630">
      <c r="A630" s="20" t="inlineStr">
        <is>
          <t>SAY (Rs.) — final DAR rate</t>
        </is>
      </c>
      <c r="B630" s="21" t="n"/>
      <c r="C630" s="21" t="n"/>
      <c r="D630" s="21" t="n"/>
      <c r="E630" s="21" t="n"/>
      <c r="F630" s="22" t="n">
        <v>134.25</v>
      </c>
    </row>
    <row r="632" ht="18" customHeight="1">
      <c r="A632" s="9" t="inlineStr">
        <is>
          <t>10.27.4</t>
        </is>
      </c>
      <c r="B632" s="10" t="inlineStr">
        <is>
          <t>10 x 140 mm</t>
        </is>
      </c>
      <c r="C632" s="11" t="n"/>
      <c r="D632" s="11" t="n"/>
      <c r="E632" s="11" t="n"/>
      <c r="F632" s="11" t="n"/>
    </row>
    <row r="633">
      <c r="A633" s="12" t="inlineStr">
        <is>
          <t>Rate basis: per nos  (source: cost for 10 nos)</t>
        </is>
      </c>
    </row>
    <row r="634">
      <c r="A634" s="5" t="inlineStr">
        <is>
          <t>Code</t>
        </is>
      </c>
      <c r="B634" s="5" t="inlineStr">
        <is>
          <t>Description</t>
        </is>
      </c>
      <c r="C634" s="5" t="inlineStr">
        <is>
          <t>Unit</t>
        </is>
      </c>
      <c r="D634" s="5" t="inlineStr">
        <is>
          <t>Quantity</t>
        </is>
      </c>
      <c r="E634" s="5" t="inlineStr">
        <is>
          <t>Rate (Rs.)</t>
        </is>
      </c>
      <c r="F634" s="5" t="inlineStr">
        <is>
          <t>Amount (Rs.)</t>
        </is>
      </c>
    </row>
    <row r="635">
      <c r="A635" s="13" t="inlineStr">
        <is>
          <t>2509</t>
        </is>
      </c>
      <c r="B635" s="14" t="inlineStr">
        <is>
          <t>Carben Steel galvanised dash fastner (min 5 micron) of 10 mm dia double threaded 6.8 grade counter sunk head screw comprising of 10 mm dia polyamide PA 6 grade sleave. Size 10mm x 140mm</t>
        </is>
      </c>
      <c r="C635" s="13" t="inlineStr">
        <is>
          <t>10 nos</t>
        </is>
      </c>
      <c r="D635" s="15" t="n">
        <v>1</v>
      </c>
      <c r="E635" s="16" t="n">
        <v>450</v>
      </c>
      <c r="F635" s="16">
        <f>D635*E635</f>
        <v/>
      </c>
    </row>
    <row r="636">
      <c r="A636" s="13" t="inlineStr">
        <is>
          <t>0124</t>
        </is>
      </c>
      <c r="B636" s="14" t="inlineStr">
        <is>
          <t>Mason (brick layer) 2nd class</t>
        </is>
      </c>
      <c r="C636" s="13" t="inlineStr">
        <is>
          <t>day</t>
        </is>
      </c>
      <c r="D636" s="15" t="n">
        <v>0.5</v>
      </c>
      <c r="E636" s="16" t="n">
        <v>679</v>
      </c>
      <c r="F636" s="16">
        <f>D636*E636</f>
        <v/>
      </c>
    </row>
    <row r="637">
      <c r="A637" s="13" t="inlineStr">
        <is>
          <t>0114</t>
        </is>
      </c>
      <c r="B637" s="14" t="inlineStr">
        <is>
          <t>Beldar</t>
        </is>
      </c>
      <c r="C637" s="13" t="inlineStr">
        <is>
          <t>day</t>
        </is>
      </c>
      <c r="D637" s="15" t="n">
        <v>0.5</v>
      </c>
      <c r="E637" s="16" t="n">
        <v>558</v>
      </c>
      <c r="F637" s="16">
        <f>D637*E637</f>
        <v/>
      </c>
    </row>
    <row r="638">
      <c r="A638" s="13" t="inlineStr">
        <is>
          <t>9977</t>
        </is>
      </c>
      <c r="B638" s="14" t="inlineStr">
        <is>
          <t>Sundries for carriage of material</t>
        </is>
      </c>
      <c r="C638" s="13" t="inlineStr">
        <is>
          <t>L.S.</t>
        </is>
      </c>
      <c r="D638" s="15" t="n">
        <v>10</v>
      </c>
      <c r="E638" s="16" t="n">
        <v>2</v>
      </c>
      <c r="F638" s="16">
        <f>D638*E638</f>
        <v/>
      </c>
    </row>
    <row r="639">
      <c r="A639" s="17" t="inlineStr">
        <is>
          <t>Resource Total (Material + Labour + Machinery, as printed)</t>
        </is>
      </c>
      <c r="B639" s="18" t="n"/>
      <c r="C639" s="18" t="n"/>
      <c r="D639" s="18" t="n"/>
      <c r="E639" s="18" t="n"/>
      <c r="F639" s="19">
        <f>SUM(F635:F638)</f>
        <v/>
      </c>
    </row>
    <row r="640">
      <c r="A640" s="20" t="inlineStr">
        <is>
          <t>SAY (Rs.) — final DAR rate</t>
        </is>
      </c>
      <c r="B640" s="21" t="n"/>
      <c r="C640" s="21" t="n"/>
      <c r="D640" s="21" t="n"/>
      <c r="E640" s="21" t="n"/>
      <c r="F640" s="22" t="n">
        <v>145.65</v>
      </c>
    </row>
    <row r="642" ht="18" customHeight="1">
      <c r="A642" s="9" t="inlineStr">
        <is>
          <t>10.27.5</t>
        </is>
      </c>
      <c r="B642" s="10" t="inlineStr">
        <is>
          <t>10 x 160 mm</t>
        </is>
      </c>
      <c r="C642" s="11" t="n"/>
      <c r="D642" s="11" t="n"/>
      <c r="E642" s="11" t="n"/>
      <c r="F642" s="11" t="n"/>
    </row>
    <row r="643">
      <c r="A643" s="12" t="inlineStr">
        <is>
          <t>Rate basis: per nos  (source: cost for 10 nos)</t>
        </is>
      </c>
    </row>
    <row r="644">
      <c r="A644" s="5" t="inlineStr">
        <is>
          <t>Code</t>
        </is>
      </c>
      <c r="B644" s="5" t="inlineStr">
        <is>
          <t>Description</t>
        </is>
      </c>
      <c r="C644" s="5" t="inlineStr">
        <is>
          <t>Unit</t>
        </is>
      </c>
      <c r="D644" s="5" t="inlineStr">
        <is>
          <t>Quantity</t>
        </is>
      </c>
      <c r="E644" s="5" t="inlineStr">
        <is>
          <t>Rate (Rs.)</t>
        </is>
      </c>
      <c r="F644" s="5" t="inlineStr">
        <is>
          <t>Amount (Rs.)</t>
        </is>
      </c>
    </row>
    <row r="645">
      <c r="A645" s="13" t="inlineStr">
        <is>
          <t>2510</t>
        </is>
      </c>
      <c r="B645" s="14" t="inlineStr">
        <is>
          <t>Carben Steel galvanised dash fastner (min 5 micron) of 10 mm dia double threaded 6.8 grade counter sunk head screw comprising of 10 mm dia polyamide PA 6 grade sleave. Size 10mm x 160mm</t>
        </is>
      </c>
      <c r="C645" s="13" t="inlineStr">
        <is>
          <t>10 nos</t>
        </is>
      </c>
      <c r="D645" s="15" t="n">
        <v>1</v>
      </c>
      <c r="E645" s="16" t="n">
        <v>575</v>
      </c>
      <c r="F645" s="16">
        <f>D645*E645</f>
        <v/>
      </c>
    </row>
    <row r="646">
      <c r="A646" s="13" t="inlineStr">
        <is>
          <t>0124</t>
        </is>
      </c>
      <c r="B646" s="14" t="inlineStr">
        <is>
          <t>Mason (brick layer) 2nd class</t>
        </is>
      </c>
      <c r="C646" s="13" t="inlineStr">
        <is>
          <t>day</t>
        </is>
      </c>
      <c r="D646" s="15" t="n">
        <v>0.6</v>
      </c>
      <c r="E646" s="16" t="n">
        <v>679</v>
      </c>
      <c r="F646" s="16">
        <f>D646*E646</f>
        <v/>
      </c>
    </row>
    <row r="647">
      <c r="A647" s="13" t="inlineStr">
        <is>
          <t>0114</t>
        </is>
      </c>
      <c r="B647" s="14" t="inlineStr">
        <is>
          <t>Beldar</t>
        </is>
      </c>
      <c r="C647" s="13" t="inlineStr">
        <is>
          <t>day</t>
        </is>
      </c>
      <c r="D647" s="15" t="n">
        <v>0.6</v>
      </c>
      <c r="E647" s="16" t="n">
        <v>558</v>
      </c>
      <c r="F647" s="16">
        <f>D647*E647</f>
        <v/>
      </c>
    </row>
    <row r="648">
      <c r="A648" s="13" t="inlineStr">
        <is>
          <t>9977</t>
        </is>
      </c>
      <c r="B648" s="14" t="inlineStr">
        <is>
          <t>Sundries for Carriage of material</t>
        </is>
      </c>
      <c r="C648" s="13" t="inlineStr">
        <is>
          <t>L.S.</t>
        </is>
      </c>
      <c r="D648" s="15" t="n">
        <v>10</v>
      </c>
      <c r="E648" s="16" t="n">
        <v>2</v>
      </c>
      <c r="F648" s="16">
        <f>D648*E648</f>
        <v/>
      </c>
    </row>
    <row r="649">
      <c r="A649" s="17" t="inlineStr">
        <is>
          <t>Resource Total (Material + Labour + Machinery, as printed)</t>
        </is>
      </c>
      <c r="B649" s="18" t="n"/>
      <c r="C649" s="18" t="n"/>
      <c r="D649" s="18" t="n"/>
      <c r="E649" s="18" t="n"/>
      <c r="F649" s="19">
        <f>SUM(F645:F648)</f>
        <v/>
      </c>
    </row>
    <row r="650">
      <c r="A650" s="20" t="inlineStr">
        <is>
          <t>SAY (Rs.) — final DAR rate</t>
        </is>
      </c>
      <c r="B650" s="21" t="n"/>
      <c r="C650" s="21" t="n"/>
      <c r="D650" s="21" t="n"/>
      <c r="E650" s="21" t="n"/>
      <c r="F650" s="22" t="n">
        <v>178.9</v>
      </c>
    </row>
    <row r="652" ht="28" customHeight="1">
      <c r="A652" s="9" t="inlineStr">
        <is>
          <t>10.28</t>
        </is>
      </c>
      <c r="B652" s="10" t="inlineStr">
        <is>
          <t>Providing and fixing stainless steel ( Grade 304) railing made of Hollow tubes, channels, plates etc., including welding, grinding, buffing,</t>
        </is>
      </c>
      <c r="C652" s="11" t="n"/>
      <c r="D652" s="11" t="n"/>
      <c r="E652" s="11" t="n"/>
      <c r="F652" s="11" t="n"/>
    </row>
    <row r="653">
      <c r="A653" s="12" t="inlineStr">
        <is>
          <t>Rate basis: per kg  (source: cost for 2 kg)</t>
        </is>
      </c>
    </row>
    <row r="654">
      <c r="A654" s="5" t="inlineStr">
        <is>
          <t>Code</t>
        </is>
      </c>
      <c r="B654" s="5" t="inlineStr">
        <is>
          <t>Description</t>
        </is>
      </c>
      <c r="C654" s="5" t="inlineStr">
        <is>
          <t>Unit</t>
        </is>
      </c>
      <c r="D654" s="5" t="inlineStr">
        <is>
          <t>Quantity</t>
        </is>
      </c>
      <c r="E654" s="5" t="inlineStr">
        <is>
          <t>Rate (Rs.)</t>
        </is>
      </c>
      <c r="F654" s="5" t="inlineStr">
        <is>
          <t>Amount (Rs.)</t>
        </is>
      </c>
    </row>
    <row r="655">
      <c r="A655" s="13" t="inlineStr">
        <is>
          <t>4001</t>
        </is>
      </c>
      <c r="B655" s="14" t="inlineStr">
        <is>
          <t>Stainless steel (Grade-304)hollow section round/square tubes</t>
        </is>
      </c>
      <c r="C655" s="13" t="inlineStr">
        <is>
          <t>kg</t>
        </is>
      </c>
      <c r="D655" s="15" t="n">
        <v>2.1</v>
      </c>
      <c r="E655" s="16" t="n">
        <v>220</v>
      </c>
      <c r="F655" s="16">
        <f>D655*E655</f>
        <v/>
      </c>
    </row>
    <row r="656">
      <c r="A656" s="13" t="inlineStr">
        <is>
          <t>4002</t>
        </is>
      </c>
      <c r="B656" s="14" t="inlineStr">
        <is>
          <t>Stainless steel bolts/square bar and plates</t>
        </is>
      </c>
      <c r="C656" s="13" t="inlineStr">
        <is>
          <t>kg</t>
        </is>
      </c>
      <c r="D656" s="15" t="n">
        <v>1</v>
      </c>
      <c r="E656" s="16" t="n">
        <v>115</v>
      </c>
      <c r="F656" s="16">
        <f>D656*E656</f>
        <v/>
      </c>
    </row>
    <row r="657">
      <c r="A657" s="13" t="inlineStr">
        <is>
          <t>0102</t>
        </is>
      </c>
      <c r="B657" s="14" t="inlineStr">
        <is>
          <t>Blacksmith 1st class</t>
        </is>
      </c>
      <c r="C657" s="13" t="inlineStr">
        <is>
          <t>day</t>
        </is>
      </c>
      <c r="D657" s="15" t="n">
        <v>0.06</v>
      </c>
      <c r="E657" s="16" t="n">
        <v>738</v>
      </c>
      <c r="F657" s="16">
        <f>D657*E657</f>
        <v/>
      </c>
    </row>
    <row r="658">
      <c r="A658" s="13" t="inlineStr">
        <is>
          <t>0114</t>
        </is>
      </c>
      <c r="B658" s="14" t="inlineStr">
        <is>
          <t>Beldar</t>
        </is>
      </c>
      <c r="C658" s="13" t="inlineStr">
        <is>
          <t>day</t>
        </is>
      </c>
      <c r="D658" s="15" t="n">
        <v>0.2</v>
      </c>
      <c r="E658" s="16" t="n">
        <v>558</v>
      </c>
      <c r="F658" s="16">
        <f>D658*E658</f>
        <v/>
      </c>
    </row>
    <row r="659">
      <c r="A659" s="13" t="inlineStr">
        <is>
          <t>0100</t>
        </is>
      </c>
      <c r="B659" s="14" t="inlineStr">
        <is>
          <t>Bandhani</t>
        </is>
      </c>
      <c r="C659" s="13" t="inlineStr">
        <is>
          <t>day</t>
        </is>
      </c>
      <c r="D659" s="15" t="n">
        <v>0.02</v>
      </c>
      <c r="E659" s="16" t="n">
        <v>617</v>
      </c>
      <c r="F659" s="16">
        <f>D659*E659</f>
        <v/>
      </c>
    </row>
    <row r="660">
      <c r="A660" s="13" t="inlineStr">
        <is>
          <t>9999</t>
        </is>
      </c>
      <c r="B660" s="14" t="inlineStr">
        <is>
          <t>Welding of stainless steel section</t>
        </is>
      </c>
      <c r="C660" s="13" t="inlineStr">
        <is>
          <t>L.S.</t>
        </is>
      </c>
      <c r="D660" s="15" t="n">
        <v>30</v>
      </c>
      <c r="E660" s="16" t="n">
        <v>2</v>
      </c>
      <c r="F660" s="16">
        <f>D660*E660</f>
        <v/>
      </c>
    </row>
    <row r="661">
      <c r="A661" s="13" t="inlineStr">
        <is>
          <t>9999</t>
        </is>
      </c>
      <c r="B661" s="14" t="inlineStr">
        <is>
          <t>Curvaturing, grinding, finishing, buffing</t>
        </is>
      </c>
      <c r="C661" s="13" t="inlineStr">
        <is>
          <t>L.S.</t>
        </is>
      </c>
      <c r="D661" s="15" t="n">
        <v>20</v>
      </c>
      <c r="E661" s="16" t="n">
        <v>2</v>
      </c>
      <c r="F661" s="16">
        <f>D661*E661</f>
        <v/>
      </c>
    </row>
    <row r="662">
      <c r="A662" s="13" t="inlineStr">
        <is>
          <t>9999</t>
        </is>
      </c>
      <c r="B662" s="14" t="inlineStr">
        <is>
          <t>Sundries for making good wall and floors</t>
        </is>
      </c>
      <c r="C662" s="13" t="inlineStr">
        <is>
          <t>L.S.</t>
        </is>
      </c>
      <c r="D662" s="15" t="n">
        <v>7.5</v>
      </c>
      <c r="E662" s="16" t="n">
        <v>2</v>
      </c>
      <c r="F662" s="16">
        <f>D662*E662</f>
        <v/>
      </c>
    </row>
    <row r="663">
      <c r="A663" s="17" t="inlineStr">
        <is>
          <t>Resource Total (Material + Labour + Machinery, as printed)</t>
        </is>
      </c>
      <c r="B663" s="18" t="n"/>
      <c r="C663" s="18" t="n"/>
      <c r="D663" s="18" t="n"/>
      <c r="E663" s="18" t="n"/>
      <c r="F663" s="19">
        <f>SUM(F655:F662)</f>
        <v/>
      </c>
    </row>
    <row r="664">
      <c r="A664" s="20" t="inlineStr">
        <is>
          <t>SAY (Rs.) — final DAR rate</t>
        </is>
      </c>
      <c r="B664" s="21" t="n"/>
      <c r="C664" s="21" t="n"/>
      <c r="D664" s="21" t="n"/>
      <c r="E664" s="21" t="n"/>
      <c r="F664" s="22" t="n">
        <v>575.45</v>
      </c>
    </row>
    <row r="666" ht="18" customHeight="1">
      <c r="A666" s="9" t="inlineStr">
        <is>
          <t>10.29.1</t>
        </is>
      </c>
      <c r="B666" s="10" t="inlineStr">
        <is>
          <t>Galvanised M.S. Wire gauze with 0.63 mm dia wire and 1.4 mm aperture on both sides</t>
        </is>
      </c>
      <c r="C666" s="11" t="n"/>
      <c r="D666" s="11" t="n"/>
      <c r="E666" s="11" t="n"/>
      <c r="F666" s="11" t="n"/>
    </row>
    <row r="667">
      <c r="A667" s="12" t="inlineStr">
        <is>
          <t>Rate basis: per sqm  (source: cost for 1.54 sqm)</t>
        </is>
      </c>
    </row>
    <row r="668">
      <c r="A668" s="5" t="inlineStr">
        <is>
          <t>Code</t>
        </is>
      </c>
      <c r="B668" s="5" t="inlineStr">
        <is>
          <t>Description</t>
        </is>
      </c>
      <c r="C668" s="5" t="inlineStr">
        <is>
          <t>Unit</t>
        </is>
      </c>
      <c r="D668" s="5" t="inlineStr">
        <is>
          <t>Quantity</t>
        </is>
      </c>
      <c r="E668" s="5" t="inlineStr">
        <is>
          <t>Rate (Rs.)</t>
        </is>
      </c>
      <c r="F668" s="5" t="inlineStr">
        <is>
          <t>Amount (Rs.)</t>
        </is>
      </c>
    </row>
    <row r="669">
      <c r="A669" s="13" t="inlineStr">
        <is>
          <t>7029</t>
        </is>
      </c>
      <c r="B669" s="14" t="inlineStr">
        <is>
          <t>Galvanised wire mesh of average width of aperture 1.4 mm and nominal dia. of wire 0.63 mm</t>
        </is>
      </c>
      <c r="C669" s="13" t="inlineStr">
        <is>
          <t>sqm</t>
        </is>
      </c>
      <c r="D669" s="15" t="n">
        <v>1.69</v>
      </c>
      <c r="E669" s="16" t="n">
        <v>250</v>
      </c>
      <c r="F669" s="16">
        <f>D669*E669</f>
        <v/>
      </c>
    </row>
    <row r="670">
      <c r="A670" s="13" t="inlineStr">
        <is>
          <t>9977</t>
        </is>
      </c>
      <c r="B670" s="14" t="inlineStr">
        <is>
          <t>CARRIAGE</t>
        </is>
      </c>
      <c r="C670" s="13" t="inlineStr">
        <is>
          <t>L.S.</t>
        </is>
      </c>
      <c r="D670" s="15" t="n">
        <v>1.82</v>
      </c>
      <c r="E670" s="16" t="n">
        <v>2</v>
      </c>
      <c r="F670" s="16">
        <f>D670*E670</f>
        <v/>
      </c>
    </row>
    <row r="671">
      <c r="A671" s="13" t="inlineStr">
        <is>
          <t>1008</t>
        </is>
      </c>
      <c r="B671" s="14" t="inlineStr">
        <is>
          <t>Flats upto 10 mm in thickness</t>
        </is>
      </c>
      <c r="C671" s="13" t="inlineStr">
        <is>
          <t>quintal</t>
        </is>
      </c>
      <c r="D671" s="15" t="n">
        <v>0.0184</v>
      </c>
      <c r="E671" s="16" t="n">
        <v>4500</v>
      </c>
      <c r="F671" s="16">
        <f>D671*E671</f>
        <v/>
      </c>
    </row>
    <row r="672">
      <c r="A672" s="13" t="inlineStr">
        <is>
          <t>9977</t>
        </is>
      </c>
      <c r="B672" s="14" t="inlineStr">
        <is>
          <t>CARRIAGE</t>
        </is>
      </c>
      <c r="C672" s="13" t="inlineStr">
        <is>
          <t>L.S.</t>
        </is>
      </c>
      <c r="D672" s="15" t="n">
        <v>1.82</v>
      </c>
      <c r="E672" s="16" t="n">
        <v>2</v>
      </c>
      <c r="F672" s="16">
        <f>D672*E672</f>
        <v/>
      </c>
    </row>
    <row r="673">
      <c r="A673" s="13" t="inlineStr">
        <is>
          <t>0103</t>
        </is>
      </c>
      <c r="B673" s="14" t="inlineStr">
        <is>
          <t>Blacksmith 2nd class</t>
        </is>
      </c>
      <c r="C673" s="13" t="inlineStr">
        <is>
          <t>day</t>
        </is>
      </c>
      <c r="D673" s="15" t="n">
        <v>0.17</v>
      </c>
      <c r="E673" s="16" t="n">
        <v>679</v>
      </c>
      <c r="F673" s="16">
        <f>D673*E673</f>
        <v/>
      </c>
    </row>
    <row r="674">
      <c r="A674" s="13" t="inlineStr">
        <is>
          <t>0112</t>
        </is>
      </c>
      <c r="B674" s="14" t="inlineStr">
        <is>
          <t>Carpenter 2nd class</t>
        </is>
      </c>
      <c r="C674" s="13" t="inlineStr">
        <is>
          <t>day</t>
        </is>
      </c>
      <c r="D674" s="15" t="n">
        <v>0.17</v>
      </c>
      <c r="E674" s="16" t="n">
        <v>679</v>
      </c>
      <c r="F674" s="16">
        <f>D674*E674</f>
        <v/>
      </c>
    </row>
    <row r="675">
      <c r="A675" s="13" t="inlineStr">
        <is>
          <t>0114</t>
        </is>
      </c>
      <c r="B675" s="14" t="inlineStr">
        <is>
          <t>Beldar</t>
        </is>
      </c>
      <c r="C675" s="13" t="inlineStr">
        <is>
          <t>day</t>
        </is>
      </c>
      <c r="D675" s="15" t="n">
        <v>0.06</v>
      </c>
      <c r="E675" s="16" t="n">
        <v>558</v>
      </c>
      <c r="F675" s="16">
        <f>D675*E675</f>
        <v/>
      </c>
    </row>
    <row r="676">
      <c r="A676" s="13" t="inlineStr">
        <is>
          <t>9999</t>
        </is>
      </c>
      <c r="B676" s="14" t="inlineStr">
        <is>
          <t>Sundries</t>
        </is>
      </c>
      <c r="C676" s="13" t="inlineStr">
        <is>
          <t>L.S.</t>
        </is>
      </c>
      <c r="D676" s="15" t="n">
        <v>19.76</v>
      </c>
      <c r="E676" s="16" t="n">
        <v>2</v>
      </c>
      <c r="F676" s="16">
        <f>D676*E676</f>
        <v/>
      </c>
    </row>
    <row r="677">
      <c r="A677" s="17" t="inlineStr">
        <is>
          <t>Resource Total (Material + Labour + Machinery, as printed)</t>
        </is>
      </c>
      <c r="B677" s="18" t="n"/>
      <c r="C677" s="18" t="n"/>
      <c r="D677" s="18" t="n"/>
      <c r="E677" s="18" t="n"/>
      <c r="F677" s="19">
        <f>SUM(F669:F676)</f>
        <v/>
      </c>
    </row>
    <row r="678">
      <c r="A678" s="20" t="inlineStr">
        <is>
          <t>SAY (Rs.) — final DAR rate</t>
        </is>
      </c>
      <c r="B678" s="21" t="n"/>
      <c r="C678" s="21" t="n"/>
      <c r="D678" s="21" t="n"/>
      <c r="E678" s="21" t="n"/>
      <c r="F678" s="22" t="n">
        <v>709.3</v>
      </c>
    </row>
    <row r="680" ht="28" customHeight="1">
      <c r="A680" s="9" t="inlineStr">
        <is>
          <t>10.29.2</t>
        </is>
      </c>
      <c r="B680" s="10" t="inlineStr">
        <is>
          <t>Stainless steel (grade 304) wire gauze of 0.5 mm dia wire and 1.4 mm aperture on both sides</t>
        </is>
      </c>
      <c r="C680" s="11" t="n"/>
      <c r="D680" s="11" t="n"/>
      <c r="E680" s="11" t="n"/>
      <c r="F680" s="11" t="n"/>
    </row>
    <row r="681">
      <c r="A681" s="12" t="inlineStr">
        <is>
          <t>Rate basis: per sqm  (source: cost for 1.54 sqm)</t>
        </is>
      </c>
    </row>
    <row r="682">
      <c r="A682" s="5" t="inlineStr">
        <is>
          <t>Code</t>
        </is>
      </c>
      <c r="B682" s="5" t="inlineStr">
        <is>
          <t>Description</t>
        </is>
      </c>
      <c r="C682" s="5" t="inlineStr">
        <is>
          <t>Unit</t>
        </is>
      </c>
      <c r="D682" s="5" t="inlineStr">
        <is>
          <t>Quantity</t>
        </is>
      </c>
      <c r="E682" s="5" t="inlineStr">
        <is>
          <t>Rate (Rs.)</t>
        </is>
      </c>
      <c r="F682" s="5" t="inlineStr">
        <is>
          <t>Amount (Rs.)</t>
        </is>
      </c>
    </row>
    <row r="683">
      <c r="A683" s="13" t="inlineStr">
        <is>
          <t>8737</t>
        </is>
      </c>
      <c r="B683" s="14" t="inlineStr">
        <is>
          <t>Stainless steel wire guage (Grade-304) aperture 1.4mm and 0.50 mm dia wire</t>
        </is>
      </c>
      <c r="C683" s="13" t="inlineStr">
        <is>
          <t>sqm</t>
        </is>
      </c>
      <c r="D683" s="15" t="n">
        <v>1.69</v>
      </c>
      <c r="E683" s="16" t="n">
        <v>400</v>
      </c>
      <c r="F683" s="16">
        <f>D683*E683</f>
        <v/>
      </c>
    </row>
    <row r="684">
      <c r="A684" s="13" t="inlineStr">
        <is>
          <t>9977</t>
        </is>
      </c>
      <c r="B684" s="14" t="inlineStr">
        <is>
          <t>CARRIAGE</t>
        </is>
      </c>
      <c r="C684" s="13" t="inlineStr">
        <is>
          <t>L.S.</t>
        </is>
      </c>
      <c r="D684" s="15" t="n">
        <v>1.82</v>
      </c>
      <c r="E684" s="16" t="n">
        <v>2</v>
      </c>
      <c r="F684" s="16">
        <f>D684*E684</f>
        <v/>
      </c>
    </row>
    <row r="685">
      <c r="A685" s="13" t="inlineStr">
        <is>
          <t>1008</t>
        </is>
      </c>
      <c r="B685" s="14" t="inlineStr">
        <is>
          <t>Flats upto 10 mm in thickness</t>
        </is>
      </c>
      <c r="C685" s="13" t="inlineStr">
        <is>
          <t>quintal</t>
        </is>
      </c>
      <c r="D685" s="15" t="n">
        <v>0.0184</v>
      </c>
      <c r="E685" s="16" t="n">
        <v>4500</v>
      </c>
      <c r="F685" s="16">
        <f>D685*E685</f>
        <v/>
      </c>
    </row>
    <row r="686">
      <c r="A686" s="13" t="inlineStr">
        <is>
          <t>9977</t>
        </is>
      </c>
      <c r="B686" s="14" t="inlineStr">
        <is>
          <t>CARRIAGE</t>
        </is>
      </c>
      <c r="C686" s="13" t="inlineStr">
        <is>
          <t>L.S.</t>
        </is>
      </c>
      <c r="D686" s="15" t="n">
        <v>1.82</v>
      </c>
      <c r="E686" s="16" t="n">
        <v>2</v>
      </c>
      <c r="F686" s="16">
        <f>D686*E686</f>
        <v/>
      </c>
    </row>
    <row r="687">
      <c r="A687" s="13" t="inlineStr">
        <is>
          <t>0103</t>
        </is>
      </c>
      <c r="B687" s="14" t="inlineStr">
        <is>
          <t>Blacksmith 2nd class</t>
        </is>
      </c>
      <c r="C687" s="13" t="inlineStr">
        <is>
          <t>day</t>
        </is>
      </c>
      <c r="D687" s="15" t="n">
        <v>0.17</v>
      </c>
      <c r="E687" s="16" t="n">
        <v>679</v>
      </c>
      <c r="F687" s="16">
        <f>D687*E687</f>
        <v/>
      </c>
    </row>
    <row r="688">
      <c r="A688" s="13" t="inlineStr">
        <is>
          <t>0112</t>
        </is>
      </c>
      <c r="B688" s="14" t="inlineStr">
        <is>
          <t>Carpenter 2nd class</t>
        </is>
      </c>
      <c r="C688" s="13" t="inlineStr">
        <is>
          <t>day</t>
        </is>
      </c>
      <c r="D688" s="15" t="n">
        <v>0.17</v>
      </c>
      <c r="E688" s="16" t="n">
        <v>679</v>
      </c>
      <c r="F688" s="16">
        <f>D688*E688</f>
        <v/>
      </c>
    </row>
    <row r="689">
      <c r="A689" s="13" t="inlineStr">
        <is>
          <t>0114</t>
        </is>
      </c>
      <c r="B689" s="14" t="inlineStr">
        <is>
          <t>Beldar</t>
        </is>
      </c>
      <c r="C689" s="13" t="inlineStr">
        <is>
          <t>day</t>
        </is>
      </c>
      <c r="D689" s="15" t="n">
        <v>0.06</v>
      </c>
      <c r="E689" s="16" t="n">
        <v>558</v>
      </c>
      <c r="F689" s="16">
        <f>D689*E689</f>
        <v/>
      </c>
    </row>
    <row r="690">
      <c r="A690" s="13" t="inlineStr">
        <is>
          <t>9999</t>
        </is>
      </c>
      <c r="B690" s="14" t="inlineStr">
        <is>
          <t>Sundries</t>
        </is>
      </c>
      <c r="C690" s="13" t="inlineStr">
        <is>
          <t>L.S.</t>
        </is>
      </c>
      <c r="D690" s="15" t="n">
        <v>19.76</v>
      </c>
      <c r="E690" s="16" t="n">
        <v>2</v>
      </c>
      <c r="F690" s="16">
        <f>D690*E690</f>
        <v/>
      </c>
    </row>
    <row r="691">
      <c r="A691" s="17" t="inlineStr">
        <is>
          <t>Resource Total (Material + Labour + Machinery, as printed)</t>
        </is>
      </c>
      <c r="B691" s="18" t="n"/>
      <c r="C691" s="18" t="n"/>
      <c r="D691" s="18" t="n"/>
      <c r="E691" s="18" t="n"/>
      <c r="F691" s="19">
        <f>SUM(F683:F690)</f>
        <v/>
      </c>
    </row>
    <row r="692">
      <c r="A692" s="20" t="inlineStr">
        <is>
          <t>SAY (Rs.) — final DAR rate</t>
        </is>
      </c>
      <c r="B692" s="21" t="n"/>
      <c r="C692" s="21" t="n"/>
      <c r="D692" s="21" t="n"/>
      <c r="E692" s="21" t="n"/>
      <c r="F692" s="22" t="n">
        <v>929.55</v>
      </c>
    </row>
    <row r="694" ht="18" customHeight="1">
      <c r="A694" s="9" t="inlineStr">
        <is>
          <t>10.30.1</t>
        </is>
      </c>
      <c r="B694" s="10" t="inlineStr">
        <is>
          <t>4.0 mm thick glass panes</t>
        </is>
      </c>
      <c r="C694" s="11" t="n"/>
      <c r="D694" s="11" t="n"/>
      <c r="E694" s="11" t="n"/>
      <c r="F694" s="11" t="n"/>
    </row>
    <row r="695">
      <c r="A695" s="12" t="inlineStr">
        <is>
          <t>Rate basis: per glass  (source: cost for 10 glass)</t>
        </is>
      </c>
    </row>
    <row r="696">
      <c r="A696" s="5" t="inlineStr">
        <is>
          <t>Code</t>
        </is>
      </c>
      <c r="B696" s="5" t="inlineStr">
        <is>
          <t>Description</t>
        </is>
      </c>
      <c r="C696" s="5" t="inlineStr">
        <is>
          <t>Unit</t>
        </is>
      </c>
      <c r="D696" s="5" t="inlineStr">
        <is>
          <t>Quantity</t>
        </is>
      </c>
      <c r="E696" s="5" t="inlineStr">
        <is>
          <t>Rate (Rs.)</t>
        </is>
      </c>
      <c r="F696" s="5" t="inlineStr">
        <is>
          <t>Amount (Rs.)</t>
        </is>
      </c>
    </row>
    <row r="697">
      <c r="A697" s="13" t="inlineStr">
        <is>
          <t>2406</t>
        </is>
      </c>
      <c r="B697" s="14" t="inlineStr">
        <is>
          <t>Float glass sheet of nominal thickness 4 mm (weight not less than 10kg/sqm).</t>
        </is>
      </c>
      <c r="C697" s="13" t="inlineStr">
        <is>
          <t>sqm</t>
        </is>
      </c>
      <c r="D697" s="15" t="n">
        <v>1.1</v>
      </c>
      <c r="E697" s="16" t="n">
        <v>300</v>
      </c>
      <c r="F697" s="16">
        <f>D697*E697</f>
        <v/>
      </c>
    </row>
    <row r="698">
      <c r="A698" s="13" t="inlineStr">
        <is>
          <t>9977</t>
        </is>
      </c>
      <c r="B698" s="14" t="inlineStr">
        <is>
          <t>CARRIAGE</t>
        </is>
      </c>
      <c r="C698" s="13" t="inlineStr">
        <is>
          <t>L.S.</t>
        </is>
      </c>
      <c r="D698" s="15" t="n">
        <v>1.82</v>
      </c>
      <c r="E698" s="16" t="n">
        <v>2</v>
      </c>
      <c r="F698" s="16">
        <f>D698*E698</f>
        <v/>
      </c>
    </row>
    <row r="699">
      <c r="A699" s="13" t="inlineStr">
        <is>
          <t>0119</t>
        </is>
      </c>
      <c r="B699" s="14" t="inlineStr">
        <is>
          <t>Glazier</t>
        </is>
      </c>
      <c r="C699" s="13" t="inlineStr">
        <is>
          <t>day</t>
        </is>
      </c>
      <c r="D699" s="15" t="n">
        <v>0.13</v>
      </c>
      <c r="E699" s="16" t="n">
        <v>679</v>
      </c>
      <c r="F699" s="16">
        <f>D699*E699</f>
        <v/>
      </c>
    </row>
    <row r="700">
      <c r="A700" s="13" t="inlineStr">
        <is>
          <t>9999</t>
        </is>
      </c>
      <c r="B700" s="14" t="inlineStr">
        <is>
          <t>Sundries, putty, glazing clips, scaffolding etc.</t>
        </is>
      </c>
      <c r="C700" s="13" t="inlineStr">
        <is>
          <t>L.S.</t>
        </is>
      </c>
      <c r="D700" s="15" t="n">
        <v>125.58</v>
      </c>
      <c r="E700" s="16" t="n">
        <v>2</v>
      </c>
      <c r="F700" s="16">
        <f>D700*E700</f>
        <v/>
      </c>
    </row>
    <row r="701">
      <c r="A701" s="17" t="inlineStr">
        <is>
          <t>Resource Total (Material + Labour + Machinery, as printed)</t>
        </is>
      </c>
      <c r="B701" s="18" t="n"/>
      <c r="C701" s="18" t="n"/>
      <c r="D701" s="18" t="n"/>
      <c r="E701" s="18" t="n"/>
      <c r="F701" s="19">
        <f>SUM(F697:F700)</f>
        <v/>
      </c>
    </row>
    <row r="702">
      <c r="A702" s="20" t="inlineStr">
        <is>
          <t>SAY (Rs.) — final DAR rate</t>
        </is>
      </c>
      <c r="B702" s="21" t="n"/>
      <c r="C702" s="21" t="n"/>
      <c r="D702" s="21" t="n"/>
      <c r="E702" s="21" t="n"/>
      <c r="F702" s="22" t="n">
        <v>900.55</v>
      </c>
    </row>
    <row r="704" ht="18" customHeight="1">
      <c r="A704" s="9" t="inlineStr">
        <is>
          <t>10.30.2</t>
        </is>
      </c>
      <c r="B704" s="10" t="inlineStr">
        <is>
          <t>5.5 mm thick glass panes</t>
        </is>
      </c>
      <c r="C704" s="11" t="n"/>
      <c r="D704" s="11" t="n"/>
      <c r="E704" s="11" t="n"/>
      <c r="F704" s="11" t="n"/>
    </row>
    <row r="705">
      <c r="A705" s="12" t="inlineStr">
        <is>
          <t>Rate basis: per glass  (source: cost for 10 glass)</t>
        </is>
      </c>
    </row>
    <row r="706">
      <c r="A706" s="5" t="inlineStr">
        <is>
          <t>Code</t>
        </is>
      </c>
      <c r="B706" s="5" t="inlineStr">
        <is>
          <t>Description</t>
        </is>
      </c>
      <c r="C706" s="5" t="inlineStr">
        <is>
          <t>Unit</t>
        </is>
      </c>
      <c r="D706" s="5" t="inlineStr">
        <is>
          <t>Quantity</t>
        </is>
      </c>
      <c r="E706" s="5" t="inlineStr">
        <is>
          <t>Rate (Rs.)</t>
        </is>
      </c>
      <c r="F706" s="5" t="inlineStr">
        <is>
          <t>Amount (Rs.)</t>
        </is>
      </c>
    </row>
    <row r="707">
      <c r="A707" s="13" t="inlineStr">
        <is>
          <t>2407</t>
        </is>
      </c>
      <c r="B707" s="14" t="inlineStr">
        <is>
          <t>Float glass sheet of nominal thickness 5.5 mm.(weight not less than 13.50 kg/sqm).</t>
        </is>
      </c>
      <c r="C707" s="13" t="inlineStr">
        <is>
          <t>sqm</t>
        </is>
      </c>
      <c r="D707" s="15" t="n">
        <v>1.1</v>
      </c>
      <c r="E707" s="16" t="n">
        <v>500</v>
      </c>
      <c r="F707" s="16">
        <f>D707*E707</f>
        <v/>
      </c>
    </row>
    <row r="708">
      <c r="A708" s="13" t="inlineStr">
        <is>
          <t>9977</t>
        </is>
      </c>
      <c r="B708" s="14" t="inlineStr">
        <is>
          <t>CARRIAGE</t>
        </is>
      </c>
      <c r="C708" s="13" t="inlineStr">
        <is>
          <t>L.S.</t>
        </is>
      </c>
      <c r="D708" s="15" t="n">
        <v>1.82</v>
      </c>
      <c r="E708" s="16" t="n">
        <v>2</v>
      </c>
      <c r="F708" s="16">
        <f>D708*E708</f>
        <v/>
      </c>
    </row>
    <row r="709">
      <c r="A709" s="13" t="inlineStr">
        <is>
          <t>0119</t>
        </is>
      </c>
      <c r="B709" s="14" t="inlineStr">
        <is>
          <t>Glazier</t>
        </is>
      </c>
      <c r="C709" s="13" t="inlineStr">
        <is>
          <t>day</t>
        </is>
      </c>
      <c r="D709" s="15" t="n">
        <v>0.13</v>
      </c>
      <c r="E709" s="16" t="n">
        <v>679</v>
      </c>
      <c r="F709" s="16">
        <f>D709*E709</f>
        <v/>
      </c>
    </row>
    <row r="710">
      <c r="A710" s="13" t="inlineStr">
        <is>
          <t>9999</t>
        </is>
      </c>
      <c r="B710" s="14" t="inlineStr">
        <is>
          <t>Sundries, putty, glazing clips, scaffolding etc.</t>
        </is>
      </c>
      <c r="C710" s="13" t="inlineStr">
        <is>
          <t>L.S.</t>
        </is>
      </c>
      <c r="D710" s="15" t="n">
        <v>125.58</v>
      </c>
      <c r="E710" s="16" t="n">
        <v>2</v>
      </c>
      <c r="F710" s="16">
        <f>D710*E710</f>
        <v/>
      </c>
    </row>
    <row r="711">
      <c r="A711" s="17" t="inlineStr">
        <is>
          <t>Resource Total (Material + Labour + Machinery, as printed)</t>
        </is>
      </c>
      <c r="B711" s="18" t="n"/>
      <c r="C711" s="18" t="n"/>
      <c r="D711" s="18" t="n"/>
      <c r="E711" s="18" t="n"/>
      <c r="F711" s="19">
        <f>SUM(F707:F710)</f>
        <v/>
      </c>
    </row>
    <row r="712">
      <c r="A712" s="20" t="inlineStr">
        <is>
          <t>SAY (Rs.) — final DAR rate</t>
        </is>
      </c>
      <c r="B712" s="21" t="n"/>
      <c r="C712" s="21" t="n"/>
      <c r="D712" s="21" t="n"/>
      <c r="E712" s="21" t="n"/>
      <c r="F712" s="22" t="n">
        <v>1194.85</v>
      </c>
    </row>
    <row r="714" ht="28" customHeight="1">
      <c r="A714" s="9" t="inlineStr">
        <is>
          <t>10.31</t>
        </is>
      </c>
      <c r="B714" s="10" t="inlineStr">
        <is>
          <t>Providing and fixing angle iron frames for doors, windows and ventilators of mild steel Angle sections of size 35x35x5 mm, joints mitred and</t>
        </is>
      </c>
      <c r="C714" s="11" t="n"/>
      <c r="D714" s="11" t="n"/>
      <c r="E714" s="11" t="n"/>
      <c r="F714" s="11" t="n"/>
    </row>
    <row r="715">
      <c r="A715" s="12" t="inlineStr">
        <is>
          <t>Rate basis: per kg  (source: cost for 17.5 kg)</t>
        </is>
      </c>
    </row>
    <row r="716">
      <c r="A716" s="5" t="inlineStr">
        <is>
          <t>Code</t>
        </is>
      </c>
      <c r="B716" s="5" t="inlineStr">
        <is>
          <t>Description</t>
        </is>
      </c>
      <c r="C716" s="5" t="inlineStr">
        <is>
          <t>Unit</t>
        </is>
      </c>
      <c r="D716" s="5" t="inlineStr">
        <is>
          <t>Quantity</t>
        </is>
      </c>
      <c r="E716" s="5" t="inlineStr">
        <is>
          <t>Rate (Rs.)</t>
        </is>
      </c>
      <c r="F716" s="5" t="inlineStr">
        <is>
          <t>Amount (Rs.)</t>
        </is>
      </c>
    </row>
    <row r="717">
      <c r="A717" s="13" t="inlineStr">
        <is>
          <t>1007</t>
        </is>
      </c>
      <c r="B717" s="14" t="inlineStr">
        <is>
          <t>Structural steel such as tees, angles, channels and R.S. Joists</t>
        </is>
      </c>
      <c r="C717" s="13" t="inlineStr">
        <is>
          <t>quintal</t>
        </is>
      </c>
      <c r="D717" s="15" t="n">
        <v>0.18</v>
      </c>
      <c r="E717" s="16" t="n">
        <v>4600</v>
      </c>
      <c r="F717" s="16">
        <f>D717*E717</f>
        <v/>
      </c>
    </row>
    <row r="718">
      <c r="A718" s="13" t="inlineStr">
        <is>
          <t>9999</t>
        </is>
      </c>
      <c r="B718" s="14" t="inlineStr">
        <is>
          <t>For applying steel primer</t>
        </is>
      </c>
      <c r="C718" s="13" t="inlineStr">
        <is>
          <t>L.S.</t>
        </is>
      </c>
      <c r="D718" s="15" t="n">
        <v>17.94</v>
      </c>
      <c r="E718" s="16" t="n">
        <v>2</v>
      </c>
      <c r="F718" s="16">
        <f>D718*E718</f>
        <v/>
      </c>
    </row>
    <row r="719">
      <c r="A719" s="13" t="inlineStr">
        <is>
          <t>9999</t>
        </is>
      </c>
      <c r="B719" s="14" t="inlineStr">
        <is>
          <t>Carriage of material</t>
        </is>
      </c>
      <c r="C719" s="13" t="inlineStr">
        <is>
          <t>L.S.</t>
        </is>
      </c>
      <c r="D719" s="15" t="n">
        <v>5.33</v>
      </c>
      <c r="E719" s="16" t="n">
        <v>2</v>
      </c>
      <c r="F719" s="16">
        <f>D719*E719</f>
        <v/>
      </c>
    </row>
    <row r="720">
      <c r="A720" s="13" t="inlineStr">
        <is>
          <t>1215</t>
        </is>
      </c>
      <c r="B720" s="14" t="inlineStr">
        <is>
          <t>Welding by electric plant</t>
        </is>
      </c>
      <c r="C720" s="13" t="inlineStr">
        <is>
          <t>cm</t>
        </is>
      </c>
      <c r="D720" s="15" t="n">
        <v>16</v>
      </c>
      <c r="E720" s="16" t="n">
        <v>2</v>
      </c>
      <c r="F720" s="16">
        <f>D720*E720</f>
        <v/>
      </c>
    </row>
    <row r="721">
      <c r="A721" s="13" t="inlineStr">
        <is>
          <t>0103</t>
        </is>
      </c>
      <c r="B721" s="14" t="inlineStr">
        <is>
          <t>Blacksmith 2nd Class</t>
        </is>
      </c>
      <c r="C721" s="13" t="inlineStr">
        <is>
          <t>day</t>
        </is>
      </c>
      <c r="D721" s="15" t="n">
        <v>0.1</v>
      </c>
      <c r="E721" s="16" t="n">
        <v>679</v>
      </c>
      <c r="F721" s="16">
        <f>D721*E721</f>
        <v/>
      </c>
    </row>
    <row r="722">
      <c r="A722" s="13" t="inlineStr">
        <is>
          <t>0116</t>
        </is>
      </c>
      <c r="B722" s="14" t="inlineStr">
        <is>
          <t>Fitter (Grade-I)</t>
        </is>
      </c>
      <c r="C722" s="13" t="inlineStr">
        <is>
          <t>day</t>
        </is>
      </c>
      <c r="D722" s="15" t="n">
        <v>0.15</v>
      </c>
      <c r="E722" s="16" t="n">
        <v>738</v>
      </c>
      <c r="F722" s="16">
        <f>D722*E722</f>
        <v/>
      </c>
    </row>
    <row r="723">
      <c r="A723" s="13" t="inlineStr">
        <is>
          <t>0114</t>
        </is>
      </c>
      <c r="B723" s="14" t="inlineStr">
        <is>
          <t>Beldar</t>
        </is>
      </c>
      <c r="C723" s="13" t="inlineStr">
        <is>
          <t>day</t>
        </is>
      </c>
      <c r="D723" s="15" t="n">
        <v>0.2</v>
      </c>
      <c r="E723" s="16" t="n">
        <v>558</v>
      </c>
      <c r="F723" s="16">
        <f>D723*E723</f>
        <v/>
      </c>
    </row>
    <row r="724">
      <c r="A724" s="13" t="inlineStr">
        <is>
          <t>9999</t>
        </is>
      </c>
      <c r="B724" s="14" t="inlineStr">
        <is>
          <t>Sundries</t>
        </is>
      </c>
      <c r="C724" s="13" t="inlineStr">
        <is>
          <t>L.S.</t>
        </is>
      </c>
      <c r="D724" s="15" t="n">
        <v>8.970000000000001</v>
      </c>
      <c r="E724" s="16" t="n">
        <v>2</v>
      </c>
      <c r="F724" s="16">
        <f>D724*E724</f>
        <v/>
      </c>
    </row>
    <row r="725">
      <c r="A725" s="17" t="inlineStr">
        <is>
          <t>Resource Total (Material + Labour + Machinery, as printed)</t>
        </is>
      </c>
      <c r="B725" s="18" t="n"/>
      <c r="C725" s="18" t="n"/>
      <c r="D725" s="18" t="n"/>
      <c r="E725" s="18" t="n"/>
      <c r="F725" s="19">
        <f>SUM(F717:F724)</f>
        <v/>
      </c>
    </row>
    <row r="726">
      <c r="A726" s="20" t="inlineStr">
        <is>
          <t>SAY (Rs.) — final DAR rate</t>
        </is>
      </c>
      <c r="B726" s="21" t="n"/>
      <c r="C726" s="21" t="n"/>
      <c r="D726" s="21" t="n"/>
      <c r="E726" s="21" t="n"/>
      <c r="F726" s="22" t="n">
        <v>96.2</v>
      </c>
    </row>
  </sheetData>
  <mergeCells count="214">
    <mergeCell ref="A174:F174"/>
    <mergeCell ref="A205:F205"/>
    <mergeCell ref="A643:F643"/>
    <mergeCell ref="B666:F666"/>
    <mergeCell ref="A692:E692"/>
    <mergeCell ref="B81:F81"/>
    <mergeCell ref="A198:F198"/>
    <mergeCell ref="A387:E387"/>
    <mergeCell ref="A505:E505"/>
    <mergeCell ref="A667:F667"/>
    <mergeCell ref="A343:E343"/>
    <mergeCell ref="A409:F409"/>
    <mergeCell ref="A281:E281"/>
    <mergeCell ref="A585:E585"/>
    <mergeCell ref="A301:F301"/>
    <mergeCell ref="A79:E79"/>
    <mergeCell ref="A677:E677"/>
    <mergeCell ref="A331:F331"/>
    <mergeCell ref="B714:F714"/>
    <mergeCell ref="A678:E678"/>
    <mergeCell ref="A516:E516"/>
    <mergeCell ref="A5:F5"/>
    <mergeCell ref="A144:F144"/>
    <mergeCell ref="A159:F159"/>
    <mergeCell ref="A255:E255"/>
    <mergeCell ref="A610:E610"/>
    <mergeCell ref="B642:F642"/>
    <mergeCell ref="A557:E557"/>
    <mergeCell ref="A702:E702"/>
    <mergeCell ref="A571:E571"/>
    <mergeCell ref="A282:E282"/>
    <mergeCell ref="A484:E484"/>
    <mergeCell ref="A640:E640"/>
    <mergeCell ref="B408:F408"/>
    <mergeCell ref="A406:E406"/>
    <mergeCell ref="A179:E179"/>
    <mergeCell ref="A586:E586"/>
    <mergeCell ref="A298:E298"/>
    <mergeCell ref="A258:F258"/>
    <mergeCell ref="A58:F58"/>
    <mergeCell ref="A313:E313"/>
    <mergeCell ref="A194:E194"/>
    <mergeCell ref="B257:F257"/>
    <mergeCell ref="B466:F466"/>
    <mergeCell ref="A405:E405"/>
    <mergeCell ref="B143:F143"/>
    <mergeCell ref="A226:F226"/>
    <mergeCell ref="B158:F158"/>
    <mergeCell ref="A82:F82"/>
    <mergeCell ref="A156:E156"/>
    <mergeCell ref="A171:E171"/>
    <mergeCell ref="A327:E327"/>
    <mergeCell ref="A589:F589"/>
    <mergeCell ref="A494:E494"/>
    <mergeCell ref="A600:E600"/>
    <mergeCell ref="B497:F497"/>
    <mergeCell ref="A155:E155"/>
    <mergeCell ref="B527:F527"/>
    <mergeCell ref="B694:F694"/>
    <mergeCell ref="A34:E34"/>
    <mergeCell ref="A328:E328"/>
    <mergeCell ref="A575:F575"/>
    <mergeCell ref="A599:E599"/>
    <mergeCell ref="A528:F528"/>
    <mergeCell ref="A222:E222"/>
    <mergeCell ref="A639:E639"/>
    <mergeCell ref="A691:E691"/>
    <mergeCell ref="A267:F267"/>
    <mergeCell ref="A18:F18"/>
    <mergeCell ref="A285:F285"/>
    <mergeCell ref="A425:F425"/>
    <mergeCell ref="A2:F2"/>
    <mergeCell ref="A78:E78"/>
    <mergeCell ref="A439:F439"/>
    <mergeCell ref="A240:F240"/>
    <mergeCell ref="A264:E264"/>
    <mergeCell ref="B632:F632"/>
    <mergeCell ref="B17:F17"/>
    <mergeCell ref="B57:F57"/>
    <mergeCell ref="A190:F190"/>
    <mergeCell ref="A55:E55"/>
    <mergeCell ref="B622:F622"/>
    <mergeCell ref="A297:E297"/>
    <mergeCell ref="A524:E524"/>
    <mergeCell ref="A14:E14"/>
    <mergeCell ref="A603:F603"/>
    <mergeCell ref="B360:F360"/>
    <mergeCell ref="A312:E312"/>
    <mergeCell ref="B375:F375"/>
    <mergeCell ref="B602:F602"/>
    <mergeCell ref="A477:F477"/>
    <mergeCell ref="B239:F239"/>
    <mergeCell ref="A182:F182"/>
    <mergeCell ref="B438:F438"/>
    <mergeCell ref="A436:E436"/>
    <mergeCell ref="A623:F623"/>
    <mergeCell ref="A467:F467"/>
    <mergeCell ref="A170:E170"/>
    <mergeCell ref="B189:F189"/>
    <mergeCell ref="B204:F204"/>
    <mergeCell ref="B216:F216"/>
    <mergeCell ref="A372:E372"/>
    <mergeCell ref="B487:F487"/>
    <mergeCell ref="A525:E525"/>
    <mergeCell ref="A202:E202"/>
    <mergeCell ref="A346:F346"/>
    <mergeCell ref="B173:F173"/>
    <mergeCell ref="B4:F4"/>
    <mergeCell ref="A186:E186"/>
    <mergeCell ref="B424:F424"/>
    <mergeCell ref="A201:E201"/>
    <mergeCell ref="A217:F217"/>
    <mergeCell ref="B345:F345"/>
    <mergeCell ref="A453:F453"/>
    <mergeCell ref="A358:E358"/>
    <mergeCell ref="A629:E629"/>
    <mergeCell ref="A105:F105"/>
    <mergeCell ref="A237:E237"/>
    <mergeCell ref="A129:F129"/>
    <mergeCell ref="A422:E422"/>
    <mergeCell ref="A653:F653"/>
    <mergeCell ref="A473:E473"/>
    <mergeCell ref="B508:F508"/>
    <mergeCell ref="A187:E187"/>
    <mergeCell ref="A485:E485"/>
    <mergeCell ref="A619:E619"/>
    <mergeCell ref="A463:E463"/>
    <mergeCell ref="A361:F361"/>
    <mergeCell ref="A715:F715"/>
    <mergeCell ref="A236:E236"/>
    <mergeCell ref="B181:F181"/>
    <mergeCell ref="B225:F225"/>
    <mergeCell ref="B452:F452"/>
    <mergeCell ref="A613:F613"/>
    <mergeCell ref="A223:E223"/>
    <mergeCell ref="A705:F705"/>
    <mergeCell ref="A474:E474"/>
    <mergeCell ref="B476:F476"/>
    <mergeCell ref="A213:E213"/>
    <mergeCell ref="A633:F633"/>
    <mergeCell ref="B128:F128"/>
    <mergeCell ref="A449:E449"/>
    <mergeCell ref="A464:E464"/>
    <mergeCell ref="A725:E725"/>
    <mergeCell ref="A141:E141"/>
    <mergeCell ref="A254:E254"/>
    <mergeCell ref="B330:F330"/>
    <mergeCell ref="A263:E263"/>
    <mergeCell ref="B300:F300"/>
    <mergeCell ref="B545:F545"/>
    <mergeCell ref="A373:E373"/>
    <mergeCell ref="A125:E125"/>
    <mergeCell ref="B284:F284"/>
    <mergeCell ref="A1:F1"/>
    <mergeCell ref="B704:F704"/>
    <mergeCell ref="B560:F560"/>
    <mergeCell ref="A435:E435"/>
    <mergeCell ref="A450:E450"/>
    <mergeCell ref="A506:E506"/>
    <mergeCell ref="B36:F36"/>
    <mergeCell ref="A357:E357"/>
    <mergeCell ref="A711:E711"/>
    <mergeCell ref="A726:E726"/>
    <mergeCell ref="B390:F390"/>
    <mergeCell ref="A498:F498"/>
    <mergeCell ref="A701:E701"/>
    <mergeCell ref="A316:F316"/>
    <mergeCell ref="A421:E421"/>
    <mergeCell ref="A15:E15"/>
    <mergeCell ref="A663:E663"/>
    <mergeCell ref="A37:F37"/>
    <mergeCell ref="B612:F612"/>
    <mergeCell ref="A178:E178"/>
    <mergeCell ref="A620:E620"/>
    <mergeCell ref="B680:F680"/>
    <mergeCell ref="A376:F376"/>
    <mergeCell ref="A712:E712"/>
    <mergeCell ref="A695:F695"/>
    <mergeCell ref="A517:E517"/>
    <mergeCell ref="A54:E54"/>
    <mergeCell ref="A649:E649"/>
    <mergeCell ref="A572:E572"/>
    <mergeCell ref="A388:E388"/>
    <mergeCell ref="A664:E664"/>
    <mergeCell ref="A681:F681"/>
    <mergeCell ref="B588:F588"/>
    <mergeCell ref="A214:E214"/>
    <mergeCell ref="A630:E630"/>
    <mergeCell ref="A543:E543"/>
    <mergeCell ref="A101:E101"/>
    <mergeCell ref="A195:E195"/>
    <mergeCell ref="A33:E33"/>
    <mergeCell ref="A509:F509"/>
    <mergeCell ref="A391:F391"/>
    <mergeCell ref="B519:F519"/>
    <mergeCell ref="A558:E558"/>
    <mergeCell ref="B652:F652"/>
    <mergeCell ref="A650:E650"/>
    <mergeCell ref="A126:E126"/>
    <mergeCell ref="A542:E542"/>
    <mergeCell ref="A140:E140"/>
    <mergeCell ref="A342:E342"/>
    <mergeCell ref="A495:E495"/>
    <mergeCell ref="B574:F574"/>
    <mergeCell ref="A546:F546"/>
    <mergeCell ref="A520:F520"/>
    <mergeCell ref="B266:F266"/>
    <mergeCell ref="A609:E609"/>
    <mergeCell ref="B104:F104"/>
    <mergeCell ref="A102:E102"/>
    <mergeCell ref="A561:F561"/>
    <mergeCell ref="A488:F488"/>
    <mergeCell ref="B315:F315"/>
    <mergeCell ref="B197:F19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718"/>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11: FLOORING</t>
        </is>
      </c>
    </row>
    <row r="2" ht="28" customHeight="1">
      <c r="A2" s="8" t="inlineStr">
        <is>
          <t>116 priced items. Amount and SAY are live Excel formulas computed from the Quantity x Rate figures below - edit any Quantity or Rate and the item's rate recalculates.</t>
        </is>
      </c>
    </row>
    <row r="4" ht="18" customHeight="1">
      <c r="A4" s="9" t="inlineStr">
        <is>
          <t>11.1.1</t>
        </is>
      </c>
      <c r="B4" s="10" t="inlineStr">
        <is>
          <t>1:4 (1 cement : 4 coarse sand)</t>
        </is>
      </c>
      <c r="C4" s="11" t="n"/>
      <c r="D4" s="11" t="n"/>
      <c r="E4" s="11" t="n"/>
      <c r="F4" s="11" t="n"/>
    </row>
    <row r="5">
      <c r="A5" s="12" t="inlineStr">
        <is>
          <t>Rate basis: per sqm  (source: cost for 10 sqm)</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3.9</t>
        </is>
      </c>
      <c r="B7" s="14" t="inlineStr">
        <is>
          <t>Rate as per SH: 3.9</t>
        </is>
      </c>
      <c r="C7" s="13" t="inlineStr">
        <is>
          <t>cum</t>
        </is>
      </c>
      <c r="D7" s="15" t="n">
        <v>0.434</v>
      </c>
      <c r="E7" s="16" t="n">
        <v>4010.35</v>
      </c>
      <c r="F7" s="16">
        <f>D7*E7</f>
        <v/>
      </c>
    </row>
    <row r="8">
      <c r="A8" s="13" t="inlineStr">
        <is>
          <t>2602</t>
        </is>
      </c>
      <c r="B8" s="14" t="inlineStr">
        <is>
          <t>Common burnt clay F.P.S. (non modular) bricks class designation 7.5</t>
        </is>
      </c>
      <c r="C8" s="13" t="inlineStr">
        <is>
          <t>1000 Nos</t>
        </is>
      </c>
      <c r="D8" s="15" t="n">
        <v>0.5649999999999999</v>
      </c>
      <c r="E8" s="16" t="n">
        <v>4500</v>
      </c>
      <c r="F8" s="16">
        <f>D8*E8</f>
        <v/>
      </c>
    </row>
    <row r="9">
      <c r="A9" s="13" t="inlineStr">
        <is>
          <t>2201</t>
        </is>
      </c>
      <c r="B9" s="14" t="inlineStr">
        <is>
          <t>Carriage of Bricks</t>
        </is>
      </c>
      <c r="C9" s="13" t="inlineStr">
        <is>
          <t>1000 Nos</t>
        </is>
      </c>
      <c r="D9" s="15" t="n">
        <v>0.5649999999999999</v>
      </c>
      <c r="E9" s="16" t="n">
        <v>276.72</v>
      </c>
      <c r="F9" s="16">
        <f>D9*E9</f>
        <v/>
      </c>
    </row>
    <row r="10">
      <c r="A10" s="13" t="inlineStr">
        <is>
          <t>0367</t>
        </is>
      </c>
      <c r="B10" s="14" t="inlineStr">
        <is>
          <t>Portland Cement</t>
        </is>
      </c>
      <c r="C10" s="13" t="inlineStr">
        <is>
          <t>tonne</t>
        </is>
      </c>
      <c r="D10" s="15" t="n">
        <v>0.02</v>
      </c>
      <c r="E10" s="16" t="n">
        <v>4940</v>
      </c>
      <c r="F10" s="16">
        <f>D10*E10</f>
        <v/>
      </c>
    </row>
    <row r="11">
      <c r="A11" s="13" t="inlineStr">
        <is>
          <t>2209</t>
        </is>
      </c>
      <c r="B11" s="14" t="inlineStr">
        <is>
          <t>Carriage of Cement</t>
        </is>
      </c>
      <c r="C11" s="13" t="inlineStr">
        <is>
          <t>tonne</t>
        </is>
      </c>
      <c r="D11" s="15" t="n">
        <v>0.02</v>
      </c>
      <c r="E11" s="16" t="n">
        <v>92.23999999999999</v>
      </c>
      <c r="F11" s="16">
        <f>D11*E11</f>
        <v/>
      </c>
    </row>
    <row r="12">
      <c r="A12" s="13" t="inlineStr">
        <is>
          <t>0124</t>
        </is>
      </c>
      <c r="B12" s="14" t="inlineStr">
        <is>
          <t>Mason (brick layer) 2nd class</t>
        </is>
      </c>
      <c r="C12" s="13" t="inlineStr">
        <is>
          <t>day</t>
        </is>
      </c>
      <c r="D12" s="15" t="n">
        <v>1.08</v>
      </c>
      <c r="E12" s="16" t="n">
        <v>679</v>
      </c>
      <c r="F12" s="16">
        <f>D12*E12</f>
        <v/>
      </c>
    </row>
    <row r="13">
      <c r="A13" s="13" t="inlineStr">
        <is>
          <t>0114</t>
        </is>
      </c>
      <c r="B13" s="14" t="inlineStr">
        <is>
          <t>Beldar</t>
        </is>
      </c>
      <c r="C13" s="13" t="inlineStr">
        <is>
          <t>day</t>
        </is>
      </c>
      <c r="D13" s="15" t="n">
        <v>0.25</v>
      </c>
      <c r="E13" s="16" t="n">
        <v>558</v>
      </c>
      <c r="F13" s="16">
        <f>D13*E13</f>
        <v/>
      </c>
    </row>
    <row r="14">
      <c r="A14" s="13" t="inlineStr">
        <is>
          <t>0115</t>
        </is>
      </c>
      <c r="B14" s="14" t="inlineStr">
        <is>
          <t>Coolie</t>
        </is>
      </c>
      <c r="C14" s="13" t="inlineStr">
        <is>
          <t>day</t>
        </is>
      </c>
      <c r="D14" s="15" t="n">
        <v>1.62</v>
      </c>
      <c r="E14" s="16" t="n">
        <v>558</v>
      </c>
      <c r="F14" s="16">
        <f>D14*E14</f>
        <v/>
      </c>
    </row>
    <row r="15">
      <c r="A15" s="13" t="inlineStr">
        <is>
          <t>0101</t>
        </is>
      </c>
      <c r="B15" s="14" t="inlineStr">
        <is>
          <t>Bhisti</t>
        </is>
      </c>
      <c r="C15" s="13" t="inlineStr">
        <is>
          <t>day</t>
        </is>
      </c>
      <c r="D15" s="15" t="n">
        <v>0.27</v>
      </c>
      <c r="E15" s="16" t="n">
        <v>617</v>
      </c>
      <c r="F15" s="16">
        <f>D15*E15</f>
        <v/>
      </c>
    </row>
    <row r="16">
      <c r="A16" s="17" t="inlineStr">
        <is>
          <t>Resource Total (Material + Labour + Machinery, as printed)</t>
        </is>
      </c>
      <c r="B16" s="18" t="n"/>
      <c r="C16" s="18" t="n"/>
      <c r="D16" s="18" t="n"/>
      <c r="E16" s="18" t="n"/>
      <c r="F16" s="19">
        <f>SUM(F7:F15)</f>
        <v/>
      </c>
    </row>
    <row r="17">
      <c r="A17" s="20" t="inlineStr">
        <is>
          <t>SAY (Rs.) — final DAR rate</t>
        </is>
      </c>
      <c r="B17" s="21" t="n"/>
      <c r="C17" s="21" t="n"/>
      <c r="D17" s="21" t="n"/>
      <c r="E17" s="21" t="n"/>
      <c r="F17" s="22" t="n">
        <v>867.45</v>
      </c>
    </row>
    <row r="19" ht="18" customHeight="1">
      <c r="A19" s="9" t="inlineStr">
        <is>
          <t>11.1.2</t>
        </is>
      </c>
      <c r="B19" s="10" t="inlineStr">
        <is>
          <t>1:6 (1cement : 6 coarse sand)</t>
        </is>
      </c>
      <c r="C19" s="11" t="n"/>
      <c r="D19" s="11" t="n"/>
      <c r="E19" s="11" t="n"/>
      <c r="F19" s="11" t="n"/>
    </row>
    <row r="20">
      <c r="A20" s="12" t="inlineStr">
        <is>
          <t>Rate basis: per sqm  (source: cost for 10 sqm)</t>
        </is>
      </c>
    </row>
    <row r="21">
      <c r="A21" s="5" t="inlineStr">
        <is>
          <t>Code</t>
        </is>
      </c>
      <c r="B21" s="5" t="inlineStr">
        <is>
          <t>Description</t>
        </is>
      </c>
      <c r="C21" s="5" t="inlineStr">
        <is>
          <t>Unit</t>
        </is>
      </c>
      <c r="D21" s="5" t="inlineStr">
        <is>
          <t>Quantity</t>
        </is>
      </c>
      <c r="E21" s="5" t="inlineStr">
        <is>
          <t>Rate (Rs.)</t>
        </is>
      </c>
      <c r="F21" s="5" t="inlineStr">
        <is>
          <t>Amount (Rs.)</t>
        </is>
      </c>
    </row>
    <row r="22">
      <c r="A22" s="13" t="inlineStr">
        <is>
          <t>3.11</t>
        </is>
      </c>
      <c r="B22" s="14" t="inlineStr">
        <is>
          <t>Rate as per SH: 3.11</t>
        </is>
      </c>
      <c r="C22" s="13" t="inlineStr">
        <is>
          <t>cum</t>
        </is>
      </c>
      <c r="D22" s="15" t="n">
        <v>0.434</v>
      </c>
      <c r="E22" s="16" t="n">
        <v>3356.15</v>
      </c>
      <c r="F22" s="16">
        <f>D22*E22</f>
        <v/>
      </c>
    </row>
    <row r="23">
      <c r="A23" s="13" t="inlineStr">
        <is>
          <t>2602</t>
        </is>
      </c>
      <c r="B23" s="14" t="inlineStr">
        <is>
          <t>Common burnt clay F.P.S. (non modular) bricks class designation 7.5</t>
        </is>
      </c>
      <c r="C23" s="13" t="inlineStr">
        <is>
          <t>1000 Nos</t>
        </is>
      </c>
      <c r="D23" s="15" t="n">
        <v>0.5649999999999999</v>
      </c>
      <c r="E23" s="16" t="n">
        <v>4500</v>
      </c>
      <c r="F23" s="16">
        <f>D23*E23</f>
        <v/>
      </c>
    </row>
    <row r="24">
      <c r="A24" s="13" t="inlineStr">
        <is>
          <t>2201</t>
        </is>
      </c>
      <c r="B24" s="14" t="inlineStr">
        <is>
          <t>Carriage of Bricks</t>
        </is>
      </c>
      <c r="C24" s="13" t="inlineStr">
        <is>
          <t>1000 Nos</t>
        </is>
      </c>
      <c r="D24" s="15" t="n">
        <v>0.5649999999999999</v>
      </c>
      <c r="E24" s="16" t="n">
        <v>276.72</v>
      </c>
      <c r="F24" s="16">
        <f>D24*E24</f>
        <v/>
      </c>
    </row>
    <row r="25">
      <c r="A25" s="13" t="inlineStr">
        <is>
          <t>0367</t>
        </is>
      </c>
      <c r="B25" s="14" t="inlineStr">
        <is>
          <t>Portland Cement</t>
        </is>
      </c>
      <c r="C25" s="13" t="inlineStr">
        <is>
          <t>tonne</t>
        </is>
      </c>
      <c r="D25" s="15" t="n">
        <v>0.02</v>
      </c>
      <c r="E25" s="16" t="n">
        <v>4940</v>
      </c>
      <c r="F25" s="16">
        <f>D25*E25</f>
        <v/>
      </c>
    </row>
    <row r="26">
      <c r="A26" s="13" t="inlineStr">
        <is>
          <t>2209</t>
        </is>
      </c>
      <c r="B26" s="14" t="inlineStr">
        <is>
          <t>Carriage of Cement</t>
        </is>
      </c>
      <c r="C26" s="13" t="inlineStr">
        <is>
          <t>tonne</t>
        </is>
      </c>
      <c r="D26" s="15" t="n">
        <v>0.02</v>
      </c>
      <c r="E26" s="16" t="n">
        <v>92.23999999999999</v>
      </c>
      <c r="F26" s="16">
        <f>D26*E26</f>
        <v/>
      </c>
    </row>
    <row r="27">
      <c r="A27" s="13" t="inlineStr">
        <is>
          <t>0124</t>
        </is>
      </c>
      <c r="B27" s="14" t="inlineStr">
        <is>
          <t>Mason (brick layer) 2nd class</t>
        </is>
      </c>
      <c r="C27" s="13" t="inlineStr">
        <is>
          <t>day</t>
        </is>
      </c>
      <c r="D27" s="15" t="n">
        <v>1.08</v>
      </c>
      <c r="E27" s="16" t="n">
        <v>679</v>
      </c>
      <c r="F27" s="16">
        <f>D27*E27</f>
        <v/>
      </c>
    </row>
    <row r="28">
      <c r="A28" s="13" t="inlineStr">
        <is>
          <t>0114</t>
        </is>
      </c>
      <c r="B28" s="14" t="inlineStr">
        <is>
          <t>Beldar</t>
        </is>
      </c>
      <c r="C28" s="13" t="inlineStr">
        <is>
          <t>day</t>
        </is>
      </c>
      <c r="D28" s="15" t="n">
        <v>0.25</v>
      </c>
      <c r="E28" s="16" t="n">
        <v>558</v>
      </c>
      <c r="F28" s="16">
        <f>D28*E28</f>
        <v/>
      </c>
    </row>
    <row r="29">
      <c r="A29" s="13" t="inlineStr">
        <is>
          <t>0115</t>
        </is>
      </c>
      <c r="B29" s="14" t="inlineStr">
        <is>
          <t>Coolie</t>
        </is>
      </c>
      <c r="C29" s="13" t="inlineStr">
        <is>
          <t>day</t>
        </is>
      </c>
      <c r="D29" s="15" t="n">
        <v>1.62</v>
      </c>
      <c r="E29" s="16" t="n">
        <v>558</v>
      </c>
      <c r="F29" s="16">
        <f>D29*E29</f>
        <v/>
      </c>
    </row>
    <row r="30">
      <c r="A30" s="13" t="inlineStr">
        <is>
          <t>0101</t>
        </is>
      </c>
      <c r="B30" s="14" t="inlineStr">
        <is>
          <t>Bhisti</t>
        </is>
      </c>
      <c r="C30" s="13" t="inlineStr">
        <is>
          <t>day</t>
        </is>
      </c>
      <c r="D30" s="15" t="n">
        <v>0.27</v>
      </c>
      <c r="E30" s="16" t="n">
        <v>617</v>
      </c>
      <c r="F30" s="16">
        <f>D30*E30</f>
        <v/>
      </c>
    </row>
    <row r="31">
      <c r="A31" s="17" t="inlineStr">
        <is>
          <t>Resource Total (Material + Labour + Machinery, as printed)</t>
        </is>
      </c>
      <c r="B31" s="18" t="n"/>
      <c r="C31" s="18" t="n"/>
      <c r="D31" s="18" t="n"/>
      <c r="E31" s="18" t="n"/>
      <c r="F31" s="19">
        <f>SUM(F22:F30)</f>
        <v/>
      </c>
    </row>
    <row r="32">
      <c r="A32" s="20" t="inlineStr">
        <is>
          <t>SAY (Rs.) — final DAR rate</t>
        </is>
      </c>
      <c r="B32" s="21" t="n"/>
      <c r="C32" s="21" t="n"/>
      <c r="D32" s="21" t="n"/>
      <c r="E32" s="21" t="n"/>
      <c r="F32" s="22" t="n">
        <v>829.45</v>
      </c>
    </row>
    <row r="34" ht="28" customHeight="1">
      <c r="A34" s="9" t="inlineStr">
        <is>
          <t>11.2</t>
        </is>
      </c>
      <c r="B34" s="10" t="inlineStr">
        <is>
          <t>Dry brick on edge flooring in required pattern with bricks of class designation 7.5 on a bed of 12 mm mud mortar, including filling joints w</t>
        </is>
      </c>
      <c r="C34" s="11" t="n"/>
      <c r="D34" s="11" t="n"/>
      <c r="E34" s="11" t="n"/>
      <c r="F34" s="11" t="n"/>
    </row>
    <row r="35">
      <c r="A35" s="12" t="inlineStr">
        <is>
          <t>Rate basis: per sqm  (source: cost for 10 sqm)</t>
        </is>
      </c>
    </row>
    <row r="36">
      <c r="A36" s="5" t="inlineStr">
        <is>
          <t>Code</t>
        </is>
      </c>
      <c r="B36" s="5" t="inlineStr">
        <is>
          <t>Description</t>
        </is>
      </c>
      <c r="C36" s="5" t="inlineStr">
        <is>
          <t>Unit</t>
        </is>
      </c>
      <c r="D36" s="5" t="inlineStr">
        <is>
          <t>Quantity</t>
        </is>
      </c>
      <c r="E36" s="5" t="inlineStr">
        <is>
          <t>Rate (Rs.)</t>
        </is>
      </c>
      <c r="F36" s="5" t="inlineStr">
        <is>
          <t>Amount (Rs.)</t>
        </is>
      </c>
    </row>
    <row r="37">
      <c r="A37" s="13" t="inlineStr">
        <is>
          <t>3.18</t>
        </is>
      </c>
      <c r="B37" s="14" t="inlineStr">
        <is>
          <t>Rate as per SH: 3.18</t>
        </is>
      </c>
      <c r="C37" s="13" t="inlineStr">
        <is>
          <t>cum</t>
        </is>
      </c>
      <c r="D37" s="15" t="n">
        <v>0.15</v>
      </c>
      <c r="E37" s="16" t="n">
        <v>737</v>
      </c>
      <c r="F37" s="16">
        <f>D37*E37</f>
        <v/>
      </c>
    </row>
    <row r="38">
      <c r="A38" s="13" t="inlineStr">
        <is>
          <t>2602</t>
        </is>
      </c>
      <c r="B38" s="14" t="inlineStr">
        <is>
          <t>Common burnt clay F.P.S. (non modular) bricks class designation 7.5</t>
        </is>
      </c>
      <c r="C38" s="13" t="inlineStr">
        <is>
          <t>1000 Nos</t>
        </is>
      </c>
      <c r="D38" s="15" t="n">
        <v>0.645</v>
      </c>
      <c r="E38" s="16" t="n">
        <v>4500</v>
      </c>
      <c r="F38" s="16">
        <f>D38*E38</f>
        <v/>
      </c>
    </row>
    <row r="39">
      <c r="A39" s="13" t="inlineStr">
        <is>
          <t>2201</t>
        </is>
      </c>
      <c r="B39" s="14" t="inlineStr">
        <is>
          <t>Carriage of Bricks</t>
        </is>
      </c>
      <c r="C39" s="13" t="inlineStr">
        <is>
          <t>1000 Nos</t>
        </is>
      </c>
      <c r="D39" s="15" t="n">
        <v>0.645</v>
      </c>
      <c r="E39" s="16" t="n">
        <v>276.72</v>
      </c>
      <c r="F39" s="16">
        <f>D39*E39</f>
        <v/>
      </c>
    </row>
    <row r="40">
      <c r="A40" s="13" t="inlineStr">
        <is>
          <t>0983</t>
        </is>
      </c>
      <c r="B40" s="14" t="inlineStr">
        <is>
          <t>Fine sand (zone IV)</t>
        </is>
      </c>
      <c r="C40" s="13" t="inlineStr">
        <is>
          <t>cum</t>
        </is>
      </c>
      <c r="D40" s="15" t="n">
        <v>0.15</v>
      </c>
      <c r="E40" s="16" t="n">
        <v>900</v>
      </c>
      <c r="F40" s="16">
        <f>D40*E40</f>
        <v/>
      </c>
    </row>
    <row r="41">
      <c r="A41" s="13" t="inlineStr">
        <is>
          <t>2261</t>
        </is>
      </c>
      <c r="B41" s="14" t="inlineStr">
        <is>
          <t>Carriage of Fine sand (1 part badarpur sand : 2 parts jamuna sand)</t>
        </is>
      </c>
      <c r="C41" s="13" t="inlineStr">
        <is>
          <t>cum</t>
        </is>
      </c>
      <c r="D41" s="15" t="n">
        <v>0.15</v>
      </c>
      <c r="E41" s="16" t="n">
        <v>103.77</v>
      </c>
      <c r="F41" s="16">
        <f>D41*E41</f>
        <v/>
      </c>
    </row>
    <row r="42">
      <c r="A42" s="13" t="inlineStr">
        <is>
          <t>0124</t>
        </is>
      </c>
      <c r="B42" s="14" t="inlineStr">
        <is>
          <t>Mason (brick layer) 2nd class</t>
        </is>
      </c>
      <c r="C42" s="13" t="inlineStr">
        <is>
          <t>day</t>
        </is>
      </c>
      <c r="D42" s="15" t="n">
        <v>0.9</v>
      </c>
      <c r="E42" s="16" t="n">
        <v>679</v>
      </c>
      <c r="F42" s="16">
        <f>D42*E42</f>
        <v/>
      </c>
    </row>
    <row r="43">
      <c r="A43" s="13" t="inlineStr">
        <is>
          <t>0115</t>
        </is>
      </c>
      <c r="B43" s="14" t="inlineStr">
        <is>
          <t>Coolie</t>
        </is>
      </c>
      <c r="C43" s="13" t="inlineStr">
        <is>
          <t>day</t>
        </is>
      </c>
      <c r="D43" s="15" t="n">
        <v>1.98</v>
      </c>
      <c r="E43" s="16" t="n">
        <v>558</v>
      </c>
      <c r="F43" s="16">
        <f>D43*E43</f>
        <v/>
      </c>
    </row>
    <row r="44">
      <c r="A44" s="13" t="inlineStr">
        <is>
          <t>0101</t>
        </is>
      </c>
      <c r="B44" s="14" t="inlineStr">
        <is>
          <t>Bhisti</t>
        </is>
      </c>
      <c r="C44" s="13" t="inlineStr">
        <is>
          <t>day</t>
        </is>
      </c>
      <c r="D44" s="15" t="n">
        <v>0.05</v>
      </c>
      <c r="E44" s="16" t="n">
        <v>617</v>
      </c>
      <c r="F44" s="16">
        <f>D44*E44</f>
        <v/>
      </c>
    </row>
    <row r="45">
      <c r="A45" s="17" t="inlineStr">
        <is>
          <t>Resource Total (Material + Labour + Machinery, as printed)</t>
        </is>
      </c>
      <c r="B45" s="18" t="n"/>
      <c r="C45" s="18" t="n"/>
      <c r="D45" s="18" t="n"/>
      <c r="E45" s="18" t="n"/>
      <c r="F45" s="19">
        <f>SUM(F37:F44)</f>
        <v/>
      </c>
    </row>
    <row r="46">
      <c r="A46" s="20" t="inlineStr">
        <is>
          <t>SAY (Rs.) — final DAR rate</t>
        </is>
      </c>
      <c r="B46" s="21" t="n"/>
      <c r="C46" s="21" t="n"/>
      <c r="D46" s="21" t="n"/>
      <c r="E46" s="21" t="n"/>
      <c r="F46" s="22" t="n">
        <v>680.85</v>
      </c>
    </row>
    <row r="48" ht="18" customHeight="1">
      <c r="A48" s="9" t="inlineStr">
        <is>
          <t>11.3.1</t>
        </is>
      </c>
      <c r="B48" s="10" t="inlineStr">
        <is>
          <t>40 mm thick with 20 mm nominal size stone aggregate</t>
        </is>
      </c>
      <c r="C48" s="11" t="n"/>
      <c r="D48" s="11" t="n"/>
      <c r="E48" s="11" t="n"/>
      <c r="F48" s="11" t="n"/>
    </row>
    <row r="49">
      <c r="A49" s="12" t="inlineStr">
        <is>
          <t>Rate basis: per sqm  (source: cost for 10 sqm)</t>
        </is>
      </c>
    </row>
    <row r="50">
      <c r="A50" s="5" t="inlineStr">
        <is>
          <t>Code</t>
        </is>
      </c>
      <c r="B50" s="5" t="inlineStr">
        <is>
          <t>Description</t>
        </is>
      </c>
      <c r="C50" s="5" t="inlineStr">
        <is>
          <t>Unit</t>
        </is>
      </c>
      <c r="D50" s="5" t="inlineStr">
        <is>
          <t>Quantity</t>
        </is>
      </c>
      <c r="E50" s="5" t="inlineStr">
        <is>
          <t>Rate (Rs.)</t>
        </is>
      </c>
      <c r="F50" s="5" t="inlineStr">
        <is>
          <t>Amount (Rs.)</t>
        </is>
      </c>
    </row>
    <row r="51">
      <c r="A51" s="13" t="inlineStr">
        <is>
          <t>0295</t>
        </is>
      </c>
      <c r="B51" s="14" t="inlineStr">
        <is>
          <t>Stone Aggregate (Single size) : 20 mm nominal size</t>
        </is>
      </c>
      <c r="C51" s="13" t="inlineStr">
        <is>
          <t>cum</t>
        </is>
      </c>
      <c r="D51" s="15" t="n">
        <v>0.267</v>
      </c>
      <c r="E51" s="16" t="n">
        <v>1350</v>
      </c>
      <c r="F51" s="16">
        <f>D51*E51</f>
        <v/>
      </c>
    </row>
    <row r="52">
      <c r="A52" s="13" t="inlineStr">
        <is>
          <t>0297</t>
        </is>
      </c>
      <c r="B52" s="14" t="inlineStr">
        <is>
          <t>Stone Aggregate (Single size) : 10 mm nominal size</t>
        </is>
      </c>
      <c r="C52" s="13" t="inlineStr">
        <is>
          <t>cum</t>
        </is>
      </c>
      <c r="D52" s="15" t="n">
        <v>0.089</v>
      </c>
      <c r="E52" s="16" t="n">
        <v>1350</v>
      </c>
      <c r="F52" s="16">
        <f>D52*E52</f>
        <v/>
      </c>
    </row>
    <row r="53">
      <c r="A53" s="13" t="inlineStr">
        <is>
          <t>2202</t>
        </is>
      </c>
      <c r="B53" s="14" t="inlineStr">
        <is>
          <t>Carriage of Stone aggregate below 40 mm nominal size</t>
        </is>
      </c>
      <c r="C53" s="13" t="inlineStr">
        <is>
          <t>cum</t>
        </is>
      </c>
      <c r="D53" s="15" t="n">
        <v>0.356</v>
      </c>
      <c r="E53" s="16" t="n">
        <v>103.77</v>
      </c>
      <c r="F53" s="16">
        <f>D53*E53</f>
        <v/>
      </c>
    </row>
    <row r="54">
      <c r="A54" s="13" t="inlineStr">
        <is>
          <t>0982</t>
        </is>
      </c>
      <c r="B54" s="14" t="inlineStr">
        <is>
          <t>Coarse sand (zone III)</t>
        </is>
      </c>
      <c r="C54" s="13" t="inlineStr">
        <is>
          <t>cum</t>
        </is>
      </c>
      <c r="D54" s="15" t="n">
        <v>0.178</v>
      </c>
      <c r="E54" s="16" t="n">
        <v>1350</v>
      </c>
      <c r="F54" s="16">
        <f>D54*E54</f>
        <v/>
      </c>
    </row>
    <row r="55">
      <c r="A55" s="13" t="inlineStr">
        <is>
          <t>2203</t>
        </is>
      </c>
      <c r="B55" s="14" t="inlineStr">
        <is>
          <t>Carriage of Coarse sand</t>
        </is>
      </c>
      <c r="C55" s="13" t="inlineStr">
        <is>
          <t>cum</t>
        </is>
      </c>
      <c r="D55" s="15" t="n">
        <v>0.178</v>
      </c>
      <c r="E55" s="16" t="n">
        <v>103.77</v>
      </c>
      <c r="F55" s="16">
        <f>D55*E55</f>
        <v/>
      </c>
    </row>
    <row r="56">
      <c r="A56" s="13" t="inlineStr">
        <is>
          <t>0367</t>
        </is>
      </c>
      <c r="B56" s="14" t="inlineStr">
        <is>
          <t>Portland Cement</t>
        </is>
      </c>
      <c r="C56" s="13" t="inlineStr">
        <is>
          <t>tonne</t>
        </is>
      </c>
      <c r="D56" s="15" t="n">
        <v>0.17</v>
      </c>
      <c r="E56" s="16" t="n">
        <v>4940</v>
      </c>
      <c r="F56" s="16">
        <f>D56*E56</f>
        <v/>
      </c>
    </row>
    <row r="57">
      <c r="A57" s="13" t="inlineStr">
        <is>
          <t>2209</t>
        </is>
      </c>
      <c r="B57" s="14" t="inlineStr">
        <is>
          <t>Carriage of Cement</t>
        </is>
      </c>
      <c r="C57" s="13" t="inlineStr">
        <is>
          <t>tonne</t>
        </is>
      </c>
      <c r="D57" s="15" t="n">
        <v>0.17</v>
      </c>
      <c r="E57" s="16" t="n">
        <v>92.23999999999999</v>
      </c>
      <c r="F57" s="16">
        <f>D57*E57</f>
        <v/>
      </c>
    </row>
    <row r="58">
      <c r="A58" s="13" t="inlineStr">
        <is>
          <t>0124</t>
        </is>
      </c>
      <c r="B58" s="14" t="inlineStr">
        <is>
          <t>Mason (brick layer) 2nd class</t>
        </is>
      </c>
      <c r="C58" s="13" t="inlineStr">
        <is>
          <t>day</t>
        </is>
      </c>
      <c r="D58" s="15" t="n">
        <v>0.8</v>
      </c>
      <c r="E58" s="16" t="n">
        <v>679</v>
      </c>
      <c r="F58" s="16">
        <f>D58*E58</f>
        <v/>
      </c>
    </row>
    <row r="59">
      <c r="A59" s="13" t="inlineStr">
        <is>
          <t>0114</t>
        </is>
      </c>
      <c r="B59" s="14" t="inlineStr">
        <is>
          <t>Beldar</t>
        </is>
      </c>
      <c r="C59" s="13" t="inlineStr">
        <is>
          <t>day</t>
        </is>
      </c>
      <c r="D59" s="15" t="n">
        <v>1.4</v>
      </c>
      <c r="E59" s="16" t="n">
        <v>558</v>
      </c>
      <c r="F59" s="16">
        <f>D59*E59</f>
        <v/>
      </c>
    </row>
    <row r="60">
      <c r="A60" s="13" t="inlineStr">
        <is>
          <t>0101</t>
        </is>
      </c>
      <c r="B60" s="14" t="inlineStr">
        <is>
          <t>Bhisti</t>
        </is>
      </c>
      <c r="C60" s="13" t="inlineStr">
        <is>
          <t>day</t>
        </is>
      </c>
      <c r="D60" s="15" t="n">
        <v>1.04</v>
      </c>
      <c r="E60" s="16" t="n">
        <v>617</v>
      </c>
      <c r="F60" s="16">
        <f>D60*E60</f>
        <v/>
      </c>
    </row>
    <row r="61">
      <c r="A61" s="13" t="inlineStr">
        <is>
          <t>0127</t>
        </is>
      </c>
      <c r="B61" s="14" t="inlineStr">
        <is>
          <t>Driver (for Road Roller, Concrete Mixer, Truck etc.)</t>
        </is>
      </c>
      <c r="C61" s="13" t="inlineStr">
        <is>
          <t>day</t>
        </is>
      </c>
      <c r="D61" s="15" t="n">
        <v>0.03</v>
      </c>
      <c r="E61" s="16" t="n">
        <v>738</v>
      </c>
      <c r="F61" s="16">
        <f>D61*E61</f>
        <v/>
      </c>
    </row>
    <row r="62">
      <c r="A62" s="13" t="inlineStr">
        <is>
          <t>0002</t>
        </is>
      </c>
      <c r="B62" s="14" t="inlineStr">
        <is>
          <t>Hire charges of Concrete Mixer 0.25 to 0.40 cum with hooper</t>
        </is>
      </c>
      <c r="C62" s="13" t="inlineStr">
        <is>
          <t>day</t>
        </is>
      </c>
      <c r="D62" s="15" t="n">
        <v>0.03</v>
      </c>
      <c r="E62" s="16" t="n">
        <v>800</v>
      </c>
      <c r="F62" s="16">
        <f>D62*E62</f>
        <v/>
      </c>
    </row>
    <row r="63">
      <c r="A63" s="13" t="inlineStr">
        <is>
          <t>9999</t>
        </is>
      </c>
      <c r="B63" s="14" t="inlineStr">
        <is>
          <t>Sundries</t>
        </is>
      </c>
      <c r="C63" s="13" t="inlineStr">
        <is>
          <t>L.S.</t>
        </is>
      </c>
      <c r="D63" s="15" t="n">
        <v>40.43</v>
      </c>
      <c r="E63" s="16" t="n">
        <v>2</v>
      </c>
      <c r="F63" s="16">
        <f>D63*E63</f>
        <v/>
      </c>
    </row>
    <row r="64">
      <c r="A64" s="17" t="inlineStr">
        <is>
          <t>Resource Total (Material + Labour + Machinery, as printed)</t>
        </is>
      </c>
      <c r="B64" s="18" t="n"/>
      <c r="C64" s="18" t="n"/>
      <c r="D64" s="18" t="n"/>
      <c r="E64" s="18" t="n"/>
      <c r="F64" s="19">
        <f>SUM(F51:F63)</f>
        <v/>
      </c>
    </row>
    <row r="65">
      <c r="A65" s="20" t="inlineStr">
        <is>
          <t>SAY (Rs.) — final DAR rate</t>
        </is>
      </c>
      <c r="B65" s="21" t="n"/>
      <c r="C65" s="21" t="n"/>
      <c r="D65" s="21" t="n"/>
      <c r="E65" s="21" t="n"/>
      <c r="F65" s="22" t="n">
        <v>498.35</v>
      </c>
    </row>
    <row r="67" ht="28" customHeight="1">
      <c r="A67" s="9" t="inlineStr">
        <is>
          <t>11.4</t>
        </is>
      </c>
      <c r="B67" s="10" t="inlineStr">
        <is>
          <t>52 mm thick cement concrete flooring with concrete hardener topping, under layer 40 mm thick cement concrete 1:2:4 (1 cement : 2 coarse sand</t>
        </is>
      </c>
      <c r="C67" s="11" t="n"/>
      <c r="D67" s="11" t="n"/>
      <c r="E67" s="11" t="n"/>
      <c r="F67" s="11" t="n"/>
    </row>
    <row r="68">
      <c r="A68" s="12" t="inlineStr">
        <is>
          <t>Rate basis: per sqm  (source: cost for 10 sqm)</t>
        </is>
      </c>
    </row>
    <row r="69">
      <c r="A69" s="5" t="inlineStr">
        <is>
          <t>Code</t>
        </is>
      </c>
      <c r="B69" s="5" t="inlineStr">
        <is>
          <t>Description</t>
        </is>
      </c>
      <c r="C69" s="5" t="inlineStr">
        <is>
          <t>Unit</t>
        </is>
      </c>
      <c r="D69" s="5" t="inlineStr">
        <is>
          <t>Quantity</t>
        </is>
      </c>
      <c r="E69" s="5" t="inlineStr">
        <is>
          <t>Rate (Rs.)</t>
        </is>
      </c>
      <c r="F69" s="5" t="inlineStr">
        <is>
          <t>Amount (Rs.)</t>
        </is>
      </c>
    </row>
    <row r="70">
      <c r="A70" s="13" t="inlineStr">
        <is>
          <t>0295</t>
        </is>
      </c>
      <c r="B70" s="14" t="inlineStr">
        <is>
          <t>Stone Aggregate (Single size) : 20 mm nominal size</t>
        </is>
      </c>
      <c r="C70" s="13" t="inlineStr">
        <is>
          <t>cum</t>
        </is>
      </c>
      <c r="D70" s="15" t="n">
        <v>0.267</v>
      </c>
      <c r="E70" s="16" t="n">
        <v>1350</v>
      </c>
      <c r="F70" s="16">
        <f>D70*E70</f>
        <v/>
      </c>
    </row>
    <row r="71">
      <c r="A71" s="13" t="inlineStr">
        <is>
          <t>0297</t>
        </is>
      </c>
      <c r="B71" s="14" t="inlineStr">
        <is>
          <t>Stone Aggregate (Single size) : 10 mm nominal size</t>
        </is>
      </c>
      <c r="C71" s="13" t="inlineStr">
        <is>
          <t>cum</t>
        </is>
      </c>
      <c r="D71" s="15" t="n">
        <v>0.089</v>
      </c>
      <c r="E71" s="16" t="n">
        <v>1350</v>
      </c>
      <c r="F71" s="16">
        <f>D71*E71</f>
        <v/>
      </c>
    </row>
    <row r="72">
      <c r="A72" s="13" t="inlineStr">
        <is>
          <t>2202</t>
        </is>
      </c>
      <c r="B72" s="14" t="inlineStr">
        <is>
          <t>Carriage of Stone aggregate below 40 mm</t>
        </is>
      </c>
      <c r="C72" s="13" t="inlineStr">
        <is>
          <t>cum</t>
        </is>
      </c>
      <c r="D72" s="15" t="n">
        <v>0.356</v>
      </c>
      <c r="E72" s="16" t="n">
        <v>103.77</v>
      </c>
      <c r="F72" s="16">
        <f>D72*E72</f>
        <v/>
      </c>
    </row>
    <row r="73">
      <c r="A73" s="13" t="inlineStr">
        <is>
          <t>0982</t>
        </is>
      </c>
      <c r="B73" s="14" t="inlineStr">
        <is>
          <t>Coarse sand (zone III)</t>
        </is>
      </c>
      <c r="C73" s="13" t="inlineStr">
        <is>
          <t>cum</t>
        </is>
      </c>
      <c r="D73" s="15" t="n">
        <v>0.178</v>
      </c>
      <c r="E73" s="16" t="n">
        <v>1350</v>
      </c>
      <c r="F73" s="16">
        <f>D73*E73</f>
        <v/>
      </c>
    </row>
    <row r="74">
      <c r="A74" s="13" t="inlineStr">
        <is>
          <t>2203</t>
        </is>
      </c>
      <c r="B74" s="14" t="inlineStr">
        <is>
          <t>Carriage of Coarse sand</t>
        </is>
      </c>
      <c r="C74" s="13" t="inlineStr">
        <is>
          <t>cum</t>
        </is>
      </c>
      <c r="D74" s="15" t="n">
        <v>0.178</v>
      </c>
      <c r="E74" s="16" t="n">
        <v>103.77</v>
      </c>
      <c r="F74" s="16">
        <f>D74*E74</f>
        <v/>
      </c>
    </row>
    <row r="75">
      <c r="A75" s="13" t="inlineStr">
        <is>
          <t>0298</t>
        </is>
      </c>
      <c r="B75" s="14" t="inlineStr">
        <is>
          <t>Stone Aggregate (Single size) : 06 mm nominal size</t>
        </is>
      </c>
      <c r="C75" s="13" t="inlineStr">
        <is>
          <t>cum</t>
        </is>
      </c>
      <c r="D75" s="15" t="n">
        <v>0.115</v>
      </c>
      <c r="E75" s="16" t="n">
        <v>1400</v>
      </c>
      <c r="F75" s="16">
        <f>D75*E75</f>
        <v/>
      </c>
    </row>
    <row r="76">
      <c r="A76" s="13" t="inlineStr">
        <is>
          <t>2202</t>
        </is>
      </c>
      <c r="B76" s="14" t="inlineStr">
        <is>
          <t>Carriage of Stone aggregate below 40 mm nominal size</t>
        </is>
      </c>
      <c r="C76" s="13" t="inlineStr">
        <is>
          <t>cum</t>
        </is>
      </c>
      <c r="D76" s="15" t="n">
        <v>0.115</v>
      </c>
      <c r="E76" s="16" t="n">
        <v>103.77</v>
      </c>
      <c r="F76" s="16">
        <f>D76*E76</f>
        <v/>
      </c>
    </row>
    <row r="77">
      <c r="A77" s="13" t="inlineStr">
        <is>
          <t>0367</t>
        </is>
      </c>
      <c r="B77" s="14" t="inlineStr">
        <is>
          <t>Portland Cement</t>
        </is>
      </c>
      <c r="C77" s="13" t="inlineStr">
        <is>
          <t>tonne</t>
        </is>
      </c>
      <c r="D77" s="15" t="n">
        <v>0.211</v>
      </c>
      <c r="E77" s="16" t="n">
        <v>4940</v>
      </c>
      <c r="F77" s="16">
        <f>D77*E77</f>
        <v/>
      </c>
    </row>
    <row r="78">
      <c r="A78" s="13" t="inlineStr">
        <is>
          <t>0367</t>
        </is>
      </c>
      <c r="B78" s="14" t="inlineStr">
        <is>
          <t>Portland Cement</t>
        </is>
      </c>
      <c r="C78" s="13" t="inlineStr">
        <is>
          <t>tonne</t>
        </is>
      </c>
      <c r="D78" s="15" t="n">
        <v>0.02</v>
      </c>
      <c r="E78" s="16" t="n">
        <v>4940</v>
      </c>
      <c r="F78" s="16">
        <f>D78*E78</f>
        <v/>
      </c>
    </row>
    <row r="79">
      <c r="A79" s="13" t="inlineStr">
        <is>
          <t>2209</t>
        </is>
      </c>
      <c r="B79" s="14" t="inlineStr">
        <is>
          <t>Carriage of Cement</t>
        </is>
      </c>
      <c r="C79" s="13" t="inlineStr">
        <is>
          <t>tonne</t>
        </is>
      </c>
      <c r="D79" s="15" t="n">
        <v>0.231</v>
      </c>
      <c r="E79" s="16" t="n">
        <v>92.23999999999999</v>
      </c>
      <c r="F79" s="16">
        <f>D79*E79</f>
        <v/>
      </c>
    </row>
    <row r="80">
      <c r="A80" s="13" t="inlineStr">
        <is>
          <t>7254</t>
        </is>
      </c>
      <c r="B80" s="14" t="inlineStr">
        <is>
          <t>Hardening compound</t>
        </is>
      </c>
      <c r="C80" s="13" t="inlineStr">
        <is>
          <t>litre</t>
        </is>
      </c>
      <c r="D80" s="15" t="n">
        <v>2.44</v>
      </c>
      <c r="E80" s="16" t="n">
        <v>38</v>
      </c>
      <c r="F80" s="16">
        <f>D80*E80</f>
        <v/>
      </c>
    </row>
    <row r="81">
      <c r="A81" s="13" t="inlineStr">
        <is>
          <t>9977</t>
        </is>
      </c>
      <c r="B81" s="14" t="inlineStr">
        <is>
          <t>Carriage of hard crete</t>
        </is>
      </c>
      <c r="C81" s="13" t="inlineStr">
        <is>
          <t>L.S.</t>
        </is>
      </c>
      <c r="D81" s="15" t="n">
        <v>2.73</v>
      </c>
      <c r="E81" s="16" t="n">
        <v>2</v>
      </c>
      <c r="F81" s="16">
        <f>D81*E81</f>
        <v/>
      </c>
    </row>
    <row r="82">
      <c r="A82" s="13" t="inlineStr">
        <is>
          <t>0124</t>
        </is>
      </c>
      <c r="B82" s="14" t="inlineStr">
        <is>
          <t>Mason (brick layer) 2nd class</t>
        </is>
      </c>
      <c r="C82" s="13" t="inlineStr">
        <is>
          <t>day</t>
        </is>
      </c>
      <c r="D82" s="15" t="n">
        <v>2.15</v>
      </c>
      <c r="E82" s="16" t="n">
        <v>679</v>
      </c>
      <c r="F82" s="16">
        <f>D82*E82</f>
        <v/>
      </c>
    </row>
    <row r="83">
      <c r="A83" s="13" t="inlineStr">
        <is>
          <t>0114</t>
        </is>
      </c>
      <c r="B83" s="14" t="inlineStr">
        <is>
          <t>Beldar</t>
        </is>
      </c>
      <c r="C83" s="13" t="inlineStr">
        <is>
          <t>day</t>
        </is>
      </c>
      <c r="D83" s="15" t="n">
        <v>1.6</v>
      </c>
      <c r="E83" s="16" t="n">
        <v>558</v>
      </c>
      <c r="F83" s="16">
        <f>D83*E83</f>
        <v/>
      </c>
    </row>
    <row r="84">
      <c r="A84" s="13" t="inlineStr">
        <is>
          <t>0115</t>
        </is>
      </c>
      <c r="B84" s="14" t="inlineStr">
        <is>
          <t>Coolie</t>
        </is>
      </c>
      <c r="C84" s="13" t="inlineStr">
        <is>
          <t>day</t>
        </is>
      </c>
      <c r="D84" s="15" t="n">
        <v>1.88</v>
      </c>
      <c r="E84" s="16" t="n">
        <v>558</v>
      </c>
      <c r="F84" s="16">
        <f>D84*E84</f>
        <v/>
      </c>
    </row>
    <row r="85">
      <c r="A85" s="13" t="inlineStr">
        <is>
          <t>0101</t>
        </is>
      </c>
      <c r="B85" s="14" t="inlineStr">
        <is>
          <t>Bhisti</t>
        </is>
      </c>
      <c r="C85" s="13" t="inlineStr">
        <is>
          <t>day</t>
        </is>
      </c>
      <c r="D85" s="15" t="n">
        <v>0.27</v>
      </c>
      <c r="E85" s="16" t="n">
        <v>617</v>
      </c>
      <c r="F85" s="16">
        <f>D85*E85</f>
        <v/>
      </c>
    </row>
    <row r="86">
      <c r="A86" s="13" t="inlineStr">
        <is>
          <t>9999</t>
        </is>
      </c>
      <c r="B86" s="14" t="inlineStr">
        <is>
          <t>Sundries</t>
        </is>
      </c>
      <c r="C86" s="13" t="inlineStr">
        <is>
          <t>L.S.</t>
        </is>
      </c>
      <c r="D86" s="15" t="n">
        <v>53.82</v>
      </c>
      <c r="E86" s="16" t="n">
        <v>2</v>
      </c>
      <c r="F86" s="16">
        <f>D86*E86</f>
        <v/>
      </c>
    </row>
    <row r="87">
      <c r="A87" s="17" t="inlineStr">
        <is>
          <t>Resource Total (Material + Labour + Machinery, as printed)</t>
        </is>
      </c>
      <c r="B87" s="18" t="n"/>
      <c r="C87" s="18" t="n"/>
      <c r="D87" s="18" t="n"/>
      <c r="E87" s="18" t="n"/>
      <c r="F87" s="19">
        <f>SUM(F70:F86)</f>
        <v/>
      </c>
    </row>
    <row r="88">
      <c r="A88" s="20" t="inlineStr">
        <is>
          <t>SAY (Rs.) — final DAR rate</t>
        </is>
      </c>
      <c r="B88" s="21" t="n"/>
      <c r="C88" s="21" t="n"/>
      <c r="D88" s="21" t="n"/>
      <c r="E88" s="21" t="n"/>
      <c r="F88" s="22" t="n">
        <v>787.5</v>
      </c>
    </row>
    <row r="90" ht="28" customHeight="1">
      <c r="A90" s="9" t="inlineStr">
        <is>
          <t>11.5</t>
        </is>
      </c>
      <c r="B90" s="10" t="inlineStr">
        <is>
          <t>62 mm thick cement concrete flooring with concrete hardener topping, under layer 50 mm thick cement concrete 1:2:4 (1 cement : 2 coarse sand</t>
        </is>
      </c>
      <c r="C90" s="11" t="n"/>
      <c r="D90" s="11" t="n"/>
      <c r="E90" s="11" t="n"/>
      <c r="F90" s="11" t="n"/>
    </row>
    <row r="91">
      <c r="A91" s="12" t="inlineStr">
        <is>
          <t>Rate basis: per sqm  (source: cost for 10 sqm)</t>
        </is>
      </c>
    </row>
    <row r="92">
      <c r="A92" s="5" t="inlineStr">
        <is>
          <t>Code</t>
        </is>
      </c>
      <c r="B92" s="5" t="inlineStr">
        <is>
          <t>Description</t>
        </is>
      </c>
      <c r="C92" s="5" t="inlineStr">
        <is>
          <t>Unit</t>
        </is>
      </c>
      <c r="D92" s="5" t="inlineStr">
        <is>
          <t>Quantity</t>
        </is>
      </c>
      <c r="E92" s="5" t="inlineStr">
        <is>
          <t>Rate (Rs.)</t>
        </is>
      </c>
      <c r="F92" s="5" t="inlineStr">
        <is>
          <t>Amount (Rs.)</t>
        </is>
      </c>
    </row>
    <row r="93">
      <c r="A93" s="13" t="inlineStr">
        <is>
          <t>0295</t>
        </is>
      </c>
      <c r="B93" s="14" t="inlineStr">
        <is>
          <t>Stone Aggregate (Single size) : 20 mm nominal size</t>
        </is>
      </c>
      <c r="C93" s="13" t="inlineStr">
        <is>
          <t>cum</t>
        </is>
      </c>
      <c r="D93" s="15" t="n">
        <v>0.334</v>
      </c>
      <c r="E93" s="16" t="n">
        <v>1350</v>
      </c>
      <c r="F93" s="16">
        <f>D93*E93</f>
        <v/>
      </c>
    </row>
    <row r="94">
      <c r="A94" s="13" t="inlineStr">
        <is>
          <t>0297</t>
        </is>
      </c>
      <c r="B94" s="14" t="inlineStr">
        <is>
          <t>Stone Aggregate (Single size) : 10 mm nominal size</t>
        </is>
      </c>
      <c r="C94" s="13" t="inlineStr">
        <is>
          <t>cum</t>
        </is>
      </c>
      <c r="D94" s="15" t="n">
        <v>0.111</v>
      </c>
      <c r="E94" s="16" t="n">
        <v>1350</v>
      </c>
      <c r="F94" s="16">
        <f>D94*E94</f>
        <v/>
      </c>
    </row>
    <row r="95">
      <c r="A95" s="13" t="inlineStr">
        <is>
          <t>2202</t>
        </is>
      </c>
      <c r="B95" s="14" t="inlineStr">
        <is>
          <t>Carriage of Stone aggregate below 40 mm nominal size</t>
        </is>
      </c>
      <c r="C95" s="13" t="inlineStr">
        <is>
          <t>cum</t>
        </is>
      </c>
      <c r="D95" s="15" t="n">
        <v>0.445</v>
      </c>
      <c r="E95" s="16" t="n">
        <v>103.77</v>
      </c>
      <c r="F95" s="16">
        <f>D95*E95</f>
        <v/>
      </c>
    </row>
    <row r="96">
      <c r="A96" s="13" t="inlineStr">
        <is>
          <t>0982</t>
        </is>
      </c>
      <c r="B96" s="14" t="inlineStr">
        <is>
          <t>Coarse sand (zone III)</t>
        </is>
      </c>
      <c r="C96" s="13" t="inlineStr">
        <is>
          <t>cum</t>
        </is>
      </c>
      <c r="D96" s="15" t="n">
        <v>0.222</v>
      </c>
      <c r="E96" s="16" t="n">
        <v>1350</v>
      </c>
      <c r="F96" s="16">
        <f>D96*E96</f>
        <v/>
      </c>
    </row>
    <row r="97">
      <c r="A97" s="13" t="inlineStr">
        <is>
          <t>2203</t>
        </is>
      </c>
      <c r="B97" s="14" t="inlineStr">
        <is>
          <t>Carriage of Coarse sand</t>
        </is>
      </c>
      <c r="C97" s="13" t="inlineStr">
        <is>
          <t>cum</t>
        </is>
      </c>
      <c r="D97" s="15" t="n">
        <v>0.222</v>
      </c>
      <c r="E97" s="16" t="n">
        <v>103.77</v>
      </c>
      <c r="F97" s="16">
        <f>D97*E97</f>
        <v/>
      </c>
    </row>
    <row r="98">
      <c r="A98" s="13" t="inlineStr">
        <is>
          <t>0298</t>
        </is>
      </c>
      <c r="B98" s="14" t="inlineStr">
        <is>
          <t>Stone Aggregate (Single size) : 06 mm nominal size</t>
        </is>
      </c>
      <c r="C98" s="13" t="inlineStr">
        <is>
          <t>cum</t>
        </is>
      </c>
      <c r="D98" s="15" t="n">
        <v>0.115</v>
      </c>
      <c r="E98" s="16" t="n">
        <v>1400</v>
      </c>
      <c r="F98" s="16">
        <f>D98*E98</f>
        <v/>
      </c>
    </row>
    <row r="99">
      <c r="A99" s="13" t="inlineStr">
        <is>
          <t>2202</t>
        </is>
      </c>
      <c r="B99" s="14" t="inlineStr">
        <is>
          <t>Carriage of Stone aggregate below 40 mm nominal size</t>
        </is>
      </c>
      <c r="C99" s="13" t="inlineStr">
        <is>
          <t>cum</t>
        </is>
      </c>
      <c r="D99" s="15" t="n">
        <v>0.115</v>
      </c>
      <c r="E99" s="16" t="n">
        <v>103.77</v>
      </c>
      <c r="F99" s="16">
        <f>D99*E99</f>
        <v/>
      </c>
    </row>
    <row r="100">
      <c r="A100" s="13" t="inlineStr">
        <is>
          <t>0367</t>
        </is>
      </c>
      <c r="B100" s="14" t="inlineStr">
        <is>
          <t>Portland Cement</t>
        </is>
      </c>
      <c r="C100" s="13" t="inlineStr">
        <is>
          <t>tonne</t>
        </is>
      </c>
      <c r="D100" s="15" t="n">
        <v>0.243</v>
      </c>
      <c r="E100" s="16" t="n">
        <v>4940</v>
      </c>
      <c r="F100" s="16">
        <f>D100*E100</f>
        <v/>
      </c>
    </row>
    <row r="101">
      <c r="A101" s="13" t="inlineStr">
        <is>
          <t>0367</t>
        </is>
      </c>
      <c r="B101" s="14" t="inlineStr">
        <is>
          <t>Portland Cement</t>
        </is>
      </c>
      <c r="C101" s="13" t="inlineStr">
        <is>
          <t>tonne</t>
        </is>
      </c>
      <c r="D101" s="15" t="n">
        <v>0.02</v>
      </c>
      <c r="E101" s="16" t="n">
        <v>4940</v>
      </c>
      <c r="F101" s="16">
        <f>D101*E101</f>
        <v/>
      </c>
    </row>
    <row r="102">
      <c r="A102" s="13" t="inlineStr">
        <is>
          <t>2209</t>
        </is>
      </c>
      <c r="B102" s="14" t="inlineStr">
        <is>
          <t>Carriage of Cement</t>
        </is>
      </c>
      <c r="C102" s="13" t="inlineStr">
        <is>
          <t>tonne</t>
        </is>
      </c>
      <c r="D102" s="15" t="n">
        <v>0.263</v>
      </c>
      <c r="E102" s="16" t="n">
        <v>92.23999999999999</v>
      </c>
      <c r="F102" s="16">
        <f>D102*E102</f>
        <v/>
      </c>
    </row>
    <row r="103">
      <c r="A103" s="13" t="inlineStr">
        <is>
          <t>7254</t>
        </is>
      </c>
      <c r="B103" s="14" t="inlineStr">
        <is>
          <t>Hardening compound</t>
        </is>
      </c>
      <c r="C103" s="13" t="inlineStr">
        <is>
          <t>litre</t>
        </is>
      </c>
      <c r="D103" s="15" t="n">
        <v>2.44</v>
      </c>
      <c r="E103" s="16" t="n">
        <v>38</v>
      </c>
      <c r="F103" s="16">
        <f>D103*E103</f>
        <v/>
      </c>
    </row>
    <row r="104">
      <c r="A104" s="13" t="inlineStr">
        <is>
          <t>9977</t>
        </is>
      </c>
      <c r="B104" s="14" t="inlineStr">
        <is>
          <t>Carriage of Hardening compound</t>
        </is>
      </c>
      <c r="C104" s="13" t="inlineStr">
        <is>
          <t>L.S.</t>
        </is>
      </c>
      <c r="D104" s="15" t="n">
        <v>2.73</v>
      </c>
      <c r="E104" s="16" t="n">
        <v>2</v>
      </c>
      <c r="F104" s="16">
        <f>D104*E104</f>
        <v/>
      </c>
    </row>
    <row r="105">
      <c r="A105" s="13" t="inlineStr">
        <is>
          <t>0124</t>
        </is>
      </c>
      <c r="B105" s="14" t="inlineStr">
        <is>
          <t>Mason (brick layer) 2nd class</t>
        </is>
      </c>
      <c r="C105" s="13" t="inlineStr">
        <is>
          <t>day</t>
        </is>
      </c>
      <c r="D105" s="15" t="n">
        <v>2.15</v>
      </c>
      <c r="E105" s="16" t="n">
        <v>679</v>
      </c>
      <c r="F105" s="16">
        <f>D105*E105</f>
        <v/>
      </c>
    </row>
    <row r="106">
      <c r="A106" s="13" t="inlineStr">
        <is>
          <t>0114</t>
        </is>
      </c>
      <c r="B106" s="14" t="inlineStr">
        <is>
          <t>Beldar</t>
        </is>
      </c>
      <c r="C106" s="13" t="inlineStr">
        <is>
          <t>day</t>
        </is>
      </c>
      <c r="D106" s="15" t="n">
        <v>1.86</v>
      </c>
      <c r="E106" s="16" t="n">
        <v>558</v>
      </c>
      <c r="F106" s="16">
        <f>D106*E106</f>
        <v/>
      </c>
    </row>
    <row r="107">
      <c r="A107" s="13" t="inlineStr">
        <is>
          <t>0115</t>
        </is>
      </c>
      <c r="B107" s="14" t="inlineStr">
        <is>
          <t>Coolie</t>
        </is>
      </c>
      <c r="C107" s="13" t="inlineStr">
        <is>
          <t>day</t>
        </is>
      </c>
      <c r="D107" s="15" t="n">
        <v>1.88</v>
      </c>
      <c r="E107" s="16" t="n">
        <v>558</v>
      </c>
      <c r="F107" s="16">
        <f>D107*E107</f>
        <v/>
      </c>
    </row>
    <row r="108">
      <c r="A108" s="13" t="inlineStr">
        <is>
          <t>0101</t>
        </is>
      </c>
      <c r="B108" s="14" t="inlineStr">
        <is>
          <t>Bhisti</t>
        </is>
      </c>
      <c r="C108" s="13" t="inlineStr">
        <is>
          <t>day</t>
        </is>
      </c>
      <c r="D108" s="15" t="n">
        <v>0.27</v>
      </c>
      <c r="E108" s="16" t="n">
        <v>617</v>
      </c>
      <c r="F108" s="16">
        <f>D108*E108</f>
        <v/>
      </c>
    </row>
    <row r="109">
      <c r="A109" s="13" t="inlineStr">
        <is>
          <t>9999</t>
        </is>
      </c>
      <c r="B109" s="14" t="inlineStr">
        <is>
          <t>Sundries</t>
        </is>
      </c>
      <c r="C109" s="13" t="inlineStr">
        <is>
          <t>L.S.</t>
        </is>
      </c>
      <c r="D109" s="15" t="n">
        <v>53.82</v>
      </c>
      <c r="E109" s="16" t="n">
        <v>2</v>
      </c>
      <c r="F109" s="16">
        <f>D109*E109</f>
        <v/>
      </c>
    </row>
    <row r="110">
      <c r="A110" s="17" t="inlineStr">
        <is>
          <t>Resource Total (Material + Labour + Machinery, as printed)</t>
        </is>
      </c>
      <c r="B110" s="18" t="n"/>
      <c r="C110" s="18" t="n"/>
      <c r="D110" s="18" t="n"/>
      <c r="E110" s="18" t="n"/>
      <c r="F110" s="19">
        <f>SUM(F93:F109)</f>
        <v/>
      </c>
    </row>
    <row r="111">
      <c r="A111" s="20" t="inlineStr">
        <is>
          <t>SAY (Rs.) — final DAR rate</t>
        </is>
      </c>
      <c r="B111" s="21" t="n"/>
      <c r="C111" s="21" t="n"/>
      <c r="D111" s="21" t="n"/>
      <c r="E111" s="21" t="n"/>
      <c r="F111" s="22" t="n">
        <v>854.3</v>
      </c>
    </row>
    <row r="113" ht="18" customHeight="1">
      <c r="A113" s="9" t="inlineStr">
        <is>
          <t>11.6.1</t>
        </is>
      </c>
      <c r="B113" s="10" t="inlineStr">
        <is>
          <t>18 mm thick</t>
        </is>
      </c>
      <c r="C113" s="11" t="n"/>
      <c r="D113" s="11" t="n"/>
      <c r="E113" s="11" t="n"/>
      <c r="F113" s="11" t="n"/>
    </row>
    <row r="114">
      <c r="A114" s="12" t="inlineStr">
        <is>
          <t>Rate basis: per sqm  (source: cost for 10 sqm)</t>
        </is>
      </c>
    </row>
    <row r="115">
      <c r="A115" s="5" t="inlineStr">
        <is>
          <t>Code</t>
        </is>
      </c>
      <c r="B115" s="5" t="inlineStr">
        <is>
          <t>Description</t>
        </is>
      </c>
      <c r="C115" s="5" t="inlineStr">
        <is>
          <t>Unit</t>
        </is>
      </c>
      <c r="D115" s="5" t="inlineStr">
        <is>
          <t>Quantity</t>
        </is>
      </c>
      <c r="E115" s="5" t="inlineStr">
        <is>
          <t>Rate (Rs.)</t>
        </is>
      </c>
      <c r="F115" s="5" t="inlineStr">
        <is>
          <t>Amount (Rs.)</t>
        </is>
      </c>
    </row>
    <row r="116">
      <c r="A116" s="13" t="inlineStr">
        <is>
          <t>3.8</t>
        </is>
      </c>
      <c r="B116" s="14" t="inlineStr">
        <is>
          <t>Rate as per SH: 3.8</t>
        </is>
      </c>
      <c r="C116" s="13" t="inlineStr">
        <is>
          <t>cum</t>
        </is>
      </c>
      <c r="D116" s="15" t="n">
        <v>0.235</v>
      </c>
      <c r="E116" s="16" t="n">
        <v>4664.55</v>
      </c>
      <c r="F116" s="16">
        <f>D116*E116</f>
        <v/>
      </c>
    </row>
    <row r="117">
      <c r="A117" s="13" t="inlineStr">
        <is>
          <t>0367</t>
        </is>
      </c>
      <c r="B117" s="14" t="inlineStr">
        <is>
          <t>Portland Cement</t>
        </is>
      </c>
      <c r="C117" s="13" t="inlineStr">
        <is>
          <t>tonne</t>
        </is>
      </c>
      <c r="D117" s="15" t="n">
        <v>0.02</v>
      </c>
      <c r="E117" s="16" t="n">
        <v>4940</v>
      </c>
      <c r="F117" s="16">
        <f>D117*E117</f>
        <v/>
      </c>
    </row>
    <row r="118">
      <c r="A118" s="13" t="inlineStr">
        <is>
          <t>2209</t>
        </is>
      </c>
      <c r="B118" s="14" t="inlineStr">
        <is>
          <t>Carriage of Cement</t>
        </is>
      </c>
      <c r="C118" s="13" t="inlineStr">
        <is>
          <t>tonne</t>
        </is>
      </c>
      <c r="D118" s="15" t="n">
        <v>0.02</v>
      </c>
      <c r="E118" s="16" t="n">
        <v>92.23999999999999</v>
      </c>
      <c r="F118" s="16">
        <f>D118*E118</f>
        <v/>
      </c>
    </row>
    <row r="119">
      <c r="A119" s="13" t="inlineStr">
        <is>
          <t>0124</t>
        </is>
      </c>
      <c r="B119" s="14" t="inlineStr">
        <is>
          <t>Mason (brick layer) 2nd class</t>
        </is>
      </c>
      <c r="C119" s="13" t="inlineStr">
        <is>
          <t>day</t>
        </is>
      </c>
      <c r="D119" s="15" t="n">
        <v>1.88</v>
      </c>
      <c r="E119" s="16" t="n">
        <v>679</v>
      </c>
      <c r="F119" s="16">
        <f>D119*E119</f>
        <v/>
      </c>
    </row>
    <row r="120">
      <c r="A120" s="13" t="inlineStr">
        <is>
          <t>0115</t>
        </is>
      </c>
      <c r="B120" s="14" t="inlineStr">
        <is>
          <t>Coolie</t>
        </is>
      </c>
      <c r="C120" s="13" t="inlineStr">
        <is>
          <t>day</t>
        </is>
      </c>
      <c r="D120" s="15" t="n">
        <v>1.88</v>
      </c>
      <c r="E120" s="16" t="n">
        <v>558</v>
      </c>
      <c r="F120" s="16">
        <f>D120*E120</f>
        <v/>
      </c>
    </row>
    <row r="121">
      <c r="A121" s="13" t="inlineStr">
        <is>
          <t>0101</t>
        </is>
      </c>
      <c r="B121" s="14" t="inlineStr">
        <is>
          <t>Bhisti</t>
        </is>
      </c>
      <c r="C121" s="13" t="inlineStr">
        <is>
          <t>day</t>
        </is>
      </c>
      <c r="D121" s="15" t="n">
        <v>0.54</v>
      </c>
      <c r="E121" s="16" t="n">
        <v>617</v>
      </c>
      <c r="F121" s="16">
        <f>D121*E121</f>
        <v/>
      </c>
    </row>
    <row r="122">
      <c r="A122" s="13" t="inlineStr">
        <is>
          <t>9999</t>
        </is>
      </c>
      <c r="B122" s="14" t="inlineStr">
        <is>
          <t>Sundries</t>
        </is>
      </c>
      <c r="C122" s="13" t="inlineStr">
        <is>
          <t>L.S.</t>
        </is>
      </c>
      <c r="D122" s="15" t="n">
        <v>19.76</v>
      </c>
      <c r="E122" s="16" t="n">
        <v>2</v>
      </c>
      <c r="F122" s="16">
        <f>D122*E122</f>
        <v/>
      </c>
    </row>
    <row r="123">
      <c r="A123" s="17" t="inlineStr">
        <is>
          <t>Resource Total (Material + Labour + Machinery, as printed)</t>
        </is>
      </c>
      <c r="B123" s="18" t="n"/>
      <c r="C123" s="18" t="n"/>
      <c r="D123" s="18" t="n"/>
      <c r="E123" s="18" t="n"/>
      <c r="F123" s="19">
        <f>SUM(F116:F122)</f>
        <v/>
      </c>
    </row>
    <row r="124">
      <c r="A124" s="20" t="inlineStr">
        <is>
          <t>SAY (Rs.) — final DAR rate</t>
        </is>
      </c>
      <c r="B124" s="21" t="n"/>
      <c r="C124" s="21" t="n"/>
      <c r="D124" s="21" t="n"/>
      <c r="E124" s="21" t="n"/>
      <c r="F124" s="22" t="n">
        <v>521.15</v>
      </c>
    </row>
    <row r="126" ht="28" customHeight="1">
      <c r="A126" s="9" t="inlineStr">
        <is>
          <t>11.7</t>
        </is>
      </c>
      <c r="B126" s="10" t="inlineStr">
        <is>
          <t>Cement concrete pavement with 1:2:4 (1 cement : 2 coarse sand : 4 graded stone aggregate 20 mm nominal size), including finishing complete.</t>
        </is>
      </c>
      <c r="C126" s="11" t="n"/>
      <c r="D126" s="11" t="n"/>
      <c r="E126" s="11" t="n"/>
      <c r="F126" s="11" t="n"/>
    </row>
    <row r="127">
      <c r="A127" s="12" t="inlineStr">
        <is>
          <t>Rate basis: per nos  (source: cost for 1 nos)</t>
        </is>
      </c>
    </row>
    <row r="128">
      <c r="A128" s="5" t="inlineStr">
        <is>
          <t>Code</t>
        </is>
      </c>
      <c r="B128" s="5" t="inlineStr">
        <is>
          <t>Description</t>
        </is>
      </c>
      <c r="C128" s="5" t="inlineStr">
        <is>
          <t>Unit</t>
        </is>
      </c>
      <c r="D128" s="5" t="inlineStr">
        <is>
          <t>Quantity</t>
        </is>
      </c>
      <c r="E128" s="5" t="inlineStr">
        <is>
          <t>Rate (Rs.)</t>
        </is>
      </c>
      <c r="F128" s="5" t="inlineStr">
        <is>
          <t>Amount (Rs.)</t>
        </is>
      </c>
    </row>
    <row r="129">
      <c r="A129" s="13" t="inlineStr">
        <is>
          <t>4.1.3</t>
        </is>
      </c>
      <c r="B129" s="14" t="inlineStr">
        <is>
          <t>Rate as per SH: 4.1.3</t>
        </is>
      </c>
      <c r="C129" s="13" t="inlineStr">
        <is>
          <t>cum</t>
        </is>
      </c>
      <c r="D129" s="15" t="n">
        <v>1</v>
      </c>
      <c r="E129" s="16" t="n">
        <v>6788.6</v>
      </c>
      <c r="F129" s="16">
        <f>D129*E129</f>
        <v/>
      </c>
    </row>
    <row r="130">
      <c r="A130" s="13" t="inlineStr">
        <is>
          <t>0124</t>
        </is>
      </c>
      <c r="B130" s="14" t="inlineStr">
        <is>
          <t>Mason (brick layer) 2nd class</t>
        </is>
      </c>
      <c r="C130" s="13" t="inlineStr">
        <is>
          <t>day</t>
        </is>
      </c>
      <c r="D130" s="15" t="n">
        <v>0.35</v>
      </c>
      <c r="E130" s="16" t="n">
        <v>679</v>
      </c>
      <c r="F130" s="16">
        <f>D130*E130</f>
        <v/>
      </c>
    </row>
    <row r="131">
      <c r="A131" s="13" t="inlineStr">
        <is>
          <t>0114</t>
        </is>
      </c>
      <c r="B131" s="14" t="inlineStr">
        <is>
          <t>Beldar</t>
        </is>
      </c>
      <c r="C131" s="13" t="inlineStr">
        <is>
          <t>day</t>
        </is>
      </c>
      <c r="D131" s="15" t="n">
        <v>0.18</v>
      </c>
      <c r="E131" s="16" t="n">
        <v>558</v>
      </c>
      <c r="F131" s="16">
        <f>D131*E131</f>
        <v/>
      </c>
    </row>
    <row r="132">
      <c r="A132" s="13" t="inlineStr">
        <is>
          <t>0101</t>
        </is>
      </c>
      <c r="B132" s="14" t="inlineStr">
        <is>
          <t>Bhisti</t>
        </is>
      </c>
      <c r="C132" s="13" t="inlineStr">
        <is>
          <t>day</t>
        </is>
      </c>
      <c r="D132" s="15" t="n">
        <v>0.05</v>
      </c>
      <c r="E132" s="16" t="n">
        <v>617</v>
      </c>
      <c r="F132" s="16">
        <f>D132*E132</f>
        <v/>
      </c>
    </row>
    <row r="133">
      <c r="A133" s="13" t="inlineStr">
        <is>
          <t>9999</t>
        </is>
      </c>
      <c r="B133" s="14" t="inlineStr">
        <is>
          <t>Sundries</t>
        </is>
      </c>
      <c r="C133" s="13" t="inlineStr">
        <is>
          <t>L.S.</t>
        </is>
      </c>
      <c r="D133" s="15" t="n">
        <v>19.76</v>
      </c>
      <c r="E133" s="16" t="n">
        <v>2</v>
      </c>
      <c r="F133" s="16">
        <f>D133*E133</f>
        <v/>
      </c>
    </row>
    <row r="134">
      <c r="A134" s="17" t="inlineStr">
        <is>
          <t>Resource Total (Material + Labour + Machinery, as printed)</t>
        </is>
      </c>
      <c r="B134" s="18" t="n"/>
      <c r="C134" s="18" t="n"/>
      <c r="D134" s="18" t="n"/>
      <c r="E134" s="18" t="n"/>
      <c r="F134" s="19">
        <f>SUM(F129:F133)</f>
        <v/>
      </c>
    </row>
    <row r="135">
      <c r="A135" s="20" t="inlineStr">
        <is>
          <t>SAY (Rs.) — final DAR rate</t>
        </is>
      </c>
      <c r="B135" s="21" t="n"/>
      <c r="C135" s="21" t="n"/>
      <c r="D135" s="21" t="n"/>
      <c r="E135" s="21" t="n"/>
      <c r="F135" s="22" t="n">
        <v>7335.1</v>
      </c>
    </row>
    <row r="137" ht="28" customHeight="1">
      <c r="A137" s="9" t="inlineStr">
        <is>
          <t>11.8</t>
        </is>
      </c>
      <c r="B137" s="10" t="inlineStr">
        <is>
          <t>Extra for making chequers of approved pattern on cement concrete floors, steps, landing, pavements etc.</t>
        </is>
      </c>
      <c r="C137" s="11" t="n"/>
      <c r="D137" s="11" t="n"/>
      <c r="E137" s="11" t="n"/>
      <c r="F137" s="11" t="n"/>
    </row>
    <row r="138">
      <c r="A138" s="12" t="inlineStr">
        <is>
          <t>Rate basis: per sqm  (source: cost for 10 sqm)</t>
        </is>
      </c>
    </row>
    <row r="139">
      <c r="A139" s="5" t="inlineStr">
        <is>
          <t>Code</t>
        </is>
      </c>
      <c r="B139" s="5" t="inlineStr">
        <is>
          <t>Description</t>
        </is>
      </c>
      <c r="C139" s="5" t="inlineStr">
        <is>
          <t>Unit</t>
        </is>
      </c>
      <c r="D139" s="5" t="inlineStr">
        <is>
          <t>Quantity</t>
        </is>
      </c>
      <c r="E139" s="5" t="inlineStr">
        <is>
          <t>Rate (Rs.)</t>
        </is>
      </c>
      <c r="F139" s="5" t="inlineStr">
        <is>
          <t>Amount (Rs.)</t>
        </is>
      </c>
    </row>
    <row r="140">
      <c r="A140" s="13" t="inlineStr">
        <is>
          <t>0124</t>
        </is>
      </c>
      <c r="B140" s="14" t="inlineStr">
        <is>
          <t>Mason (brick layer) 2nd class</t>
        </is>
      </c>
      <c r="C140" s="13" t="inlineStr">
        <is>
          <t>day</t>
        </is>
      </c>
      <c r="D140" s="15" t="n">
        <v>0.36</v>
      </c>
      <c r="E140" s="16" t="n">
        <v>679</v>
      </c>
      <c r="F140" s="16">
        <f>D140*E140</f>
        <v/>
      </c>
    </row>
    <row r="141">
      <c r="A141" s="13" t="inlineStr">
        <is>
          <t>0114</t>
        </is>
      </c>
      <c r="B141" s="14" t="inlineStr">
        <is>
          <t>Beldar</t>
        </is>
      </c>
      <c r="C141" s="13" t="inlineStr">
        <is>
          <t>day</t>
        </is>
      </c>
      <c r="D141" s="15" t="n">
        <v>0.36</v>
      </c>
      <c r="E141" s="16" t="n">
        <v>558</v>
      </c>
      <c r="F141" s="16">
        <f>D141*E141</f>
        <v/>
      </c>
    </row>
    <row r="142">
      <c r="A142" s="13" t="inlineStr">
        <is>
          <t>9999</t>
        </is>
      </c>
      <c r="B142" s="14" t="inlineStr">
        <is>
          <t>Chequered plate etc.</t>
        </is>
      </c>
      <c r="C142" s="13" t="inlineStr">
        <is>
          <t>L.S.</t>
        </is>
      </c>
      <c r="D142" s="15" t="n">
        <v>13.52</v>
      </c>
      <c r="E142" s="16" t="n">
        <v>2</v>
      </c>
      <c r="F142" s="16">
        <f>D142*E142</f>
        <v/>
      </c>
    </row>
    <row r="143">
      <c r="A143" s="17" t="inlineStr">
        <is>
          <t>Resource Total (Material + Labour + Machinery, as printed)</t>
        </is>
      </c>
      <c r="B143" s="18" t="n"/>
      <c r="C143" s="18" t="n"/>
      <c r="D143" s="18" t="n"/>
      <c r="E143" s="18" t="n"/>
      <c r="F143" s="19">
        <f>SUM(F140:F142)</f>
        <v/>
      </c>
    </row>
    <row r="144">
      <c r="A144" s="20" t="inlineStr">
        <is>
          <t>SAY (Rs.) — final DAR rate</t>
        </is>
      </c>
      <c r="B144" s="21" t="n"/>
      <c r="C144" s="21" t="n"/>
      <c r="D144" s="21" t="n"/>
      <c r="E144" s="21" t="n"/>
      <c r="F144" s="22" t="n">
        <v>63.2</v>
      </c>
    </row>
    <row r="146" ht="18" customHeight="1">
      <c r="A146" s="9" t="inlineStr">
        <is>
          <t>11.9.1</t>
        </is>
      </c>
      <c r="B146" s="10" t="inlineStr">
        <is>
          <t>Dark shade pigment with ordinary cement</t>
        </is>
      </c>
      <c r="C146" s="11" t="n"/>
      <c r="D146" s="11" t="n"/>
      <c r="E146" s="11" t="n"/>
      <c r="F146" s="11" t="n"/>
    </row>
    <row r="147">
      <c r="A147" s="12" t="inlineStr">
        <is>
          <t>Rate basis: per sqm  (source: cost for 10 sqm)</t>
        </is>
      </c>
    </row>
    <row r="148">
      <c r="A148" s="5" t="inlineStr">
        <is>
          <t>Code</t>
        </is>
      </c>
      <c r="B148" s="5" t="inlineStr">
        <is>
          <t>Description</t>
        </is>
      </c>
      <c r="C148" s="5" t="inlineStr">
        <is>
          <t>Unit</t>
        </is>
      </c>
      <c r="D148" s="5" t="inlineStr">
        <is>
          <t>Quantity</t>
        </is>
      </c>
      <c r="E148" s="5" t="inlineStr">
        <is>
          <t>Rate (Rs.)</t>
        </is>
      </c>
      <c r="F148" s="5" t="inlineStr">
        <is>
          <t>Amount (Rs.)</t>
        </is>
      </c>
    </row>
    <row r="149">
      <c r="A149" s="13" t="inlineStr">
        <is>
          <t>0296</t>
        </is>
      </c>
      <c r="B149" s="14" t="inlineStr">
        <is>
          <t>Stone Aggregate (Single size) : 12.5 mm nominal size</t>
        </is>
      </c>
      <c r="C149" s="13" t="inlineStr">
        <is>
          <t>cum</t>
        </is>
      </c>
      <c r="D149" s="15" t="n">
        <v>0.227</v>
      </c>
      <c r="E149" s="16" t="n">
        <v>1350</v>
      </c>
      <c r="F149" s="16">
        <f>D149*E149</f>
        <v/>
      </c>
    </row>
    <row r="150">
      <c r="A150" s="13" t="inlineStr">
        <is>
          <t>0297</t>
        </is>
      </c>
      <c r="B150" s="14" t="inlineStr">
        <is>
          <t>Stone Aggregate (Single size) : 10 mm nominal size</t>
        </is>
      </c>
      <c r="C150" s="13" t="inlineStr">
        <is>
          <t>cum</t>
        </is>
      </c>
      <c r="D150" s="15" t="n">
        <v>0.076</v>
      </c>
      <c r="E150" s="16" t="n">
        <v>1350</v>
      </c>
      <c r="F150" s="16">
        <f>D150*E150</f>
        <v/>
      </c>
    </row>
    <row r="151">
      <c r="A151" s="13" t="inlineStr">
        <is>
          <t>2202</t>
        </is>
      </c>
      <c r="B151" s="14" t="inlineStr">
        <is>
          <t>Carriage of Stone aggregate below 40 mm nominal size</t>
        </is>
      </c>
      <c r="C151" s="13" t="inlineStr">
        <is>
          <t>cum</t>
        </is>
      </c>
      <c r="D151" s="15" t="n">
        <v>0.303</v>
      </c>
      <c r="E151" s="16" t="n">
        <v>103.77</v>
      </c>
      <c r="F151" s="16">
        <f>D151*E151</f>
        <v/>
      </c>
    </row>
    <row r="152">
      <c r="A152" s="13" t="inlineStr">
        <is>
          <t>0982</t>
        </is>
      </c>
      <c r="B152" s="14" t="inlineStr">
        <is>
          <t>Coarse sand (zone III)</t>
        </is>
      </c>
      <c r="C152" s="13" t="inlineStr">
        <is>
          <t>cum</t>
        </is>
      </c>
      <c r="D152" s="15" t="n">
        <v>0.151</v>
      </c>
      <c r="E152" s="16" t="n">
        <v>1350</v>
      </c>
      <c r="F152" s="16">
        <f>D152*E152</f>
        <v/>
      </c>
    </row>
    <row r="153">
      <c r="A153" s="13" t="inlineStr">
        <is>
          <t>2203</t>
        </is>
      </c>
      <c r="B153" s="14" t="inlineStr">
        <is>
          <t>Carriage of Coarse sand</t>
        </is>
      </c>
      <c r="C153" s="13" t="inlineStr">
        <is>
          <t>cum</t>
        </is>
      </c>
      <c r="D153" s="15" t="n">
        <v>0.151</v>
      </c>
      <c r="E153" s="16" t="n">
        <v>103.77</v>
      </c>
      <c r="F153" s="16">
        <f>D153*E153</f>
        <v/>
      </c>
    </row>
    <row r="154">
      <c r="A154" s="13" t="inlineStr">
        <is>
          <t>0367</t>
        </is>
      </c>
      <c r="B154" s="14" t="inlineStr">
        <is>
          <t>Portland Cement</t>
        </is>
      </c>
      <c r="C154" s="13" t="inlineStr">
        <is>
          <t>tonne</t>
        </is>
      </c>
      <c r="D154" s="15" t="n">
        <v>0.109</v>
      </c>
      <c r="E154" s="16" t="n">
        <v>4940</v>
      </c>
      <c r="F154" s="16">
        <f>D154*E154</f>
        <v/>
      </c>
    </row>
    <row r="155">
      <c r="A155" s="13" t="inlineStr">
        <is>
          <t>0367</t>
        </is>
      </c>
      <c r="B155" s="14" t="inlineStr">
        <is>
          <t>Portland Cement</t>
        </is>
      </c>
      <c r="C155" s="13" t="inlineStr">
        <is>
          <t>tonne</t>
        </is>
      </c>
      <c r="D155" s="15" t="n">
        <v>0.02</v>
      </c>
      <c r="E155" s="16" t="n">
        <v>4940</v>
      </c>
      <c r="F155" s="16">
        <f>D155*E155</f>
        <v/>
      </c>
    </row>
    <row r="156">
      <c r="A156" s="13" t="inlineStr">
        <is>
          <t>2209</t>
        </is>
      </c>
      <c r="B156" s="14" t="inlineStr">
        <is>
          <t>Carriage of Cement</t>
        </is>
      </c>
      <c r="C156" s="13" t="inlineStr">
        <is>
          <t>tonne</t>
        </is>
      </c>
      <c r="D156" s="15" t="n">
        <v>0.129</v>
      </c>
      <c r="E156" s="16" t="n">
        <v>92.23999999999999</v>
      </c>
      <c r="F156" s="16">
        <f>D156*E156</f>
        <v/>
      </c>
    </row>
    <row r="157">
      <c r="A157" s="13" t="inlineStr">
        <is>
          <t>0785</t>
        </is>
      </c>
      <c r="B157" s="14" t="inlineStr">
        <is>
          <t>Marble chips upto 4mm and downsize White &amp; black</t>
        </is>
      </c>
      <c r="C157" s="13" t="inlineStr">
        <is>
          <t>quintal</t>
        </is>
      </c>
      <c r="D157" s="15" t="n">
        <v>0.872</v>
      </c>
      <c r="E157" s="16" t="n">
        <v>189</v>
      </c>
      <c r="F157" s="16">
        <f>D157*E157</f>
        <v/>
      </c>
    </row>
    <row r="158">
      <c r="A158" s="13" t="inlineStr">
        <is>
          <t>2268</t>
        </is>
      </c>
      <c r="B158" s="14" t="inlineStr">
        <is>
          <t>Carriage of Marble dust and marble chips</t>
        </is>
      </c>
      <c r="C158" s="13" t="inlineStr">
        <is>
          <t>cum</t>
        </is>
      </c>
      <c r="D158" s="15" t="n">
        <v>0.051</v>
      </c>
      <c r="E158" s="16" t="n">
        <v>103.77</v>
      </c>
      <c r="F158" s="16">
        <f>D158*E158</f>
        <v/>
      </c>
    </row>
    <row r="159">
      <c r="A159" s="13" t="inlineStr">
        <is>
          <t>0367</t>
        </is>
      </c>
      <c r="B159" s="14" t="inlineStr">
        <is>
          <t>Portland Cement</t>
        </is>
      </c>
      <c r="C159" s="13" t="inlineStr">
        <is>
          <t>tonne</t>
        </is>
      </c>
      <c r="D159" s="15" t="n">
        <v>0.0405</v>
      </c>
      <c r="E159" s="16" t="n">
        <v>4940</v>
      </c>
      <c r="F159" s="16">
        <f>D159*E159</f>
        <v/>
      </c>
    </row>
    <row r="160">
      <c r="A160" s="13" t="inlineStr">
        <is>
          <t>2209</t>
        </is>
      </c>
      <c r="B160" s="14" t="inlineStr">
        <is>
          <t>Carriage of Cement</t>
        </is>
      </c>
      <c r="C160" s="13" t="inlineStr">
        <is>
          <t>tonne</t>
        </is>
      </c>
      <c r="D160" s="15" t="n">
        <v>0.0405</v>
      </c>
      <c r="E160" s="16" t="n">
        <v>92.23999999999999</v>
      </c>
      <c r="F160" s="16">
        <f>D160*E160</f>
        <v/>
      </c>
    </row>
    <row r="161">
      <c r="A161" s="13" t="inlineStr">
        <is>
          <t>0784</t>
        </is>
      </c>
      <c r="B161" s="14" t="inlineStr">
        <is>
          <t>Marble dust/ powder</t>
        </is>
      </c>
      <c r="C161" s="13" t="inlineStr">
        <is>
          <t>cum</t>
        </is>
      </c>
      <c r="D161" s="15" t="n">
        <v>0.007</v>
      </c>
      <c r="E161" s="16" t="n">
        <v>1130</v>
      </c>
      <c r="F161" s="16">
        <f>D161*E161</f>
        <v/>
      </c>
    </row>
    <row r="162">
      <c r="A162" s="13" t="inlineStr">
        <is>
          <t>0874</t>
        </is>
      </c>
      <c r="B162" s="14" t="inlineStr">
        <is>
          <t>Black colour dark shade pigment</t>
        </is>
      </c>
      <c r="C162" s="13" t="inlineStr">
        <is>
          <t>kilogram</t>
        </is>
      </c>
      <c r="D162" s="15" t="n">
        <v>2.84</v>
      </c>
      <c r="E162" s="16" t="n">
        <v>70</v>
      </c>
      <c r="F162" s="16">
        <f>D162*E162</f>
        <v/>
      </c>
    </row>
    <row r="163">
      <c r="A163" s="13" t="inlineStr">
        <is>
          <t>9977</t>
        </is>
      </c>
      <c r="B163" s="14" t="inlineStr">
        <is>
          <t>Carriage of pigment &amp; marble powder etc.</t>
        </is>
      </c>
      <c r="C163" s="13" t="inlineStr">
        <is>
          <t>L.S.</t>
        </is>
      </c>
      <c r="D163" s="15" t="n">
        <v>3.64</v>
      </c>
      <c r="E163" s="16" t="n">
        <v>2</v>
      </c>
      <c r="F163" s="16">
        <f>D163*E163</f>
        <v/>
      </c>
    </row>
    <row r="164">
      <c r="A164" s="13" t="inlineStr">
        <is>
          <t>0124</t>
        </is>
      </c>
      <c r="B164" s="14" t="inlineStr">
        <is>
          <t>Mason (brick layer) 2nd class</t>
        </is>
      </c>
      <c r="C164" s="13" t="inlineStr">
        <is>
          <t>day</t>
        </is>
      </c>
      <c r="D164" s="15" t="n">
        <v>1.79</v>
      </c>
      <c r="E164" s="16" t="n">
        <v>679</v>
      </c>
      <c r="F164" s="16">
        <f>D164*E164</f>
        <v/>
      </c>
    </row>
    <row r="165">
      <c r="A165" s="13" t="inlineStr">
        <is>
          <t>0114</t>
        </is>
      </c>
      <c r="B165" s="14" t="inlineStr">
        <is>
          <t>Beldar</t>
        </is>
      </c>
      <c r="C165" s="13" t="inlineStr">
        <is>
          <t>day</t>
        </is>
      </c>
      <c r="D165" s="15" t="n">
        <v>1.99</v>
      </c>
      <c r="E165" s="16" t="n">
        <v>558</v>
      </c>
      <c r="F165" s="16">
        <f>D165*E165</f>
        <v/>
      </c>
    </row>
    <row r="166">
      <c r="A166" s="13" t="inlineStr">
        <is>
          <t>0101</t>
        </is>
      </c>
      <c r="B166" s="14" t="inlineStr">
        <is>
          <t>Bhisti</t>
        </is>
      </c>
      <c r="C166" s="13" t="inlineStr">
        <is>
          <t>day</t>
        </is>
      </c>
      <c r="D166" s="15" t="n">
        <v>1.04</v>
      </c>
      <c r="E166" s="16" t="n">
        <v>617</v>
      </c>
      <c r="F166" s="16">
        <f>D166*E166</f>
        <v/>
      </c>
    </row>
    <row r="167">
      <c r="A167" s="13" t="inlineStr">
        <is>
          <t>0139</t>
        </is>
      </c>
      <c r="B167" s="14" t="inlineStr">
        <is>
          <t>Skilled Beldar (for floor rubbing etc.)</t>
        </is>
      </c>
      <c r="C167" s="13" t="inlineStr">
        <is>
          <t>day</t>
        </is>
      </c>
      <c r="D167" s="15" t="n">
        <v>1</v>
      </c>
      <c r="E167" s="16" t="n">
        <v>617</v>
      </c>
      <c r="F167" s="16">
        <f>D167*E167</f>
        <v/>
      </c>
    </row>
    <row r="168">
      <c r="A168" s="13" t="inlineStr">
        <is>
          <t>0127</t>
        </is>
      </c>
      <c r="B168" s="14" t="inlineStr">
        <is>
          <t>Driver (for Road Roller, Concrete Mixer, Truck etc.)</t>
        </is>
      </c>
      <c r="C168" s="13" t="inlineStr">
        <is>
          <t>day</t>
        </is>
      </c>
      <c r="D168" s="15" t="n">
        <v>0.03</v>
      </c>
      <c r="E168" s="16" t="n">
        <v>738</v>
      </c>
      <c r="F168" s="16">
        <f>D168*E168</f>
        <v/>
      </c>
    </row>
    <row r="169">
      <c r="A169" s="13" t="inlineStr">
        <is>
          <t>0002</t>
        </is>
      </c>
      <c r="B169" s="14" t="inlineStr">
        <is>
          <t>Hire charges of Concrete Mixer 0.25 to 0.40 cum with hooper</t>
        </is>
      </c>
      <c r="C169" s="13" t="inlineStr">
        <is>
          <t>day</t>
        </is>
      </c>
      <c r="D169" s="15" t="n">
        <v>0.03</v>
      </c>
      <c r="E169" s="16" t="n">
        <v>800</v>
      </c>
      <c r="F169" s="16">
        <f>D169*E169</f>
        <v/>
      </c>
    </row>
    <row r="170">
      <c r="A170" s="13" t="inlineStr">
        <is>
          <t>0013</t>
        </is>
      </c>
      <c r="B170" s="14" t="inlineStr">
        <is>
          <t>Machine for rubbing of floors</t>
        </is>
      </c>
      <c r="C170" s="13" t="inlineStr">
        <is>
          <t>day</t>
        </is>
      </c>
      <c r="D170" s="15" t="n">
        <v>1.6</v>
      </c>
      <c r="E170" s="16" t="n">
        <v>300</v>
      </c>
      <c r="F170" s="16">
        <f>D170*E170</f>
        <v/>
      </c>
    </row>
    <row r="171">
      <c r="A171" s="13" t="inlineStr">
        <is>
          <t>9999</t>
        </is>
      </c>
      <c r="B171" s="14" t="inlineStr">
        <is>
          <t>Sundries</t>
        </is>
      </c>
      <c r="C171" s="13" t="inlineStr">
        <is>
          <t>L.S.</t>
        </is>
      </c>
      <c r="D171" s="15" t="n">
        <v>161.46</v>
      </c>
      <c r="E171" s="16" t="n">
        <v>2</v>
      </c>
      <c r="F171" s="16">
        <f>D171*E171</f>
        <v/>
      </c>
    </row>
    <row r="172">
      <c r="A172" s="17" t="inlineStr">
        <is>
          <t>Resource Total (Material + Labour + Machinery, as printed)</t>
        </is>
      </c>
      <c r="B172" s="18" t="n"/>
      <c r="C172" s="18" t="n"/>
      <c r="D172" s="18" t="n"/>
      <c r="E172" s="18" t="n"/>
      <c r="F172" s="19">
        <f>SUM(F149:F171)</f>
        <v/>
      </c>
    </row>
    <row r="173">
      <c r="A173" s="20" t="inlineStr">
        <is>
          <t>SAY (Rs.) — final DAR rate</t>
        </is>
      </c>
      <c r="B173" s="21" t="n"/>
      <c r="C173" s="21" t="n"/>
      <c r="D173" s="21" t="n"/>
      <c r="E173" s="21" t="n"/>
      <c r="F173" s="22" t="n">
        <v>847</v>
      </c>
    </row>
    <row r="175" ht="18" customHeight="1">
      <c r="A175" s="9" t="inlineStr">
        <is>
          <t>11.9.2</t>
        </is>
      </c>
      <c r="B175" s="10" t="inlineStr">
        <is>
          <t>Light shade pigment with white cement</t>
        </is>
      </c>
      <c r="C175" s="11" t="n"/>
      <c r="D175" s="11" t="n"/>
      <c r="E175" s="11" t="n"/>
      <c r="F175" s="11" t="n"/>
    </row>
    <row r="176">
      <c r="A176" s="12" t="inlineStr">
        <is>
          <t>Rate basis: per sqm  (source: cost for 10 sqm)</t>
        </is>
      </c>
    </row>
    <row r="177">
      <c r="A177" s="5" t="inlineStr">
        <is>
          <t>Code</t>
        </is>
      </c>
      <c r="B177" s="5" t="inlineStr">
        <is>
          <t>Description</t>
        </is>
      </c>
      <c r="C177" s="5" t="inlineStr">
        <is>
          <t>Unit</t>
        </is>
      </c>
      <c r="D177" s="5" t="inlineStr">
        <is>
          <t>Quantity</t>
        </is>
      </c>
      <c r="E177" s="5" t="inlineStr">
        <is>
          <t>Rate (Rs.)</t>
        </is>
      </c>
      <c r="F177" s="5" t="inlineStr">
        <is>
          <t>Amount (Rs.)</t>
        </is>
      </c>
    </row>
    <row r="178">
      <c r="A178" s="13" t="inlineStr">
        <is>
          <t>11.9.1</t>
        </is>
      </c>
      <c r="B178" s="14" t="inlineStr">
        <is>
          <t>Rate as per SH: 11.9.1</t>
        </is>
      </c>
      <c r="C178" s="13" t="inlineStr">
        <is>
          <t>sqm</t>
        </is>
      </c>
      <c r="D178" s="15" t="n">
        <v>10</v>
      </c>
      <c r="E178" s="16" t="n">
        <v>847</v>
      </c>
      <c r="F178" s="16">
        <f>D178*E178</f>
        <v/>
      </c>
    </row>
    <row r="179">
      <c r="A179" s="13" t="inlineStr">
        <is>
          <t>0875</t>
        </is>
      </c>
      <c r="B179" s="14" t="inlineStr">
        <is>
          <t>Red, chocolate, orange, buff or yellow (red oxide of iron) light shade pigment</t>
        </is>
      </c>
      <c r="C179" s="13" t="inlineStr">
        <is>
          <t>kilogram</t>
        </is>
      </c>
      <c r="D179" s="15" t="n">
        <v>2.84</v>
      </c>
      <c r="E179" s="16" t="n">
        <v>60</v>
      </c>
      <c r="F179" s="16">
        <f>D179*E179</f>
        <v/>
      </c>
    </row>
    <row r="180">
      <c r="A180" s="13" t="inlineStr">
        <is>
          <t>0368</t>
        </is>
      </c>
      <c r="B180" s="14" t="inlineStr">
        <is>
          <t>White Cement</t>
        </is>
      </c>
      <c r="C180" s="13" t="inlineStr">
        <is>
          <t>tonne</t>
        </is>
      </c>
      <c r="D180" s="15" t="n">
        <v>0.0405</v>
      </c>
      <c r="E180" s="16" t="n">
        <v>11200</v>
      </c>
      <c r="F180" s="16">
        <f>D180*E180</f>
        <v/>
      </c>
    </row>
    <row r="181">
      <c r="A181" s="17" t="inlineStr">
        <is>
          <t>Resource Total (Material + Labour + Machinery, as printed)</t>
        </is>
      </c>
      <c r="B181" s="18" t="n"/>
      <c r="C181" s="18" t="n"/>
      <c r="D181" s="18" t="n"/>
      <c r="E181" s="18" t="n"/>
      <c r="F181" s="19">
        <f>SUM(F178:F180)</f>
        <v/>
      </c>
    </row>
    <row r="182">
      <c r="A182" s="20" t="inlineStr">
        <is>
          <t>SAY (Rs.) — final DAR rate</t>
        </is>
      </c>
      <c r="B182" s="21" t="n"/>
      <c r="C182" s="21" t="n"/>
      <c r="D182" s="21" t="n"/>
      <c r="E182" s="21" t="n"/>
      <c r="F182" s="22" t="n">
        <v>877.1</v>
      </c>
    </row>
    <row r="184" ht="18" customHeight="1">
      <c r="A184" s="9" t="inlineStr">
        <is>
          <t>11.9.3</t>
        </is>
      </c>
      <c r="B184" s="10" t="inlineStr">
        <is>
          <t>Medium shade pigment with 50% white cement and 50% ordinary cement</t>
        </is>
      </c>
      <c r="C184" s="11" t="n"/>
      <c r="D184" s="11" t="n"/>
      <c r="E184" s="11" t="n"/>
      <c r="F184" s="11" t="n"/>
    </row>
    <row r="185">
      <c r="A185" s="12" t="inlineStr">
        <is>
          <t>Rate basis: per sqm  (source: cost for 10 sqm)</t>
        </is>
      </c>
    </row>
    <row r="186">
      <c r="A186" s="5" t="inlineStr">
        <is>
          <t>Code</t>
        </is>
      </c>
      <c r="B186" s="5" t="inlineStr">
        <is>
          <t>Description</t>
        </is>
      </c>
      <c r="C186" s="5" t="inlineStr">
        <is>
          <t>Unit</t>
        </is>
      </c>
      <c r="D186" s="5" t="inlineStr">
        <is>
          <t>Quantity</t>
        </is>
      </c>
      <c r="E186" s="5" t="inlineStr">
        <is>
          <t>Rate (Rs.)</t>
        </is>
      </c>
      <c r="F186" s="5" t="inlineStr">
        <is>
          <t>Amount (Rs.)</t>
        </is>
      </c>
    </row>
    <row r="187">
      <c r="A187" s="13" t="inlineStr">
        <is>
          <t>11.9.1</t>
        </is>
      </c>
      <c r="B187" s="14" t="inlineStr">
        <is>
          <t>Rate as per SH: 11.9.1</t>
        </is>
      </c>
      <c r="C187" s="13" t="inlineStr">
        <is>
          <t>sqm</t>
        </is>
      </c>
      <c r="D187" s="15" t="n">
        <v>10</v>
      </c>
      <c r="E187" s="16" t="n">
        <v>847</v>
      </c>
      <c r="F187" s="16">
        <f>D187*E187</f>
        <v/>
      </c>
    </row>
    <row r="188">
      <c r="A188" s="13" t="inlineStr">
        <is>
          <t>0876</t>
        </is>
      </c>
      <c r="B188" s="14" t="inlineStr">
        <is>
          <t>Green or blue medium shade pigment</t>
        </is>
      </c>
      <c r="C188" s="13" t="inlineStr">
        <is>
          <t>kilogram</t>
        </is>
      </c>
      <c r="D188" s="15" t="n">
        <v>2.84</v>
      </c>
      <c r="E188" s="16" t="n">
        <v>56</v>
      </c>
      <c r="F188" s="16">
        <f>D188*E188</f>
        <v/>
      </c>
    </row>
    <row r="189">
      <c r="A189" s="13" t="inlineStr">
        <is>
          <t>0368</t>
        </is>
      </c>
      <c r="B189" s="14" t="inlineStr">
        <is>
          <t>White Cement</t>
        </is>
      </c>
      <c r="C189" s="13" t="inlineStr">
        <is>
          <t>tonne</t>
        </is>
      </c>
      <c r="D189" s="15" t="n">
        <v>0.0203</v>
      </c>
      <c r="E189" s="16" t="n">
        <v>11200</v>
      </c>
      <c r="F189" s="16">
        <f>D189*E189</f>
        <v/>
      </c>
    </row>
    <row r="190">
      <c r="A190" s="17" t="inlineStr">
        <is>
          <t>Resource Total (Material + Labour + Machinery, as printed)</t>
        </is>
      </c>
      <c r="B190" s="18" t="n"/>
      <c r="C190" s="18" t="n"/>
      <c r="D190" s="18" t="n"/>
      <c r="E190" s="18" t="n"/>
      <c r="F190" s="19">
        <f>SUM(F187:F189)</f>
        <v/>
      </c>
    </row>
    <row r="191">
      <c r="A191" s="20" t="inlineStr">
        <is>
          <t>SAY (Rs.) — final DAR rate</t>
        </is>
      </c>
      <c r="B191" s="21" t="n"/>
      <c r="C191" s="21" t="n"/>
      <c r="D191" s="21" t="n"/>
      <c r="E191" s="21" t="n"/>
      <c r="F191" s="22" t="n">
        <v>858.7</v>
      </c>
    </row>
    <row r="193" ht="18" customHeight="1">
      <c r="A193" s="9" t="inlineStr">
        <is>
          <t>11.9.4</t>
        </is>
      </c>
      <c r="B193" s="10" t="inlineStr">
        <is>
          <t>White cement without any pigment</t>
        </is>
      </c>
      <c r="C193" s="11" t="n"/>
      <c r="D193" s="11" t="n"/>
      <c r="E193" s="11" t="n"/>
      <c r="F193" s="11" t="n"/>
    </row>
    <row r="194">
      <c r="A194" s="12" t="inlineStr">
        <is>
          <t>Rate basis: per sqm  (source: cost for 10 sqm)</t>
        </is>
      </c>
    </row>
    <row r="195">
      <c r="A195" s="5" t="inlineStr">
        <is>
          <t>Code</t>
        </is>
      </c>
      <c r="B195" s="5" t="inlineStr">
        <is>
          <t>Description</t>
        </is>
      </c>
      <c r="C195" s="5" t="inlineStr">
        <is>
          <t>Unit</t>
        </is>
      </c>
      <c r="D195" s="5" t="inlineStr">
        <is>
          <t>Quantity</t>
        </is>
      </c>
      <c r="E195" s="5" t="inlineStr">
        <is>
          <t>Rate (Rs.)</t>
        </is>
      </c>
      <c r="F195" s="5" t="inlineStr">
        <is>
          <t>Amount (Rs.)</t>
        </is>
      </c>
    </row>
    <row r="196">
      <c r="A196" s="13" t="inlineStr">
        <is>
          <t>0296</t>
        </is>
      </c>
      <c r="B196" s="14" t="inlineStr">
        <is>
          <t>Stone Aggregate (Single size) : 12.5 mm nominal size</t>
        </is>
      </c>
      <c r="C196" s="13" t="inlineStr">
        <is>
          <t>cum</t>
        </is>
      </c>
      <c r="D196" s="15" t="n">
        <v>0.227</v>
      </c>
      <c r="E196" s="16" t="n">
        <v>1350</v>
      </c>
      <c r="F196" s="16">
        <f>D196*E196</f>
        <v/>
      </c>
    </row>
    <row r="197">
      <c r="A197" s="13" t="inlineStr">
        <is>
          <t>0297</t>
        </is>
      </c>
      <c r="B197" s="14" t="inlineStr">
        <is>
          <t>Stone Aggregate (Single size) : 10 mm nominal size</t>
        </is>
      </c>
      <c r="C197" s="13" t="inlineStr">
        <is>
          <t>cum</t>
        </is>
      </c>
      <c r="D197" s="15" t="n">
        <v>0.076</v>
      </c>
      <c r="E197" s="16" t="n">
        <v>1350</v>
      </c>
      <c r="F197" s="16">
        <f>D197*E197</f>
        <v/>
      </c>
    </row>
    <row r="198">
      <c r="A198" s="13" t="inlineStr">
        <is>
          <t>2202</t>
        </is>
      </c>
      <c r="B198" s="14" t="inlineStr">
        <is>
          <t>Carriage of Stone aggregate below 40 mm nominal size</t>
        </is>
      </c>
      <c r="C198" s="13" t="inlineStr">
        <is>
          <t>cum</t>
        </is>
      </c>
      <c r="D198" s="15" t="n">
        <v>0.303</v>
      </c>
      <c r="E198" s="16" t="n">
        <v>103.77</v>
      </c>
      <c r="F198" s="16">
        <f>D198*E198</f>
        <v/>
      </c>
    </row>
    <row r="199">
      <c r="A199" s="13" t="inlineStr">
        <is>
          <t>0982</t>
        </is>
      </c>
      <c r="B199" s="14" t="inlineStr">
        <is>
          <t>Coarse sand (zone III)</t>
        </is>
      </c>
      <c r="C199" s="13" t="inlineStr">
        <is>
          <t>cum</t>
        </is>
      </c>
      <c r="D199" s="15" t="n">
        <v>0.151</v>
      </c>
      <c r="E199" s="16" t="n">
        <v>1350</v>
      </c>
      <c r="F199" s="16">
        <f>D199*E199</f>
        <v/>
      </c>
    </row>
    <row r="200">
      <c r="A200" s="13" t="inlineStr">
        <is>
          <t>2203</t>
        </is>
      </c>
      <c r="B200" s="14" t="inlineStr">
        <is>
          <t>Carriage of Coarse sand</t>
        </is>
      </c>
      <c r="C200" s="13" t="inlineStr">
        <is>
          <t>cum</t>
        </is>
      </c>
      <c r="D200" s="15" t="n">
        <v>0.151</v>
      </c>
      <c r="E200" s="16" t="n">
        <v>103.77</v>
      </c>
      <c r="F200" s="16">
        <f>D200*E200</f>
        <v/>
      </c>
    </row>
    <row r="201">
      <c r="A201" s="13" t="inlineStr">
        <is>
          <t>0367</t>
        </is>
      </c>
      <c r="B201" s="14" t="inlineStr">
        <is>
          <t>Portland Cement</t>
        </is>
      </c>
      <c r="C201" s="13" t="inlineStr">
        <is>
          <t>tonne</t>
        </is>
      </c>
      <c r="D201" s="15" t="n">
        <v>0.109</v>
      </c>
      <c r="E201" s="16" t="n">
        <v>4940</v>
      </c>
      <c r="F201" s="16">
        <f>D201*E201</f>
        <v/>
      </c>
    </row>
    <row r="202">
      <c r="A202" s="13" t="inlineStr">
        <is>
          <t>0367</t>
        </is>
      </c>
      <c r="B202" s="14" t="inlineStr">
        <is>
          <t>Portland Cement</t>
        </is>
      </c>
      <c r="C202" s="13" t="inlineStr">
        <is>
          <t>tonne</t>
        </is>
      </c>
      <c r="D202" s="15" t="n">
        <v>0.02</v>
      </c>
      <c r="E202" s="16" t="n">
        <v>4940</v>
      </c>
      <c r="F202" s="16">
        <f>D202*E202</f>
        <v/>
      </c>
    </row>
    <row r="203">
      <c r="A203" s="13" t="inlineStr">
        <is>
          <t>2209</t>
        </is>
      </c>
      <c r="B203" s="14" t="inlineStr">
        <is>
          <t>Carriage of Cement</t>
        </is>
      </c>
      <c r="C203" s="13" t="inlineStr">
        <is>
          <t>tonne</t>
        </is>
      </c>
      <c r="D203" s="15" t="n">
        <v>0.129</v>
      </c>
      <c r="E203" s="16" t="n">
        <v>92.23999999999999</v>
      </c>
      <c r="F203" s="16">
        <f>D203*E203</f>
        <v/>
      </c>
    </row>
    <row r="204">
      <c r="A204" s="13" t="inlineStr">
        <is>
          <t>0785</t>
        </is>
      </c>
      <c r="B204" s="14" t="inlineStr">
        <is>
          <t>Marble chips upto 4mm and downsize White &amp; black</t>
        </is>
      </c>
      <c r="C204" s="13" t="inlineStr">
        <is>
          <t>quintal</t>
        </is>
      </c>
      <c r="D204" s="15" t="n">
        <v>0.958</v>
      </c>
      <c r="E204" s="16" t="n">
        <v>189</v>
      </c>
      <c r="F204" s="16">
        <f>D204*E204</f>
        <v/>
      </c>
    </row>
    <row r="205">
      <c r="A205" s="13" t="inlineStr">
        <is>
          <t>2268</t>
        </is>
      </c>
      <c r="B205" s="14" t="inlineStr">
        <is>
          <t>Carriage of Marble dust and marble chips</t>
        </is>
      </c>
      <c r="C205" s="13" t="inlineStr">
        <is>
          <t>cum</t>
        </is>
      </c>
      <c r="D205" s="15" t="n">
        <v>0.056</v>
      </c>
      <c r="E205" s="16" t="n">
        <v>103.77</v>
      </c>
      <c r="F205" s="16">
        <f>D205*E205</f>
        <v/>
      </c>
    </row>
    <row r="206">
      <c r="A206" s="13" t="inlineStr">
        <is>
          <t>0368</t>
        </is>
      </c>
      <c r="B206" s="14" t="inlineStr">
        <is>
          <t>White Cement</t>
        </is>
      </c>
      <c r="C206" s="13" t="inlineStr">
        <is>
          <t>tonne</t>
        </is>
      </c>
      <c r="D206" s="15" t="n">
        <v>0.0405</v>
      </c>
      <c r="E206" s="16" t="n">
        <v>11200</v>
      </c>
      <c r="F206" s="16">
        <f>D206*E206</f>
        <v/>
      </c>
    </row>
    <row r="207">
      <c r="A207" s="13" t="inlineStr">
        <is>
          <t>2209</t>
        </is>
      </c>
      <c r="B207" s="14" t="inlineStr">
        <is>
          <t>Carriage of Cement</t>
        </is>
      </c>
      <c r="C207" s="13" t="inlineStr">
        <is>
          <t>tonne</t>
        </is>
      </c>
      <c r="D207" s="15" t="n">
        <v>0.0405</v>
      </c>
      <c r="E207" s="16" t="n">
        <v>92.23999999999999</v>
      </c>
      <c r="F207" s="16">
        <f>D207*E207</f>
        <v/>
      </c>
    </row>
    <row r="208">
      <c r="A208" s="13" t="inlineStr">
        <is>
          <t>0784</t>
        </is>
      </c>
      <c r="B208" s="14" t="inlineStr">
        <is>
          <t>Marble dust/ powder</t>
        </is>
      </c>
      <c r="C208" s="13" t="inlineStr">
        <is>
          <t>cum</t>
        </is>
      </c>
      <c r="D208" s="15" t="n">
        <v>0.007</v>
      </c>
      <c r="E208" s="16" t="n">
        <v>1130</v>
      </c>
      <c r="F208" s="16">
        <f>D208*E208</f>
        <v/>
      </c>
    </row>
    <row r="209">
      <c r="A209" s="13" t="inlineStr">
        <is>
          <t>0124</t>
        </is>
      </c>
      <c r="B209" s="14" t="inlineStr">
        <is>
          <t>Mason (brick layer) 2nd class</t>
        </is>
      </c>
      <c r="C209" s="13" t="inlineStr">
        <is>
          <t>day</t>
        </is>
      </c>
      <c r="D209" s="15" t="n">
        <v>1.79</v>
      </c>
      <c r="E209" s="16" t="n">
        <v>679</v>
      </c>
      <c r="F209" s="16">
        <f>D209*E209</f>
        <v/>
      </c>
    </row>
    <row r="210">
      <c r="A210" s="13" t="inlineStr">
        <is>
          <t>0114</t>
        </is>
      </c>
      <c r="B210" s="14" t="inlineStr">
        <is>
          <t>Beldar</t>
        </is>
      </c>
      <c r="C210" s="13" t="inlineStr">
        <is>
          <t>day</t>
        </is>
      </c>
      <c r="D210" s="15" t="n">
        <v>1.99</v>
      </c>
      <c r="E210" s="16" t="n">
        <v>558</v>
      </c>
      <c r="F210" s="16">
        <f>D210*E210</f>
        <v/>
      </c>
    </row>
    <row r="211">
      <c r="A211" s="13" t="inlineStr">
        <is>
          <t>0101</t>
        </is>
      </c>
      <c r="B211" s="14" t="inlineStr">
        <is>
          <t>Bhisti</t>
        </is>
      </c>
      <c r="C211" s="13" t="inlineStr">
        <is>
          <t>day</t>
        </is>
      </c>
      <c r="D211" s="15" t="n">
        <v>1.04</v>
      </c>
      <c r="E211" s="16" t="n">
        <v>617</v>
      </c>
      <c r="F211" s="16">
        <f>D211*E211</f>
        <v/>
      </c>
    </row>
    <row r="212">
      <c r="A212" s="13" t="inlineStr">
        <is>
          <t>0139</t>
        </is>
      </c>
      <c r="B212" s="14" t="inlineStr">
        <is>
          <t>Skilled Beldar (for floor rubbing etc.)</t>
        </is>
      </c>
      <c r="C212" s="13" t="inlineStr">
        <is>
          <t>day</t>
        </is>
      </c>
      <c r="D212" s="15" t="n">
        <v>1</v>
      </c>
      <c r="E212" s="16" t="n">
        <v>617</v>
      </c>
      <c r="F212" s="16">
        <f>D212*E212</f>
        <v/>
      </c>
    </row>
    <row r="213">
      <c r="A213" s="13" t="inlineStr">
        <is>
          <t>0127</t>
        </is>
      </c>
      <c r="B213" s="14" t="inlineStr">
        <is>
          <t>Driver (for Road Roller, Concrete Mixer, Truck etc.)</t>
        </is>
      </c>
      <c r="C213" s="13" t="inlineStr">
        <is>
          <t>day</t>
        </is>
      </c>
      <c r="D213" s="15" t="n">
        <v>0.03</v>
      </c>
      <c r="E213" s="16" t="n">
        <v>738</v>
      </c>
      <c r="F213" s="16">
        <f>D213*E213</f>
        <v/>
      </c>
    </row>
    <row r="214">
      <c r="A214" s="13" t="inlineStr">
        <is>
          <t>0002</t>
        </is>
      </c>
      <c r="B214" s="14" t="inlineStr">
        <is>
          <t>Hire charges of Concrete Mixer 0.25 to 0.40 cum with hooper</t>
        </is>
      </c>
      <c r="C214" s="13" t="inlineStr">
        <is>
          <t>day</t>
        </is>
      </c>
      <c r="D214" s="15" t="n">
        <v>0.03</v>
      </c>
      <c r="E214" s="16" t="n">
        <v>800</v>
      </c>
      <c r="F214" s="16">
        <f>D214*E214</f>
        <v/>
      </c>
    </row>
    <row r="215">
      <c r="A215" s="13" t="inlineStr">
        <is>
          <t>0013</t>
        </is>
      </c>
      <c r="B215" s="14" t="inlineStr">
        <is>
          <t>Machine for rubbing of floors</t>
        </is>
      </c>
      <c r="C215" s="13" t="inlineStr">
        <is>
          <t>day</t>
        </is>
      </c>
      <c r="D215" s="15" t="n">
        <v>1.6</v>
      </c>
      <c r="E215" s="16" t="n">
        <v>300</v>
      </c>
      <c r="F215" s="16">
        <f>D215*E215</f>
        <v/>
      </c>
    </row>
    <row r="216">
      <c r="A216" s="13" t="inlineStr">
        <is>
          <t>9999</t>
        </is>
      </c>
      <c r="B216" s="14" t="inlineStr">
        <is>
          <t>Sundries</t>
        </is>
      </c>
      <c r="C216" s="13" t="inlineStr">
        <is>
          <t>L.S.</t>
        </is>
      </c>
      <c r="D216" s="15" t="n">
        <v>161.46</v>
      </c>
      <c r="E216" s="16" t="n">
        <v>2</v>
      </c>
      <c r="F216" s="16">
        <f>D216*E216</f>
        <v/>
      </c>
    </row>
    <row r="217">
      <c r="A217" s="17" t="inlineStr">
        <is>
          <t>Resource Total (Material + Labour + Machinery, as printed)</t>
        </is>
      </c>
      <c r="B217" s="18" t="n"/>
      <c r="C217" s="18" t="n"/>
      <c r="D217" s="18" t="n"/>
      <c r="E217" s="18" t="n"/>
      <c r="F217" s="19">
        <f>SUM(F196:F216)</f>
        <v/>
      </c>
    </row>
    <row r="218">
      <c r="A218" s="20" t="inlineStr">
        <is>
          <t>SAY (Rs.) — final DAR rate</t>
        </is>
      </c>
      <c r="B218" s="21" t="n"/>
      <c r="C218" s="21" t="n"/>
      <c r="D218" s="21" t="n"/>
      <c r="E218" s="21" t="n"/>
      <c r="F218" s="22" t="n">
        <v>855.6</v>
      </c>
    </row>
    <row r="220" ht="18" customHeight="1">
      <c r="A220" s="9" t="inlineStr">
        <is>
          <t>11.9.5</t>
        </is>
      </c>
      <c r="B220" s="10" t="inlineStr">
        <is>
          <t>Light shade pigment with ordinary cement</t>
        </is>
      </c>
      <c r="C220" s="11" t="n"/>
      <c r="D220" s="11" t="n"/>
      <c r="E220" s="11" t="n"/>
      <c r="F220" s="11" t="n"/>
    </row>
    <row r="221">
      <c r="A221" s="12" t="inlineStr">
        <is>
          <t>Rate basis: per sqm  (source: cost for 10 sqm)</t>
        </is>
      </c>
    </row>
    <row r="222">
      <c r="A222" s="5" t="inlineStr">
        <is>
          <t>Code</t>
        </is>
      </c>
      <c r="B222" s="5" t="inlineStr">
        <is>
          <t>Description</t>
        </is>
      </c>
      <c r="C222" s="5" t="inlineStr">
        <is>
          <t>Unit</t>
        </is>
      </c>
      <c r="D222" s="5" t="inlineStr">
        <is>
          <t>Quantity</t>
        </is>
      </c>
      <c r="E222" s="5" t="inlineStr">
        <is>
          <t>Rate (Rs.)</t>
        </is>
      </c>
      <c r="F222" s="5" t="inlineStr">
        <is>
          <t>Amount (Rs.)</t>
        </is>
      </c>
    </row>
    <row r="223">
      <c r="A223" s="13" t="inlineStr">
        <is>
          <t>11.9.1</t>
        </is>
      </c>
      <c r="B223" s="14" t="inlineStr">
        <is>
          <t>Rate as per SH: 11.9.1</t>
        </is>
      </c>
      <c r="C223" s="13" t="inlineStr">
        <is>
          <t>sqm</t>
        </is>
      </c>
      <c r="D223" s="15" t="n">
        <v>10</v>
      </c>
      <c r="E223" s="16" t="n">
        <v>847</v>
      </c>
      <c r="F223" s="16">
        <f>D223*E223</f>
        <v/>
      </c>
    </row>
    <row r="224">
      <c r="A224" s="13" t="inlineStr">
        <is>
          <t>0875</t>
        </is>
      </c>
      <c r="B224" s="14" t="inlineStr">
        <is>
          <t>Red, chocolate, orange, buff or yellow (red oxide of iron) light shade pigment</t>
        </is>
      </c>
      <c r="C224" s="13" t="inlineStr">
        <is>
          <t>kilogram</t>
        </is>
      </c>
      <c r="D224" s="15" t="n">
        <v>2.84</v>
      </c>
      <c r="E224" s="16" t="n">
        <v>60</v>
      </c>
      <c r="F224" s="16">
        <f>D224*E224</f>
        <v/>
      </c>
    </row>
    <row r="225">
      <c r="A225" s="17" t="inlineStr">
        <is>
          <t>Resource Total (Material + Labour + Machinery, as printed)</t>
        </is>
      </c>
      <c r="B225" s="18" t="n"/>
      <c r="C225" s="18" t="n"/>
      <c r="D225" s="18" t="n"/>
      <c r="E225" s="18" t="n"/>
      <c r="F225" s="19">
        <f>SUM(F223:F224)</f>
        <v/>
      </c>
    </row>
    <row r="226">
      <c r="A226" s="20" t="inlineStr">
        <is>
          <t>SAY (Rs.) — final DAR rate</t>
        </is>
      </c>
      <c r="B226" s="21" t="n"/>
      <c r="C226" s="21" t="n"/>
      <c r="D226" s="21" t="n"/>
      <c r="E226" s="21" t="n"/>
      <c r="F226" s="22" t="n">
        <v>843.2</v>
      </c>
    </row>
    <row r="228" ht="18" customHeight="1">
      <c r="A228" s="9" t="inlineStr">
        <is>
          <t>11.9.6</t>
        </is>
      </c>
      <c r="B228" s="10" t="inlineStr">
        <is>
          <t>Ordinary cement without any pigment</t>
        </is>
      </c>
      <c r="C228" s="11" t="n"/>
      <c r="D228" s="11" t="n"/>
      <c r="E228" s="11" t="n"/>
      <c r="F228" s="11" t="n"/>
    </row>
    <row r="229">
      <c r="A229" s="12" t="inlineStr">
        <is>
          <t>Rate basis: per sqm  (source: cost for 10 sqm)</t>
        </is>
      </c>
    </row>
    <row r="230">
      <c r="A230" s="5" t="inlineStr">
        <is>
          <t>Code</t>
        </is>
      </c>
      <c r="B230" s="5" t="inlineStr">
        <is>
          <t>Description</t>
        </is>
      </c>
      <c r="C230" s="5" t="inlineStr">
        <is>
          <t>Unit</t>
        </is>
      </c>
      <c r="D230" s="5" t="inlineStr">
        <is>
          <t>Quantity</t>
        </is>
      </c>
      <c r="E230" s="5" t="inlineStr">
        <is>
          <t>Rate (Rs.)</t>
        </is>
      </c>
      <c r="F230" s="5" t="inlineStr">
        <is>
          <t>Amount (Rs.)</t>
        </is>
      </c>
    </row>
    <row r="231">
      <c r="A231" s="13" t="inlineStr">
        <is>
          <t>11.9.1</t>
        </is>
      </c>
      <c r="B231" s="14" t="inlineStr">
        <is>
          <t>Rate as per SH: 11.9.1</t>
        </is>
      </c>
      <c r="C231" s="13" t="inlineStr">
        <is>
          <t>sqm</t>
        </is>
      </c>
      <c r="D231" s="15" t="n">
        <v>10</v>
      </c>
      <c r="E231" s="16" t="n">
        <v>847</v>
      </c>
      <c r="F231" s="16">
        <f>D231*E231</f>
        <v/>
      </c>
    </row>
    <row r="232">
      <c r="A232" s="17" t="inlineStr">
        <is>
          <t>Resource Total (Material + Labour + Machinery, as printed)</t>
        </is>
      </c>
      <c r="B232" s="18" t="n"/>
      <c r="C232" s="18" t="n"/>
      <c r="D232" s="18" t="n"/>
      <c r="E232" s="18" t="n"/>
      <c r="F232" s="19">
        <f>SUM(F231:F231)</f>
        <v/>
      </c>
    </row>
    <row r="233">
      <c r="A233" s="20" t="inlineStr">
        <is>
          <t>SAY (Rs.) — final DAR rate</t>
        </is>
      </c>
      <c r="B233" s="21" t="n"/>
      <c r="C233" s="21" t="n"/>
      <c r="D233" s="21" t="n"/>
      <c r="E233" s="21" t="n"/>
      <c r="F233" s="22" t="n">
        <v>818.45</v>
      </c>
    </row>
    <row r="235" ht="18" customHeight="1">
      <c r="A235" s="9" t="inlineStr">
        <is>
          <t>11.10.1</t>
        </is>
      </c>
      <c r="B235" s="10" t="inlineStr">
        <is>
          <t>Dark shade pigment with Ordinary cement</t>
        </is>
      </c>
      <c r="C235" s="11" t="n"/>
      <c r="D235" s="11" t="n"/>
      <c r="E235" s="11" t="n"/>
      <c r="F235" s="11" t="n"/>
    </row>
    <row r="236">
      <c r="A236" s="12" t="inlineStr">
        <is>
          <t>Rate basis: per sqm  (source: cost for 10 sqm)</t>
        </is>
      </c>
    </row>
    <row r="237">
      <c r="A237" s="5" t="inlineStr">
        <is>
          <t>Code</t>
        </is>
      </c>
      <c r="B237" s="5" t="inlineStr">
        <is>
          <t>Description</t>
        </is>
      </c>
      <c r="C237" s="5" t="inlineStr">
        <is>
          <t>Unit</t>
        </is>
      </c>
      <c r="D237" s="5" t="inlineStr">
        <is>
          <t>Quantity</t>
        </is>
      </c>
      <c r="E237" s="5" t="inlineStr">
        <is>
          <t>Rate (Rs.)</t>
        </is>
      </c>
      <c r="F237" s="5" t="inlineStr">
        <is>
          <t>Amount (Rs.)</t>
        </is>
      </c>
    </row>
    <row r="238">
      <c r="A238" s="13" t="inlineStr">
        <is>
          <t>0296</t>
        </is>
      </c>
      <c r="B238" s="14" t="inlineStr">
        <is>
          <t>Stone Aggregate (Single size) : 12.5 mm nominal size</t>
        </is>
      </c>
      <c r="C238" s="13" t="inlineStr">
        <is>
          <t>cum</t>
        </is>
      </c>
      <c r="D238" s="15" t="n">
        <v>0.21</v>
      </c>
      <c r="E238" s="16" t="n">
        <v>1350</v>
      </c>
      <c r="F238" s="16">
        <f>D238*E238</f>
        <v/>
      </c>
    </row>
    <row r="239">
      <c r="A239" s="13" t="inlineStr">
        <is>
          <t>0297</t>
        </is>
      </c>
      <c r="B239" s="14" t="inlineStr">
        <is>
          <t>Stone Aggregate (Single size) : 10 mm nominal size</t>
        </is>
      </c>
      <c r="C239" s="13" t="inlineStr">
        <is>
          <t>cum</t>
        </is>
      </c>
      <c r="D239" s="15" t="n">
        <v>0.07000000000000001</v>
      </c>
      <c r="E239" s="16" t="n">
        <v>1350</v>
      </c>
      <c r="F239" s="16">
        <f>D239*E239</f>
        <v/>
      </c>
    </row>
    <row r="240">
      <c r="A240" s="13" t="inlineStr">
        <is>
          <t>2202</t>
        </is>
      </c>
      <c r="B240" s="14" t="inlineStr">
        <is>
          <t>Carriage of Stone aggregate below 40 mm nominal size</t>
        </is>
      </c>
      <c r="C240" s="13" t="inlineStr">
        <is>
          <t>cum</t>
        </is>
      </c>
      <c r="D240" s="15" t="n">
        <v>0.28</v>
      </c>
      <c r="E240" s="16" t="n">
        <v>103.77</v>
      </c>
      <c r="F240" s="16">
        <f>D240*E240</f>
        <v/>
      </c>
    </row>
    <row r="241">
      <c r="A241" s="13" t="inlineStr">
        <is>
          <t>0982</t>
        </is>
      </c>
      <c r="B241" s="14" t="inlineStr">
        <is>
          <t>Coarse sand (zone III)</t>
        </is>
      </c>
      <c r="C241" s="13" t="inlineStr">
        <is>
          <t>cum</t>
        </is>
      </c>
      <c r="D241" s="15" t="n">
        <v>0.14</v>
      </c>
      <c r="E241" s="16" t="n">
        <v>1350</v>
      </c>
      <c r="F241" s="16">
        <f>D241*E241</f>
        <v/>
      </c>
    </row>
    <row r="242">
      <c r="A242" s="13" t="inlineStr">
        <is>
          <t>2203</t>
        </is>
      </c>
      <c r="B242" s="14" t="inlineStr">
        <is>
          <t>Carriage of Coarse sand</t>
        </is>
      </c>
      <c r="C242" s="13" t="inlineStr">
        <is>
          <t>cum</t>
        </is>
      </c>
      <c r="D242" s="15" t="n">
        <v>0.14</v>
      </c>
      <c r="E242" s="16" t="n">
        <v>103.77</v>
      </c>
      <c r="F242" s="16">
        <f>D242*E242</f>
        <v/>
      </c>
    </row>
    <row r="243">
      <c r="A243" s="13" t="inlineStr">
        <is>
          <t>0367</t>
        </is>
      </c>
      <c r="B243" s="14" t="inlineStr">
        <is>
          <t>Portland Cement</t>
        </is>
      </c>
      <c r="C243" s="13" t="inlineStr">
        <is>
          <t>tonne</t>
        </is>
      </c>
      <c r="D243" s="15" t="n">
        <v>0.1005</v>
      </c>
      <c r="E243" s="16" t="n">
        <v>4940</v>
      </c>
      <c r="F243" s="16">
        <f>D243*E243</f>
        <v/>
      </c>
    </row>
    <row r="244">
      <c r="A244" s="13" t="inlineStr">
        <is>
          <t>0367</t>
        </is>
      </c>
      <c r="B244" s="14" t="inlineStr">
        <is>
          <t>Portland Cement</t>
        </is>
      </c>
      <c r="C244" s="13" t="inlineStr">
        <is>
          <t>tonne</t>
        </is>
      </c>
      <c r="D244" s="15" t="n">
        <v>0.02</v>
      </c>
      <c r="E244" s="16" t="n">
        <v>4940</v>
      </c>
      <c r="F244" s="16">
        <f>D244*E244</f>
        <v/>
      </c>
    </row>
    <row r="245">
      <c r="A245" s="13" t="inlineStr">
        <is>
          <t>2209</t>
        </is>
      </c>
      <c r="B245" s="14" t="inlineStr">
        <is>
          <t>Carriage of Cement</t>
        </is>
      </c>
      <c r="C245" s="13" t="inlineStr">
        <is>
          <t>tonne</t>
        </is>
      </c>
      <c r="D245" s="15" t="n">
        <v>0.1205</v>
      </c>
      <c r="E245" s="16" t="n">
        <v>92.23999999999999</v>
      </c>
      <c r="F245" s="16">
        <f>D245*E245</f>
        <v/>
      </c>
    </row>
    <row r="246">
      <c r="A246" s="13" t="inlineStr">
        <is>
          <t>0788</t>
        </is>
      </c>
      <c r="B246" s="14" t="inlineStr">
        <is>
          <t>Marble chips large size above 4 mm White &amp; black</t>
        </is>
      </c>
      <c r="C246" s="13" t="inlineStr">
        <is>
          <t>quintal</t>
        </is>
      </c>
      <c r="D246" s="15" t="n">
        <v>1.4</v>
      </c>
      <c r="E246" s="16" t="n">
        <v>250</v>
      </c>
      <c r="F246" s="16">
        <f>D246*E246</f>
        <v/>
      </c>
    </row>
    <row r="247">
      <c r="A247" s="13" t="inlineStr">
        <is>
          <t>2268</t>
        </is>
      </c>
      <c r="B247" s="14" t="inlineStr">
        <is>
          <t>Carriage of Marble dust and marble chips</t>
        </is>
      </c>
      <c r="C247" s="13" t="inlineStr">
        <is>
          <t>cum</t>
        </is>
      </c>
      <c r="D247" s="15" t="n">
        <v>0.082</v>
      </c>
      <c r="E247" s="16" t="n">
        <v>103.77</v>
      </c>
      <c r="F247" s="16">
        <f>D247*E247</f>
        <v/>
      </c>
    </row>
    <row r="248">
      <c r="A248" s="13" t="inlineStr">
        <is>
          <t>0367</t>
        </is>
      </c>
      <c r="B248" s="14" t="inlineStr">
        <is>
          <t>Portland Cement</t>
        </is>
      </c>
      <c r="C248" s="13" t="inlineStr">
        <is>
          <t>tonne</t>
        </is>
      </c>
      <c r="D248" s="15" t="n">
        <v>0.0578</v>
      </c>
      <c r="E248" s="16" t="n">
        <v>4940</v>
      </c>
      <c r="F248" s="16">
        <f>D248*E248</f>
        <v/>
      </c>
    </row>
    <row r="249">
      <c r="A249" s="13" t="inlineStr">
        <is>
          <t>2209</t>
        </is>
      </c>
      <c r="B249" s="14" t="inlineStr">
        <is>
          <t>Carriage of Cement</t>
        </is>
      </c>
      <c r="C249" s="13" t="inlineStr">
        <is>
          <t>tonne</t>
        </is>
      </c>
      <c r="D249" s="15" t="n">
        <v>0.0578</v>
      </c>
      <c r="E249" s="16" t="n">
        <v>92.23999999999999</v>
      </c>
      <c r="F249" s="16">
        <f>D249*E249</f>
        <v/>
      </c>
    </row>
    <row r="250">
      <c r="A250" s="13" t="inlineStr">
        <is>
          <t>0784</t>
        </is>
      </c>
      <c r="B250" s="14" t="inlineStr">
        <is>
          <t>Marble dust/ powder</t>
        </is>
      </c>
      <c r="C250" s="13" t="inlineStr">
        <is>
          <t>cum</t>
        </is>
      </c>
      <c r="D250" s="15" t="n">
        <v>0.012</v>
      </c>
      <c r="E250" s="16" t="n">
        <v>1130</v>
      </c>
      <c r="F250" s="16">
        <f>D250*E250</f>
        <v/>
      </c>
    </row>
    <row r="251">
      <c r="A251" s="13" t="inlineStr">
        <is>
          <t>0874</t>
        </is>
      </c>
      <c r="B251" s="14" t="inlineStr">
        <is>
          <t>Black colour dark shade pigment</t>
        </is>
      </c>
      <c r="C251" s="13" t="inlineStr">
        <is>
          <t>kilogram</t>
        </is>
      </c>
      <c r="D251" s="15" t="n">
        <v>4.05</v>
      </c>
      <c r="E251" s="16" t="n">
        <v>70</v>
      </c>
      <c r="F251" s="16">
        <f>D251*E251</f>
        <v/>
      </c>
    </row>
    <row r="252">
      <c r="A252" s="13" t="inlineStr">
        <is>
          <t>9977</t>
        </is>
      </c>
      <c r="B252" s="14" t="inlineStr">
        <is>
          <t>Carriage of pigment &amp; marble powder etc.</t>
        </is>
      </c>
      <c r="C252" s="13" t="inlineStr">
        <is>
          <t>L.S.</t>
        </is>
      </c>
      <c r="D252" s="15" t="n">
        <v>5.46</v>
      </c>
      <c r="E252" s="16" t="n">
        <v>2</v>
      </c>
      <c r="F252" s="16">
        <f>D252*E252</f>
        <v/>
      </c>
    </row>
    <row r="253">
      <c r="A253" s="13" t="inlineStr">
        <is>
          <t>0124</t>
        </is>
      </c>
      <c r="B253" s="14" t="inlineStr">
        <is>
          <t>Mason (brick layer) 2nd class</t>
        </is>
      </c>
      <c r="C253" s="13" t="inlineStr">
        <is>
          <t>day</t>
        </is>
      </c>
      <c r="D253" s="15" t="n">
        <v>1.79</v>
      </c>
      <c r="E253" s="16" t="n">
        <v>679</v>
      </c>
      <c r="F253" s="16">
        <f>D253*E253</f>
        <v/>
      </c>
    </row>
    <row r="254">
      <c r="A254" s="13" t="inlineStr">
        <is>
          <t>0114</t>
        </is>
      </c>
      <c r="B254" s="14" t="inlineStr">
        <is>
          <t>Beldar</t>
        </is>
      </c>
      <c r="C254" s="13" t="inlineStr">
        <is>
          <t>day</t>
        </is>
      </c>
      <c r="D254" s="15" t="n">
        <v>1.99</v>
      </c>
      <c r="E254" s="16" t="n">
        <v>558</v>
      </c>
      <c r="F254" s="16">
        <f>D254*E254</f>
        <v/>
      </c>
    </row>
    <row r="255">
      <c r="A255" s="13" t="inlineStr">
        <is>
          <t>0101</t>
        </is>
      </c>
      <c r="B255" s="14" t="inlineStr">
        <is>
          <t>Bhisti</t>
        </is>
      </c>
      <c r="C255" s="13" t="inlineStr">
        <is>
          <t>day</t>
        </is>
      </c>
      <c r="D255" s="15" t="n">
        <v>1.04</v>
      </c>
      <c r="E255" s="16" t="n">
        <v>617</v>
      </c>
      <c r="F255" s="16">
        <f>D255*E255</f>
        <v/>
      </c>
    </row>
    <row r="256">
      <c r="A256" s="13" t="inlineStr">
        <is>
          <t>0139</t>
        </is>
      </c>
      <c r="B256" s="14" t="inlineStr">
        <is>
          <t>Skilled Beldar (for floor rubbing etc.)</t>
        </is>
      </c>
      <c r="C256" s="13" t="inlineStr">
        <is>
          <t>day</t>
        </is>
      </c>
      <c r="D256" s="15" t="n">
        <v>1</v>
      </c>
      <c r="E256" s="16" t="n">
        <v>617</v>
      </c>
      <c r="F256" s="16">
        <f>D256*E256</f>
        <v/>
      </c>
    </row>
    <row r="257">
      <c r="A257" s="13" t="inlineStr">
        <is>
          <t>0127</t>
        </is>
      </c>
      <c r="B257" s="14" t="inlineStr">
        <is>
          <t>Driver (for Road Roller, Concrete Mixer, Truck etc.)</t>
        </is>
      </c>
      <c r="C257" s="13" t="inlineStr">
        <is>
          <t>day</t>
        </is>
      </c>
      <c r="D257" s="15" t="n">
        <v>0.03</v>
      </c>
      <c r="E257" s="16" t="n">
        <v>738</v>
      </c>
      <c r="F257" s="16">
        <f>D257*E257</f>
        <v/>
      </c>
    </row>
    <row r="258">
      <c r="A258" s="13" t="inlineStr">
        <is>
          <t>0002</t>
        </is>
      </c>
      <c r="B258" s="14" t="inlineStr">
        <is>
          <t>Hire charges of Concrete Mixer 0.25 to 0.40 cum with hooper</t>
        </is>
      </c>
      <c r="C258" s="13" t="inlineStr">
        <is>
          <t>day</t>
        </is>
      </c>
      <c r="D258" s="15" t="n">
        <v>0.03</v>
      </c>
      <c r="E258" s="16" t="n">
        <v>800</v>
      </c>
      <c r="F258" s="16">
        <f>D258*E258</f>
        <v/>
      </c>
    </row>
    <row r="259">
      <c r="A259" s="13" t="inlineStr">
        <is>
          <t>0013</t>
        </is>
      </c>
      <c r="B259" s="14" t="inlineStr">
        <is>
          <t>Machine for rubbing of floors</t>
        </is>
      </c>
      <c r="C259" s="13" t="inlineStr">
        <is>
          <t>day</t>
        </is>
      </c>
      <c r="D259" s="15" t="n">
        <v>1.6</v>
      </c>
      <c r="E259" s="16" t="n">
        <v>300</v>
      </c>
      <c r="F259" s="16">
        <f>D259*E259</f>
        <v/>
      </c>
    </row>
    <row r="260">
      <c r="A260" s="13" t="inlineStr">
        <is>
          <t>9999</t>
        </is>
      </c>
      <c r="B260" s="14" t="inlineStr">
        <is>
          <t>Sundries</t>
        </is>
      </c>
      <c r="C260" s="13" t="inlineStr">
        <is>
          <t>L.S.</t>
        </is>
      </c>
      <c r="D260" s="15" t="n">
        <v>134.55</v>
      </c>
      <c r="E260" s="16" t="n">
        <v>2</v>
      </c>
      <c r="F260" s="16">
        <f>D260*E260</f>
        <v/>
      </c>
    </row>
    <row r="261">
      <c r="A261" s="17" t="inlineStr">
        <is>
          <t>Resource Total (Material + Labour + Machinery, as printed)</t>
        </is>
      </c>
      <c r="B261" s="18" t="n"/>
      <c r="C261" s="18" t="n"/>
      <c r="D261" s="18" t="n"/>
      <c r="E261" s="18" t="n"/>
      <c r="F261" s="19">
        <f>SUM(F238:F260)</f>
        <v/>
      </c>
    </row>
    <row r="262">
      <c r="A262" s="20" t="inlineStr">
        <is>
          <t>SAY (Rs.) — final DAR rate</t>
        </is>
      </c>
      <c r="B262" s="21" t="n"/>
      <c r="C262" s="21" t="n"/>
      <c r="D262" s="21" t="n"/>
      <c r="E262" s="21" t="n"/>
      <c r="F262" s="22" t="n">
        <v>876.9</v>
      </c>
    </row>
    <row r="264" ht="18" customHeight="1">
      <c r="A264" s="9" t="inlineStr">
        <is>
          <t>11.10.2</t>
        </is>
      </c>
      <c r="B264" s="10" t="inlineStr">
        <is>
          <t>Light shade pigment with white cement</t>
        </is>
      </c>
      <c r="C264" s="11" t="n"/>
      <c r="D264" s="11" t="n"/>
      <c r="E264" s="11" t="n"/>
      <c r="F264" s="11" t="n"/>
    </row>
    <row r="265">
      <c r="A265" s="12" t="inlineStr">
        <is>
          <t>Rate basis: per sqm  (source: cost for 10 sqm)</t>
        </is>
      </c>
    </row>
    <row r="266">
      <c r="A266" s="5" t="inlineStr">
        <is>
          <t>Code</t>
        </is>
      </c>
      <c r="B266" s="5" t="inlineStr">
        <is>
          <t>Description</t>
        </is>
      </c>
      <c r="C266" s="5" t="inlineStr">
        <is>
          <t>Unit</t>
        </is>
      </c>
      <c r="D266" s="5" t="inlineStr">
        <is>
          <t>Quantity</t>
        </is>
      </c>
      <c r="E266" s="5" t="inlineStr">
        <is>
          <t>Rate (Rs.)</t>
        </is>
      </c>
      <c r="F266" s="5" t="inlineStr">
        <is>
          <t>Amount (Rs.)</t>
        </is>
      </c>
    </row>
    <row r="267">
      <c r="A267" s="13" t="inlineStr">
        <is>
          <t>11.10.1</t>
        </is>
      </c>
      <c r="B267" s="14" t="inlineStr">
        <is>
          <t>Rate as per SH: 11.10.1</t>
        </is>
      </c>
      <c r="C267" s="13" t="inlineStr">
        <is>
          <t>sqm</t>
        </is>
      </c>
      <c r="D267" s="15" t="n">
        <v>10</v>
      </c>
      <c r="E267" s="16" t="n">
        <v>876.9</v>
      </c>
      <c r="F267" s="16">
        <f>D267*E267</f>
        <v/>
      </c>
    </row>
    <row r="268">
      <c r="A268" s="13" t="inlineStr">
        <is>
          <t>0875</t>
        </is>
      </c>
      <c r="B268" s="14" t="inlineStr">
        <is>
          <t>Red, chocolate, orange, buff or yellow (red oxide of iron) light shade pigment</t>
        </is>
      </c>
      <c r="C268" s="13" t="inlineStr">
        <is>
          <t>kilogram</t>
        </is>
      </c>
      <c r="D268" s="15" t="n">
        <v>4.05</v>
      </c>
      <c r="E268" s="16" t="n">
        <v>60</v>
      </c>
      <c r="F268" s="16">
        <f>D268*E268</f>
        <v/>
      </c>
    </row>
    <row r="269">
      <c r="A269" s="13" t="inlineStr">
        <is>
          <t>0368</t>
        </is>
      </c>
      <c r="B269" s="14" t="inlineStr">
        <is>
          <t>White Cement</t>
        </is>
      </c>
      <c r="C269" s="13" t="inlineStr">
        <is>
          <t>tonne</t>
        </is>
      </c>
      <c r="D269" s="15" t="n">
        <v>0.0578</v>
      </c>
      <c r="E269" s="16" t="n">
        <v>11200</v>
      </c>
      <c r="F269" s="16">
        <f>D269*E269</f>
        <v/>
      </c>
    </row>
    <row r="270">
      <c r="A270" s="17" t="inlineStr">
        <is>
          <t>Resource Total (Material + Labour + Machinery, as printed)</t>
        </is>
      </c>
      <c r="B270" s="18" t="n"/>
      <c r="C270" s="18" t="n"/>
      <c r="D270" s="18" t="n"/>
      <c r="E270" s="18" t="n"/>
      <c r="F270" s="19">
        <f>SUM(F267:F269)</f>
        <v/>
      </c>
    </row>
    <row r="271">
      <c r="A271" s="20" t="inlineStr">
        <is>
          <t>SAY (Rs.) — final DAR rate</t>
        </is>
      </c>
      <c r="B271" s="21" t="n"/>
      <c r="C271" s="21" t="n"/>
      <c r="D271" s="21" t="n"/>
      <c r="E271" s="21" t="n"/>
      <c r="F271" s="22" t="n">
        <v>919.9</v>
      </c>
    </row>
    <row r="273" ht="18" customHeight="1">
      <c r="A273" s="9" t="inlineStr">
        <is>
          <t>11.10.3</t>
        </is>
      </c>
      <c r="B273" s="10" t="inlineStr">
        <is>
          <t>Medium shade pigment with 50% white cement and 50% ordinary cement</t>
        </is>
      </c>
      <c r="C273" s="11" t="n"/>
      <c r="D273" s="11" t="n"/>
      <c r="E273" s="11" t="n"/>
      <c r="F273" s="11" t="n"/>
    </row>
    <row r="274">
      <c r="A274" s="12" t="inlineStr">
        <is>
          <t>Rate basis: per sqm  (source: cost for 10 sqm)</t>
        </is>
      </c>
    </row>
    <row r="275">
      <c r="A275" s="5" t="inlineStr">
        <is>
          <t>Code</t>
        </is>
      </c>
      <c r="B275" s="5" t="inlineStr">
        <is>
          <t>Description</t>
        </is>
      </c>
      <c r="C275" s="5" t="inlineStr">
        <is>
          <t>Unit</t>
        </is>
      </c>
      <c r="D275" s="5" t="inlineStr">
        <is>
          <t>Quantity</t>
        </is>
      </c>
      <c r="E275" s="5" t="inlineStr">
        <is>
          <t>Rate (Rs.)</t>
        </is>
      </c>
      <c r="F275" s="5" t="inlineStr">
        <is>
          <t>Amount (Rs.)</t>
        </is>
      </c>
    </row>
    <row r="276">
      <c r="A276" s="13" t="inlineStr">
        <is>
          <t>11.10.1</t>
        </is>
      </c>
      <c r="B276" s="14" t="inlineStr">
        <is>
          <t>Rate as per SH: 11.10.1</t>
        </is>
      </c>
      <c r="C276" s="13" t="inlineStr">
        <is>
          <t>sqm</t>
        </is>
      </c>
      <c r="D276" s="15" t="n">
        <v>10</v>
      </c>
      <c r="E276" s="16" t="n">
        <v>876.9</v>
      </c>
      <c r="F276" s="16">
        <f>D276*E276</f>
        <v/>
      </c>
    </row>
    <row r="277">
      <c r="A277" s="13" t="inlineStr">
        <is>
          <t>0876</t>
        </is>
      </c>
      <c r="B277" s="14" t="inlineStr">
        <is>
          <t>Green or blue medium shade pigment</t>
        </is>
      </c>
      <c r="C277" s="13" t="inlineStr">
        <is>
          <t>kilogram</t>
        </is>
      </c>
      <c r="D277" s="15" t="n">
        <v>4.05</v>
      </c>
      <c r="E277" s="16" t="n">
        <v>56</v>
      </c>
      <c r="F277" s="16">
        <f>D277*E277</f>
        <v/>
      </c>
    </row>
    <row r="278">
      <c r="A278" s="13" t="inlineStr">
        <is>
          <t>0368</t>
        </is>
      </c>
      <c r="B278" s="14" t="inlineStr">
        <is>
          <t>White Cement</t>
        </is>
      </c>
      <c r="C278" s="13" t="inlineStr">
        <is>
          <t>tonne</t>
        </is>
      </c>
      <c r="D278" s="15" t="n">
        <v>0.0289</v>
      </c>
      <c r="E278" s="16" t="n">
        <v>11200</v>
      </c>
      <c r="F278" s="16">
        <f>D278*E278</f>
        <v/>
      </c>
    </row>
    <row r="279">
      <c r="A279" s="17" t="inlineStr">
        <is>
          <t>Resource Total (Material + Labour + Machinery, as printed)</t>
        </is>
      </c>
      <c r="B279" s="18" t="n"/>
      <c r="C279" s="18" t="n"/>
      <c r="D279" s="18" t="n"/>
      <c r="E279" s="18" t="n"/>
      <c r="F279" s="19">
        <f>SUM(F276:F278)</f>
        <v/>
      </c>
    </row>
    <row r="280">
      <c r="A280" s="20" t="inlineStr">
        <is>
          <t>SAY (Rs.) — final DAR rate</t>
        </is>
      </c>
      <c r="B280" s="21" t="n"/>
      <c r="C280" s="21" t="n"/>
      <c r="D280" s="21" t="n"/>
      <c r="E280" s="21" t="n"/>
      <c r="F280" s="22" t="n">
        <v>893.5</v>
      </c>
    </row>
    <row r="282" ht="18" customHeight="1">
      <c r="A282" s="9" t="inlineStr">
        <is>
          <t>11.10.4</t>
        </is>
      </c>
      <c r="B282" s="10" t="inlineStr">
        <is>
          <t>White cement without any pigment</t>
        </is>
      </c>
      <c r="C282" s="11" t="n"/>
      <c r="D282" s="11" t="n"/>
      <c r="E282" s="11" t="n"/>
      <c r="F282" s="11" t="n"/>
    </row>
    <row r="283">
      <c r="A283" s="12" t="inlineStr">
        <is>
          <t>Rate basis: per sqm  (source: cost for 10 sqm)</t>
        </is>
      </c>
    </row>
    <row r="284">
      <c r="A284" s="5" t="inlineStr">
        <is>
          <t>Code</t>
        </is>
      </c>
      <c r="B284" s="5" t="inlineStr">
        <is>
          <t>Description</t>
        </is>
      </c>
      <c r="C284" s="5" t="inlineStr">
        <is>
          <t>Unit</t>
        </is>
      </c>
      <c r="D284" s="5" t="inlineStr">
        <is>
          <t>Quantity</t>
        </is>
      </c>
      <c r="E284" s="5" t="inlineStr">
        <is>
          <t>Rate (Rs.)</t>
        </is>
      </c>
      <c r="F284" s="5" t="inlineStr">
        <is>
          <t>Amount (Rs.)</t>
        </is>
      </c>
    </row>
    <row r="285">
      <c r="A285" s="13" t="inlineStr">
        <is>
          <t>0296</t>
        </is>
      </c>
      <c r="B285" s="14" t="inlineStr">
        <is>
          <t>Stone Aggregate (Single size) : 12.5 mm nominal size</t>
        </is>
      </c>
      <c r="C285" s="13" t="inlineStr">
        <is>
          <t>cum</t>
        </is>
      </c>
      <c r="D285" s="15" t="n">
        <v>0.21</v>
      </c>
      <c r="E285" s="16" t="n">
        <v>1350</v>
      </c>
      <c r="F285" s="16">
        <f>D285*E285</f>
        <v/>
      </c>
    </row>
    <row r="286">
      <c r="A286" s="13" t="inlineStr">
        <is>
          <t>0297</t>
        </is>
      </c>
      <c r="B286" s="14" t="inlineStr">
        <is>
          <t>Stone Aggregate (Single size) : 10 mm nominal size</t>
        </is>
      </c>
      <c r="C286" s="13" t="inlineStr">
        <is>
          <t>cum</t>
        </is>
      </c>
      <c r="D286" s="15" t="n">
        <v>0.07000000000000001</v>
      </c>
      <c r="E286" s="16" t="n">
        <v>1350</v>
      </c>
      <c r="F286" s="16">
        <f>D286*E286</f>
        <v/>
      </c>
    </row>
    <row r="287">
      <c r="A287" s="13" t="inlineStr">
        <is>
          <t>2202</t>
        </is>
      </c>
      <c r="B287" s="14" t="inlineStr">
        <is>
          <t>Carriage of Stone aggregate below 40 mm nominal size</t>
        </is>
      </c>
      <c r="C287" s="13" t="inlineStr">
        <is>
          <t>cum</t>
        </is>
      </c>
      <c r="D287" s="15" t="n">
        <v>0.28</v>
      </c>
      <c r="E287" s="16" t="n">
        <v>103.77</v>
      </c>
      <c r="F287" s="16">
        <f>D287*E287</f>
        <v/>
      </c>
    </row>
    <row r="288">
      <c r="A288" s="13" t="inlineStr">
        <is>
          <t>0982</t>
        </is>
      </c>
      <c r="B288" s="14" t="inlineStr">
        <is>
          <t>Coarse sand (zone III)</t>
        </is>
      </c>
      <c r="C288" s="13" t="inlineStr">
        <is>
          <t>cum</t>
        </is>
      </c>
      <c r="D288" s="15" t="n">
        <v>0.14</v>
      </c>
      <c r="E288" s="16" t="n">
        <v>1350</v>
      </c>
      <c r="F288" s="16">
        <f>D288*E288</f>
        <v/>
      </c>
    </row>
    <row r="289">
      <c r="A289" s="13" t="inlineStr">
        <is>
          <t>2203</t>
        </is>
      </c>
      <c r="B289" s="14" t="inlineStr">
        <is>
          <t>Carriage of Coarse sand</t>
        </is>
      </c>
      <c r="C289" s="13" t="inlineStr">
        <is>
          <t>cum</t>
        </is>
      </c>
      <c r="D289" s="15" t="n">
        <v>0.14</v>
      </c>
      <c r="E289" s="16" t="n">
        <v>103.77</v>
      </c>
      <c r="F289" s="16">
        <f>D289*E289</f>
        <v/>
      </c>
    </row>
    <row r="290">
      <c r="A290" s="13" t="inlineStr">
        <is>
          <t>0367</t>
        </is>
      </c>
      <c r="B290" s="14" t="inlineStr">
        <is>
          <t>Portland Cement</t>
        </is>
      </c>
      <c r="C290" s="13" t="inlineStr">
        <is>
          <t>tonne</t>
        </is>
      </c>
      <c r="D290" s="15" t="n">
        <v>0.1005</v>
      </c>
      <c r="E290" s="16" t="n">
        <v>4940</v>
      </c>
      <c r="F290" s="16">
        <f>D290*E290</f>
        <v/>
      </c>
    </row>
    <row r="291">
      <c r="A291" s="13" t="inlineStr">
        <is>
          <t>0367</t>
        </is>
      </c>
      <c r="B291" s="14" t="inlineStr">
        <is>
          <t>Portland Cement</t>
        </is>
      </c>
      <c r="C291" s="13" t="inlineStr">
        <is>
          <t>tonne</t>
        </is>
      </c>
      <c r="D291" s="15" t="n">
        <v>0.02</v>
      </c>
      <c r="E291" s="16" t="n">
        <v>4940</v>
      </c>
      <c r="F291" s="16">
        <f>D291*E291</f>
        <v/>
      </c>
    </row>
    <row r="292">
      <c r="A292" s="13" t="inlineStr">
        <is>
          <t>2209</t>
        </is>
      </c>
      <c r="B292" s="14" t="inlineStr">
        <is>
          <t>Carriage of Cement</t>
        </is>
      </c>
      <c r="C292" s="13" t="inlineStr">
        <is>
          <t>tonne</t>
        </is>
      </c>
      <c r="D292" s="15" t="n">
        <v>0.1205</v>
      </c>
      <c r="E292" s="16" t="n">
        <v>92.23999999999999</v>
      </c>
      <c r="F292" s="16">
        <f>D292*E292</f>
        <v/>
      </c>
    </row>
    <row r="293">
      <c r="A293" s="13" t="inlineStr">
        <is>
          <t>0788</t>
        </is>
      </c>
      <c r="B293" s="14" t="inlineStr">
        <is>
          <t>Marble chips large size above 4 mm White &amp; black</t>
        </is>
      </c>
      <c r="C293" s="13" t="inlineStr">
        <is>
          <t>quintal</t>
        </is>
      </c>
      <c r="D293" s="15" t="n">
        <v>1.4</v>
      </c>
      <c r="E293" s="16" t="n">
        <v>250</v>
      </c>
      <c r="F293" s="16">
        <f>D293*E293</f>
        <v/>
      </c>
    </row>
    <row r="294">
      <c r="A294" s="13" t="inlineStr">
        <is>
          <t>2268</t>
        </is>
      </c>
      <c r="B294" s="14" t="inlineStr">
        <is>
          <t>Carriage of Marble dust and marble chips</t>
        </is>
      </c>
      <c r="C294" s="13" t="inlineStr">
        <is>
          <t>cum</t>
        </is>
      </c>
      <c r="D294" s="15" t="n">
        <v>0.082</v>
      </c>
      <c r="E294" s="16" t="n">
        <v>103.77</v>
      </c>
      <c r="F294" s="16">
        <f>D294*E294</f>
        <v/>
      </c>
    </row>
    <row r="295">
      <c r="A295" s="13" t="inlineStr">
        <is>
          <t>0368</t>
        </is>
      </c>
      <c r="B295" s="14" t="inlineStr">
        <is>
          <t>White Cement</t>
        </is>
      </c>
      <c r="C295" s="13" t="inlineStr">
        <is>
          <t>tonne</t>
        </is>
      </c>
      <c r="D295" s="15" t="n">
        <v>0.0578</v>
      </c>
      <c r="E295" s="16" t="n">
        <v>11200</v>
      </c>
      <c r="F295" s="16">
        <f>D295*E295</f>
        <v/>
      </c>
    </row>
    <row r="296">
      <c r="A296" s="13" t="inlineStr">
        <is>
          <t>2209</t>
        </is>
      </c>
      <c r="B296" s="14" t="inlineStr">
        <is>
          <t>Carriage of Cement</t>
        </is>
      </c>
      <c r="C296" s="13" t="inlineStr">
        <is>
          <t>tonne</t>
        </is>
      </c>
      <c r="D296" s="15" t="n">
        <v>0.0578</v>
      </c>
      <c r="E296" s="16" t="n">
        <v>92.23999999999999</v>
      </c>
      <c r="F296" s="16">
        <f>D296*E296</f>
        <v/>
      </c>
    </row>
    <row r="297">
      <c r="A297" s="13" t="inlineStr">
        <is>
          <t>0784</t>
        </is>
      </c>
      <c r="B297" s="14" t="inlineStr">
        <is>
          <t>Marble dust/ powder</t>
        </is>
      </c>
      <c r="C297" s="13" t="inlineStr">
        <is>
          <t>cum</t>
        </is>
      </c>
      <c r="D297" s="15" t="n">
        <v>0.012</v>
      </c>
      <c r="E297" s="16" t="n">
        <v>1130</v>
      </c>
      <c r="F297" s="16">
        <f>D297*E297</f>
        <v/>
      </c>
    </row>
    <row r="298">
      <c r="A298" s="13" t="inlineStr">
        <is>
          <t>0124</t>
        </is>
      </c>
      <c r="B298" s="14" t="inlineStr">
        <is>
          <t>Mason (brick layer) 2nd class</t>
        </is>
      </c>
      <c r="C298" s="13" t="inlineStr">
        <is>
          <t>day</t>
        </is>
      </c>
      <c r="D298" s="15" t="n">
        <v>1.79</v>
      </c>
      <c r="E298" s="16" t="n">
        <v>679</v>
      </c>
      <c r="F298" s="16">
        <f>D298*E298</f>
        <v/>
      </c>
    </row>
    <row r="299">
      <c r="A299" s="13" t="inlineStr">
        <is>
          <t>0114</t>
        </is>
      </c>
      <c r="B299" s="14" t="inlineStr">
        <is>
          <t>Beldar</t>
        </is>
      </c>
      <c r="C299" s="13" t="inlineStr">
        <is>
          <t>day</t>
        </is>
      </c>
      <c r="D299" s="15" t="n">
        <v>1.99</v>
      </c>
      <c r="E299" s="16" t="n">
        <v>558</v>
      </c>
      <c r="F299" s="16">
        <f>D299*E299</f>
        <v/>
      </c>
    </row>
    <row r="300">
      <c r="A300" s="13" t="inlineStr">
        <is>
          <t>0101</t>
        </is>
      </c>
      <c r="B300" s="14" t="inlineStr">
        <is>
          <t>Bhisti</t>
        </is>
      </c>
      <c r="C300" s="13" t="inlineStr">
        <is>
          <t>day</t>
        </is>
      </c>
      <c r="D300" s="15" t="n">
        <v>1.04</v>
      </c>
      <c r="E300" s="16" t="n">
        <v>617</v>
      </c>
      <c r="F300" s="16">
        <f>D300*E300</f>
        <v/>
      </c>
    </row>
    <row r="301">
      <c r="A301" s="13" t="inlineStr">
        <is>
          <t>0139</t>
        </is>
      </c>
      <c r="B301" s="14" t="inlineStr">
        <is>
          <t>Skilled Beldar (for floor rubbing etc.)</t>
        </is>
      </c>
      <c r="C301" s="13" t="inlineStr">
        <is>
          <t>day</t>
        </is>
      </c>
      <c r="D301" s="15" t="n">
        <v>1</v>
      </c>
      <c r="E301" s="16" t="n">
        <v>617</v>
      </c>
      <c r="F301" s="16">
        <f>D301*E301</f>
        <v/>
      </c>
    </row>
    <row r="302">
      <c r="A302" s="13" t="inlineStr">
        <is>
          <t>0127</t>
        </is>
      </c>
      <c r="B302" s="14" t="inlineStr">
        <is>
          <t>Driver (for Road Roller, Concrete Mixer, Truck etc.)</t>
        </is>
      </c>
      <c r="C302" s="13" t="inlineStr">
        <is>
          <t>day</t>
        </is>
      </c>
      <c r="D302" s="15" t="n">
        <v>0.03</v>
      </c>
      <c r="E302" s="16" t="n">
        <v>738</v>
      </c>
      <c r="F302" s="16">
        <f>D302*E302</f>
        <v/>
      </c>
    </row>
    <row r="303">
      <c r="A303" s="13" t="inlineStr">
        <is>
          <t>0002</t>
        </is>
      </c>
      <c r="B303" s="14" t="inlineStr">
        <is>
          <t>Hire charges of Concrete Mixer 0.25 to 0.40 cum with hooper</t>
        </is>
      </c>
      <c r="C303" s="13" t="inlineStr">
        <is>
          <t>day</t>
        </is>
      </c>
      <c r="D303" s="15" t="n">
        <v>0.03</v>
      </c>
      <c r="E303" s="16" t="n">
        <v>800</v>
      </c>
      <c r="F303" s="16">
        <f>D303*E303</f>
        <v/>
      </c>
    </row>
    <row r="304">
      <c r="A304" s="13" t="inlineStr">
        <is>
          <t>0013</t>
        </is>
      </c>
      <c r="B304" s="14" t="inlineStr">
        <is>
          <t>Machine for rubbing of floors</t>
        </is>
      </c>
      <c r="C304" s="13" t="inlineStr">
        <is>
          <t>day</t>
        </is>
      </c>
      <c r="D304" s="15" t="n">
        <v>1.6</v>
      </c>
      <c r="E304" s="16" t="n">
        <v>300</v>
      </c>
      <c r="F304" s="16">
        <f>D304*E304</f>
        <v/>
      </c>
    </row>
    <row r="305">
      <c r="A305" s="13" t="inlineStr">
        <is>
          <t>9999</t>
        </is>
      </c>
      <c r="B305" s="14" t="inlineStr">
        <is>
          <t>Sundries</t>
        </is>
      </c>
      <c r="C305" s="13" t="inlineStr">
        <is>
          <t>L.S.</t>
        </is>
      </c>
      <c r="D305" s="15" t="n">
        <v>161.46</v>
      </c>
      <c r="E305" s="16" t="n">
        <v>2</v>
      </c>
      <c r="F305" s="16">
        <f>D305*E305</f>
        <v/>
      </c>
    </row>
    <row r="306">
      <c r="A306" s="17" t="inlineStr">
        <is>
          <t>Resource Total (Material + Labour + Machinery, as printed)</t>
        </is>
      </c>
      <c r="B306" s="18" t="n"/>
      <c r="C306" s="18" t="n"/>
      <c r="D306" s="18" t="n"/>
      <c r="E306" s="18" t="n"/>
      <c r="F306" s="19">
        <f>SUM(F285:F305)</f>
        <v/>
      </c>
    </row>
    <row r="307">
      <c r="A307" s="20" t="inlineStr">
        <is>
          <t>SAY (Rs.) — final DAR rate</t>
        </is>
      </c>
      <c r="B307" s="21" t="n"/>
      <c r="C307" s="21" t="n"/>
      <c r="D307" s="21" t="n"/>
      <c r="E307" s="21" t="n"/>
      <c r="F307" s="22" t="n">
        <v>893.1</v>
      </c>
    </row>
    <row r="309" ht="18" customHeight="1">
      <c r="A309" s="9" t="inlineStr">
        <is>
          <t>11.10.5</t>
        </is>
      </c>
      <c r="B309" s="10" t="inlineStr">
        <is>
          <t>Light shade pigment with ordinary cement</t>
        </is>
      </c>
      <c r="C309" s="11" t="n"/>
      <c r="D309" s="11" t="n"/>
      <c r="E309" s="11" t="n"/>
      <c r="F309" s="11" t="n"/>
    </row>
    <row r="310">
      <c r="A310" s="12" t="inlineStr">
        <is>
          <t>Rate basis: per sqm  (source: cost for 10 sqm)</t>
        </is>
      </c>
    </row>
    <row r="311">
      <c r="A311" s="5" t="inlineStr">
        <is>
          <t>Code</t>
        </is>
      </c>
      <c r="B311" s="5" t="inlineStr">
        <is>
          <t>Description</t>
        </is>
      </c>
      <c r="C311" s="5" t="inlineStr">
        <is>
          <t>Unit</t>
        </is>
      </c>
      <c r="D311" s="5" t="inlineStr">
        <is>
          <t>Quantity</t>
        </is>
      </c>
      <c r="E311" s="5" t="inlineStr">
        <is>
          <t>Rate (Rs.)</t>
        </is>
      </c>
      <c r="F311" s="5" t="inlineStr">
        <is>
          <t>Amount (Rs.)</t>
        </is>
      </c>
    </row>
    <row r="312">
      <c r="A312" s="13" t="inlineStr">
        <is>
          <t>11.10.1</t>
        </is>
      </c>
      <c r="B312" s="14" t="inlineStr">
        <is>
          <t>Rate as per SH: 11.10.1</t>
        </is>
      </c>
      <c r="C312" s="13" t="inlineStr">
        <is>
          <t>sqm</t>
        </is>
      </c>
      <c r="D312" s="15" t="n">
        <v>10</v>
      </c>
      <c r="E312" s="16" t="n">
        <v>876.9</v>
      </c>
      <c r="F312" s="16">
        <f>D312*E312</f>
        <v/>
      </c>
    </row>
    <row r="313">
      <c r="A313" s="13" t="inlineStr">
        <is>
          <t>0875</t>
        </is>
      </c>
      <c r="B313" s="14" t="inlineStr">
        <is>
          <t>Red, chocolate, orange, buff or yellow (red oxide of iron) light shade pigment</t>
        </is>
      </c>
      <c r="C313" s="13" t="inlineStr">
        <is>
          <t>kilogram</t>
        </is>
      </c>
      <c r="D313" s="15" t="n">
        <v>2.84</v>
      </c>
      <c r="E313" s="16" t="n">
        <v>60</v>
      </c>
      <c r="F313" s="16">
        <f>D313*E313</f>
        <v/>
      </c>
    </row>
    <row r="314">
      <c r="A314" s="17" t="inlineStr">
        <is>
          <t>Resource Total (Material + Labour + Machinery, as printed)</t>
        </is>
      </c>
      <c r="B314" s="18" t="n"/>
      <c r="C314" s="18" t="n"/>
      <c r="D314" s="18" t="n"/>
      <c r="E314" s="18" t="n"/>
      <c r="F314" s="19">
        <f>SUM(F312:F313)</f>
        <v/>
      </c>
    </row>
    <row r="315">
      <c r="A315" s="20" t="inlineStr">
        <is>
          <t>SAY (Rs.) — final DAR rate</t>
        </is>
      </c>
      <c r="B315" s="21" t="n"/>
      <c r="C315" s="21" t="n"/>
      <c r="D315" s="21" t="n"/>
      <c r="E315" s="21" t="n"/>
      <c r="F315" s="22" t="n">
        <v>873.1</v>
      </c>
    </row>
    <row r="317" ht="18" customHeight="1">
      <c r="A317" s="9" t="inlineStr">
        <is>
          <t>11.10.6</t>
        </is>
      </c>
      <c r="B317" s="10" t="inlineStr">
        <is>
          <t>Ordinary cement without any pigment</t>
        </is>
      </c>
      <c r="C317" s="11" t="n"/>
      <c r="D317" s="11" t="n"/>
      <c r="E317" s="11" t="n"/>
      <c r="F317" s="11" t="n"/>
    </row>
    <row r="318">
      <c r="A318" s="12" t="inlineStr">
        <is>
          <t>Rate basis: per sqm  (source: cost for 10 sqm)</t>
        </is>
      </c>
    </row>
    <row r="319">
      <c r="A319" s="5" t="inlineStr">
        <is>
          <t>Code</t>
        </is>
      </c>
      <c r="B319" s="5" t="inlineStr">
        <is>
          <t>Description</t>
        </is>
      </c>
      <c r="C319" s="5" t="inlineStr">
        <is>
          <t>Unit</t>
        </is>
      </c>
      <c r="D319" s="5" t="inlineStr">
        <is>
          <t>Quantity</t>
        </is>
      </c>
      <c r="E319" s="5" t="inlineStr">
        <is>
          <t>Rate (Rs.)</t>
        </is>
      </c>
      <c r="F319" s="5" t="inlineStr">
        <is>
          <t>Amount (Rs.)</t>
        </is>
      </c>
    </row>
    <row r="320">
      <c r="A320" s="13" t="inlineStr">
        <is>
          <t>0296</t>
        </is>
      </c>
      <c r="B320" s="14" t="inlineStr">
        <is>
          <t>Stone Aggregate (Single size) : 12.5 mm nominal size</t>
        </is>
      </c>
      <c r="C320" s="13" t="inlineStr">
        <is>
          <t>cum</t>
        </is>
      </c>
      <c r="D320" s="15" t="n">
        <v>0.21</v>
      </c>
      <c r="E320" s="16" t="n">
        <v>1350</v>
      </c>
      <c r="F320" s="16">
        <f>D320*E320</f>
        <v/>
      </c>
    </row>
    <row r="321">
      <c r="A321" s="13" t="inlineStr">
        <is>
          <t>0297</t>
        </is>
      </c>
      <c r="B321" s="14" t="inlineStr">
        <is>
          <t>Stone Aggregate (Single size) : 10 mm nominal size</t>
        </is>
      </c>
      <c r="C321" s="13" t="inlineStr">
        <is>
          <t>cum</t>
        </is>
      </c>
      <c r="D321" s="15" t="n">
        <v>0.07000000000000001</v>
      </c>
      <c r="E321" s="16" t="n">
        <v>1350</v>
      </c>
      <c r="F321" s="16">
        <f>D321*E321</f>
        <v/>
      </c>
    </row>
    <row r="322">
      <c r="A322" s="13" t="inlineStr">
        <is>
          <t>2202</t>
        </is>
      </c>
      <c r="B322" s="14" t="inlineStr">
        <is>
          <t>Carriage of Stone aggregate below 40 mm nominal size</t>
        </is>
      </c>
      <c r="C322" s="13" t="inlineStr">
        <is>
          <t>cum</t>
        </is>
      </c>
      <c r="D322" s="15" t="n">
        <v>0.28</v>
      </c>
      <c r="E322" s="16" t="n">
        <v>103.77</v>
      </c>
      <c r="F322" s="16">
        <f>D322*E322</f>
        <v/>
      </c>
    </row>
    <row r="323">
      <c r="A323" s="13" t="inlineStr">
        <is>
          <t>0982</t>
        </is>
      </c>
      <c r="B323" s="14" t="inlineStr">
        <is>
          <t>Coarse sand (zone III)</t>
        </is>
      </c>
      <c r="C323" s="13" t="inlineStr">
        <is>
          <t>cum</t>
        </is>
      </c>
      <c r="D323" s="15" t="n">
        <v>0.14</v>
      </c>
      <c r="E323" s="16" t="n">
        <v>1350</v>
      </c>
      <c r="F323" s="16">
        <f>D323*E323</f>
        <v/>
      </c>
    </row>
    <row r="324">
      <c r="A324" s="13" t="inlineStr">
        <is>
          <t>2203</t>
        </is>
      </c>
      <c r="B324" s="14" t="inlineStr">
        <is>
          <t>Carriage of Coarse sand</t>
        </is>
      </c>
      <c r="C324" s="13" t="inlineStr">
        <is>
          <t>cum</t>
        </is>
      </c>
      <c r="D324" s="15" t="n">
        <v>0.14</v>
      </c>
      <c r="E324" s="16" t="n">
        <v>103.77</v>
      </c>
      <c r="F324" s="16">
        <f>D324*E324</f>
        <v/>
      </c>
    </row>
    <row r="325">
      <c r="A325" s="13" t="inlineStr">
        <is>
          <t>0367</t>
        </is>
      </c>
      <c r="B325" s="14" t="inlineStr">
        <is>
          <t>Portland Cement</t>
        </is>
      </c>
      <c r="C325" s="13" t="inlineStr">
        <is>
          <t>tonne</t>
        </is>
      </c>
      <c r="D325" s="15" t="n">
        <v>0.1005</v>
      </c>
      <c r="E325" s="16" t="n">
        <v>4940</v>
      </c>
      <c r="F325" s="16">
        <f>D325*E325</f>
        <v/>
      </c>
    </row>
    <row r="326">
      <c r="A326" s="13" t="inlineStr">
        <is>
          <t>0367</t>
        </is>
      </c>
      <c r="B326" s="14" t="inlineStr">
        <is>
          <t>Portland Cement</t>
        </is>
      </c>
      <c r="C326" s="13" t="inlineStr">
        <is>
          <t>tonne</t>
        </is>
      </c>
      <c r="D326" s="15" t="n">
        <v>0.02</v>
      </c>
      <c r="E326" s="16" t="n">
        <v>4940</v>
      </c>
      <c r="F326" s="16">
        <f>D326*E326</f>
        <v/>
      </c>
    </row>
    <row r="327">
      <c r="A327" s="13" t="inlineStr">
        <is>
          <t>2209</t>
        </is>
      </c>
      <c r="B327" s="14" t="inlineStr">
        <is>
          <t>Carriage of Cement</t>
        </is>
      </c>
      <c r="C327" s="13" t="inlineStr">
        <is>
          <t>tonne</t>
        </is>
      </c>
      <c r="D327" s="15" t="n">
        <v>0.1205</v>
      </c>
      <c r="E327" s="16" t="n">
        <v>92.23999999999999</v>
      </c>
      <c r="F327" s="16">
        <f>D327*E327</f>
        <v/>
      </c>
    </row>
    <row r="328">
      <c r="A328" s="13" t="inlineStr">
        <is>
          <t>0788</t>
        </is>
      </c>
      <c r="B328" s="14" t="inlineStr">
        <is>
          <t>Marble chips large size above 4 mm White &amp; black</t>
        </is>
      </c>
      <c r="C328" s="13" t="inlineStr">
        <is>
          <t>quintal</t>
        </is>
      </c>
      <c r="D328" s="15" t="n">
        <v>1.4</v>
      </c>
      <c r="E328" s="16" t="n">
        <v>250</v>
      </c>
      <c r="F328" s="16">
        <f>D328*E328</f>
        <v/>
      </c>
    </row>
    <row r="329">
      <c r="A329" s="13" t="inlineStr">
        <is>
          <t>2268</t>
        </is>
      </c>
      <c r="B329" s="14" t="inlineStr">
        <is>
          <t>Carriage of Marble dust and marble chips</t>
        </is>
      </c>
      <c r="C329" s="13" t="inlineStr">
        <is>
          <t>cum</t>
        </is>
      </c>
      <c r="D329" s="15" t="n">
        <v>0.082</v>
      </c>
      <c r="E329" s="16" t="n">
        <v>103.77</v>
      </c>
      <c r="F329" s="16">
        <f>D329*E329</f>
        <v/>
      </c>
    </row>
    <row r="330">
      <c r="A330" s="13" t="inlineStr">
        <is>
          <t>0367</t>
        </is>
      </c>
      <c r="B330" s="14" t="inlineStr">
        <is>
          <t>Portland Cement</t>
        </is>
      </c>
      <c r="C330" s="13" t="inlineStr">
        <is>
          <t>tonne</t>
        </is>
      </c>
      <c r="D330" s="15" t="n">
        <v>0.0578</v>
      </c>
      <c r="E330" s="16" t="n">
        <v>4940</v>
      </c>
      <c r="F330" s="16">
        <f>D330*E330</f>
        <v/>
      </c>
    </row>
    <row r="331">
      <c r="A331" s="13" t="inlineStr">
        <is>
          <t>2209</t>
        </is>
      </c>
      <c r="B331" s="14" t="inlineStr">
        <is>
          <t>Carriage of Cement</t>
        </is>
      </c>
      <c r="C331" s="13" t="inlineStr">
        <is>
          <t>tonne</t>
        </is>
      </c>
      <c r="D331" s="15" t="n">
        <v>0.0578</v>
      </c>
      <c r="E331" s="16" t="n">
        <v>92.23999999999999</v>
      </c>
      <c r="F331" s="16">
        <f>D331*E331</f>
        <v/>
      </c>
    </row>
    <row r="332">
      <c r="A332" s="13" t="inlineStr">
        <is>
          <t>0784</t>
        </is>
      </c>
      <c r="B332" s="14" t="inlineStr">
        <is>
          <t>Marble dust/ powder</t>
        </is>
      </c>
      <c r="C332" s="13" t="inlineStr">
        <is>
          <t>cum</t>
        </is>
      </c>
      <c r="D332" s="15" t="n">
        <v>0.012</v>
      </c>
      <c r="E332" s="16" t="n">
        <v>1130</v>
      </c>
      <c r="F332" s="16">
        <f>D332*E332</f>
        <v/>
      </c>
    </row>
    <row r="333">
      <c r="A333" s="13" t="inlineStr">
        <is>
          <t>0124</t>
        </is>
      </c>
      <c r="B333" s="14" t="inlineStr">
        <is>
          <t>Mason (brick layer) 2nd class</t>
        </is>
      </c>
      <c r="C333" s="13" t="inlineStr">
        <is>
          <t>day</t>
        </is>
      </c>
      <c r="D333" s="15" t="n">
        <v>1.79</v>
      </c>
      <c r="E333" s="16" t="n">
        <v>679</v>
      </c>
      <c r="F333" s="16">
        <f>D333*E333</f>
        <v/>
      </c>
    </row>
    <row r="334">
      <c r="A334" s="13" t="inlineStr">
        <is>
          <t>0114</t>
        </is>
      </c>
      <c r="B334" s="14" t="inlineStr">
        <is>
          <t>Beldar</t>
        </is>
      </c>
      <c r="C334" s="13" t="inlineStr">
        <is>
          <t>day</t>
        </is>
      </c>
      <c r="D334" s="15" t="n">
        <v>1.99</v>
      </c>
      <c r="E334" s="16" t="n">
        <v>558</v>
      </c>
      <c r="F334" s="16">
        <f>D334*E334</f>
        <v/>
      </c>
    </row>
    <row r="335">
      <c r="A335" s="13" t="inlineStr">
        <is>
          <t>0101</t>
        </is>
      </c>
      <c r="B335" s="14" t="inlineStr">
        <is>
          <t>Bhisti</t>
        </is>
      </c>
      <c r="C335" s="13" t="inlineStr">
        <is>
          <t>day</t>
        </is>
      </c>
      <c r="D335" s="15" t="n">
        <v>1.04</v>
      </c>
      <c r="E335" s="16" t="n">
        <v>617</v>
      </c>
      <c r="F335" s="16">
        <f>D335*E335</f>
        <v/>
      </c>
    </row>
    <row r="336">
      <c r="A336" s="13" t="inlineStr">
        <is>
          <t>0139</t>
        </is>
      </c>
      <c r="B336" s="14" t="inlineStr">
        <is>
          <t>Skilled Beldar (for floor rubbing etc.)</t>
        </is>
      </c>
      <c r="C336" s="13" t="inlineStr">
        <is>
          <t>day</t>
        </is>
      </c>
      <c r="D336" s="15" t="n">
        <v>1</v>
      </c>
      <c r="E336" s="16" t="n">
        <v>617</v>
      </c>
      <c r="F336" s="16">
        <f>D336*E336</f>
        <v/>
      </c>
    </row>
    <row r="337">
      <c r="A337" s="13" t="inlineStr">
        <is>
          <t>0127</t>
        </is>
      </c>
      <c r="B337" s="14" t="inlineStr">
        <is>
          <t>Driver (for Road Roller, Concrete Mixer, Truck etc.)</t>
        </is>
      </c>
      <c r="C337" s="13" t="inlineStr">
        <is>
          <t>day</t>
        </is>
      </c>
      <c r="D337" s="15" t="n">
        <v>0.03</v>
      </c>
      <c r="E337" s="16" t="n">
        <v>738</v>
      </c>
      <c r="F337" s="16">
        <f>D337*E337</f>
        <v/>
      </c>
    </row>
    <row r="338">
      <c r="A338" s="13" t="inlineStr">
        <is>
          <t>0002</t>
        </is>
      </c>
      <c r="B338" s="14" t="inlineStr">
        <is>
          <t>Hire charges of Concrete Mixer 0.25 to 0.40 cum with hooper</t>
        </is>
      </c>
      <c r="C338" s="13" t="inlineStr">
        <is>
          <t>day</t>
        </is>
      </c>
      <c r="D338" s="15" t="n">
        <v>0.03</v>
      </c>
      <c r="E338" s="16" t="n">
        <v>800</v>
      </c>
      <c r="F338" s="16">
        <f>D338*E338</f>
        <v/>
      </c>
    </row>
    <row r="339">
      <c r="A339" s="13" t="inlineStr">
        <is>
          <t>0013</t>
        </is>
      </c>
      <c r="B339" s="14" t="inlineStr">
        <is>
          <t>Machine for rubbing of floors</t>
        </is>
      </c>
      <c r="C339" s="13" t="inlineStr">
        <is>
          <t>day</t>
        </is>
      </c>
      <c r="D339" s="15" t="n">
        <v>1.6</v>
      </c>
      <c r="E339" s="16" t="n">
        <v>300</v>
      </c>
      <c r="F339" s="16">
        <f>D339*E339</f>
        <v/>
      </c>
    </row>
    <row r="340">
      <c r="A340" s="13" t="inlineStr">
        <is>
          <t>9999</t>
        </is>
      </c>
      <c r="B340" s="14" t="inlineStr">
        <is>
          <t>Sundries</t>
        </is>
      </c>
      <c r="C340" s="13" t="inlineStr">
        <is>
          <t>L.S.</t>
        </is>
      </c>
      <c r="D340" s="15" t="n">
        <v>134.55</v>
      </c>
      <c r="E340" s="16" t="n">
        <v>2</v>
      </c>
      <c r="F340" s="16">
        <f>D340*E340</f>
        <v/>
      </c>
    </row>
    <row r="341">
      <c r="A341" s="17" t="inlineStr">
        <is>
          <t>Resource Total (Material + Labour + Machinery, as printed)</t>
        </is>
      </c>
      <c r="B341" s="18" t="n"/>
      <c r="C341" s="18" t="n"/>
      <c r="D341" s="18" t="n"/>
      <c r="E341" s="18" t="n"/>
      <c r="F341" s="19">
        <f>SUM(F320:F340)</f>
        <v/>
      </c>
    </row>
    <row r="342">
      <c r="A342" s="20" t="inlineStr">
        <is>
          <t>SAY (Rs.) — final DAR rate</t>
        </is>
      </c>
      <c r="B342" s="21" t="n"/>
      <c r="C342" s="21" t="n"/>
      <c r="D342" s="21" t="n"/>
      <c r="E342" s="21" t="n"/>
      <c r="F342" s="22" t="n">
        <v>837.5</v>
      </c>
    </row>
    <row r="344" ht="18" customHeight="1">
      <c r="A344" s="9" t="inlineStr">
        <is>
          <t>11.11.1</t>
        </is>
      </c>
      <c r="B344" s="10" t="inlineStr">
        <is>
          <t>Dark shade pigment with ordinary cement</t>
        </is>
      </c>
      <c r="C344" s="11" t="n"/>
      <c r="D344" s="11" t="n"/>
      <c r="E344" s="11" t="n"/>
      <c r="F344" s="11" t="n"/>
    </row>
    <row r="345">
      <c r="A345" s="12" t="inlineStr">
        <is>
          <t>Rate basis: per sqm  (source: cost for 10 sqm)</t>
        </is>
      </c>
    </row>
    <row r="346">
      <c r="A346" s="5" t="inlineStr">
        <is>
          <t>Code</t>
        </is>
      </c>
      <c r="B346" s="5" t="inlineStr">
        <is>
          <t>Description</t>
        </is>
      </c>
      <c r="C346" s="5" t="inlineStr">
        <is>
          <t>Unit</t>
        </is>
      </c>
      <c r="D346" s="5" t="inlineStr">
        <is>
          <t>Quantity</t>
        </is>
      </c>
      <c r="E346" s="5" t="inlineStr">
        <is>
          <t>Rate (Rs.)</t>
        </is>
      </c>
      <c r="F346" s="5" t="inlineStr">
        <is>
          <t>Amount (Rs.)</t>
        </is>
      </c>
    </row>
    <row r="347">
      <c r="A347" s="13" t="inlineStr">
        <is>
          <t>0296</t>
        </is>
      </c>
      <c r="B347" s="14" t="inlineStr">
        <is>
          <t>Stone Aggregate (Single size) : 12.5 mm nominal size</t>
        </is>
      </c>
      <c r="C347" s="13" t="inlineStr">
        <is>
          <t>cum</t>
        </is>
      </c>
      <c r="D347" s="15" t="n">
        <v>0.19</v>
      </c>
      <c r="E347" s="16" t="n">
        <v>1350</v>
      </c>
      <c r="F347" s="16">
        <f>D347*E347</f>
        <v/>
      </c>
    </row>
    <row r="348">
      <c r="A348" s="13" t="inlineStr">
        <is>
          <t>0297</t>
        </is>
      </c>
      <c r="B348" s="14" t="inlineStr">
        <is>
          <t>Stone Aggregate (Single size) : 10 mm nominal size</t>
        </is>
      </c>
      <c r="C348" s="13" t="inlineStr">
        <is>
          <t>cum</t>
        </is>
      </c>
      <c r="D348" s="15" t="n">
        <v>0.06</v>
      </c>
      <c r="E348" s="16" t="n">
        <v>1350</v>
      </c>
      <c r="F348" s="16">
        <f>D348*E348</f>
        <v/>
      </c>
    </row>
    <row r="349">
      <c r="A349" s="13" t="inlineStr">
        <is>
          <t>2202</t>
        </is>
      </c>
      <c r="B349" s="14" t="inlineStr">
        <is>
          <t>Carriage of Stone aggregate below 40 mm nominal size</t>
        </is>
      </c>
      <c r="C349" s="13" t="inlineStr">
        <is>
          <t>cum</t>
        </is>
      </c>
      <c r="D349" s="15" t="n">
        <v>0.25</v>
      </c>
      <c r="E349" s="16" t="n">
        <v>103.77</v>
      </c>
      <c r="F349" s="16">
        <f>D349*E349</f>
        <v/>
      </c>
    </row>
    <row r="350">
      <c r="A350" s="13" t="inlineStr">
        <is>
          <t>0982</t>
        </is>
      </c>
      <c r="B350" s="14" t="inlineStr">
        <is>
          <t>Coarse sand (zone III)</t>
        </is>
      </c>
      <c r="C350" s="13" t="inlineStr">
        <is>
          <t>cum</t>
        </is>
      </c>
      <c r="D350" s="15" t="n">
        <v>0.125</v>
      </c>
      <c r="E350" s="16" t="n">
        <v>1350</v>
      </c>
      <c r="F350" s="16">
        <f>D350*E350</f>
        <v/>
      </c>
    </row>
    <row r="351">
      <c r="A351" s="13" t="inlineStr">
        <is>
          <t>2203</t>
        </is>
      </c>
      <c r="B351" s="14" t="inlineStr">
        <is>
          <t>Carriage of Coarse sand</t>
        </is>
      </c>
      <c r="C351" s="13" t="inlineStr">
        <is>
          <t>cum</t>
        </is>
      </c>
      <c r="D351" s="15" t="n">
        <v>0.125</v>
      </c>
      <c r="E351" s="16" t="n">
        <v>103.77</v>
      </c>
      <c r="F351" s="16">
        <f>D351*E351</f>
        <v/>
      </c>
    </row>
    <row r="352">
      <c r="A352" s="13" t="inlineStr">
        <is>
          <t>0367</t>
        </is>
      </c>
      <c r="B352" s="14" t="inlineStr">
        <is>
          <t>Portland Cement</t>
        </is>
      </c>
      <c r="C352" s="13" t="inlineStr">
        <is>
          <t>tonne</t>
        </is>
      </c>
      <c r="D352" s="15" t="n">
        <v>0.0897</v>
      </c>
      <c r="E352" s="16" t="n">
        <v>4940</v>
      </c>
      <c r="F352" s="16">
        <f>D352*E352</f>
        <v/>
      </c>
    </row>
    <row r="353">
      <c r="A353" s="13" t="inlineStr">
        <is>
          <t>0367</t>
        </is>
      </c>
      <c r="B353" s="14" t="inlineStr">
        <is>
          <t>Portland Cement</t>
        </is>
      </c>
      <c r="C353" s="13" t="inlineStr">
        <is>
          <t>tonne</t>
        </is>
      </c>
      <c r="D353" s="15" t="n">
        <v>0.02</v>
      </c>
      <c r="E353" s="16" t="n">
        <v>4940</v>
      </c>
      <c r="F353" s="16">
        <f>D353*E353</f>
        <v/>
      </c>
    </row>
    <row r="354">
      <c r="A354" s="13" t="inlineStr">
        <is>
          <t>2209</t>
        </is>
      </c>
      <c r="B354" s="14" t="inlineStr">
        <is>
          <t>Carriage of Cement</t>
        </is>
      </c>
      <c r="C354" s="13" t="inlineStr">
        <is>
          <t>tonne</t>
        </is>
      </c>
      <c r="D354" s="15" t="n">
        <v>0.1097</v>
      </c>
      <c r="E354" s="16" t="n">
        <v>92.23999999999999</v>
      </c>
      <c r="F354" s="16">
        <f>D354*E354</f>
        <v/>
      </c>
    </row>
    <row r="355">
      <c r="A355" s="13" t="inlineStr">
        <is>
          <t>0788</t>
        </is>
      </c>
      <c r="B355" s="14" t="inlineStr">
        <is>
          <t>Marble chips large size above 4 mm White &amp; black</t>
        </is>
      </c>
      <c r="C355" s="13" t="inlineStr">
        <is>
          <t>quintal</t>
        </is>
      </c>
      <c r="D355" s="15" t="n">
        <v>1.734</v>
      </c>
      <c r="E355" s="16" t="n">
        <v>250</v>
      </c>
      <c r="F355" s="16">
        <f>D355*E355</f>
        <v/>
      </c>
    </row>
    <row r="356">
      <c r="A356" s="13" t="inlineStr">
        <is>
          <t>2268</t>
        </is>
      </c>
      <c r="B356" s="14" t="inlineStr">
        <is>
          <t>Carriage of Marble dust and marble chips</t>
        </is>
      </c>
      <c r="C356" s="13" t="inlineStr">
        <is>
          <t>cum</t>
        </is>
      </c>
      <c r="D356" s="15" t="n">
        <v>0.102</v>
      </c>
      <c r="E356" s="16" t="n">
        <v>103.77</v>
      </c>
      <c r="F356" s="16">
        <f>D356*E356</f>
        <v/>
      </c>
    </row>
    <row r="357">
      <c r="A357" s="13" t="inlineStr">
        <is>
          <t>0367</t>
        </is>
      </c>
      <c r="B357" s="14" t="inlineStr">
        <is>
          <t>Portland Cement</t>
        </is>
      </c>
      <c r="C357" s="13" t="inlineStr">
        <is>
          <t>tonne</t>
        </is>
      </c>
      <c r="D357" s="15" t="n">
        <v>0.081</v>
      </c>
      <c r="E357" s="16" t="n">
        <v>4940</v>
      </c>
      <c r="F357" s="16">
        <f>D357*E357</f>
        <v/>
      </c>
    </row>
    <row r="358">
      <c r="A358" s="13" t="inlineStr">
        <is>
          <t>2209</t>
        </is>
      </c>
      <c r="B358" s="14" t="inlineStr">
        <is>
          <t>Carriage of Cement</t>
        </is>
      </c>
      <c r="C358" s="13" t="inlineStr">
        <is>
          <t>tonne</t>
        </is>
      </c>
      <c r="D358" s="15" t="n">
        <v>0.081</v>
      </c>
      <c r="E358" s="16" t="n">
        <v>92.23999999999999</v>
      </c>
      <c r="F358" s="16">
        <f>D358*E358</f>
        <v/>
      </c>
    </row>
    <row r="359">
      <c r="A359" s="13" t="inlineStr">
        <is>
          <t>0784</t>
        </is>
      </c>
      <c r="B359" s="14" t="inlineStr">
        <is>
          <t>Marble dust/ powder</t>
        </is>
      </c>
      <c r="C359" s="13" t="inlineStr">
        <is>
          <t>cum</t>
        </is>
      </c>
      <c r="D359" s="15" t="n">
        <v>0.017</v>
      </c>
      <c r="E359" s="16" t="n">
        <v>1130</v>
      </c>
      <c r="F359" s="16">
        <f>D359*E359</f>
        <v/>
      </c>
    </row>
    <row r="360">
      <c r="A360" s="13" t="inlineStr">
        <is>
          <t>0874</t>
        </is>
      </c>
      <c r="B360" s="14" t="inlineStr">
        <is>
          <t>Black colour dark shade pigment</t>
        </is>
      </c>
      <c r="C360" s="13" t="inlineStr">
        <is>
          <t>kilogram</t>
        </is>
      </c>
      <c r="D360" s="15" t="n">
        <v>5.67</v>
      </c>
      <c r="E360" s="16" t="n">
        <v>70</v>
      </c>
      <c r="F360" s="16">
        <f>D360*E360</f>
        <v/>
      </c>
    </row>
    <row r="361">
      <c r="A361" s="13" t="inlineStr">
        <is>
          <t>9977</t>
        </is>
      </c>
      <c r="B361" s="14" t="inlineStr">
        <is>
          <t>Carriage of pigment and marble powder etc.</t>
        </is>
      </c>
      <c r="C361" s="13" t="inlineStr">
        <is>
          <t>L.S.</t>
        </is>
      </c>
      <c r="D361" s="15" t="n">
        <v>6.24</v>
      </c>
      <c r="E361" s="16" t="n">
        <v>2</v>
      </c>
      <c r="F361" s="16">
        <f>D361*E361</f>
        <v/>
      </c>
    </row>
    <row r="362">
      <c r="A362" s="13" t="inlineStr">
        <is>
          <t>0124</t>
        </is>
      </c>
      <c r="B362" s="14" t="inlineStr">
        <is>
          <t>Mason (brick layer) 2nd class</t>
        </is>
      </c>
      <c r="C362" s="13" t="inlineStr">
        <is>
          <t>day</t>
        </is>
      </c>
      <c r="D362" s="15" t="n">
        <v>1.79</v>
      </c>
      <c r="E362" s="16" t="n">
        <v>679</v>
      </c>
      <c r="F362" s="16">
        <f>D362*E362</f>
        <v/>
      </c>
    </row>
    <row r="363">
      <c r="A363" s="13" t="inlineStr">
        <is>
          <t>0114</t>
        </is>
      </c>
      <c r="B363" s="14" t="inlineStr">
        <is>
          <t>Beldar</t>
        </is>
      </c>
      <c r="C363" s="13" t="inlineStr">
        <is>
          <t>day</t>
        </is>
      </c>
      <c r="D363" s="15" t="n">
        <v>1.99</v>
      </c>
      <c r="E363" s="16" t="n">
        <v>558</v>
      </c>
      <c r="F363" s="16">
        <f>D363*E363</f>
        <v/>
      </c>
    </row>
    <row r="364">
      <c r="A364" s="13" t="inlineStr">
        <is>
          <t>0101</t>
        </is>
      </c>
      <c r="B364" s="14" t="inlineStr">
        <is>
          <t>Bhisti</t>
        </is>
      </c>
      <c r="C364" s="13" t="inlineStr">
        <is>
          <t>day</t>
        </is>
      </c>
      <c r="D364" s="15" t="n">
        <v>1.04</v>
      </c>
      <c r="E364" s="16" t="n">
        <v>617</v>
      </c>
      <c r="F364" s="16">
        <f>D364*E364</f>
        <v/>
      </c>
    </row>
    <row r="365">
      <c r="A365" s="13" t="inlineStr">
        <is>
          <t>0139</t>
        </is>
      </c>
      <c r="B365" s="14" t="inlineStr">
        <is>
          <t>Skilled Beldar (for floor rubbing etc.)</t>
        </is>
      </c>
      <c r="C365" s="13" t="inlineStr">
        <is>
          <t>day</t>
        </is>
      </c>
      <c r="D365" s="15" t="n">
        <v>1</v>
      </c>
      <c r="E365" s="16" t="n">
        <v>617</v>
      </c>
      <c r="F365" s="16">
        <f>D365*E365</f>
        <v/>
      </c>
    </row>
    <row r="366">
      <c r="A366" s="13" t="inlineStr">
        <is>
          <t>0127</t>
        </is>
      </c>
      <c r="B366" s="14" t="inlineStr">
        <is>
          <t>Driver (for Road Roller, Concrete Mixer, Truck etc.)</t>
        </is>
      </c>
      <c r="C366" s="13" t="inlineStr">
        <is>
          <t>day</t>
        </is>
      </c>
      <c r="D366" s="15" t="n">
        <v>0.03</v>
      </c>
      <c r="E366" s="16" t="n">
        <v>738</v>
      </c>
      <c r="F366" s="16">
        <f>D366*E366</f>
        <v/>
      </c>
    </row>
    <row r="367">
      <c r="A367" s="13" t="inlineStr">
        <is>
          <t>0002</t>
        </is>
      </c>
      <c r="B367" s="14" t="inlineStr">
        <is>
          <t>Hire charges of Concrete Mixer 0.25 to 0.40 cum with hooper</t>
        </is>
      </c>
      <c r="C367" s="13" t="inlineStr">
        <is>
          <t>day</t>
        </is>
      </c>
      <c r="D367" s="15" t="n">
        <v>0.03</v>
      </c>
      <c r="E367" s="16" t="n">
        <v>800</v>
      </c>
      <c r="F367" s="16">
        <f>D367*E367</f>
        <v/>
      </c>
    </row>
    <row r="368">
      <c r="A368" s="13" t="inlineStr">
        <is>
          <t>0013</t>
        </is>
      </c>
      <c r="B368" s="14" t="inlineStr">
        <is>
          <t>Machine for rubbing of floors</t>
        </is>
      </c>
      <c r="C368" s="13" t="inlineStr">
        <is>
          <t>day</t>
        </is>
      </c>
      <c r="D368" s="15" t="n">
        <v>1.6</v>
      </c>
      <c r="E368" s="16" t="n">
        <v>300</v>
      </c>
      <c r="F368" s="16">
        <f>D368*E368</f>
        <v/>
      </c>
    </row>
    <row r="369">
      <c r="A369" s="13" t="inlineStr">
        <is>
          <t>9999</t>
        </is>
      </c>
      <c r="B369" s="14" t="inlineStr">
        <is>
          <t>Sundries</t>
        </is>
      </c>
      <c r="C369" s="13" t="inlineStr">
        <is>
          <t>L.S.</t>
        </is>
      </c>
      <c r="D369" s="15" t="n">
        <v>156.13</v>
      </c>
      <c r="E369" s="16" t="n">
        <v>2</v>
      </c>
      <c r="F369" s="16">
        <f>D369*E369</f>
        <v/>
      </c>
    </row>
    <row r="370">
      <c r="A370" s="17" t="inlineStr">
        <is>
          <t>Resource Total (Material + Labour + Machinery, as printed)</t>
        </is>
      </c>
      <c r="B370" s="18" t="n"/>
      <c r="C370" s="18" t="n"/>
      <c r="D370" s="18" t="n"/>
      <c r="E370" s="18" t="n"/>
      <c r="F370" s="19">
        <f>SUM(F347:F369)</f>
        <v/>
      </c>
    </row>
    <row r="371">
      <c r="A371" s="20" t="inlineStr">
        <is>
          <t>SAY (Rs.) — final DAR rate</t>
        </is>
      </c>
      <c r="B371" s="21" t="n"/>
      <c r="C371" s="21" t="n"/>
      <c r="D371" s="21" t="n"/>
      <c r="E371" s="21" t="n"/>
      <c r="F371" s="22" t="n">
        <v>909.85</v>
      </c>
    </row>
    <row r="373" ht="18" customHeight="1">
      <c r="A373" s="9" t="inlineStr">
        <is>
          <t>11.11.2</t>
        </is>
      </c>
      <c r="B373" s="10" t="inlineStr">
        <is>
          <t>Light shade pigment with white cement</t>
        </is>
      </c>
      <c r="C373" s="11" t="n"/>
      <c r="D373" s="11" t="n"/>
      <c r="E373" s="11" t="n"/>
      <c r="F373" s="11" t="n"/>
    </row>
    <row r="374">
      <c r="A374" s="12" t="inlineStr">
        <is>
          <t>Rate basis: per sqm  (source: cost for 10 sqm)</t>
        </is>
      </c>
    </row>
    <row r="375">
      <c r="A375" s="5" t="inlineStr">
        <is>
          <t>Code</t>
        </is>
      </c>
      <c r="B375" s="5" t="inlineStr">
        <is>
          <t>Description</t>
        </is>
      </c>
      <c r="C375" s="5" t="inlineStr">
        <is>
          <t>Unit</t>
        </is>
      </c>
      <c r="D375" s="5" t="inlineStr">
        <is>
          <t>Quantity</t>
        </is>
      </c>
      <c r="E375" s="5" t="inlineStr">
        <is>
          <t>Rate (Rs.)</t>
        </is>
      </c>
      <c r="F375" s="5" t="inlineStr">
        <is>
          <t>Amount (Rs.)</t>
        </is>
      </c>
    </row>
    <row r="376">
      <c r="A376" s="13" t="inlineStr">
        <is>
          <t>11.11.1</t>
        </is>
      </c>
      <c r="B376" s="14" t="inlineStr">
        <is>
          <t>Rate as per SH: 11.11.1</t>
        </is>
      </c>
      <c r="C376" s="13" t="inlineStr">
        <is>
          <t>sqm</t>
        </is>
      </c>
      <c r="D376" s="15" t="n">
        <v>10</v>
      </c>
      <c r="E376" s="16" t="n">
        <v>909.85</v>
      </c>
      <c r="F376" s="16">
        <f>D376*E376</f>
        <v/>
      </c>
    </row>
    <row r="377">
      <c r="A377" s="13" t="inlineStr">
        <is>
          <t>0875</t>
        </is>
      </c>
      <c r="B377" s="14" t="inlineStr">
        <is>
          <t>Red, chocolate, orange, buff or yellow (red oxide of iron) light shade pigment</t>
        </is>
      </c>
      <c r="C377" s="13" t="inlineStr">
        <is>
          <t>kilogram</t>
        </is>
      </c>
      <c r="D377" s="15" t="n">
        <v>5.67</v>
      </c>
      <c r="E377" s="16" t="n">
        <v>60</v>
      </c>
      <c r="F377" s="16">
        <f>D377*E377</f>
        <v/>
      </c>
    </row>
    <row r="378">
      <c r="A378" s="13" t="inlineStr">
        <is>
          <t>0368</t>
        </is>
      </c>
      <c r="B378" s="14" t="inlineStr">
        <is>
          <t>White Cement</t>
        </is>
      </c>
      <c r="C378" s="13" t="inlineStr">
        <is>
          <t>tonne</t>
        </is>
      </c>
      <c r="D378" s="15" t="n">
        <v>0.081</v>
      </c>
      <c r="E378" s="16" t="n">
        <v>11200</v>
      </c>
      <c r="F378" s="16">
        <f>D378*E378</f>
        <v/>
      </c>
    </row>
    <row r="379">
      <c r="A379" s="17" t="inlineStr">
        <is>
          <t>Resource Total (Material + Labour + Machinery, as printed)</t>
        </is>
      </c>
      <c r="B379" s="18" t="n"/>
      <c r="C379" s="18" t="n"/>
      <c r="D379" s="18" t="n"/>
      <c r="E379" s="18" t="n"/>
      <c r="F379" s="19">
        <f>SUM(F376:F378)</f>
        <v/>
      </c>
    </row>
    <row r="380">
      <c r="A380" s="20" t="inlineStr">
        <is>
          <t>SAY (Rs.) — final DAR rate</t>
        </is>
      </c>
      <c r="B380" s="21" t="n"/>
      <c r="C380" s="21" t="n"/>
      <c r="D380" s="21" t="n"/>
      <c r="E380" s="21" t="n"/>
      <c r="F380" s="22" t="n">
        <v>970.1</v>
      </c>
    </row>
    <row r="382" ht="18" customHeight="1">
      <c r="A382" s="9" t="inlineStr">
        <is>
          <t>11.11.3</t>
        </is>
      </c>
      <c r="B382" s="10" t="inlineStr">
        <is>
          <t>Medium shade pigment with 50% white cement and 50% ordinary cement</t>
        </is>
      </c>
      <c r="C382" s="11" t="n"/>
      <c r="D382" s="11" t="n"/>
      <c r="E382" s="11" t="n"/>
      <c r="F382" s="11" t="n"/>
    </row>
    <row r="383">
      <c r="A383" s="12" t="inlineStr">
        <is>
          <t>Rate basis: per sqm  (source: cost for 10 sqm)</t>
        </is>
      </c>
    </row>
    <row r="384">
      <c r="A384" s="5" t="inlineStr">
        <is>
          <t>Code</t>
        </is>
      </c>
      <c r="B384" s="5" t="inlineStr">
        <is>
          <t>Description</t>
        </is>
      </c>
      <c r="C384" s="5" t="inlineStr">
        <is>
          <t>Unit</t>
        </is>
      </c>
      <c r="D384" s="5" t="inlineStr">
        <is>
          <t>Quantity</t>
        </is>
      </c>
      <c r="E384" s="5" t="inlineStr">
        <is>
          <t>Rate (Rs.)</t>
        </is>
      </c>
      <c r="F384" s="5" t="inlineStr">
        <is>
          <t>Amount (Rs.)</t>
        </is>
      </c>
    </row>
    <row r="385">
      <c r="A385" s="13" t="inlineStr">
        <is>
          <t>11.11.1</t>
        </is>
      </c>
      <c r="B385" s="14" t="inlineStr">
        <is>
          <t>Rate as per SH: 11.11.1</t>
        </is>
      </c>
      <c r="C385" s="13" t="inlineStr">
        <is>
          <t>sqm</t>
        </is>
      </c>
      <c r="D385" s="15" t="n">
        <v>10</v>
      </c>
      <c r="E385" s="16" t="n">
        <v>909.85</v>
      </c>
      <c r="F385" s="16">
        <f>D385*E385</f>
        <v/>
      </c>
    </row>
    <row r="386">
      <c r="A386" s="13" t="inlineStr">
        <is>
          <t>0876</t>
        </is>
      </c>
      <c r="B386" s="14" t="inlineStr">
        <is>
          <t>Green or blue medium shade pigment</t>
        </is>
      </c>
      <c r="C386" s="13" t="inlineStr">
        <is>
          <t>kilogram</t>
        </is>
      </c>
      <c r="D386" s="15" t="n">
        <v>5.67</v>
      </c>
      <c r="E386" s="16" t="n">
        <v>56</v>
      </c>
      <c r="F386" s="16">
        <f>D386*E386</f>
        <v/>
      </c>
    </row>
    <row r="387">
      <c r="A387" s="13" t="inlineStr">
        <is>
          <t>0368</t>
        </is>
      </c>
      <c r="B387" s="14" t="inlineStr">
        <is>
          <t>White Cement</t>
        </is>
      </c>
      <c r="C387" s="13" t="inlineStr">
        <is>
          <t>tonne</t>
        </is>
      </c>
      <c r="D387" s="15" t="n">
        <v>0.0405</v>
      </c>
      <c r="E387" s="16" t="n">
        <v>11200</v>
      </c>
      <c r="F387" s="16">
        <f>D387*E387</f>
        <v/>
      </c>
    </row>
    <row r="388">
      <c r="A388" s="17" t="inlineStr">
        <is>
          <t>Resource Total (Material + Labour + Machinery, as printed)</t>
        </is>
      </c>
      <c r="B388" s="18" t="n"/>
      <c r="C388" s="18" t="n"/>
      <c r="D388" s="18" t="n"/>
      <c r="E388" s="18" t="n"/>
      <c r="F388" s="19">
        <f>SUM(F385:F387)</f>
        <v/>
      </c>
    </row>
    <row r="389">
      <c r="A389" s="20" t="inlineStr">
        <is>
          <t>SAY (Rs.) — final DAR rate</t>
        </is>
      </c>
      <c r="B389" s="21" t="n"/>
      <c r="C389" s="21" t="n"/>
      <c r="D389" s="21" t="n"/>
      <c r="E389" s="21" t="n"/>
      <c r="F389" s="22" t="n">
        <v>933.15</v>
      </c>
    </row>
    <row r="391" ht="18" customHeight="1">
      <c r="A391" s="9" t="inlineStr">
        <is>
          <t>11.11.4</t>
        </is>
      </c>
      <c r="B391" s="10" t="inlineStr">
        <is>
          <t>White cement without any pigment</t>
        </is>
      </c>
      <c r="C391" s="11" t="n"/>
      <c r="D391" s="11" t="n"/>
      <c r="E391" s="11" t="n"/>
      <c r="F391" s="11" t="n"/>
    </row>
    <row r="392">
      <c r="A392" s="12" t="inlineStr">
        <is>
          <t>Rate basis: per sqm  (source: cost for 10 sqm)</t>
        </is>
      </c>
    </row>
    <row r="393">
      <c r="A393" s="5" t="inlineStr">
        <is>
          <t>Code</t>
        </is>
      </c>
      <c r="B393" s="5" t="inlineStr">
        <is>
          <t>Description</t>
        </is>
      </c>
      <c r="C393" s="5" t="inlineStr">
        <is>
          <t>Unit</t>
        </is>
      </c>
      <c r="D393" s="5" t="inlineStr">
        <is>
          <t>Quantity</t>
        </is>
      </c>
      <c r="E393" s="5" t="inlineStr">
        <is>
          <t>Rate (Rs.)</t>
        </is>
      </c>
      <c r="F393" s="5" t="inlineStr">
        <is>
          <t>Amount (Rs.)</t>
        </is>
      </c>
    </row>
    <row r="394">
      <c r="A394" s="13" t="inlineStr">
        <is>
          <t>0296</t>
        </is>
      </c>
      <c r="B394" s="14" t="inlineStr">
        <is>
          <t>Stone Aggregate (Single size) : 12.5 mm nominal size</t>
        </is>
      </c>
      <c r="C394" s="13" t="inlineStr">
        <is>
          <t>cum</t>
        </is>
      </c>
      <c r="D394" s="15" t="n">
        <v>0.19</v>
      </c>
      <c r="E394" s="16" t="n">
        <v>1350</v>
      </c>
      <c r="F394" s="16">
        <f>D394*E394</f>
        <v/>
      </c>
    </row>
    <row r="395">
      <c r="A395" s="13" t="inlineStr">
        <is>
          <t>0297</t>
        </is>
      </c>
      <c r="B395" s="14" t="inlineStr">
        <is>
          <t>Stone Aggregate (Single size) : 10 mm nominal size</t>
        </is>
      </c>
      <c r="C395" s="13" t="inlineStr">
        <is>
          <t>cum</t>
        </is>
      </c>
      <c r="D395" s="15" t="n">
        <v>0.06</v>
      </c>
      <c r="E395" s="16" t="n">
        <v>1350</v>
      </c>
      <c r="F395" s="16">
        <f>D395*E395</f>
        <v/>
      </c>
    </row>
    <row r="396">
      <c r="A396" s="13" t="inlineStr">
        <is>
          <t>2202</t>
        </is>
      </c>
      <c r="B396" s="14" t="inlineStr">
        <is>
          <t>Carriage of Stone aggregate below 40 mm nominal size</t>
        </is>
      </c>
      <c r="C396" s="13" t="inlineStr">
        <is>
          <t>cum</t>
        </is>
      </c>
      <c r="D396" s="15" t="n">
        <v>0.25</v>
      </c>
      <c r="E396" s="16" t="n">
        <v>103.77</v>
      </c>
      <c r="F396" s="16">
        <f>D396*E396</f>
        <v/>
      </c>
    </row>
    <row r="397">
      <c r="A397" s="13" t="inlineStr">
        <is>
          <t>0982</t>
        </is>
      </c>
      <c r="B397" s="14" t="inlineStr">
        <is>
          <t>Coarse sand (zone III)</t>
        </is>
      </c>
      <c r="C397" s="13" t="inlineStr">
        <is>
          <t>cum</t>
        </is>
      </c>
      <c r="D397" s="15" t="n">
        <v>0.125</v>
      </c>
      <c r="E397" s="16" t="n">
        <v>1350</v>
      </c>
      <c r="F397" s="16">
        <f>D397*E397</f>
        <v/>
      </c>
    </row>
    <row r="398">
      <c r="A398" s="13" t="inlineStr">
        <is>
          <t>2203</t>
        </is>
      </c>
      <c r="B398" s="14" t="inlineStr">
        <is>
          <t>Carriage of Coarse sand</t>
        </is>
      </c>
      <c r="C398" s="13" t="inlineStr">
        <is>
          <t>cum</t>
        </is>
      </c>
      <c r="D398" s="15" t="n">
        <v>0.125</v>
      </c>
      <c r="E398" s="16" t="n">
        <v>103.77</v>
      </c>
      <c r="F398" s="16">
        <f>D398*E398</f>
        <v/>
      </c>
    </row>
    <row r="399">
      <c r="A399" s="13" t="inlineStr">
        <is>
          <t>0367</t>
        </is>
      </c>
      <c r="B399" s="14" t="inlineStr">
        <is>
          <t>Portland Cement</t>
        </is>
      </c>
      <c r="C399" s="13" t="inlineStr">
        <is>
          <t>tonne</t>
        </is>
      </c>
      <c r="D399" s="15" t="n">
        <v>0.0897</v>
      </c>
      <c r="E399" s="16" t="n">
        <v>4940</v>
      </c>
      <c r="F399" s="16">
        <f>D399*E399</f>
        <v/>
      </c>
    </row>
    <row r="400">
      <c r="A400" s="13" t="inlineStr">
        <is>
          <t>0367</t>
        </is>
      </c>
      <c r="B400" s="14" t="inlineStr">
        <is>
          <t>Portland Cement</t>
        </is>
      </c>
      <c r="C400" s="13" t="inlineStr">
        <is>
          <t>tonne</t>
        </is>
      </c>
      <c r="D400" s="15" t="n">
        <v>0.02</v>
      </c>
      <c r="E400" s="16" t="n">
        <v>4940</v>
      </c>
      <c r="F400" s="16">
        <f>D400*E400</f>
        <v/>
      </c>
    </row>
    <row r="401">
      <c r="A401" s="13" t="inlineStr">
        <is>
          <t>2209</t>
        </is>
      </c>
      <c r="B401" s="14" t="inlineStr">
        <is>
          <t>Carriage of Cement</t>
        </is>
      </c>
      <c r="C401" s="13" t="inlineStr">
        <is>
          <t>tonne</t>
        </is>
      </c>
      <c r="D401" s="15" t="n">
        <v>0.1097</v>
      </c>
      <c r="E401" s="16" t="n">
        <v>92.23999999999999</v>
      </c>
      <c r="F401" s="16">
        <f>D401*E401</f>
        <v/>
      </c>
    </row>
    <row r="402">
      <c r="A402" s="13" t="inlineStr">
        <is>
          <t>0788</t>
        </is>
      </c>
      <c r="B402" s="14" t="inlineStr">
        <is>
          <t>Marble chips large size above 4 mm White &amp; black</t>
        </is>
      </c>
      <c r="C402" s="13" t="inlineStr">
        <is>
          <t>quintal</t>
        </is>
      </c>
      <c r="D402" s="15" t="n">
        <v>1.916</v>
      </c>
      <c r="E402" s="16" t="n">
        <v>250</v>
      </c>
      <c r="F402" s="16">
        <f>D402*E402</f>
        <v/>
      </c>
    </row>
    <row r="403">
      <c r="A403" s="13" t="inlineStr">
        <is>
          <t>2268</t>
        </is>
      </c>
      <c r="B403" s="14" t="inlineStr">
        <is>
          <t>Carriage of Marble dust and marble chips</t>
        </is>
      </c>
      <c r="C403" s="13" t="inlineStr">
        <is>
          <t>cum</t>
        </is>
      </c>
      <c r="D403" s="15" t="n">
        <v>0.1128</v>
      </c>
      <c r="E403" s="16" t="n">
        <v>103.77</v>
      </c>
      <c r="F403" s="16">
        <f>D403*E403</f>
        <v/>
      </c>
    </row>
    <row r="404">
      <c r="A404" s="13" t="inlineStr">
        <is>
          <t>0368</t>
        </is>
      </c>
      <c r="B404" s="14" t="inlineStr">
        <is>
          <t>White Cement</t>
        </is>
      </c>
      <c r="C404" s="13" t="inlineStr">
        <is>
          <t>tonne</t>
        </is>
      </c>
      <c r="D404" s="15" t="n">
        <v>0.081</v>
      </c>
      <c r="E404" s="16" t="n">
        <v>11200</v>
      </c>
      <c r="F404" s="16">
        <f>D404*E404</f>
        <v/>
      </c>
    </row>
    <row r="405">
      <c r="A405" s="13" t="inlineStr">
        <is>
          <t>2209</t>
        </is>
      </c>
      <c r="B405" s="14" t="inlineStr">
        <is>
          <t>Carriage of Cement</t>
        </is>
      </c>
      <c r="C405" s="13" t="inlineStr">
        <is>
          <t>tonne</t>
        </is>
      </c>
      <c r="D405" s="15" t="n">
        <v>0.081</v>
      </c>
      <c r="E405" s="16" t="n">
        <v>92.23999999999999</v>
      </c>
      <c r="F405" s="16">
        <f>D405*E405</f>
        <v/>
      </c>
    </row>
    <row r="406">
      <c r="A406" s="13" t="inlineStr">
        <is>
          <t>0784</t>
        </is>
      </c>
      <c r="B406" s="14" t="inlineStr">
        <is>
          <t>Marble dust/ powder</t>
        </is>
      </c>
      <c r="C406" s="13" t="inlineStr">
        <is>
          <t>cum</t>
        </is>
      </c>
      <c r="D406" s="15" t="n">
        <v>0.017</v>
      </c>
      <c r="E406" s="16" t="n">
        <v>1130</v>
      </c>
      <c r="F406" s="16">
        <f>D406*E406</f>
        <v/>
      </c>
    </row>
    <row r="407">
      <c r="A407" s="13" t="inlineStr">
        <is>
          <t>0124</t>
        </is>
      </c>
      <c r="B407" s="14" t="inlineStr">
        <is>
          <t>Mason (brick layer) 2nd class</t>
        </is>
      </c>
      <c r="C407" s="13" t="inlineStr">
        <is>
          <t>day</t>
        </is>
      </c>
      <c r="D407" s="15" t="n">
        <v>1.79</v>
      </c>
      <c r="E407" s="16" t="n">
        <v>679</v>
      </c>
      <c r="F407" s="16">
        <f>D407*E407</f>
        <v/>
      </c>
    </row>
    <row r="408">
      <c r="A408" s="13" t="inlineStr">
        <is>
          <t>0114</t>
        </is>
      </c>
      <c r="B408" s="14" t="inlineStr">
        <is>
          <t>Beldar</t>
        </is>
      </c>
      <c r="C408" s="13" t="inlineStr">
        <is>
          <t>day</t>
        </is>
      </c>
      <c r="D408" s="15" t="n">
        <v>1.99</v>
      </c>
      <c r="E408" s="16" t="n">
        <v>558</v>
      </c>
      <c r="F408" s="16">
        <f>D408*E408</f>
        <v/>
      </c>
    </row>
    <row r="409">
      <c r="A409" s="13" t="inlineStr">
        <is>
          <t>0101</t>
        </is>
      </c>
      <c r="B409" s="14" t="inlineStr">
        <is>
          <t>Bhisti</t>
        </is>
      </c>
      <c r="C409" s="13" t="inlineStr">
        <is>
          <t>day</t>
        </is>
      </c>
      <c r="D409" s="15" t="n">
        <v>1.04</v>
      </c>
      <c r="E409" s="16" t="n">
        <v>617</v>
      </c>
      <c r="F409" s="16">
        <f>D409*E409</f>
        <v/>
      </c>
    </row>
    <row r="410">
      <c r="A410" s="13" t="inlineStr">
        <is>
          <t>0139</t>
        </is>
      </c>
      <c r="B410" s="14" t="inlineStr">
        <is>
          <t>Skilled Beldar (for floor rubbing etc.)</t>
        </is>
      </c>
      <c r="C410" s="13" t="inlineStr">
        <is>
          <t>day</t>
        </is>
      </c>
      <c r="D410" s="15" t="n">
        <v>1</v>
      </c>
      <c r="E410" s="16" t="n">
        <v>617</v>
      </c>
      <c r="F410" s="16">
        <f>D410*E410</f>
        <v/>
      </c>
    </row>
    <row r="411">
      <c r="A411" s="13" t="inlineStr">
        <is>
          <t>0127</t>
        </is>
      </c>
      <c r="B411" s="14" t="inlineStr">
        <is>
          <t>Driver (for Road Roller, Concrete Mixer, Truck etc.)</t>
        </is>
      </c>
      <c r="C411" s="13" t="inlineStr">
        <is>
          <t>day</t>
        </is>
      </c>
      <c r="D411" s="15" t="n">
        <v>0.03</v>
      </c>
      <c r="E411" s="16" t="n">
        <v>738</v>
      </c>
      <c r="F411" s="16">
        <f>D411*E411</f>
        <v/>
      </c>
    </row>
    <row r="412">
      <c r="A412" s="13" t="inlineStr">
        <is>
          <t>0002</t>
        </is>
      </c>
      <c r="B412" s="14" t="inlineStr">
        <is>
          <t>Hire charges of Concrete Mixer 0.25 to 0.40 cum with hooper</t>
        </is>
      </c>
      <c r="C412" s="13" t="inlineStr">
        <is>
          <t>day</t>
        </is>
      </c>
      <c r="D412" s="15" t="n">
        <v>0.03</v>
      </c>
      <c r="E412" s="16" t="n">
        <v>800</v>
      </c>
      <c r="F412" s="16">
        <f>D412*E412</f>
        <v/>
      </c>
    </row>
    <row r="413">
      <c r="A413" s="13" t="inlineStr">
        <is>
          <t>0013</t>
        </is>
      </c>
      <c r="B413" s="14" t="inlineStr">
        <is>
          <t>Machine for rubbing of floors</t>
        </is>
      </c>
      <c r="C413" s="13" t="inlineStr">
        <is>
          <t>day</t>
        </is>
      </c>
      <c r="D413" s="15" t="n">
        <v>1.6</v>
      </c>
      <c r="E413" s="16" t="n">
        <v>300</v>
      </c>
      <c r="F413" s="16">
        <f>D413*E413</f>
        <v/>
      </c>
    </row>
    <row r="414">
      <c r="A414" s="13" t="inlineStr">
        <is>
          <t>9999</t>
        </is>
      </c>
      <c r="B414" s="14" t="inlineStr">
        <is>
          <t>Sundries</t>
        </is>
      </c>
      <c r="C414" s="13" t="inlineStr">
        <is>
          <t>L.S.</t>
        </is>
      </c>
      <c r="D414" s="15" t="n">
        <v>134.55</v>
      </c>
      <c r="E414" s="16" t="n">
        <v>2</v>
      </c>
      <c r="F414" s="16">
        <f>D414*E414</f>
        <v/>
      </c>
    </row>
    <row r="415">
      <c r="A415" s="17" t="inlineStr">
        <is>
          <t>Resource Total (Material + Labour + Machinery, as printed)</t>
        </is>
      </c>
      <c r="B415" s="18" t="n"/>
      <c r="C415" s="18" t="n"/>
      <c r="D415" s="18" t="n"/>
      <c r="E415" s="18" t="n"/>
      <c r="F415" s="19">
        <f>SUM(F394:F414)</f>
        <v/>
      </c>
    </row>
    <row r="416">
      <c r="A416" s="20" t="inlineStr">
        <is>
          <t>SAY (Rs.) — final DAR rate</t>
        </is>
      </c>
      <c r="B416" s="21" t="n"/>
      <c r="C416" s="21" t="n"/>
      <c r="D416" s="21" t="n"/>
      <c r="E416" s="21" t="n"/>
      <c r="F416" s="22" t="n">
        <v>923.4</v>
      </c>
    </row>
    <row r="418" ht="18" customHeight="1">
      <c r="A418" s="9" t="inlineStr">
        <is>
          <t>11.11.5</t>
        </is>
      </c>
      <c r="B418" s="10" t="inlineStr">
        <is>
          <t>Light shade pigment with ordinary cement</t>
        </is>
      </c>
      <c r="C418" s="11" t="n"/>
      <c r="D418" s="11" t="n"/>
      <c r="E418" s="11" t="n"/>
      <c r="F418" s="11" t="n"/>
    </row>
    <row r="419">
      <c r="A419" s="12" t="inlineStr">
        <is>
          <t>Rate basis: per sqm  (source: cost for 10 sqm)</t>
        </is>
      </c>
    </row>
    <row r="420">
      <c r="A420" s="5" t="inlineStr">
        <is>
          <t>Code</t>
        </is>
      </c>
      <c r="B420" s="5" t="inlineStr">
        <is>
          <t>Description</t>
        </is>
      </c>
      <c r="C420" s="5" t="inlineStr">
        <is>
          <t>Unit</t>
        </is>
      </c>
      <c r="D420" s="5" t="inlineStr">
        <is>
          <t>Quantity</t>
        </is>
      </c>
      <c r="E420" s="5" t="inlineStr">
        <is>
          <t>Rate (Rs.)</t>
        </is>
      </c>
      <c r="F420" s="5" t="inlineStr">
        <is>
          <t>Amount (Rs.)</t>
        </is>
      </c>
    </row>
    <row r="421">
      <c r="A421" s="13" t="inlineStr">
        <is>
          <t>11.11.1</t>
        </is>
      </c>
      <c r="B421" s="14" t="inlineStr">
        <is>
          <t>Rate as per SH: 11.11.1</t>
        </is>
      </c>
      <c r="C421" s="13" t="inlineStr">
        <is>
          <t>sqm</t>
        </is>
      </c>
      <c r="D421" s="15" t="n">
        <v>10</v>
      </c>
      <c r="E421" s="16" t="n">
        <v>909.85</v>
      </c>
      <c r="F421" s="16">
        <f>D421*E421</f>
        <v/>
      </c>
    </row>
    <row r="422">
      <c r="A422" s="13" t="inlineStr">
        <is>
          <t>0875</t>
        </is>
      </c>
      <c r="B422" s="14" t="inlineStr">
        <is>
          <t>Red, chocolate, orange, buff or yellow (red oxide of iron) light shade pigment</t>
        </is>
      </c>
      <c r="C422" s="13" t="inlineStr">
        <is>
          <t>kilogram</t>
        </is>
      </c>
      <c r="D422" s="15" t="n">
        <v>5.67</v>
      </c>
      <c r="E422" s="16" t="n">
        <v>60</v>
      </c>
      <c r="F422" s="16">
        <f>D422*E422</f>
        <v/>
      </c>
    </row>
    <row r="423">
      <c r="A423" s="17" t="inlineStr">
        <is>
          <t>Resource Total (Material + Labour + Machinery, as printed)</t>
        </is>
      </c>
      <c r="B423" s="18" t="n"/>
      <c r="C423" s="18" t="n"/>
      <c r="D423" s="18" t="n"/>
      <c r="E423" s="18" t="n"/>
      <c r="F423" s="19">
        <f>SUM(F421:F422)</f>
        <v/>
      </c>
    </row>
    <row r="424">
      <c r="A424" s="20" t="inlineStr">
        <is>
          <t>SAY (Rs.) — final DAR rate</t>
        </is>
      </c>
      <c r="B424" s="21" t="n"/>
      <c r="C424" s="21" t="n"/>
      <c r="D424" s="21" t="n"/>
      <c r="E424" s="21" t="n"/>
      <c r="F424" s="22" t="n">
        <v>902.25</v>
      </c>
    </row>
    <row r="426" ht="18" customHeight="1">
      <c r="A426" s="9" t="inlineStr">
        <is>
          <t>11.11.6</t>
        </is>
      </c>
      <c r="B426" s="10" t="inlineStr">
        <is>
          <t>Ordinary cement without any pigment</t>
        </is>
      </c>
      <c r="C426" s="11" t="n"/>
      <c r="D426" s="11" t="n"/>
      <c r="E426" s="11" t="n"/>
      <c r="F426" s="11" t="n"/>
    </row>
    <row r="427">
      <c r="A427" s="12" t="inlineStr">
        <is>
          <t>Rate basis: per sqm  (source: cost for 10 sqm)</t>
        </is>
      </c>
    </row>
    <row r="428">
      <c r="A428" s="5" t="inlineStr">
        <is>
          <t>Code</t>
        </is>
      </c>
      <c r="B428" s="5" t="inlineStr">
        <is>
          <t>Description</t>
        </is>
      </c>
      <c r="C428" s="5" t="inlineStr">
        <is>
          <t>Unit</t>
        </is>
      </c>
      <c r="D428" s="5" t="inlineStr">
        <is>
          <t>Quantity</t>
        </is>
      </c>
      <c r="E428" s="5" t="inlineStr">
        <is>
          <t>Rate (Rs.)</t>
        </is>
      </c>
      <c r="F428" s="5" t="inlineStr">
        <is>
          <t>Amount (Rs.)</t>
        </is>
      </c>
    </row>
    <row r="429">
      <c r="A429" s="13" t="inlineStr">
        <is>
          <t>0296</t>
        </is>
      </c>
      <c r="B429" s="14" t="inlineStr">
        <is>
          <t>Stone Aggregate (Single size) : 12.5 mm nominal size</t>
        </is>
      </c>
      <c r="C429" s="13" t="inlineStr">
        <is>
          <t>cum</t>
        </is>
      </c>
      <c r="D429" s="15" t="n">
        <v>0.19</v>
      </c>
      <c r="E429" s="16" t="n">
        <v>1350</v>
      </c>
      <c r="F429" s="16">
        <f>D429*E429</f>
        <v/>
      </c>
    </row>
    <row r="430">
      <c r="A430" s="13" t="inlineStr">
        <is>
          <t>0297</t>
        </is>
      </c>
      <c r="B430" s="14" t="inlineStr">
        <is>
          <t>Stone Aggregate (Single size) : 10 mm nominal size</t>
        </is>
      </c>
      <c r="C430" s="13" t="inlineStr">
        <is>
          <t>cum</t>
        </is>
      </c>
      <c r="D430" s="15" t="n">
        <v>0.06</v>
      </c>
      <c r="E430" s="16" t="n">
        <v>1350</v>
      </c>
      <c r="F430" s="16">
        <f>D430*E430</f>
        <v/>
      </c>
    </row>
    <row r="431">
      <c r="A431" s="13" t="inlineStr">
        <is>
          <t>2202</t>
        </is>
      </c>
      <c r="B431" s="14" t="inlineStr">
        <is>
          <t>Carriage of Stone aggregate below 40 mm nominal size</t>
        </is>
      </c>
      <c r="C431" s="13" t="inlineStr">
        <is>
          <t>cum</t>
        </is>
      </c>
      <c r="D431" s="15" t="n">
        <v>0.25</v>
      </c>
      <c r="E431" s="16" t="n">
        <v>103.77</v>
      </c>
      <c r="F431" s="16">
        <f>D431*E431</f>
        <v/>
      </c>
    </row>
    <row r="432">
      <c r="A432" s="13" t="inlineStr">
        <is>
          <t>0982</t>
        </is>
      </c>
      <c r="B432" s="14" t="inlineStr">
        <is>
          <t>Coarse sand (zone III)</t>
        </is>
      </c>
      <c r="C432" s="13" t="inlineStr">
        <is>
          <t>cum</t>
        </is>
      </c>
      <c r="D432" s="15" t="n">
        <v>0.125</v>
      </c>
      <c r="E432" s="16" t="n">
        <v>1350</v>
      </c>
      <c r="F432" s="16">
        <f>D432*E432</f>
        <v/>
      </c>
    </row>
    <row r="433">
      <c r="A433" s="13" t="inlineStr">
        <is>
          <t>2203</t>
        </is>
      </c>
      <c r="B433" s="14" t="inlineStr">
        <is>
          <t>Carriage of Coarse sand</t>
        </is>
      </c>
      <c r="C433" s="13" t="inlineStr">
        <is>
          <t>cum</t>
        </is>
      </c>
      <c r="D433" s="15" t="n">
        <v>0.125</v>
      </c>
      <c r="E433" s="16" t="n">
        <v>103.77</v>
      </c>
      <c r="F433" s="16">
        <f>D433*E433</f>
        <v/>
      </c>
    </row>
    <row r="434">
      <c r="A434" s="13" t="inlineStr">
        <is>
          <t>0367</t>
        </is>
      </c>
      <c r="B434" s="14" t="inlineStr">
        <is>
          <t>Portland Cement</t>
        </is>
      </c>
      <c r="C434" s="13" t="inlineStr">
        <is>
          <t>tonne</t>
        </is>
      </c>
      <c r="D434" s="15" t="n">
        <v>0.0897</v>
      </c>
      <c r="E434" s="16" t="n">
        <v>4940</v>
      </c>
      <c r="F434" s="16">
        <f>D434*E434</f>
        <v/>
      </c>
    </row>
    <row r="435">
      <c r="A435" s="13" t="inlineStr">
        <is>
          <t>0367</t>
        </is>
      </c>
      <c r="B435" s="14" t="inlineStr">
        <is>
          <t>Portland Cement</t>
        </is>
      </c>
      <c r="C435" s="13" t="inlineStr">
        <is>
          <t>tonne</t>
        </is>
      </c>
      <c r="D435" s="15" t="n">
        <v>0.02</v>
      </c>
      <c r="E435" s="16" t="n">
        <v>4940</v>
      </c>
      <c r="F435" s="16">
        <f>D435*E435</f>
        <v/>
      </c>
    </row>
    <row r="436">
      <c r="A436" s="13" t="inlineStr">
        <is>
          <t>2209</t>
        </is>
      </c>
      <c r="B436" s="14" t="inlineStr">
        <is>
          <t>Carriage of Cement</t>
        </is>
      </c>
      <c r="C436" s="13" t="inlineStr">
        <is>
          <t>tonne</t>
        </is>
      </c>
      <c r="D436" s="15" t="n">
        <v>0.1097</v>
      </c>
      <c r="E436" s="16" t="n">
        <v>92.23999999999999</v>
      </c>
      <c r="F436" s="16">
        <f>D436*E436</f>
        <v/>
      </c>
    </row>
    <row r="437">
      <c r="A437" s="13" t="inlineStr">
        <is>
          <t>0788</t>
        </is>
      </c>
      <c r="B437" s="14" t="inlineStr">
        <is>
          <t>Marble chips large size above 4 mm White &amp; black</t>
        </is>
      </c>
      <c r="C437" s="13" t="inlineStr">
        <is>
          <t>quintal</t>
        </is>
      </c>
      <c r="D437" s="15" t="n">
        <v>1.916</v>
      </c>
      <c r="E437" s="16" t="n">
        <v>250</v>
      </c>
      <c r="F437" s="16">
        <f>D437*E437</f>
        <v/>
      </c>
    </row>
    <row r="438">
      <c r="A438" s="13" t="inlineStr">
        <is>
          <t>2268</t>
        </is>
      </c>
      <c r="B438" s="14" t="inlineStr">
        <is>
          <t>Carriage of Marble dust and marble chips</t>
        </is>
      </c>
      <c r="C438" s="13" t="inlineStr">
        <is>
          <t>cum</t>
        </is>
      </c>
      <c r="D438" s="15" t="n">
        <v>0.1128</v>
      </c>
      <c r="E438" s="16" t="n">
        <v>103.77</v>
      </c>
      <c r="F438" s="16">
        <f>D438*E438</f>
        <v/>
      </c>
    </row>
    <row r="439">
      <c r="A439" s="13" t="inlineStr">
        <is>
          <t>0367</t>
        </is>
      </c>
      <c r="B439" s="14" t="inlineStr">
        <is>
          <t>Portland Cement</t>
        </is>
      </c>
      <c r="C439" s="13" t="inlineStr">
        <is>
          <t>tonne</t>
        </is>
      </c>
      <c r="D439" s="15" t="n">
        <v>0.081</v>
      </c>
      <c r="E439" s="16" t="n">
        <v>4940</v>
      </c>
      <c r="F439" s="16">
        <f>D439*E439</f>
        <v/>
      </c>
    </row>
    <row r="440">
      <c r="A440" s="13" t="inlineStr">
        <is>
          <t>2209</t>
        </is>
      </c>
      <c r="B440" s="14" t="inlineStr">
        <is>
          <t>Carriage of Cement</t>
        </is>
      </c>
      <c r="C440" s="13" t="inlineStr">
        <is>
          <t>tonne</t>
        </is>
      </c>
      <c r="D440" s="15" t="n">
        <v>0.081</v>
      </c>
      <c r="E440" s="16" t="n">
        <v>92.23999999999999</v>
      </c>
      <c r="F440" s="16">
        <f>D440*E440</f>
        <v/>
      </c>
    </row>
    <row r="441">
      <c r="A441" s="13" t="inlineStr">
        <is>
          <t>0784</t>
        </is>
      </c>
      <c r="B441" s="14" t="inlineStr">
        <is>
          <t>Marble dust/ powder</t>
        </is>
      </c>
      <c r="C441" s="13" t="inlineStr">
        <is>
          <t>cum</t>
        </is>
      </c>
      <c r="D441" s="15" t="n">
        <v>0.017</v>
      </c>
      <c r="E441" s="16" t="n">
        <v>1130</v>
      </c>
      <c r="F441" s="16">
        <f>D441*E441</f>
        <v/>
      </c>
    </row>
    <row r="442">
      <c r="A442" s="13" t="inlineStr">
        <is>
          <t>0124</t>
        </is>
      </c>
      <c r="B442" s="14" t="inlineStr">
        <is>
          <t>Mason (brick layer) 2nd class</t>
        </is>
      </c>
      <c r="C442" s="13" t="inlineStr">
        <is>
          <t>day</t>
        </is>
      </c>
      <c r="D442" s="15" t="n">
        <v>1.79</v>
      </c>
      <c r="E442" s="16" t="n">
        <v>679</v>
      </c>
      <c r="F442" s="16">
        <f>D442*E442</f>
        <v/>
      </c>
    </row>
    <row r="443">
      <c r="A443" s="13" t="inlineStr">
        <is>
          <t>0114</t>
        </is>
      </c>
      <c r="B443" s="14" t="inlineStr">
        <is>
          <t>Beldar</t>
        </is>
      </c>
      <c r="C443" s="13" t="inlineStr">
        <is>
          <t>day</t>
        </is>
      </c>
      <c r="D443" s="15" t="n">
        <v>1.99</v>
      </c>
      <c r="E443" s="16" t="n">
        <v>558</v>
      </c>
      <c r="F443" s="16">
        <f>D443*E443</f>
        <v/>
      </c>
    </row>
    <row r="444">
      <c r="A444" s="13" t="inlineStr">
        <is>
          <t>0101</t>
        </is>
      </c>
      <c r="B444" s="14" t="inlineStr">
        <is>
          <t>Bhisti</t>
        </is>
      </c>
      <c r="C444" s="13" t="inlineStr">
        <is>
          <t>day</t>
        </is>
      </c>
      <c r="D444" s="15" t="n">
        <v>1.04</v>
      </c>
      <c r="E444" s="16" t="n">
        <v>617</v>
      </c>
      <c r="F444" s="16">
        <f>D444*E444</f>
        <v/>
      </c>
    </row>
    <row r="445">
      <c r="A445" s="13" t="inlineStr">
        <is>
          <t>0139</t>
        </is>
      </c>
      <c r="B445" s="14" t="inlineStr">
        <is>
          <t>Skilled Beldar (for floor rubbing etc.)</t>
        </is>
      </c>
      <c r="C445" s="13" t="inlineStr">
        <is>
          <t>day</t>
        </is>
      </c>
      <c r="D445" s="15" t="n">
        <v>1</v>
      </c>
      <c r="E445" s="16" t="n">
        <v>617</v>
      </c>
      <c r="F445" s="16">
        <f>D445*E445</f>
        <v/>
      </c>
    </row>
    <row r="446">
      <c r="A446" s="13" t="inlineStr">
        <is>
          <t>0127</t>
        </is>
      </c>
      <c r="B446" s="14" t="inlineStr">
        <is>
          <t>Driver (for Road Roller, Concrete Mixer, Truck etc.)</t>
        </is>
      </c>
      <c r="C446" s="13" t="inlineStr">
        <is>
          <t>day</t>
        </is>
      </c>
      <c r="D446" s="15" t="n">
        <v>0.03</v>
      </c>
      <c r="E446" s="16" t="n">
        <v>738</v>
      </c>
      <c r="F446" s="16">
        <f>D446*E446</f>
        <v/>
      </c>
    </row>
    <row r="447">
      <c r="A447" s="13" t="inlineStr">
        <is>
          <t>0002</t>
        </is>
      </c>
      <c r="B447" s="14" t="inlineStr">
        <is>
          <t>Hire charges of Concrete Mixer 0.25 to 0.40 cum with hooper</t>
        </is>
      </c>
      <c r="C447" s="13" t="inlineStr">
        <is>
          <t>day</t>
        </is>
      </c>
      <c r="D447" s="15" t="n">
        <v>0.03</v>
      </c>
      <c r="E447" s="16" t="n">
        <v>800</v>
      </c>
      <c r="F447" s="16">
        <f>D447*E447</f>
        <v/>
      </c>
    </row>
    <row r="448">
      <c r="A448" s="13" t="inlineStr">
        <is>
          <t>0013</t>
        </is>
      </c>
      <c r="B448" s="14" t="inlineStr">
        <is>
          <t>Machine for rubbing of floors</t>
        </is>
      </c>
      <c r="C448" s="13" t="inlineStr">
        <is>
          <t>day</t>
        </is>
      </c>
      <c r="D448" s="15" t="n">
        <v>1.6</v>
      </c>
      <c r="E448" s="16" t="n">
        <v>300</v>
      </c>
      <c r="F448" s="16">
        <f>D448*E448</f>
        <v/>
      </c>
    </row>
    <row r="449">
      <c r="A449" s="13" t="inlineStr">
        <is>
          <t>9999</t>
        </is>
      </c>
      <c r="B449" s="14" t="inlineStr">
        <is>
          <t>Sundries</t>
        </is>
      </c>
      <c r="C449" s="13" t="inlineStr">
        <is>
          <t>L.S.</t>
        </is>
      </c>
      <c r="D449" s="15" t="n">
        <v>134.55</v>
      </c>
      <c r="E449" s="16" t="n">
        <v>2</v>
      </c>
      <c r="F449" s="16">
        <f>D449*E449</f>
        <v/>
      </c>
    </row>
    <row r="450">
      <c r="A450" s="17" t="inlineStr">
        <is>
          <t>Resource Total (Material + Labour + Machinery, as printed)</t>
        </is>
      </c>
      <c r="B450" s="18" t="n"/>
      <c r="C450" s="18" t="n"/>
      <c r="D450" s="18" t="n"/>
      <c r="E450" s="18" t="n"/>
      <c r="F450" s="19">
        <f>SUM(F429:F449)</f>
        <v/>
      </c>
    </row>
    <row r="451">
      <c r="A451" s="20" t="inlineStr">
        <is>
          <t>SAY (Rs.) — final DAR rate</t>
        </is>
      </c>
      <c r="B451" s="21" t="n"/>
      <c r="C451" s="21" t="n"/>
      <c r="D451" s="21" t="n"/>
      <c r="E451" s="21" t="n"/>
      <c r="F451" s="22" t="n">
        <v>855.55</v>
      </c>
    </row>
    <row r="453" ht="18" customHeight="1">
      <c r="A453" s="9" t="inlineStr">
        <is>
          <t>11.12.1.1</t>
        </is>
      </c>
      <c r="B453" s="10" t="inlineStr">
        <is>
          <t>Dark shade pigment with ordinary cement</t>
        </is>
      </c>
      <c r="C453" s="11" t="n"/>
      <c r="D453" s="11" t="n"/>
      <c r="E453" s="11" t="n"/>
      <c r="F453" s="11" t="n"/>
    </row>
    <row r="454">
      <c r="A454" s="12" t="inlineStr">
        <is>
          <t>Rate basis: per sqm  (source: cost for 10 sqm)</t>
        </is>
      </c>
    </row>
    <row r="455">
      <c r="A455" s="5" t="inlineStr">
        <is>
          <t>Code</t>
        </is>
      </c>
      <c r="B455" s="5" t="inlineStr">
        <is>
          <t>Description</t>
        </is>
      </c>
      <c r="C455" s="5" t="inlineStr">
        <is>
          <t>Unit</t>
        </is>
      </c>
      <c r="D455" s="5" t="inlineStr">
        <is>
          <t>Quantity</t>
        </is>
      </c>
      <c r="E455" s="5" t="inlineStr">
        <is>
          <t>Rate (Rs.)</t>
        </is>
      </c>
      <c r="F455" s="5" t="inlineStr">
        <is>
          <t>Amount (Rs.)</t>
        </is>
      </c>
    </row>
    <row r="456">
      <c r="A456" s="13" t="inlineStr">
        <is>
          <t>3.8</t>
        </is>
      </c>
      <c r="B456" s="14" t="inlineStr">
        <is>
          <t>Rate as per SH: 3.8</t>
        </is>
      </c>
      <c r="C456" s="13" t="inlineStr">
        <is>
          <t>cum</t>
        </is>
      </c>
      <c r="D456" s="15" t="n">
        <v>0.174</v>
      </c>
      <c r="E456" s="16" t="n">
        <v>4664.55</v>
      </c>
      <c r="F456" s="16">
        <f>D456*E456</f>
        <v/>
      </c>
    </row>
    <row r="457">
      <c r="A457" s="13" t="inlineStr">
        <is>
          <t>0785</t>
        </is>
      </c>
      <c r="B457" s="14" t="inlineStr">
        <is>
          <t>Marble chips upto 4mm and downsize White &amp; black</t>
        </is>
      </c>
      <c r="C457" s="13" t="inlineStr">
        <is>
          <t>quintal</t>
        </is>
      </c>
      <c r="D457" s="15" t="n">
        <v>0.872</v>
      </c>
      <c r="E457" s="16" t="n">
        <v>189</v>
      </c>
      <c r="F457" s="16">
        <f>D457*E457</f>
        <v/>
      </c>
    </row>
    <row r="458">
      <c r="A458" s="13" t="inlineStr">
        <is>
          <t>2268</t>
        </is>
      </c>
      <c r="B458" s="14" t="inlineStr">
        <is>
          <t>Carriage of Marble dust and marble chips</t>
        </is>
      </c>
      <c r="C458" s="13" t="inlineStr">
        <is>
          <t>cum</t>
        </is>
      </c>
      <c r="D458" s="15" t="n">
        <v>0.051</v>
      </c>
      <c r="E458" s="16" t="n">
        <v>103.77</v>
      </c>
      <c r="F458" s="16">
        <f>D458*E458</f>
        <v/>
      </c>
    </row>
    <row r="459">
      <c r="A459" s="13" t="inlineStr">
        <is>
          <t>0367</t>
        </is>
      </c>
      <c r="B459" s="14" t="inlineStr">
        <is>
          <t>Portland Cement</t>
        </is>
      </c>
      <c r="C459" s="13" t="inlineStr">
        <is>
          <t>tonne</t>
        </is>
      </c>
      <c r="D459" s="15" t="n">
        <v>0.0405</v>
      </c>
      <c r="E459" s="16" t="n">
        <v>4940</v>
      </c>
      <c r="F459" s="16">
        <f>D459*E459</f>
        <v/>
      </c>
    </row>
    <row r="460">
      <c r="A460" s="13" t="inlineStr">
        <is>
          <t>2209</t>
        </is>
      </c>
      <c r="B460" s="14" t="inlineStr">
        <is>
          <t>Carriage of Cement</t>
        </is>
      </c>
      <c r="C460" s="13" t="inlineStr">
        <is>
          <t>tonne</t>
        </is>
      </c>
      <c r="D460" s="15" t="n">
        <v>0.0405</v>
      </c>
      <c r="E460" s="16" t="n">
        <v>92.23999999999999</v>
      </c>
      <c r="F460" s="16">
        <f>D460*E460</f>
        <v/>
      </c>
    </row>
    <row r="461">
      <c r="A461" s="13" t="inlineStr">
        <is>
          <t>0784</t>
        </is>
      </c>
      <c r="B461" s="14" t="inlineStr">
        <is>
          <t>Marble dust/ powder</t>
        </is>
      </c>
      <c r="C461" s="13" t="inlineStr">
        <is>
          <t>cum</t>
        </is>
      </c>
      <c r="D461" s="15" t="n">
        <v>0.007</v>
      </c>
      <c r="E461" s="16" t="n">
        <v>1130</v>
      </c>
      <c r="F461" s="16">
        <f>D461*E461</f>
        <v/>
      </c>
    </row>
    <row r="462">
      <c r="A462" s="13" t="inlineStr">
        <is>
          <t>0874</t>
        </is>
      </c>
      <c r="B462" s="14" t="inlineStr">
        <is>
          <t>Black colour dark shade pigment</t>
        </is>
      </c>
      <c r="C462" s="13" t="inlineStr">
        <is>
          <t>kilogram</t>
        </is>
      </c>
      <c r="D462" s="15" t="n">
        <v>2.84</v>
      </c>
      <c r="E462" s="16" t="n">
        <v>70</v>
      </c>
      <c r="F462" s="16">
        <f>D462*E462</f>
        <v/>
      </c>
    </row>
    <row r="463">
      <c r="A463" s="13" t="inlineStr">
        <is>
          <t>9977</t>
        </is>
      </c>
      <c r="B463" s="14" t="inlineStr">
        <is>
          <t>Carriage of pigment &amp; marble powder etc.</t>
        </is>
      </c>
      <c r="C463" s="13" t="inlineStr">
        <is>
          <t>L.S.</t>
        </is>
      </c>
      <c r="D463" s="15" t="n">
        <v>3.64</v>
      </c>
      <c r="E463" s="16" t="n">
        <v>2</v>
      </c>
      <c r="F463" s="16">
        <f>D463*E463</f>
        <v/>
      </c>
    </row>
    <row r="464">
      <c r="A464" s="13" t="inlineStr">
        <is>
          <t>0124</t>
        </is>
      </c>
      <c r="B464" s="14" t="inlineStr">
        <is>
          <t>Mason (brick layer) 2nd class</t>
        </is>
      </c>
      <c r="C464" s="13" t="inlineStr">
        <is>
          <t>day</t>
        </is>
      </c>
      <c r="D464" s="15" t="n">
        <v>3</v>
      </c>
      <c r="E464" s="16" t="n">
        <v>679</v>
      </c>
      <c r="F464" s="16">
        <f>D464*E464</f>
        <v/>
      </c>
    </row>
    <row r="465">
      <c r="A465" s="13" t="inlineStr">
        <is>
          <t>0114</t>
        </is>
      </c>
      <c r="B465" s="14" t="inlineStr">
        <is>
          <t>Beldar</t>
        </is>
      </c>
      <c r="C465" s="13" t="inlineStr">
        <is>
          <t>day</t>
        </is>
      </c>
      <c r="D465" s="15" t="n">
        <v>3</v>
      </c>
      <c r="E465" s="16" t="n">
        <v>558</v>
      </c>
      <c r="F465" s="16">
        <f>D465*E465</f>
        <v/>
      </c>
    </row>
    <row r="466">
      <c r="A466" s="13" t="inlineStr">
        <is>
          <t>0101</t>
        </is>
      </c>
      <c r="B466" s="14" t="inlineStr">
        <is>
          <t>Bhisti</t>
        </is>
      </c>
      <c r="C466" s="13" t="inlineStr">
        <is>
          <t>day</t>
        </is>
      </c>
      <c r="D466" s="15" t="n">
        <v>1</v>
      </c>
      <c r="E466" s="16" t="n">
        <v>617</v>
      </c>
      <c r="F466" s="16">
        <f>D466*E466</f>
        <v/>
      </c>
    </row>
    <row r="467">
      <c r="A467" s="13" t="inlineStr">
        <is>
          <t>0139</t>
        </is>
      </c>
      <c r="B467" s="14" t="inlineStr">
        <is>
          <t>Skilled Beldar (for floor rubbing etc.)</t>
        </is>
      </c>
      <c r="C467" s="13" t="inlineStr">
        <is>
          <t>day</t>
        </is>
      </c>
      <c r="D467" s="15" t="n">
        <v>7</v>
      </c>
      <c r="E467" s="16" t="n">
        <v>617</v>
      </c>
      <c r="F467" s="16">
        <f>D467*E467</f>
        <v/>
      </c>
    </row>
    <row r="468">
      <c r="A468" s="13" t="inlineStr">
        <is>
          <t>9999</t>
        </is>
      </c>
      <c r="B468" s="14" t="inlineStr">
        <is>
          <t>Sundries</t>
        </is>
      </c>
      <c r="C468" s="13" t="inlineStr">
        <is>
          <t>L.S.</t>
        </is>
      </c>
      <c r="D468" s="15" t="n">
        <v>201.89</v>
      </c>
      <c r="E468" s="16" t="n">
        <v>2</v>
      </c>
      <c r="F468" s="16">
        <f>D468*E468</f>
        <v/>
      </c>
    </row>
    <row r="469">
      <c r="A469" s="17" t="inlineStr">
        <is>
          <t>Resource Total (Material + Labour + Machinery, as printed)</t>
        </is>
      </c>
      <c r="B469" s="18" t="n"/>
      <c r="C469" s="18" t="n"/>
      <c r="D469" s="18" t="n"/>
      <c r="E469" s="18" t="n"/>
      <c r="F469" s="19">
        <f>SUM(F456:F468)</f>
        <v/>
      </c>
    </row>
    <row r="470">
      <c r="A470" s="20" t="inlineStr">
        <is>
          <t>SAY (Rs.) — final DAR rate</t>
        </is>
      </c>
      <c r="B470" s="21" t="n"/>
      <c r="C470" s="21" t="n"/>
      <c r="D470" s="21" t="n"/>
      <c r="E470" s="21" t="n"/>
      <c r="F470" s="22" t="n">
        <v>1398.2</v>
      </c>
    </row>
    <row r="472" ht="18" customHeight="1">
      <c r="A472" s="9" t="inlineStr">
        <is>
          <t>11.12.1.2</t>
        </is>
      </c>
      <c r="B472" s="10" t="inlineStr">
        <is>
          <t>Light shade pigment with white cement</t>
        </is>
      </c>
      <c r="C472" s="11" t="n"/>
      <c r="D472" s="11" t="n"/>
      <c r="E472" s="11" t="n"/>
      <c r="F472" s="11" t="n"/>
    </row>
    <row r="473">
      <c r="A473" s="12" t="inlineStr">
        <is>
          <t>Rate basis: per sqm  (source: cost for 10 sqm)</t>
        </is>
      </c>
    </row>
    <row r="474">
      <c r="A474" s="5" t="inlineStr">
        <is>
          <t>Code</t>
        </is>
      </c>
      <c r="B474" s="5" t="inlineStr">
        <is>
          <t>Description</t>
        </is>
      </c>
      <c r="C474" s="5" t="inlineStr">
        <is>
          <t>Unit</t>
        </is>
      </c>
      <c r="D474" s="5" t="inlineStr">
        <is>
          <t>Quantity</t>
        </is>
      </c>
      <c r="E474" s="5" t="inlineStr">
        <is>
          <t>Rate (Rs.)</t>
        </is>
      </c>
      <c r="F474" s="5" t="inlineStr">
        <is>
          <t>Amount (Rs.)</t>
        </is>
      </c>
    </row>
    <row r="475">
      <c r="A475" s="13" t="inlineStr">
        <is>
          <t>11.12.1.1</t>
        </is>
      </c>
      <c r="B475" s="14" t="inlineStr">
        <is>
          <t>Rate as per SH: 11.12.1.1</t>
        </is>
      </c>
      <c r="C475" s="13" t="inlineStr">
        <is>
          <t>sqm</t>
        </is>
      </c>
      <c r="D475" s="15" t="n">
        <v>10</v>
      </c>
      <c r="E475" s="16" t="n">
        <v>1398.2</v>
      </c>
      <c r="F475" s="16">
        <f>D475*E475</f>
        <v/>
      </c>
    </row>
    <row r="476">
      <c r="A476" s="13" t="inlineStr">
        <is>
          <t>0875</t>
        </is>
      </c>
      <c r="B476" s="14" t="inlineStr">
        <is>
          <t>Red, chocolate, orange, buff or yellow (red oxide of iron) light shade pigment</t>
        </is>
      </c>
      <c r="C476" s="13" t="inlineStr">
        <is>
          <t>kilogram</t>
        </is>
      </c>
      <c r="D476" s="15" t="n">
        <v>2.84</v>
      </c>
      <c r="E476" s="16" t="n">
        <v>60</v>
      </c>
      <c r="F476" s="16">
        <f>D476*E476</f>
        <v/>
      </c>
    </row>
    <row r="477">
      <c r="A477" s="13" t="inlineStr">
        <is>
          <t>0368</t>
        </is>
      </c>
      <c r="B477" s="14" t="inlineStr">
        <is>
          <t>White Cement</t>
        </is>
      </c>
      <c r="C477" s="13" t="inlineStr">
        <is>
          <t>tonne</t>
        </is>
      </c>
      <c r="D477" s="15" t="n">
        <v>0.0405</v>
      </c>
      <c r="E477" s="16" t="n">
        <v>11200</v>
      </c>
      <c r="F477" s="16">
        <f>D477*E477</f>
        <v/>
      </c>
    </row>
    <row r="478">
      <c r="A478" s="17" t="inlineStr">
        <is>
          <t>Resource Total (Material + Labour + Machinery, as printed)</t>
        </is>
      </c>
      <c r="B478" s="18" t="n"/>
      <c r="C478" s="18" t="n"/>
      <c r="D478" s="18" t="n"/>
      <c r="E478" s="18" t="n"/>
      <c r="F478" s="19">
        <f>SUM(F475:F477)</f>
        <v/>
      </c>
    </row>
    <row r="479">
      <c r="A479" s="20" t="inlineStr">
        <is>
          <t>SAY (Rs.) — final DAR rate</t>
        </is>
      </c>
      <c r="B479" s="21" t="n"/>
      <c r="C479" s="21" t="n"/>
      <c r="D479" s="21" t="n"/>
      <c r="E479" s="21" t="n"/>
      <c r="F479" s="22" t="n">
        <v>1428.3</v>
      </c>
    </row>
    <row r="481" ht="18" customHeight="1">
      <c r="A481" s="9" t="inlineStr">
        <is>
          <t>11.12.1.3</t>
        </is>
      </c>
      <c r="B481" s="10" t="inlineStr">
        <is>
          <t>Medium shade pigment with 50% white cement and 50% ordinary cement</t>
        </is>
      </c>
      <c r="C481" s="11" t="n"/>
      <c r="D481" s="11" t="n"/>
      <c r="E481" s="11" t="n"/>
      <c r="F481" s="11" t="n"/>
    </row>
    <row r="482">
      <c r="A482" s="12" t="inlineStr">
        <is>
          <t>Rate basis: per sqm  (source: cost for 10 sqm)</t>
        </is>
      </c>
    </row>
    <row r="483">
      <c r="A483" s="5" t="inlineStr">
        <is>
          <t>Code</t>
        </is>
      </c>
      <c r="B483" s="5" t="inlineStr">
        <is>
          <t>Description</t>
        </is>
      </c>
      <c r="C483" s="5" t="inlineStr">
        <is>
          <t>Unit</t>
        </is>
      </c>
      <c r="D483" s="5" t="inlineStr">
        <is>
          <t>Quantity</t>
        </is>
      </c>
      <c r="E483" s="5" t="inlineStr">
        <is>
          <t>Rate (Rs.)</t>
        </is>
      </c>
      <c r="F483" s="5" t="inlineStr">
        <is>
          <t>Amount (Rs.)</t>
        </is>
      </c>
    </row>
    <row r="484">
      <c r="A484" s="13" t="inlineStr">
        <is>
          <t>11.12.1.1</t>
        </is>
      </c>
      <c r="B484" s="14" t="inlineStr">
        <is>
          <t>Rate as per SH: 11.12.1.1</t>
        </is>
      </c>
      <c r="C484" s="13" t="inlineStr">
        <is>
          <t>sqm</t>
        </is>
      </c>
      <c r="D484" s="15" t="n">
        <v>10</v>
      </c>
      <c r="E484" s="16" t="n">
        <v>1398.2</v>
      </c>
      <c r="F484" s="16">
        <f>D484*E484</f>
        <v/>
      </c>
    </row>
    <row r="485">
      <c r="A485" s="13" t="inlineStr">
        <is>
          <t>0876</t>
        </is>
      </c>
      <c r="B485" s="14" t="inlineStr">
        <is>
          <t>Green or blue medium shade pigment</t>
        </is>
      </c>
      <c r="C485" s="13" t="inlineStr">
        <is>
          <t>kilogram</t>
        </is>
      </c>
      <c r="D485" s="15" t="n">
        <v>2.84</v>
      </c>
      <c r="E485" s="16" t="n">
        <v>56</v>
      </c>
      <c r="F485" s="16">
        <f>D485*E485</f>
        <v/>
      </c>
    </row>
    <row r="486">
      <c r="A486" s="13" t="inlineStr">
        <is>
          <t>0368</t>
        </is>
      </c>
      <c r="B486" s="14" t="inlineStr">
        <is>
          <t>White Cement</t>
        </is>
      </c>
      <c r="C486" s="13" t="inlineStr">
        <is>
          <t>tonne</t>
        </is>
      </c>
      <c r="D486" s="15" t="n">
        <v>0.0203</v>
      </c>
      <c r="E486" s="16" t="n">
        <v>11200</v>
      </c>
      <c r="F486" s="16">
        <f>D486*E486</f>
        <v/>
      </c>
    </row>
    <row r="487">
      <c r="A487" s="17" t="inlineStr">
        <is>
          <t>Resource Total (Material + Labour + Machinery, as printed)</t>
        </is>
      </c>
      <c r="B487" s="18" t="n"/>
      <c r="C487" s="18" t="n"/>
      <c r="D487" s="18" t="n"/>
      <c r="E487" s="18" t="n"/>
      <c r="F487" s="19">
        <f>SUM(F484:F486)</f>
        <v/>
      </c>
    </row>
    <row r="488">
      <c r="A488" s="20" t="inlineStr">
        <is>
          <t>SAY (Rs.) — final DAR rate</t>
        </is>
      </c>
      <c r="B488" s="21" t="n"/>
      <c r="C488" s="21" t="n"/>
      <c r="D488" s="21" t="n"/>
      <c r="E488" s="21" t="n"/>
      <c r="F488" s="22" t="n">
        <v>1409.9</v>
      </c>
    </row>
    <row r="490" ht="18" customHeight="1">
      <c r="A490" s="9" t="inlineStr">
        <is>
          <t>11.12.1.4</t>
        </is>
      </c>
      <c r="B490" s="10" t="inlineStr">
        <is>
          <t>White cement without any pigment</t>
        </is>
      </c>
      <c r="C490" s="11" t="n"/>
      <c r="D490" s="11" t="n"/>
      <c r="E490" s="11" t="n"/>
      <c r="F490" s="11" t="n"/>
    </row>
    <row r="491">
      <c r="A491" s="12" t="inlineStr">
        <is>
          <t>Rate basis: per sqm  (source: cost for 10 sqm)</t>
        </is>
      </c>
    </row>
    <row r="492">
      <c r="A492" s="5" t="inlineStr">
        <is>
          <t>Code</t>
        </is>
      </c>
      <c r="B492" s="5" t="inlineStr">
        <is>
          <t>Description</t>
        </is>
      </c>
      <c r="C492" s="5" t="inlineStr">
        <is>
          <t>Unit</t>
        </is>
      </c>
      <c r="D492" s="5" t="inlineStr">
        <is>
          <t>Quantity</t>
        </is>
      </c>
      <c r="E492" s="5" t="inlineStr">
        <is>
          <t>Rate (Rs.)</t>
        </is>
      </c>
      <c r="F492" s="5" t="inlineStr">
        <is>
          <t>Amount (Rs.)</t>
        </is>
      </c>
    </row>
    <row r="493">
      <c r="A493" s="13" t="inlineStr">
        <is>
          <t>3.8</t>
        </is>
      </c>
      <c r="B493" s="14" t="inlineStr">
        <is>
          <t>Rate as per SH: 3.8</t>
        </is>
      </c>
      <c r="C493" s="13" t="inlineStr">
        <is>
          <t>cum</t>
        </is>
      </c>
      <c r="D493" s="15" t="n">
        <v>0.174</v>
      </c>
      <c r="E493" s="16" t="n">
        <v>4664.55</v>
      </c>
      <c r="F493" s="16">
        <f>D493*E493</f>
        <v/>
      </c>
    </row>
    <row r="494">
      <c r="A494" s="13" t="inlineStr">
        <is>
          <t>0785</t>
        </is>
      </c>
      <c r="B494" s="14" t="inlineStr">
        <is>
          <t>Marble chips upto 4mm and downsize White &amp; black</t>
        </is>
      </c>
      <c r="C494" s="13" t="inlineStr">
        <is>
          <t>quintal</t>
        </is>
      </c>
      <c r="D494" s="15" t="n">
        <v>0.958</v>
      </c>
      <c r="E494" s="16" t="n">
        <v>189</v>
      </c>
      <c r="F494" s="16">
        <f>D494*E494</f>
        <v/>
      </c>
    </row>
    <row r="495">
      <c r="A495" s="13" t="inlineStr">
        <is>
          <t>2268</t>
        </is>
      </c>
      <c r="B495" s="14" t="inlineStr">
        <is>
          <t>Carriage of Marble dust and marble chips</t>
        </is>
      </c>
      <c r="C495" s="13" t="inlineStr">
        <is>
          <t>cum</t>
        </is>
      </c>
      <c r="D495" s="15" t="n">
        <v>0.056</v>
      </c>
      <c r="E495" s="16" t="n">
        <v>103.77</v>
      </c>
      <c r="F495" s="16">
        <f>D495*E495</f>
        <v/>
      </c>
    </row>
    <row r="496">
      <c r="A496" s="13" t="inlineStr">
        <is>
          <t>0368</t>
        </is>
      </c>
      <c r="B496" s="14" t="inlineStr">
        <is>
          <t>White Cement</t>
        </is>
      </c>
      <c r="C496" s="13" t="inlineStr">
        <is>
          <t>tonne</t>
        </is>
      </c>
      <c r="D496" s="15" t="n">
        <v>0.0405</v>
      </c>
      <c r="E496" s="16" t="n">
        <v>11200</v>
      </c>
      <c r="F496" s="16">
        <f>D496*E496</f>
        <v/>
      </c>
    </row>
    <row r="497">
      <c r="A497" s="13" t="inlineStr">
        <is>
          <t>2209</t>
        </is>
      </c>
      <c r="B497" s="14" t="inlineStr">
        <is>
          <t>Carriage of Cement</t>
        </is>
      </c>
      <c r="C497" s="13" t="inlineStr">
        <is>
          <t>tonne</t>
        </is>
      </c>
      <c r="D497" s="15" t="n">
        <v>0.0405</v>
      </c>
      <c r="E497" s="16" t="n">
        <v>92.23999999999999</v>
      </c>
      <c r="F497" s="16">
        <f>D497*E497</f>
        <v/>
      </c>
    </row>
    <row r="498">
      <c r="A498" s="13" t="inlineStr">
        <is>
          <t>0784</t>
        </is>
      </c>
      <c r="B498" s="14" t="inlineStr">
        <is>
          <t>Marble dust/ powder</t>
        </is>
      </c>
      <c r="C498" s="13" t="inlineStr">
        <is>
          <t>cum</t>
        </is>
      </c>
      <c r="D498" s="15" t="n">
        <v>0.007</v>
      </c>
      <c r="E498" s="16" t="n">
        <v>1130</v>
      </c>
      <c r="F498" s="16">
        <f>D498*E498</f>
        <v/>
      </c>
    </row>
    <row r="499">
      <c r="A499" s="13" t="inlineStr">
        <is>
          <t>0124</t>
        </is>
      </c>
      <c r="B499" s="14" t="inlineStr">
        <is>
          <t>Mason (brick layer) 2nd class</t>
        </is>
      </c>
      <c r="C499" s="13" t="inlineStr">
        <is>
          <t>day</t>
        </is>
      </c>
      <c r="D499" s="15" t="n">
        <v>3</v>
      </c>
      <c r="E499" s="16" t="n">
        <v>679</v>
      </c>
      <c r="F499" s="16">
        <f>D499*E499</f>
        <v/>
      </c>
    </row>
    <row r="500">
      <c r="A500" s="13" t="inlineStr">
        <is>
          <t>0114</t>
        </is>
      </c>
      <c r="B500" s="14" t="inlineStr">
        <is>
          <t>Beldar</t>
        </is>
      </c>
      <c r="C500" s="13" t="inlineStr">
        <is>
          <t>day</t>
        </is>
      </c>
      <c r="D500" s="15" t="n">
        <v>3</v>
      </c>
      <c r="E500" s="16" t="n">
        <v>558</v>
      </c>
      <c r="F500" s="16">
        <f>D500*E500</f>
        <v/>
      </c>
    </row>
    <row r="501">
      <c r="A501" s="13" t="inlineStr">
        <is>
          <t>0101</t>
        </is>
      </c>
      <c r="B501" s="14" t="inlineStr">
        <is>
          <t>Bhisti</t>
        </is>
      </c>
      <c r="C501" s="13" t="inlineStr">
        <is>
          <t>day</t>
        </is>
      </c>
      <c r="D501" s="15" t="n">
        <v>1</v>
      </c>
      <c r="E501" s="16" t="n">
        <v>617</v>
      </c>
      <c r="F501" s="16">
        <f>D501*E501</f>
        <v/>
      </c>
    </row>
    <row r="502">
      <c r="A502" s="13" t="inlineStr">
        <is>
          <t>0139</t>
        </is>
      </c>
      <c r="B502" s="14" t="inlineStr">
        <is>
          <t>Skilled Beldar (for floor rubbing etc.)</t>
        </is>
      </c>
      <c r="C502" s="13" t="inlineStr">
        <is>
          <t>day</t>
        </is>
      </c>
      <c r="D502" s="15" t="n">
        <v>7</v>
      </c>
      <c r="E502" s="16" t="n">
        <v>617</v>
      </c>
      <c r="F502" s="16">
        <f>D502*E502</f>
        <v/>
      </c>
    </row>
    <row r="503">
      <c r="A503" s="13" t="inlineStr">
        <is>
          <t>9999</t>
        </is>
      </c>
      <c r="B503" s="14" t="inlineStr">
        <is>
          <t>Sundries</t>
        </is>
      </c>
      <c r="C503" s="13" t="inlineStr">
        <is>
          <t>L.S.</t>
        </is>
      </c>
      <c r="D503" s="15" t="n">
        <v>201.89</v>
      </c>
      <c r="E503" s="16" t="n">
        <v>2</v>
      </c>
      <c r="F503" s="16">
        <f>D503*E503</f>
        <v/>
      </c>
    </row>
    <row r="504">
      <c r="A504" s="17" t="inlineStr">
        <is>
          <t>Resource Total (Material + Labour + Machinery, as printed)</t>
        </is>
      </c>
      <c r="B504" s="18" t="n"/>
      <c r="C504" s="18" t="n"/>
      <c r="D504" s="18" t="n"/>
      <c r="E504" s="18" t="n"/>
      <c r="F504" s="19">
        <f>SUM(F493:F503)</f>
        <v/>
      </c>
    </row>
    <row r="505">
      <c r="A505" s="20" t="inlineStr">
        <is>
          <t>SAY (Rs.) — final DAR rate</t>
        </is>
      </c>
      <c r="B505" s="21" t="n"/>
      <c r="C505" s="21" t="n"/>
      <c r="D505" s="21" t="n"/>
      <c r="E505" s="21" t="n"/>
      <c r="F505" s="22" t="n">
        <v>1406.8</v>
      </c>
    </row>
    <row r="507" ht="18" customHeight="1">
      <c r="A507" s="9" t="inlineStr">
        <is>
          <t>11.12.1.5</t>
        </is>
      </c>
      <c r="B507" s="10" t="inlineStr">
        <is>
          <t>Light shade pigment with ordinary cement</t>
        </is>
      </c>
      <c r="C507" s="11" t="n"/>
      <c r="D507" s="11" t="n"/>
      <c r="E507" s="11" t="n"/>
      <c r="F507" s="11" t="n"/>
    </row>
    <row r="508">
      <c r="A508" s="12" t="inlineStr">
        <is>
          <t>Rate basis: per sqm  (source: cost for 10 sqm)</t>
        </is>
      </c>
    </row>
    <row r="509">
      <c r="A509" s="5" t="inlineStr">
        <is>
          <t>Code</t>
        </is>
      </c>
      <c r="B509" s="5" t="inlineStr">
        <is>
          <t>Description</t>
        </is>
      </c>
      <c r="C509" s="5" t="inlineStr">
        <is>
          <t>Unit</t>
        </is>
      </c>
      <c r="D509" s="5" t="inlineStr">
        <is>
          <t>Quantity</t>
        </is>
      </c>
      <c r="E509" s="5" t="inlineStr">
        <is>
          <t>Rate (Rs.)</t>
        </is>
      </c>
      <c r="F509" s="5" t="inlineStr">
        <is>
          <t>Amount (Rs.)</t>
        </is>
      </c>
    </row>
    <row r="510">
      <c r="A510" s="13" t="inlineStr">
        <is>
          <t>11.12.1.1</t>
        </is>
      </c>
      <c r="B510" s="14" t="inlineStr">
        <is>
          <t>Rate as per SH: 11.12.1.1</t>
        </is>
      </c>
      <c r="C510" s="13" t="inlineStr">
        <is>
          <t>sqm</t>
        </is>
      </c>
      <c r="D510" s="15" t="n">
        <v>10</v>
      </c>
      <c r="E510" s="16" t="n">
        <v>1398.2</v>
      </c>
      <c r="F510" s="16">
        <f>D510*E510</f>
        <v/>
      </c>
    </row>
    <row r="511">
      <c r="A511" s="13" t="inlineStr">
        <is>
          <t>0875</t>
        </is>
      </c>
      <c r="B511" s="14" t="inlineStr">
        <is>
          <t>Red, chocolate, orange, buff or yellow (red oxide of iron) light shade pigment</t>
        </is>
      </c>
      <c r="C511" s="13" t="inlineStr">
        <is>
          <t>kilogram</t>
        </is>
      </c>
      <c r="D511" s="15" t="n">
        <v>2.84</v>
      </c>
      <c r="E511" s="16" t="n">
        <v>60</v>
      </c>
      <c r="F511" s="16">
        <f>D511*E511</f>
        <v/>
      </c>
    </row>
    <row r="512">
      <c r="A512" s="17" t="inlineStr">
        <is>
          <t>Resource Total (Material + Labour + Machinery, as printed)</t>
        </is>
      </c>
      <c r="B512" s="18" t="n"/>
      <c r="C512" s="18" t="n"/>
      <c r="D512" s="18" t="n"/>
      <c r="E512" s="18" t="n"/>
      <c r="F512" s="19">
        <f>SUM(F510:F511)</f>
        <v/>
      </c>
    </row>
    <row r="513">
      <c r="A513" s="20" t="inlineStr">
        <is>
          <t>SAY (Rs.) — final DAR rate</t>
        </is>
      </c>
      <c r="B513" s="21" t="n"/>
      <c r="C513" s="21" t="n"/>
      <c r="D513" s="21" t="n"/>
      <c r="E513" s="21" t="n"/>
      <c r="F513" s="22" t="n">
        <v>1394.4</v>
      </c>
    </row>
    <row r="515" ht="18" customHeight="1">
      <c r="A515" s="9" t="inlineStr">
        <is>
          <t>11.12.1.6</t>
        </is>
      </c>
      <c r="B515" s="10" t="inlineStr">
        <is>
          <t>Ordinary cement without any pigment</t>
        </is>
      </c>
      <c r="C515" s="11" t="n"/>
      <c r="D515" s="11" t="n"/>
      <c r="E515" s="11" t="n"/>
      <c r="F515" s="11" t="n"/>
    </row>
    <row r="516">
      <c r="A516" s="12" t="inlineStr">
        <is>
          <t>Rate basis: per sqm  (source: cost for 10 sqm)</t>
        </is>
      </c>
    </row>
    <row r="517">
      <c r="A517" s="5" t="inlineStr">
        <is>
          <t>Code</t>
        </is>
      </c>
      <c r="B517" s="5" t="inlineStr">
        <is>
          <t>Description</t>
        </is>
      </c>
      <c r="C517" s="5" t="inlineStr">
        <is>
          <t>Unit</t>
        </is>
      </c>
      <c r="D517" s="5" t="inlineStr">
        <is>
          <t>Quantity</t>
        </is>
      </c>
      <c r="E517" s="5" t="inlineStr">
        <is>
          <t>Rate (Rs.)</t>
        </is>
      </c>
      <c r="F517" s="5" t="inlineStr">
        <is>
          <t>Amount (Rs.)</t>
        </is>
      </c>
    </row>
    <row r="518">
      <c r="A518" s="13" t="inlineStr">
        <is>
          <t>11.12.1.1</t>
        </is>
      </c>
      <c r="B518" s="14" t="inlineStr">
        <is>
          <t>Rate as per SH: 11.12.1.1</t>
        </is>
      </c>
      <c r="C518" s="13" t="inlineStr">
        <is>
          <t>sqm</t>
        </is>
      </c>
      <c r="D518" s="15" t="n">
        <v>10</v>
      </c>
      <c r="E518" s="16" t="n">
        <v>1398.2</v>
      </c>
      <c r="F518" s="16">
        <f>D518*E518</f>
        <v/>
      </c>
    </row>
    <row r="519">
      <c r="A519" s="13" t="inlineStr">
        <is>
          <t>2268</t>
        </is>
      </c>
      <c r="B519" s="14" t="inlineStr">
        <is>
          <t>Marble dust and/or marble chips</t>
        </is>
      </c>
      <c r="C519" s="13" t="inlineStr">
        <is>
          <t>cum</t>
        </is>
      </c>
      <c r="D519" s="15" t="n">
        <v>0.007</v>
      </c>
      <c r="E519" s="16" t="n">
        <v>103.77</v>
      </c>
      <c r="F519" s="16">
        <f>D519*E519</f>
        <v/>
      </c>
    </row>
    <row r="520">
      <c r="A520" s="17" t="inlineStr">
        <is>
          <t>Resource Total (Material + Labour + Machinery, as printed)</t>
        </is>
      </c>
      <c r="B520" s="18" t="n"/>
      <c r="C520" s="18" t="n"/>
      <c r="D520" s="18" t="n"/>
      <c r="E520" s="18" t="n"/>
      <c r="F520" s="19">
        <f>SUM(F518:F519)</f>
        <v/>
      </c>
    </row>
    <row r="521">
      <c r="A521" s="20" t="inlineStr">
        <is>
          <t>SAY (Rs.) — final DAR rate</t>
        </is>
      </c>
      <c r="B521" s="21" t="n"/>
      <c r="C521" s="21" t="n"/>
      <c r="D521" s="21" t="n"/>
      <c r="E521" s="21" t="n"/>
      <c r="F521" s="22" t="n">
        <v>1370.7</v>
      </c>
    </row>
    <row r="523" ht="18" customHeight="1">
      <c r="A523" s="9" t="inlineStr">
        <is>
          <t>11.13.1</t>
        </is>
      </c>
      <c r="B523" s="10" t="inlineStr">
        <is>
          <t>40 mm wide and 4 mm thick</t>
        </is>
      </c>
      <c r="C523" s="11" t="n"/>
      <c r="D523" s="11" t="n"/>
      <c r="E523" s="11" t="n"/>
      <c r="F523" s="11" t="n"/>
    </row>
    <row r="524">
      <c r="A524" s="12" t="inlineStr">
        <is>
          <t>Rate basis: per metre  (source: cost for 10 metre)</t>
        </is>
      </c>
    </row>
    <row r="525">
      <c r="A525" s="5" t="inlineStr">
        <is>
          <t>Code</t>
        </is>
      </c>
      <c r="B525" s="5" t="inlineStr">
        <is>
          <t>Description</t>
        </is>
      </c>
      <c r="C525" s="5" t="inlineStr">
        <is>
          <t>Unit</t>
        </is>
      </c>
      <c r="D525" s="5" t="inlineStr">
        <is>
          <t>Quantity</t>
        </is>
      </c>
      <c r="E525" s="5" t="inlineStr">
        <is>
          <t>Rate (Rs.)</t>
        </is>
      </c>
      <c r="F525" s="5" t="inlineStr">
        <is>
          <t>Amount (Rs.)</t>
        </is>
      </c>
    </row>
    <row r="526">
      <c r="A526" s="13" t="inlineStr">
        <is>
          <t>1149</t>
        </is>
      </c>
      <c r="B526" s="14" t="inlineStr">
        <is>
          <t>Glass strip 4 mm thick40 mm deep</t>
        </is>
      </c>
      <c r="C526" s="13" t="inlineStr">
        <is>
          <t>metre</t>
        </is>
      </c>
      <c r="D526" s="15" t="n">
        <v>11</v>
      </c>
      <c r="E526" s="16" t="n">
        <v>20</v>
      </c>
      <c r="F526" s="16">
        <f>D526*E526</f>
        <v/>
      </c>
    </row>
    <row r="527">
      <c r="A527" s="13" t="inlineStr">
        <is>
          <t>9977</t>
        </is>
      </c>
      <c r="B527" s="14" t="inlineStr">
        <is>
          <t>Carriage of glass</t>
        </is>
      </c>
      <c r="C527" s="13" t="inlineStr">
        <is>
          <t>L.S.</t>
        </is>
      </c>
      <c r="D527" s="15" t="n">
        <v>2.73</v>
      </c>
      <c r="E527" s="16" t="n">
        <v>2</v>
      </c>
      <c r="F527" s="16">
        <f>D527*E527</f>
        <v/>
      </c>
    </row>
    <row r="528">
      <c r="A528" s="13" t="inlineStr">
        <is>
          <t>0124</t>
        </is>
      </c>
      <c r="B528" s="14" t="inlineStr">
        <is>
          <t>Mason (brick layer) 2nd class</t>
        </is>
      </c>
      <c r="C528" s="13" t="inlineStr">
        <is>
          <t>day</t>
        </is>
      </c>
      <c r="D528" s="15" t="n">
        <v>0.25</v>
      </c>
      <c r="E528" s="16" t="n">
        <v>679</v>
      </c>
      <c r="F528" s="16">
        <f>D528*E528</f>
        <v/>
      </c>
    </row>
    <row r="529">
      <c r="A529" s="13" t="inlineStr">
        <is>
          <t>0114</t>
        </is>
      </c>
      <c r="B529" s="14" t="inlineStr">
        <is>
          <t>Beldar</t>
        </is>
      </c>
      <c r="C529" s="13" t="inlineStr">
        <is>
          <t>day</t>
        </is>
      </c>
      <c r="D529" s="15" t="n">
        <v>0.25</v>
      </c>
      <c r="E529" s="16" t="n">
        <v>558</v>
      </c>
      <c r="F529" s="16">
        <f>D529*E529</f>
        <v/>
      </c>
    </row>
    <row r="530">
      <c r="A530" s="13" t="inlineStr">
        <is>
          <t>9999</t>
        </is>
      </c>
      <c r="B530" s="14" t="inlineStr">
        <is>
          <t>Sundries</t>
        </is>
      </c>
      <c r="C530" s="13" t="inlineStr">
        <is>
          <t>L.S.</t>
        </is>
      </c>
      <c r="D530" s="15" t="n">
        <v>13.52</v>
      </c>
      <c r="E530" s="16" t="n">
        <v>2</v>
      </c>
      <c r="F530" s="16">
        <f>D530*E530</f>
        <v/>
      </c>
    </row>
    <row r="531">
      <c r="A531" s="17" t="inlineStr">
        <is>
          <t>Resource Total (Material + Labour + Machinery, as printed)</t>
        </is>
      </c>
      <c r="B531" s="18" t="n"/>
      <c r="C531" s="18" t="n"/>
      <c r="D531" s="18" t="n"/>
      <c r="E531" s="18" t="n"/>
      <c r="F531" s="19">
        <f>SUM(F526:F530)</f>
        <v/>
      </c>
    </row>
    <row r="532">
      <c r="A532" s="20" t="inlineStr">
        <is>
          <t>SAY (Rs.) — final DAR rate</t>
        </is>
      </c>
      <c r="B532" s="21" t="n"/>
      <c r="C532" s="21" t="n"/>
      <c r="D532" s="21" t="n"/>
      <c r="E532" s="21" t="n"/>
      <c r="F532" s="22" t="n">
        <v>75.15000000000001</v>
      </c>
    </row>
    <row r="534" ht="28" customHeight="1">
      <c r="A534" s="9" t="inlineStr">
        <is>
          <t>11.14</t>
        </is>
      </c>
      <c r="B534" s="10" t="inlineStr">
        <is>
          <t>Extra for laying terrazo flooring on staircase treads not exceeding 30 cm in width, including cost of forming, nosing etc.</t>
        </is>
      </c>
      <c r="C534" s="11" t="n"/>
      <c r="D534" s="11" t="n"/>
      <c r="E534" s="11" t="n"/>
      <c r="F534" s="11" t="n"/>
    </row>
    <row r="535">
      <c r="A535" s="12" t="inlineStr">
        <is>
          <t>Rate basis: per sqm  (source: cost for 10 sqm)</t>
        </is>
      </c>
    </row>
    <row r="536">
      <c r="A536" s="5" t="inlineStr">
        <is>
          <t>Code</t>
        </is>
      </c>
      <c r="B536" s="5" t="inlineStr">
        <is>
          <t>Description</t>
        </is>
      </c>
      <c r="C536" s="5" t="inlineStr">
        <is>
          <t>Unit</t>
        </is>
      </c>
      <c r="D536" s="5" t="inlineStr">
        <is>
          <t>Quantity</t>
        </is>
      </c>
      <c r="E536" s="5" t="inlineStr">
        <is>
          <t>Rate (Rs.)</t>
        </is>
      </c>
      <c r="F536" s="5" t="inlineStr">
        <is>
          <t>Amount (Rs.)</t>
        </is>
      </c>
    </row>
    <row r="537">
      <c r="A537" s="13" t="inlineStr">
        <is>
          <t>0124</t>
        </is>
      </c>
      <c r="B537" s="14" t="inlineStr">
        <is>
          <t>Mason (brick layer) 2nd class</t>
        </is>
      </c>
      <c r="C537" s="13" t="inlineStr">
        <is>
          <t>day</t>
        </is>
      </c>
      <c r="D537" s="15" t="n">
        <v>0.3</v>
      </c>
      <c r="E537" s="16" t="n">
        <v>679</v>
      </c>
      <c r="F537" s="16">
        <f>D537*E537</f>
        <v/>
      </c>
    </row>
    <row r="538">
      <c r="A538" s="13" t="inlineStr">
        <is>
          <t>0114</t>
        </is>
      </c>
      <c r="B538" s="14" t="inlineStr">
        <is>
          <t>Beldar</t>
        </is>
      </c>
      <c r="C538" s="13" t="inlineStr">
        <is>
          <t>day</t>
        </is>
      </c>
      <c r="D538" s="15" t="n">
        <v>0.3</v>
      </c>
      <c r="E538" s="16" t="n">
        <v>558</v>
      </c>
      <c r="F538" s="16">
        <f>D538*E538</f>
        <v/>
      </c>
    </row>
    <row r="539">
      <c r="A539" s="13" t="inlineStr">
        <is>
          <t>0115</t>
        </is>
      </c>
      <c r="B539" s="14" t="inlineStr">
        <is>
          <t>Coolie</t>
        </is>
      </c>
      <c r="C539" s="13" t="inlineStr">
        <is>
          <t>day</t>
        </is>
      </c>
      <c r="D539" s="15" t="n">
        <v>0.3</v>
      </c>
      <c r="E539" s="16" t="n">
        <v>558</v>
      </c>
      <c r="F539" s="16">
        <f>D539*E539</f>
        <v/>
      </c>
    </row>
    <row r="540">
      <c r="A540" s="17" t="inlineStr">
        <is>
          <t>Resource Total (Material + Labour + Machinery, as printed)</t>
        </is>
      </c>
      <c r="B540" s="18" t="n"/>
      <c r="C540" s="18" t="n"/>
      <c r="D540" s="18" t="n"/>
      <c r="E540" s="18" t="n"/>
      <c r="F540" s="19">
        <f>SUM(F537:F539)</f>
        <v/>
      </c>
    </row>
    <row r="541">
      <c r="A541" s="20" t="inlineStr">
        <is>
          <t>SAY (Rs.) — final DAR rate</t>
        </is>
      </c>
      <c r="B541" s="21" t="n"/>
      <c r="C541" s="21" t="n"/>
      <c r="D541" s="21" t="n"/>
      <c r="E541" s="21" t="n"/>
      <c r="F541" s="22" t="n">
        <v>72.05</v>
      </c>
    </row>
    <row r="543" ht="18" customHeight="1">
      <c r="A543" s="9" t="inlineStr">
        <is>
          <t>11.15.1</t>
        </is>
      </c>
      <c r="B543" s="10" t="inlineStr">
        <is>
          <t>18 mm thick crazy marble stone white, black or as specified</t>
        </is>
      </c>
      <c r="C543" s="11" t="n"/>
      <c r="D543" s="11" t="n"/>
      <c r="E543" s="11" t="n"/>
      <c r="F543" s="11" t="n"/>
    </row>
    <row r="544">
      <c r="A544" s="12" t="inlineStr">
        <is>
          <t>Rate basis: per sqm  (source: cost for 10 sqm)</t>
        </is>
      </c>
    </row>
    <row r="545">
      <c r="A545" s="5" t="inlineStr">
        <is>
          <t>Code</t>
        </is>
      </c>
      <c r="B545" s="5" t="inlineStr">
        <is>
          <t>Description</t>
        </is>
      </c>
      <c r="C545" s="5" t="inlineStr">
        <is>
          <t>Unit</t>
        </is>
      </c>
      <c r="D545" s="5" t="inlineStr">
        <is>
          <t>Quantity</t>
        </is>
      </c>
      <c r="E545" s="5" t="inlineStr">
        <is>
          <t>Rate (Rs.)</t>
        </is>
      </c>
      <c r="F545" s="5" t="inlineStr">
        <is>
          <t>Amount (Rs.)</t>
        </is>
      </c>
    </row>
    <row r="546">
      <c r="A546" s="13" t="inlineStr">
        <is>
          <t>11.7</t>
        </is>
      </c>
      <c r="B546" s="14" t="inlineStr">
        <is>
          <t>Rate as per SH: 11.7</t>
        </is>
      </c>
      <c r="C546" s="13" t="inlineStr">
        <is>
          <t>cum</t>
        </is>
      </c>
      <c r="D546" s="15" t="n">
        <v>0.25</v>
      </c>
      <c r="E546" s="16" t="n">
        <v>7335.1</v>
      </c>
      <c r="F546" s="16">
        <f>D546*E546</f>
        <v/>
      </c>
    </row>
    <row r="547">
      <c r="A547" s="13" t="inlineStr">
        <is>
          <t>0367</t>
        </is>
      </c>
      <c r="B547" s="14" t="inlineStr">
        <is>
          <t>Portland Cement</t>
        </is>
      </c>
      <c r="C547" s="13" t="inlineStr">
        <is>
          <t>tonne</t>
        </is>
      </c>
      <c r="D547" s="15" t="n">
        <v>0.04</v>
      </c>
      <c r="E547" s="16" t="n">
        <v>4940</v>
      </c>
      <c r="F547" s="16">
        <f>D547*E547</f>
        <v/>
      </c>
    </row>
    <row r="548">
      <c r="A548" s="13" t="inlineStr">
        <is>
          <t>2209</t>
        </is>
      </c>
      <c r="B548" s="14" t="inlineStr">
        <is>
          <t>Carriage of Cement</t>
        </is>
      </c>
      <c r="C548" s="13" t="inlineStr">
        <is>
          <t>tonne</t>
        </is>
      </c>
      <c r="D548" s="15" t="n">
        <v>0.04</v>
      </c>
      <c r="E548" s="16" t="n">
        <v>92.23999999999999</v>
      </c>
      <c r="F548" s="16">
        <f>D548*E548</f>
        <v/>
      </c>
    </row>
    <row r="549">
      <c r="A549" s="13" t="inlineStr">
        <is>
          <t>0114</t>
        </is>
      </c>
      <c r="B549" s="14" t="inlineStr">
        <is>
          <t>Beldar</t>
        </is>
      </c>
      <c r="C549" s="13" t="inlineStr">
        <is>
          <t>day</t>
        </is>
      </c>
      <c r="D549" s="15" t="n">
        <v>0.5</v>
      </c>
      <c r="E549" s="16" t="n">
        <v>558</v>
      </c>
      <c r="F549" s="16">
        <f>D549*E549</f>
        <v/>
      </c>
    </row>
    <row r="550">
      <c r="A550" s="13" t="inlineStr">
        <is>
          <t>2710</t>
        </is>
      </c>
      <c r="B550" s="14" t="inlineStr">
        <is>
          <t>White marble makrana second quality plain veined stone pieces for crazy flooring</t>
        </is>
      </c>
      <c r="C550" s="13" t="inlineStr">
        <is>
          <t>quintal</t>
        </is>
      </c>
      <c r="D550" s="15" t="n">
        <v>2.4</v>
      </c>
      <c r="E550" s="16" t="n">
        <v>150</v>
      </c>
      <c r="F550" s="16">
        <f>D550*E550</f>
        <v/>
      </c>
    </row>
    <row r="551">
      <c r="A551" s="13" t="inlineStr">
        <is>
          <t>0368</t>
        </is>
      </c>
      <c r="B551" s="14" t="inlineStr">
        <is>
          <t>White Cement</t>
        </is>
      </c>
      <c r="C551" s="13" t="inlineStr">
        <is>
          <t>tonne</t>
        </is>
      </c>
      <c r="D551" s="15" t="n">
        <v>0.0405</v>
      </c>
      <c r="E551" s="16" t="n">
        <v>11200</v>
      </c>
      <c r="F551" s="16">
        <f>D551*E551</f>
        <v/>
      </c>
    </row>
    <row r="552">
      <c r="A552" s="13" t="inlineStr">
        <is>
          <t>0784</t>
        </is>
      </c>
      <c r="B552" s="14" t="inlineStr">
        <is>
          <t>Marble dust/ powder</t>
        </is>
      </c>
      <c r="C552" s="13" t="inlineStr">
        <is>
          <t>cum</t>
        </is>
      </c>
      <c r="D552" s="15" t="n">
        <v>0.007</v>
      </c>
      <c r="E552" s="16" t="n">
        <v>1130</v>
      </c>
      <c r="F552" s="16">
        <f>D552*E552</f>
        <v/>
      </c>
    </row>
    <row r="553">
      <c r="A553" s="13" t="inlineStr">
        <is>
          <t>0875</t>
        </is>
      </c>
      <c r="B553" s="14" t="inlineStr">
        <is>
          <t>Red, chocolate, orange, buff or yellow (red oxide of iron) light shade pigment</t>
        </is>
      </c>
      <c r="C553" s="13" t="inlineStr">
        <is>
          <t>kilogram</t>
        </is>
      </c>
      <c r="D553" s="15" t="n">
        <v>2.84</v>
      </c>
      <c r="E553" s="16" t="n">
        <v>60</v>
      </c>
      <c r="F553" s="16">
        <f>D553*E553</f>
        <v/>
      </c>
    </row>
    <row r="554">
      <c r="A554" s="13" t="inlineStr">
        <is>
          <t>0785</t>
        </is>
      </c>
      <c r="B554" s="14" t="inlineStr">
        <is>
          <t>Marble chips upto 4mm and downsize White &amp; black</t>
        </is>
      </c>
      <c r="C554" s="13" t="inlineStr">
        <is>
          <t>quintal</t>
        </is>
      </c>
      <c r="D554" s="15" t="n">
        <v>0.872</v>
      </c>
      <c r="E554" s="16" t="n">
        <v>189</v>
      </c>
      <c r="F554" s="16">
        <f>D554*E554</f>
        <v/>
      </c>
    </row>
    <row r="555">
      <c r="A555" s="13" t="inlineStr">
        <is>
          <t>2268</t>
        </is>
      </c>
      <c r="B555" s="14" t="inlineStr">
        <is>
          <t>Carriage of Marble dust and marble chips</t>
        </is>
      </c>
      <c r="C555" s="13" t="inlineStr">
        <is>
          <t>cum</t>
        </is>
      </c>
      <c r="D555" s="15" t="n">
        <v>0.051</v>
      </c>
      <c r="E555" s="16" t="n">
        <v>103.77</v>
      </c>
      <c r="F555" s="16">
        <f>D555*E555</f>
        <v/>
      </c>
    </row>
    <row r="556">
      <c r="A556" s="13" t="inlineStr">
        <is>
          <t>2209</t>
        </is>
      </c>
      <c r="B556" s="14" t="inlineStr">
        <is>
          <t>Carriage of Cement</t>
        </is>
      </c>
      <c r="C556" s="13" t="inlineStr">
        <is>
          <t>tonne</t>
        </is>
      </c>
      <c r="D556" s="15" t="n">
        <v>0.0405</v>
      </c>
      <c r="E556" s="16" t="n">
        <v>92.23999999999999</v>
      </c>
      <c r="F556" s="16">
        <f>D556*E556</f>
        <v/>
      </c>
    </row>
    <row r="557">
      <c r="A557" s="13" t="inlineStr">
        <is>
          <t>9977</t>
        </is>
      </c>
      <c r="B557" s="14" t="inlineStr">
        <is>
          <t>Carriage of pigment &amp; marble powder</t>
        </is>
      </c>
      <c r="C557" s="13" t="inlineStr">
        <is>
          <t>L.S.</t>
        </is>
      </c>
      <c r="D557" s="15" t="n">
        <v>3.64</v>
      </c>
      <c r="E557" s="16" t="n">
        <v>2</v>
      </c>
      <c r="F557" s="16">
        <f>D557*E557</f>
        <v/>
      </c>
    </row>
    <row r="558">
      <c r="A558" s="13" t="inlineStr">
        <is>
          <t>2216</t>
        </is>
      </c>
      <c r="B558" s="14" t="inlineStr">
        <is>
          <t>Carriage of Stone blocks white &amp; red sand stone &amp; kota stone slab</t>
        </is>
      </c>
      <c r="C558" s="13" t="inlineStr">
        <is>
          <t>tonne</t>
        </is>
      </c>
      <c r="D558" s="15" t="n">
        <v>0.24</v>
      </c>
      <c r="E558" s="16" t="n">
        <v>92.23999999999999</v>
      </c>
      <c r="F558" s="16">
        <f>D558*E558</f>
        <v/>
      </c>
    </row>
    <row r="559">
      <c r="A559" s="13" t="inlineStr">
        <is>
          <t>0123</t>
        </is>
      </c>
      <c r="B559" s="14" t="inlineStr">
        <is>
          <t>Mason (brick layer) 1st class</t>
        </is>
      </c>
      <c r="C559" s="13" t="inlineStr">
        <is>
          <t>day</t>
        </is>
      </c>
      <c r="D559" s="15" t="n">
        <v>1.2</v>
      </c>
      <c r="E559" s="16" t="n">
        <v>738</v>
      </c>
      <c r="F559" s="16">
        <f>D559*E559</f>
        <v/>
      </c>
    </row>
    <row r="560">
      <c r="A560" s="13" t="inlineStr">
        <is>
          <t>0114</t>
        </is>
      </c>
      <c r="B560" s="14" t="inlineStr">
        <is>
          <t>Beldar</t>
        </is>
      </c>
      <c r="C560" s="13" t="inlineStr">
        <is>
          <t>day</t>
        </is>
      </c>
      <c r="D560" s="15" t="n">
        <v>1</v>
      </c>
      <c r="E560" s="16" t="n">
        <v>558</v>
      </c>
      <c r="F560" s="16">
        <f>D560*E560</f>
        <v/>
      </c>
    </row>
    <row r="561">
      <c r="A561" s="13" t="inlineStr">
        <is>
          <t>0115</t>
        </is>
      </c>
      <c r="B561" s="14" t="inlineStr">
        <is>
          <t>Coolie</t>
        </is>
      </c>
      <c r="C561" s="13" t="inlineStr">
        <is>
          <t>day</t>
        </is>
      </c>
      <c r="D561" s="15" t="n">
        <v>1</v>
      </c>
      <c r="E561" s="16" t="n">
        <v>558</v>
      </c>
      <c r="F561" s="16">
        <f>D561*E561</f>
        <v/>
      </c>
    </row>
    <row r="562">
      <c r="A562" s="13" t="inlineStr">
        <is>
          <t>0139</t>
        </is>
      </c>
      <c r="B562" s="14" t="inlineStr">
        <is>
          <t>Skilled Beldar (for floor rubbing etc.)</t>
        </is>
      </c>
      <c r="C562" s="13" t="inlineStr">
        <is>
          <t>day</t>
        </is>
      </c>
      <c r="D562" s="15" t="n">
        <v>5</v>
      </c>
      <c r="E562" s="16" t="n">
        <v>617</v>
      </c>
      <c r="F562" s="16">
        <f>D562*E562</f>
        <v/>
      </c>
    </row>
    <row r="563">
      <c r="A563" s="13" t="inlineStr">
        <is>
          <t>9999</t>
        </is>
      </c>
      <c r="B563" s="14" t="inlineStr">
        <is>
          <t>Sundries including carborandum etc.</t>
        </is>
      </c>
      <c r="C563" s="13" t="inlineStr">
        <is>
          <t>L.S.</t>
        </is>
      </c>
      <c r="D563" s="15" t="n">
        <v>134.55</v>
      </c>
      <c r="E563" s="16" t="n">
        <v>2</v>
      </c>
      <c r="F563" s="16">
        <f>D563*E563</f>
        <v/>
      </c>
    </row>
    <row r="564">
      <c r="A564" s="13" t="inlineStr">
        <is>
          <t>0101</t>
        </is>
      </c>
      <c r="B564" s="14" t="inlineStr">
        <is>
          <t>Bhisti</t>
        </is>
      </c>
      <c r="C564" s="13" t="inlineStr">
        <is>
          <t>day</t>
        </is>
      </c>
      <c r="D564" s="15" t="n">
        <v>0.54</v>
      </c>
      <c r="E564" s="16" t="n">
        <v>617</v>
      </c>
      <c r="F564" s="16">
        <f>D564*E564</f>
        <v/>
      </c>
    </row>
    <row r="565">
      <c r="A565" s="13" t="inlineStr">
        <is>
          <t>0013</t>
        </is>
      </c>
      <c r="B565" s="14" t="inlineStr">
        <is>
          <t>Machine for rubbing of floors</t>
        </is>
      </c>
      <c r="C565" s="13" t="inlineStr">
        <is>
          <t>day</t>
        </is>
      </c>
      <c r="D565" s="15" t="n">
        <v>4</v>
      </c>
      <c r="E565" s="16" t="n">
        <v>300</v>
      </c>
      <c r="F565" s="16">
        <f>D565*E565</f>
        <v/>
      </c>
    </row>
    <row r="566">
      <c r="A566" s="17" t="inlineStr">
        <is>
          <t>Resource Total (Material + Labour + Machinery, as printed)</t>
        </is>
      </c>
      <c r="B566" s="18" t="n"/>
      <c r="C566" s="18" t="n"/>
      <c r="D566" s="18" t="n"/>
      <c r="E566" s="18" t="n"/>
      <c r="F566" s="19">
        <f>SUM(F546:F565)</f>
        <v/>
      </c>
    </row>
    <row r="567">
      <c r="A567" s="20" t="inlineStr">
        <is>
          <t>SAY (Rs.) — final DAR rate</t>
        </is>
      </c>
      <c r="B567" s="21" t="n"/>
      <c r="C567" s="21" t="n"/>
      <c r="D567" s="21" t="n"/>
      <c r="E567" s="21" t="n"/>
      <c r="F567" s="22" t="n">
        <v>1329.25</v>
      </c>
    </row>
    <row r="569" ht="18" customHeight="1">
      <c r="A569" s="9" t="inlineStr">
        <is>
          <t>11.16.1</t>
        </is>
      </c>
      <c r="B569" s="10" t="inlineStr">
        <is>
          <t>Light shade pigment using white cement</t>
        </is>
      </c>
      <c r="C569" s="11" t="n"/>
      <c r="D569" s="11" t="n"/>
      <c r="E569" s="11" t="n"/>
      <c r="F569" s="11" t="n"/>
    </row>
    <row r="570">
      <c r="A570" s="12" t="inlineStr">
        <is>
          <t>Rate basis: per sqm  (source: cost for 10 sqm)</t>
        </is>
      </c>
    </row>
    <row r="571">
      <c r="A571" s="5" t="inlineStr">
        <is>
          <t>Code</t>
        </is>
      </c>
      <c r="B571" s="5" t="inlineStr">
        <is>
          <t>Description</t>
        </is>
      </c>
      <c r="C571" s="5" t="inlineStr">
        <is>
          <t>Unit</t>
        </is>
      </c>
      <c r="D571" s="5" t="inlineStr">
        <is>
          <t>Quantity</t>
        </is>
      </c>
      <c r="E571" s="5" t="inlineStr">
        <is>
          <t>Rate (Rs.)</t>
        </is>
      </c>
      <c r="F571" s="5" t="inlineStr">
        <is>
          <t>Amount (Rs.)</t>
        </is>
      </c>
    </row>
    <row r="572">
      <c r="A572" s="13" t="inlineStr">
        <is>
          <t>3.9</t>
        </is>
      </c>
      <c r="B572" s="14" t="inlineStr">
        <is>
          <t>Rate as per SH: 3.9</t>
        </is>
      </c>
      <c r="C572" s="13" t="inlineStr">
        <is>
          <t>cum</t>
        </is>
      </c>
      <c r="D572" s="15" t="n">
        <v>0.224</v>
      </c>
      <c r="E572" s="16" t="n">
        <v>4010.35</v>
      </c>
      <c r="F572" s="16">
        <f>D572*E572</f>
        <v/>
      </c>
    </row>
    <row r="573">
      <c r="A573" s="13" t="inlineStr">
        <is>
          <t>1201</t>
        </is>
      </c>
      <c r="B573" s="14" t="inlineStr">
        <is>
          <t>Precast terrazo tiles 22 mm thick (light shade) including 10% wastage</t>
        </is>
      </c>
      <c r="C573" s="13" t="inlineStr">
        <is>
          <t>sqm</t>
        </is>
      </c>
      <c r="D573" s="15" t="n">
        <v>11</v>
      </c>
      <c r="E573" s="16" t="n">
        <v>285</v>
      </c>
      <c r="F573" s="16">
        <f>D573*E573</f>
        <v/>
      </c>
    </row>
    <row r="574">
      <c r="A574" s="13" t="inlineStr">
        <is>
          <t>9977</t>
        </is>
      </c>
      <c r="B574" s="14" t="inlineStr">
        <is>
          <t>Carriage of tiles</t>
        </is>
      </c>
      <c r="C574" s="13" t="inlineStr">
        <is>
          <t>L.S.</t>
        </is>
      </c>
      <c r="D574" s="15" t="n">
        <v>40.43</v>
      </c>
      <c r="E574" s="16" t="n">
        <v>2</v>
      </c>
      <c r="F574" s="16">
        <f>D574*E574</f>
        <v/>
      </c>
    </row>
    <row r="575">
      <c r="A575" s="13" t="inlineStr">
        <is>
          <t>0367</t>
        </is>
      </c>
      <c r="B575" s="14" t="inlineStr">
        <is>
          <t>Portland Cement</t>
        </is>
      </c>
      <c r="C575" s="13" t="inlineStr">
        <is>
          <t>tonne</t>
        </is>
      </c>
      <c r="D575" s="15" t="n">
        <v>0.044</v>
      </c>
      <c r="E575" s="16" t="n">
        <v>4940</v>
      </c>
      <c r="F575" s="16">
        <f>D575*E575</f>
        <v/>
      </c>
    </row>
    <row r="576">
      <c r="A576" s="13" t="inlineStr">
        <is>
          <t>0368</t>
        </is>
      </c>
      <c r="B576" s="14" t="inlineStr">
        <is>
          <t>White Cement</t>
        </is>
      </c>
      <c r="C576" s="13" t="inlineStr">
        <is>
          <t>tonne</t>
        </is>
      </c>
      <c r="D576" s="15" t="n">
        <v>0.044</v>
      </c>
      <c r="E576" s="16" t="n">
        <v>11200</v>
      </c>
      <c r="F576" s="16">
        <f>D576*E576</f>
        <v/>
      </c>
    </row>
    <row r="577">
      <c r="A577" s="13" t="inlineStr">
        <is>
          <t>2209</t>
        </is>
      </c>
      <c r="B577" s="14" t="inlineStr">
        <is>
          <t>Carriage of Cement</t>
        </is>
      </c>
      <c r="C577" s="13" t="inlineStr">
        <is>
          <t>tonne</t>
        </is>
      </c>
      <c r="D577" s="15" t="n">
        <v>0.08799999999999999</v>
      </c>
      <c r="E577" s="16" t="n">
        <v>92.23999999999999</v>
      </c>
      <c r="F577" s="16">
        <f>D577*E577</f>
        <v/>
      </c>
    </row>
    <row r="578">
      <c r="A578" s="13" t="inlineStr">
        <is>
          <t>0875</t>
        </is>
      </c>
      <c r="B578" s="14" t="inlineStr">
        <is>
          <t>Red, chocolate, orange, buff or yellow (red oxide of iron) light shade pigment</t>
        </is>
      </c>
      <c r="C578" s="13" t="inlineStr">
        <is>
          <t>kilogram</t>
        </is>
      </c>
      <c r="D578" s="15" t="n">
        <v>3.08</v>
      </c>
      <c r="E578" s="16" t="n">
        <v>60</v>
      </c>
      <c r="F578" s="16">
        <f>D578*E578</f>
        <v/>
      </c>
    </row>
    <row r="579">
      <c r="A579" s="13" t="inlineStr">
        <is>
          <t>0124</t>
        </is>
      </c>
      <c r="B579" s="14" t="inlineStr">
        <is>
          <t>Mason (brick layer) 2nd class</t>
        </is>
      </c>
      <c r="C579" s="13" t="inlineStr">
        <is>
          <t>day</t>
        </is>
      </c>
      <c r="D579" s="15" t="n">
        <v>1.6</v>
      </c>
      <c r="E579" s="16" t="n">
        <v>679</v>
      </c>
      <c r="F579" s="16">
        <f>D579*E579</f>
        <v/>
      </c>
    </row>
    <row r="580">
      <c r="A580" s="13" t="inlineStr">
        <is>
          <t>0115</t>
        </is>
      </c>
      <c r="B580" s="14" t="inlineStr">
        <is>
          <t>Coolie</t>
        </is>
      </c>
      <c r="C580" s="13" t="inlineStr">
        <is>
          <t>day</t>
        </is>
      </c>
      <c r="D580" s="15" t="n">
        <v>2</v>
      </c>
      <c r="E580" s="16" t="n">
        <v>558</v>
      </c>
      <c r="F580" s="16">
        <f>D580*E580</f>
        <v/>
      </c>
    </row>
    <row r="581">
      <c r="A581" s="13" t="inlineStr">
        <is>
          <t>0139</t>
        </is>
      </c>
      <c r="B581" s="14" t="inlineStr">
        <is>
          <t>Skilled Beldar (for floor rubbing etc.)</t>
        </is>
      </c>
      <c r="C581" s="13" t="inlineStr">
        <is>
          <t>day</t>
        </is>
      </c>
      <c r="D581" s="15" t="n">
        <v>1</v>
      </c>
      <c r="E581" s="16" t="n">
        <v>617</v>
      </c>
      <c r="F581" s="16">
        <f>D581*E581</f>
        <v/>
      </c>
    </row>
    <row r="582">
      <c r="A582" s="13" t="inlineStr">
        <is>
          <t>0101</t>
        </is>
      </c>
      <c r="B582" s="14" t="inlineStr">
        <is>
          <t>Bhisti</t>
        </is>
      </c>
      <c r="C582" s="13" t="inlineStr">
        <is>
          <t>day</t>
        </is>
      </c>
      <c r="D582" s="15" t="n">
        <v>1</v>
      </c>
      <c r="E582" s="16" t="n">
        <v>617</v>
      </c>
      <c r="F582" s="16">
        <f>D582*E582</f>
        <v/>
      </c>
    </row>
    <row r="583">
      <c r="A583" s="13" t="inlineStr">
        <is>
          <t>0013</t>
        </is>
      </c>
      <c r="B583" s="14" t="inlineStr">
        <is>
          <t>Machine for rubbing of floors</t>
        </is>
      </c>
      <c r="C583" s="13" t="inlineStr">
        <is>
          <t>day</t>
        </is>
      </c>
      <c r="D583" s="15" t="n">
        <v>1.6</v>
      </c>
      <c r="E583" s="16" t="n">
        <v>300</v>
      </c>
      <c r="F583" s="16">
        <f>D583*E583</f>
        <v/>
      </c>
    </row>
    <row r="584">
      <c r="A584" s="13" t="inlineStr">
        <is>
          <t>9999</t>
        </is>
      </c>
      <c r="B584" s="14" t="inlineStr">
        <is>
          <t>Sundries including carborandum stone etc.</t>
        </is>
      </c>
      <c r="C584" s="13" t="inlineStr">
        <is>
          <t>L.S.</t>
        </is>
      </c>
      <c r="D584" s="15" t="n">
        <v>161.98</v>
      </c>
      <c r="E584" s="16" t="n">
        <v>2</v>
      </c>
      <c r="F584" s="16">
        <f>D584*E584</f>
        <v/>
      </c>
    </row>
    <row r="585">
      <c r="A585" s="17" t="inlineStr">
        <is>
          <t>Resource Total (Material + Labour + Machinery, as printed)</t>
        </is>
      </c>
      <c r="B585" s="18" t="n"/>
      <c r="C585" s="18" t="n"/>
      <c r="D585" s="18" t="n"/>
      <c r="E585" s="18" t="n"/>
      <c r="F585" s="19">
        <f>SUM(F572:F584)</f>
        <v/>
      </c>
    </row>
    <row r="586">
      <c r="A586" s="20" t="inlineStr">
        <is>
          <t>SAY (Rs.) — final DAR rate</t>
        </is>
      </c>
      <c r="B586" s="21" t="n"/>
      <c r="C586" s="21" t="n"/>
      <c r="D586" s="21" t="n"/>
      <c r="E586" s="21" t="n"/>
      <c r="F586" s="22" t="n">
        <v>1238.6</v>
      </c>
    </row>
    <row r="588" ht="18" customHeight="1">
      <c r="A588" s="9" t="inlineStr">
        <is>
          <t>11.16.2</t>
        </is>
      </c>
      <c r="B588" s="10" t="inlineStr">
        <is>
          <t>Medium shade pigment using 50% white cement and 50% ordinary cement</t>
        </is>
      </c>
      <c r="C588" s="11" t="n"/>
      <c r="D588" s="11" t="n"/>
      <c r="E588" s="11" t="n"/>
      <c r="F588" s="11" t="n"/>
    </row>
    <row r="589">
      <c r="A589" s="12" t="inlineStr">
        <is>
          <t>Rate basis: per sqm  (source: cost for 10 sqm)</t>
        </is>
      </c>
    </row>
    <row r="590">
      <c r="A590" s="5" t="inlineStr">
        <is>
          <t>Code</t>
        </is>
      </c>
      <c r="B590" s="5" t="inlineStr">
        <is>
          <t>Description</t>
        </is>
      </c>
      <c r="C590" s="5" t="inlineStr">
        <is>
          <t>Unit</t>
        </is>
      </c>
      <c r="D590" s="5" t="inlineStr">
        <is>
          <t>Quantity</t>
        </is>
      </c>
      <c r="E590" s="5" t="inlineStr">
        <is>
          <t>Rate (Rs.)</t>
        </is>
      </c>
      <c r="F590" s="5" t="inlineStr">
        <is>
          <t>Amount (Rs.)</t>
        </is>
      </c>
    </row>
    <row r="591">
      <c r="A591" s="13" t="inlineStr">
        <is>
          <t>3.9</t>
        </is>
      </c>
      <c r="B591" s="14" t="inlineStr">
        <is>
          <t>Rate as per SH: 3.9</t>
        </is>
      </c>
      <c r="C591" s="13" t="inlineStr">
        <is>
          <t>cum</t>
        </is>
      </c>
      <c r="D591" s="15" t="n">
        <v>0.224</v>
      </c>
      <c r="E591" s="16" t="n">
        <v>4010.35</v>
      </c>
      <c r="F591" s="16">
        <f>D591*E591</f>
        <v/>
      </c>
    </row>
    <row r="592">
      <c r="A592" s="13" t="inlineStr">
        <is>
          <t>1202</t>
        </is>
      </c>
      <c r="B592" s="14" t="inlineStr">
        <is>
          <t>Precast terrazo tiles 22 mm thick (medium shade) including 10% wastage</t>
        </is>
      </c>
      <c r="C592" s="13" t="inlineStr">
        <is>
          <t>sqm</t>
        </is>
      </c>
      <c r="D592" s="15" t="n">
        <v>11</v>
      </c>
      <c r="E592" s="16" t="n">
        <v>265</v>
      </c>
      <c r="F592" s="16">
        <f>D592*E592</f>
        <v/>
      </c>
    </row>
    <row r="593">
      <c r="A593" s="13" t="inlineStr">
        <is>
          <t>9977</t>
        </is>
      </c>
      <c r="B593" s="14" t="inlineStr">
        <is>
          <t>Carriage of tiles</t>
        </is>
      </c>
      <c r="C593" s="13" t="inlineStr">
        <is>
          <t>L.S.</t>
        </is>
      </c>
      <c r="D593" s="15" t="n">
        <v>40.43</v>
      </c>
      <c r="E593" s="16" t="n">
        <v>2</v>
      </c>
      <c r="F593" s="16">
        <f>D593*E593</f>
        <v/>
      </c>
    </row>
    <row r="594">
      <c r="A594" s="13" t="inlineStr">
        <is>
          <t>0367</t>
        </is>
      </c>
      <c r="B594" s="14" t="inlineStr">
        <is>
          <t>Portland Cement</t>
        </is>
      </c>
      <c r="C594" s="13" t="inlineStr">
        <is>
          <t>tonne</t>
        </is>
      </c>
      <c r="D594" s="15" t="n">
        <v>0.066</v>
      </c>
      <c r="E594" s="16" t="n">
        <v>4940</v>
      </c>
      <c r="F594" s="16">
        <f>D594*E594</f>
        <v/>
      </c>
    </row>
    <row r="595">
      <c r="A595" s="13" t="inlineStr">
        <is>
          <t>0368</t>
        </is>
      </c>
      <c r="B595" s="14" t="inlineStr">
        <is>
          <t>White Cement</t>
        </is>
      </c>
      <c r="C595" s="13" t="inlineStr">
        <is>
          <t>tonne</t>
        </is>
      </c>
      <c r="D595" s="15" t="n">
        <v>0.022</v>
      </c>
      <c r="E595" s="16" t="n">
        <v>11200</v>
      </c>
      <c r="F595" s="16">
        <f>D595*E595</f>
        <v/>
      </c>
    </row>
    <row r="596">
      <c r="A596" s="13" t="inlineStr">
        <is>
          <t>2209</t>
        </is>
      </c>
      <c r="B596" s="14" t="inlineStr">
        <is>
          <t>Carriage of Cement</t>
        </is>
      </c>
      <c r="C596" s="13" t="inlineStr">
        <is>
          <t>tonne</t>
        </is>
      </c>
      <c r="D596" s="15" t="n">
        <v>0.08799999999999999</v>
      </c>
      <c r="E596" s="16" t="n">
        <v>92.23999999999999</v>
      </c>
      <c r="F596" s="16">
        <f>D596*E596</f>
        <v/>
      </c>
    </row>
    <row r="597">
      <c r="A597" s="13" t="inlineStr">
        <is>
          <t>0876</t>
        </is>
      </c>
      <c r="B597" s="14" t="inlineStr">
        <is>
          <t>Green or blue medium shade pigment</t>
        </is>
      </c>
      <c r="C597" s="13" t="inlineStr">
        <is>
          <t>kilogram</t>
        </is>
      </c>
      <c r="D597" s="15" t="n">
        <v>3.08</v>
      </c>
      <c r="E597" s="16" t="n">
        <v>56</v>
      </c>
      <c r="F597" s="16">
        <f>D597*E597</f>
        <v/>
      </c>
    </row>
    <row r="598">
      <c r="A598" s="13" t="inlineStr">
        <is>
          <t>0124</t>
        </is>
      </c>
      <c r="B598" s="14" t="inlineStr">
        <is>
          <t>Mason (brick layer) 2nd class</t>
        </is>
      </c>
      <c r="C598" s="13" t="inlineStr">
        <is>
          <t>day</t>
        </is>
      </c>
      <c r="D598" s="15" t="n">
        <v>1.6</v>
      </c>
      <c r="E598" s="16" t="n">
        <v>679</v>
      </c>
      <c r="F598" s="16">
        <f>D598*E598</f>
        <v/>
      </c>
    </row>
    <row r="599">
      <c r="A599" s="13" t="inlineStr">
        <is>
          <t>0115</t>
        </is>
      </c>
      <c r="B599" s="14" t="inlineStr">
        <is>
          <t>Coolie</t>
        </is>
      </c>
      <c r="C599" s="13" t="inlineStr">
        <is>
          <t>day</t>
        </is>
      </c>
      <c r="D599" s="15" t="n">
        <v>2</v>
      </c>
      <c r="E599" s="16" t="n">
        <v>558</v>
      </c>
      <c r="F599" s="16">
        <f>D599*E599</f>
        <v/>
      </c>
    </row>
    <row r="600">
      <c r="A600" s="13" t="inlineStr">
        <is>
          <t>0139</t>
        </is>
      </c>
      <c r="B600" s="14" t="inlineStr">
        <is>
          <t>Skilled Beldar (for floor rubbing etc.)</t>
        </is>
      </c>
      <c r="C600" s="13" t="inlineStr">
        <is>
          <t>day</t>
        </is>
      </c>
      <c r="D600" s="15" t="n">
        <v>1</v>
      </c>
      <c r="E600" s="16" t="n">
        <v>617</v>
      </c>
      <c r="F600" s="16">
        <f>D600*E600</f>
        <v/>
      </c>
    </row>
    <row r="601">
      <c r="A601" s="13" t="inlineStr">
        <is>
          <t>0101</t>
        </is>
      </c>
      <c r="B601" s="14" t="inlineStr">
        <is>
          <t>Bhisti</t>
        </is>
      </c>
      <c r="C601" s="13" t="inlineStr">
        <is>
          <t>day</t>
        </is>
      </c>
      <c r="D601" s="15" t="n">
        <v>1</v>
      </c>
      <c r="E601" s="16" t="n">
        <v>617</v>
      </c>
      <c r="F601" s="16">
        <f>D601*E601</f>
        <v/>
      </c>
    </row>
    <row r="602">
      <c r="A602" s="13" t="inlineStr">
        <is>
          <t>0013</t>
        </is>
      </c>
      <c r="B602" s="14" t="inlineStr">
        <is>
          <t>Machine for rubbing of floors</t>
        </is>
      </c>
      <c r="C602" s="13" t="inlineStr">
        <is>
          <t>day</t>
        </is>
      </c>
      <c r="D602" s="15" t="n">
        <v>1.6</v>
      </c>
      <c r="E602" s="16" t="n">
        <v>300</v>
      </c>
      <c r="F602" s="16">
        <f>D602*E602</f>
        <v/>
      </c>
    </row>
    <row r="603">
      <c r="A603" s="13" t="inlineStr">
        <is>
          <t>9999</t>
        </is>
      </c>
      <c r="B603" s="14" t="inlineStr">
        <is>
          <t>Sundries including carborandum stone etc.</t>
        </is>
      </c>
      <c r="C603" s="13" t="inlineStr">
        <is>
          <t>L.S.</t>
        </is>
      </c>
      <c r="D603" s="15" t="n">
        <v>161.98</v>
      </c>
      <c r="E603" s="16" t="n">
        <v>2</v>
      </c>
      <c r="F603" s="16">
        <f>D603*E603</f>
        <v/>
      </c>
    </row>
    <row r="604">
      <c r="A604" s="17" t="inlineStr">
        <is>
          <t>Resource Total (Material + Labour + Machinery, as printed)</t>
        </is>
      </c>
      <c r="B604" s="18" t="n"/>
      <c r="C604" s="18" t="n"/>
      <c r="D604" s="18" t="n"/>
      <c r="E604" s="18" t="n"/>
      <c r="F604" s="19">
        <f>SUM(F591:F603)</f>
        <v/>
      </c>
    </row>
    <row r="605">
      <c r="A605" s="20" t="inlineStr">
        <is>
          <t>SAY (Rs.) — final DAR rate</t>
        </is>
      </c>
      <c r="B605" s="21" t="n"/>
      <c r="C605" s="21" t="n"/>
      <c r="D605" s="21" t="n"/>
      <c r="E605" s="21" t="n"/>
      <c r="F605" s="22" t="n">
        <v>1189.1</v>
      </c>
    </row>
    <row r="607" ht="18" customHeight="1">
      <c r="A607" s="9" t="inlineStr">
        <is>
          <t>11.16.3</t>
        </is>
      </c>
      <c r="B607" s="10" t="inlineStr">
        <is>
          <t>Dark shade pigment using ordinary cement</t>
        </is>
      </c>
      <c r="C607" s="11" t="n"/>
      <c r="D607" s="11" t="n"/>
      <c r="E607" s="11" t="n"/>
      <c r="F607" s="11" t="n"/>
    </row>
    <row r="608">
      <c r="A608" s="12" t="inlineStr">
        <is>
          <t>Rate basis: per sqm  (source: cost for 10 sqm)</t>
        </is>
      </c>
    </row>
    <row r="609">
      <c r="A609" s="5" t="inlineStr">
        <is>
          <t>Code</t>
        </is>
      </c>
      <c r="B609" s="5" t="inlineStr">
        <is>
          <t>Description</t>
        </is>
      </c>
      <c r="C609" s="5" t="inlineStr">
        <is>
          <t>Unit</t>
        </is>
      </c>
      <c r="D609" s="5" t="inlineStr">
        <is>
          <t>Quantity</t>
        </is>
      </c>
      <c r="E609" s="5" t="inlineStr">
        <is>
          <t>Rate (Rs.)</t>
        </is>
      </c>
      <c r="F609" s="5" t="inlineStr">
        <is>
          <t>Amount (Rs.)</t>
        </is>
      </c>
    </row>
    <row r="610">
      <c r="A610" s="13" t="inlineStr">
        <is>
          <t>3.9</t>
        </is>
      </c>
      <c r="B610" s="14" t="inlineStr">
        <is>
          <t>Rate as per SH: 3.9</t>
        </is>
      </c>
      <c r="C610" s="13" t="inlineStr">
        <is>
          <t>cum</t>
        </is>
      </c>
      <c r="D610" s="15" t="n">
        <v>0.224</v>
      </c>
      <c r="E610" s="16" t="n">
        <v>4010.35</v>
      </c>
      <c r="F610" s="16">
        <f>D610*E610</f>
        <v/>
      </c>
    </row>
    <row r="611">
      <c r="A611" s="13" t="inlineStr">
        <is>
          <t>1203</t>
        </is>
      </c>
      <c r="B611" s="14" t="inlineStr">
        <is>
          <t>Precast terrazo tiles 22 mm thick (dark shade) including 10% wastage</t>
        </is>
      </c>
      <c r="C611" s="13" t="inlineStr">
        <is>
          <t>sqm</t>
        </is>
      </c>
      <c r="D611" s="15" t="n">
        <v>11</v>
      </c>
      <c r="E611" s="16" t="n">
        <v>245</v>
      </c>
      <c r="F611" s="16">
        <f>D611*E611</f>
        <v/>
      </c>
    </row>
    <row r="612">
      <c r="A612" s="13" t="inlineStr">
        <is>
          <t>9977</t>
        </is>
      </c>
      <c r="B612" s="14" t="inlineStr">
        <is>
          <t>Carriage of tiles</t>
        </is>
      </c>
      <c r="C612" s="13" t="inlineStr">
        <is>
          <t>L.S.</t>
        </is>
      </c>
      <c r="D612" s="15" t="n">
        <v>40.43</v>
      </c>
      <c r="E612" s="16" t="n">
        <v>2</v>
      </c>
      <c r="F612" s="16">
        <f>D612*E612</f>
        <v/>
      </c>
    </row>
    <row r="613">
      <c r="A613" s="13" t="inlineStr">
        <is>
          <t>0367</t>
        </is>
      </c>
      <c r="B613" s="14" t="inlineStr">
        <is>
          <t>Portland Cement</t>
        </is>
      </c>
      <c r="C613" s="13" t="inlineStr">
        <is>
          <t>tonne</t>
        </is>
      </c>
      <c r="D613" s="15" t="n">
        <v>0.08799999999999999</v>
      </c>
      <c r="E613" s="16" t="n">
        <v>4940</v>
      </c>
      <c r="F613" s="16">
        <f>D613*E613</f>
        <v/>
      </c>
    </row>
    <row r="614">
      <c r="A614" s="13" t="inlineStr">
        <is>
          <t>2209</t>
        </is>
      </c>
      <c r="B614" s="14" t="inlineStr">
        <is>
          <t>Carriage of Cement</t>
        </is>
      </c>
      <c r="C614" s="13" t="inlineStr">
        <is>
          <t>tonne</t>
        </is>
      </c>
      <c r="D614" s="15" t="n">
        <v>0.08799999999999999</v>
      </c>
      <c r="E614" s="16" t="n">
        <v>92.23999999999999</v>
      </c>
      <c r="F614" s="16">
        <f>D614*E614</f>
        <v/>
      </c>
    </row>
    <row r="615">
      <c r="A615" s="13" t="inlineStr">
        <is>
          <t>0874</t>
        </is>
      </c>
      <c r="B615" s="14" t="inlineStr">
        <is>
          <t>Black colour dark shade pigment</t>
        </is>
      </c>
      <c r="C615" s="13" t="inlineStr">
        <is>
          <t>kilogram</t>
        </is>
      </c>
      <c r="D615" s="15" t="n">
        <v>3.08</v>
      </c>
      <c r="E615" s="16" t="n">
        <v>70</v>
      </c>
      <c r="F615" s="16">
        <f>D615*E615</f>
        <v/>
      </c>
    </row>
    <row r="616">
      <c r="A616" s="13" t="inlineStr">
        <is>
          <t>0124</t>
        </is>
      </c>
      <c r="B616" s="14" t="inlineStr">
        <is>
          <t>Mason (brick layer) 2nd class</t>
        </is>
      </c>
      <c r="C616" s="13" t="inlineStr">
        <is>
          <t>day</t>
        </is>
      </c>
      <c r="D616" s="15" t="n">
        <v>1.6</v>
      </c>
      <c r="E616" s="16" t="n">
        <v>679</v>
      </c>
      <c r="F616" s="16">
        <f>D616*E616</f>
        <v/>
      </c>
    </row>
    <row r="617">
      <c r="A617" s="13" t="inlineStr">
        <is>
          <t>0115</t>
        </is>
      </c>
      <c r="B617" s="14" t="inlineStr">
        <is>
          <t>Coolie</t>
        </is>
      </c>
      <c r="C617" s="13" t="inlineStr">
        <is>
          <t>day</t>
        </is>
      </c>
      <c r="D617" s="15" t="n">
        <v>2</v>
      </c>
      <c r="E617" s="16" t="n">
        <v>558</v>
      </c>
      <c r="F617" s="16">
        <f>D617*E617</f>
        <v/>
      </c>
    </row>
    <row r="618">
      <c r="A618" s="13" t="inlineStr">
        <is>
          <t>0139</t>
        </is>
      </c>
      <c r="B618" s="14" t="inlineStr">
        <is>
          <t>Skilled Beldar (for floor rubbing etc.)</t>
        </is>
      </c>
      <c r="C618" s="13" t="inlineStr">
        <is>
          <t>day</t>
        </is>
      </c>
      <c r="D618" s="15" t="n">
        <v>1</v>
      </c>
      <c r="E618" s="16" t="n">
        <v>617</v>
      </c>
      <c r="F618" s="16">
        <f>D618*E618</f>
        <v/>
      </c>
    </row>
    <row r="619">
      <c r="A619" s="13" t="inlineStr">
        <is>
          <t>0101</t>
        </is>
      </c>
      <c r="B619" s="14" t="inlineStr">
        <is>
          <t>Bhisti</t>
        </is>
      </c>
      <c r="C619" s="13" t="inlineStr">
        <is>
          <t>day</t>
        </is>
      </c>
      <c r="D619" s="15" t="n">
        <v>1</v>
      </c>
      <c r="E619" s="16" t="n">
        <v>617</v>
      </c>
      <c r="F619" s="16">
        <f>D619*E619</f>
        <v/>
      </c>
    </row>
    <row r="620">
      <c r="A620" s="13" t="inlineStr">
        <is>
          <t>0013</t>
        </is>
      </c>
      <c r="B620" s="14" t="inlineStr">
        <is>
          <t>Machine for rubbing of floors</t>
        </is>
      </c>
      <c r="C620" s="13" t="inlineStr">
        <is>
          <t>day</t>
        </is>
      </c>
      <c r="D620" s="15" t="n">
        <v>1.6</v>
      </c>
      <c r="E620" s="16" t="n">
        <v>300</v>
      </c>
      <c r="F620" s="16">
        <f>D620*E620</f>
        <v/>
      </c>
    </row>
    <row r="621">
      <c r="A621" s="13" t="inlineStr">
        <is>
          <t>9999</t>
        </is>
      </c>
      <c r="B621" s="14" t="inlineStr">
        <is>
          <t>Sundries including carborandum stone etc.</t>
        </is>
      </c>
      <c r="C621" s="13" t="inlineStr">
        <is>
          <t>L.S.</t>
        </is>
      </c>
      <c r="D621" s="15" t="n">
        <v>161.98</v>
      </c>
      <c r="E621" s="16" t="n">
        <v>2</v>
      </c>
      <c r="F621" s="16">
        <f>D621*E621</f>
        <v/>
      </c>
    </row>
    <row r="622">
      <c r="A622" s="17" t="inlineStr">
        <is>
          <t>Resource Total (Material + Labour + Machinery, as printed)</t>
        </is>
      </c>
      <c r="B622" s="18" t="n"/>
      <c r="C622" s="18" t="n"/>
      <c r="D622" s="18" t="n"/>
      <c r="E622" s="18" t="n"/>
      <c r="F622" s="19">
        <f>SUM(F610:F621)</f>
        <v/>
      </c>
    </row>
    <row r="623">
      <c r="A623" s="20" t="inlineStr">
        <is>
          <t>SAY (Rs.) — final DAR rate</t>
        </is>
      </c>
      <c r="B623" s="21" t="n"/>
      <c r="C623" s="21" t="n"/>
      <c r="D623" s="21" t="n"/>
      <c r="E623" s="21" t="n"/>
      <c r="F623" s="22" t="n">
        <v>1147</v>
      </c>
    </row>
    <row r="625" ht="18" customHeight="1">
      <c r="A625" s="9" t="inlineStr">
        <is>
          <t>11.16.4</t>
        </is>
      </c>
      <c r="B625" s="10" t="inlineStr">
        <is>
          <t>Ordinary cement without any pigment</t>
        </is>
      </c>
      <c r="C625" s="11" t="n"/>
      <c r="D625" s="11" t="n"/>
      <c r="E625" s="11" t="n"/>
      <c r="F625" s="11" t="n"/>
    </row>
    <row r="626">
      <c r="A626" s="12" t="inlineStr">
        <is>
          <t>Rate basis: per sqm  (source: cost for 10 sqm)</t>
        </is>
      </c>
    </row>
    <row r="627">
      <c r="A627" s="5" t="inlineStr">
        <is>
          <t>Code</t>
        </is>
      </c>
      <c r="B627" s="5" t="inlineStr">
        <is>
          <t>Description</t>
        </is>
      </c>
      <c r="C627" s="5" t="inlineStr">
        <is>
          <t>Unit</t>
        </is>
      </c>
      <c r="D627" s="5" t="inlineStr">
        <is>
          <t>Quantity</t>
        </is>
      </c>
      <c r="E627" s="5" t="inlineStr">
        <is>
          <t>Rate (Rs.)</t>
        </is>
      </c>
      <c r="F627" s="5" t="inlineStr">
        <is>
          <t>Amount (Rs.)</t>
        </is>
      </c>
    </row>
    <row r="628">
      <c r="A628" s="13" t="inlineStr">
        <is>
          <t>3.9</t>
        </is>
      </c>
      <c r="B628" s="14" t="inlineStr">
        <is>
          <t>Rate as per SH: 3.9</t>
        </is>
      </c>
      <c r="C628" s="13" t="inlineStr">
        <is>
          <t>cum</t>
        </is>
      </c>
      <c r="D628" s="15" t="n">
        <v>0.224</v>
      </c>
      <c r="E628" s="16" t="n">
        <v>4010.35</v>
      </c>
      <c r="F628" s="16">
        <f>D628*E628</f>
        <v/>
      </c>
    </row>
    <row r="629">
      <c r="A629" s="13" t="inlineStr">
        <is>
          <t>1203</t>
        </is>
      </c>
      <c r="B629" s="14" t="inlineStr">
        <is>
          <t>Precast terrazo tiles 22 mm thick (dark shade) including 10% wastage</t>
        </is>
      </c>
      <c r="C629" s="13" t="inlineStr">
        <is>
          <t>sqm</t>
        </is>
      </c>
      <c r="D629" s="15" t="n">
        <v>11</v>
      </c>
      <c r="E629" s="16" t="n">
        <v>245</v>
      </c>
      <c r="F629" s="16">
        <f>D629*E629</f>
        <v/>
      </c>
    </row>
    <row r="630">
      <c r="A630" s="13" t="inlineStr">
        <is>
          <t>9977</t>
        </is>
      </c>
      <c r="B630" s="14" t="inlineStr">
        <is>
          <t>Carriage of tiles</t>
        </is>
      </c>
      <c r="C630" s="13" t="inlineStr">
        <is>
          <t>L.S.</t>
        </is>
      </c>
      <c r="D630" s="15" t="n">
        <v>40.43</v>
      </c>
      <c r="E630" s="16" t="n">
        <v>2</v>
      </c>
      <c r="F630" s="16">
        <f>D630*E630</f>
        <v/>
      </c>
    </row>
    <row r="631">
      <c r="A631" s="13" t="inlineStr">
        <is>
          <t>0367</t>
        </is>
      </c>
      <c r="B631" s="14" t="inlineStr">
        <is>
          <t>Portland Cement</t>
        </is>
      </c>
      <c r="C631" s="13" t="inlineStr">
        <is>
          <t>tonne</t>
        </is>
      </c>
      <c r="D631" s="15" t="n">
        <v>0.08799999999999999</v>
      </c>
      <c r="E631" s="16" t="n">
        <v>4940</v>
      </c>
      <c r="F631" s="16">
        <f>D631*E631</f>
        <v/>
      </c>
    </row>
    <row r="632">
      <c r="A632" s="13" t="inlineStr">
        <is>
          <t>2209</t>
        </is>
      </c>
      <c r="B632" s="14" t="inlineStr">
        <is>
          <t>Carriage of Cement</t>
        </is>
      </c>
      <c r="C632" s="13" t="inlineStr">
        <is>
          <t>tonne</t>
        </is>
      </c>
      <c r="D632" s="15" t="n">
        <v>0.08799999999999999</v>
      </c>
      <c r="E632" s="16" t="n">
        <v>92.23999999999999</v>
      </c>
      <c r="F632" s="16">
        <f>D632*E632</f>
        <v/>
      </c>
    </row>
    <row r="633">
      <c r="A633" s="13" t="inlineStr">
        <is>
          <t>0874</t>
        </is>
      </c>
      <c r="B633" s="14" t="inlineStr">
        <is>
          <t>Black colour dark shade pigment</t>
        </is>
      </c>
      <c r="C633" s="13" t="inlineStr">
        <is>
          <t>kilogram</t>
        </is>
      </c>
      <c r="D633" s="15" t="n">
        <v>3.08</v>
      </c>
      <c r="E633" s="16" t="n">
        <v>70</v>
      </c>
      <c r="F633" s="16">
        <f>D633*E633</f>
        <v/>
      </c>
    </row>
    <row r="634">
      <c r="A634" s="13" t="inlineStr">
        <is>
          <t>0124</t>
        </is>
      </c>
      <c r="B634" s="14" t="inlineStr">
        <is>
          <t>Mason (brick layer) 2nd class</t>
        </is>
      </c>
      <c r="C634" s="13" t="inlineStr">
        <is>
          <t>day</t>
        </is>
      </c>
      <c r="D634" s="15" t="n">
        <v>1.6</v>
      </c>
      <c r="E634" s="16" t="n">
        <v>679</v>
      </c>
      <c r="F634" s="16">
        <f>D634*E634</f>
        <v/>
      </c>
    </row>
    <row r="635">
      <c r="A635" s="13" t="inlineStr">
        <is>
          <t>0115</t>
        </is>
      </c>
      <c r="B635" s="14" t="inlineStr">
        <is>
          <t>Coolie</t>
        </is>
      </c>
      <c r="C635" s="13" t="inlineStr">
        <is>
          <t>day</t>
        </is>
      </c>
      <c r="D635" s="15" t="n">
        <v>2</v>
      </c>
      <c r="E635" s="16" t="n">
        <v>558</v>
      </c>
      <c r="F635" s="16">
        <f>D635*E635</f>
        <v/>
      </c>
    </row>
    <row r="636">
      <c r="A636" s="13" t="inlineStr">
        <is>
          <t>0139</t>
        </is>
      </c>
      <c r="B636" s="14" t="inlineStr">
        <is>
          <t>Skilled Beldar (for floor rubbing etc.)</t>
        </is>
      </c>
      <c r="C636" s="13" t="inlineStr">
        <is>
          <t>day</t>
        </is>
      </c>
      <c r="D636" s="15" t="n">
        <v>1</v>
      </c>
      <c r="E636" s="16" t="n">
        <v>617</v>
      </c>
      <c r="F636" s="16">
        <f>D636*E636</f>
        <v/>
      </c>
    </row>
    <row r="637">
      <c r="A637" s="13" t="inlineStr">
        <is>
          <t>0101</t>
        </is>
      </c>
      <c r="B637" s="14" t="inlineStr">
        <is>
          <t>Bhisti</t>
        </is>
      </c>
      <c r="C637" s="13" t="inlineStr">
        <is>
          <t>day</t>
        </is>
      </c>
      <c r="D637" s="15" t="n">
        <v>1</v>
      </c>
      <c r="E637" s="16" t="n">
        <v>617</v>
      </c>
      <c r="F637" s="16">
        <f>D637*E637</f>
        <v/>
      </c>
    </row>
    <row r="638">
      <c r="A638" s="13" t="inlineStr">
        <is>
          <t>0013</t>
        </is>
      </c>
      <c r="B638" s="14" t="inlineStr">
        <is>
          <t>Machine for rubbing of floors</t>
        </is>
      </c>
      <c r="C638" s="13" t="inlineStr">
        <is>
          <t>day</t>
        </is>
      </c>
      <c r="D638" s="15" t="n">
        <v>1.6</v>
      </c>
      <c r="E638" s="16" t="n">
        <v>300</v>
      </c>
      <c r="F638" s="16">
        <f>D638*E638</f>
        <v/>
      </c>
    </row>
    <row r="639">
      <c r="A639" s="13" t="inlineStr">
        <is>
          <t>9999</t>
        </is>
      </c>
      <c r="B639" s="14" t="inlineStr">
        <is>
          <t>Sundries including carborandum stone etc.</t>
        </is>
      </c>
      <c r="C639" s="13" t="inlineStr">
        <is>
          <t>L.S.</t>
        </is>
      </c>
      <c r="D639" s="15" t="n">
        <v>161.98</v>
      </c>
      <c r="E639" s="16" t="n">
        <v>2</v>
      </c>
      <c r="F639" s="16">
        <f>D639*E639</f>
        <v/>
      </c>
    </row>
    <row r="640">
      <c r="A640" s="17" t="inlineStr">
        <is>
          <t>Resource Total (Material + Labour + Machinery, as printed)</t>
        </is>
      </c>
      <c r="B640" s="18" t="n"/>
      <c r="C640" s="18" t="n"/>
      <c r="D640" s="18" t="n"/>
      <c r="E640" s="18" t="n"/>
      <c r="F640" s="19">
        <f>SUM(F628:F639)</f>
        <v/>
      </c>
    </row>
    <row r="641">
      <c r="A641" s="20" t="inlineStr">
        <is>
          <t>SAY (Rs.) — final DAR rate</t>
        </is>
      </c>
      <c r="B641" s="21" t="n"/>
      <c r="C641" s="21" t="n"/>
      <c r="D641" s="21" t="n"/>
      <c r="E641" s="21" t="n"/>
      <c r="F641" s="22" t="n">
        <v>1091.55</v>
      </c>
    </row>
    <row r="643" ht="18" customHeight="1">
      <c r="A643" s="9" t="inlineStr">
        <is>
          <t>11.17</t>
        </is>
      </c>
      <c r="B643" s="10" t="inlineStr">
        <is>
          <t>Extra if terrazo tiles are laid in treads of steps not exceeding 30 cm in width.</t>
        </is>
      </c>
      <c r="C643" s="11" t="n"/>
      <c r="D643" s="11" t="n"/>
      <c r="E643" s="11" t="n"/>
      <c r="F643" s="11" t="n"/>
    </row>
    <row r="644">
      <c r="A644" s="12" t="inlineStr">
        <is>
          <t>Rate basis: per sqm  (source: cost for 10 sqm)</t>
        </is>
      </c>
    </row>
    <row r="645">
      <c r="A645" s="5" t="inlineStr">
        <is>
          <t>Code</t>
        </is>
      </c>
      <c r="B645" s="5" t="inlineStr">
        <is>
          <t>Description</t>
        </is>
      </c>
      <c r="C645" s="5" t="inlineStr">
        <is>
          <t>Unit</t>
        </is>
      </c>
      <c r="D645" s="5" t="inlineStr">
        <is>
          <t>Quantity</t>
        </is>
      </c>
      <c r="E645" s="5" t="inlineStr">
        <is>
          <t>Rate (Rs.)</t>
        </is>
      </c>
      <c r="F645" s="5" t="inlineStr">
        <is>
          <t>Amount (Rs.)</t>
        </is>
      </c>
    </row>
    <row r="646">
      <c r="A646" s="13" t="inlineStr">
        <is>
          <t>0124</t>
        </is>
      </c>
      <c r="B646" s="14" t="inlineStr">
        <is>
          <t>Mason (brick layer) 2nd class</t>
        </is>
      </c>
      <c r="C646" s="13" t="inlineStr">
        <is>
          <t>day</t>
        </is>
      </c>
      <c r="D646" s="15" t="n">
        <v>0.22</v>
      </c>
      <c r="E646" s="16" t="n">
        <v>679</v>
      </c>
      <c r="F646" s="16">
        <f>D646*E646</f>
        <v/>
      </c>
    </row>
    <row r="647">
      <c r="A647" s="13" t="inlineStr">
        <is>
          <t>0115</t>
        </is>
      </c>
      <c r="B647" s="14" t="inlineStr">
        <is>
          <t>Coolie</t>
        </is>
      </c>
      <c r="C647" s="13" t="inlineStr">
        <is>
          <t>day</t>
        </is>
      </c>
      <c r="D647" s="15" t="n">
        <v>0.22</v>
      </c>
      <c r="E647" s="16" t="n">
        <v>558</v>
      </c>
      <c r="F647" s="16">
        <f>D647*E647</f>
        <v/>
      </c>
    </row>
    <row r="648">
      <c r="A648" s="13" t="inlineStr">
        <is>
          <t>0139</t>
        </is>
      </c>
      <c r="B648" s="14" t="inlineStr">
        <is>
          <t>Skilled Beldar (for floor rubbing etc.)</t>
        </is>
      </c>
      <c r="C648" s="13" t="inlineStr">
        <is>
          <t>day</t>
        </is>
      </c>
      <c r="D648" s="15" t="n">
        <v>0.65</v>
      </c>
      <c r="E648" s="16" t="n">
        <v>617</v>
      </c>
      <c r="F648" s="16">
        <f>D648*E648</f>
        <v/>
      </c>
    </row>
    <row r="649">
      <c r="A649" s="17" t="inlineStr">
        <is>
          <t>Resource Total (Material + Labour + Machinery, as printed)</t>
        </is>
      </c>
      <c r="B649" s="18" t="n"/>
      <c r="C649" s="18" t="n"/>
      <c r="D649" s="18" t="n"/>
      <c r="E649" s="18" t="n"/>
      <c r="F649" s="19">
        <f>SUM(F646:F648)</f>
        <v/>
      </c>
    </row>
    <row r="650">
      <c r="A650" s="20" t="inlineStr">
        <is>
          <t>SAY (Rs.) — final DAR rate</t>
        </is>
      </c>
      <c r="B650" s="21" t="n"/>
      <c r="C650" s="21" t="n"/>
      <c r="D650" s="21" t="n"/>
      <c r="E650" s="21" t="n"/>
      <c r="F650" s="22" t="n">
        <v>90.05</v>
      </c>
    </row>
    <row r="652" ht="18" customHeight="1">
      <c r="A652" s="9" t="inlineStr">
        <is>
          <t>11.18.1</t>
        </is>
      </c>
      <c r="B652" s="10" t="inlineStr">
        <is>
          <t>Light shade pigment using white cement</t>
        </is>
      </c>
      <c r="C652" s="11" t="n"/>
      <c r="D652" s="11" t="n"/>
      <c r="E652" s="11" t="n"/>
      <c r="F652" s="11" t="n"/>
    </row>
    <row r="653">
      <c r="A653" s="12" t="inlineStr">
        <is>
          <t>Rate basis: per sqm  (source: cost for 10 sqm)</t>
        </is>
      </c>
    </row>
    <row r="654">
      <c r="A654" s="5" t="inlineStr">
        <is>
          <t>Code</t>
        </is>
      </c>
      <c r="B654" s="5" t="inlineStr">
        <is>
          <t>Description</t>
        </is>
      </c>
      <c r="C654" s="5" t="inlineStr">
        <is>
          <t>Unit</t>
        </is>
      </c>
      <c r="D654" s="5" t="inlineStr">
        <is>
          <t>Quantity</t>
        </is>
      </c>
      <c r="E654" s="5" t="inlineStr">
        <is>
          <t>Rate (Rs.)</t>
        </is>
      </c>
      <c r="F654" s="5" t="inlineStr">
        <is>
          <t>Amount (Rs.)</t>
        </is>
      </c>
    </row>
    <row r="655">
      <c r="A655" s="13" t="inlineStr">
        <is>
          <t>3.8</t>
        </is>
      </c>
      <c r="B655" s="14" t="inlineStr">
        <is>
          <t>Rate as per SH: 3.8</t>
        </is>
      </c>
      <c r="C655" s="13" t="inlineStr">
        <is>
          <t>cum</t>
        </is>
      </c>
      <c r="D655" s="15" t="n">
        <v>0.144</v>
      </c>
      <c r="E655" s="16" t="n">
        <v>4664.55</v>
      </c>
      <c r="F655" s="16">
        <f>D655*E655</f>
        <v/>
      </c>
    </row>
    <row r="656">
      <c r="A656" s="13" t="inlineStr">
        <is>
          <t>1201</t>
        </is>
      </c>
      <c r="B656" s="14" t="inlineStr">
        <is>
          <t>Precast terrazo tiles 22 mm thick (light shade) including 10% wastage</t>
        </is>
      </c>
      <c r="C656" s="13" t="inlineStr">
        <is>
          <t>sqm</t>
        </is>
      </c>
      <c r="D656" s="15" t="n">
        <v>11</v>
      </c>
      <c r="E656" s="16" t="n">
        <v>285</v>
      </c>
      <c r="F656" s="16">
        <f>D656*E656</f>
        <v/>
      </c>
    </row>
    <row r="657">
      <c r="A657" s="13" t="inlineStr">
        <is>
          <t>9977</t>
        </is>
      </c>
      <c r="B657" s="14" t="inlineStr">
        <is>
          <t>Carriage of tiles</t>
        </is>
      </c>
      <c r="C657" s="13" t="inlineStr">
        <is>
          <t>L.S.</t>
        </is>
      </c>
      <c r="D657" s="15" t="n">
        <v>40.43</v>
      </c>
      <c r="E657" s="16" t="n">
        <v>2</v>
      </c>
      <c r="F657" s="16">
        <f>D657*E657</f>
        <v/>
      </c>
    </row>
    <row r="658">
      <c r="A658" s="13" t="inlineStr">
        <is>
          <t>0368</t>
        </is>
      </c>
      <c r="B658" s="14" t="inlineStr">
        <is>
          <t>White Cement</t>
        </is>
      </c>
      <c r="C658" s="13" t="inlineStr">
        <is>
          <t>tonne</t>
        </is>
      </c>
      <c r="D658" s="15" t="n">
        <v>0.066</v>
      </c>
      <c r="E658" s="16" t="n">
        <v>11200</v>
      </c>
      <c r="F658" s="16">
        <f>D658*E658</f>
        <v/>
      </c>
    </row>
    <row r="659">
      <c r="A659" s="13" t="inlineStr">
        <is>
          <t>2209</t>
        </is>
      </c>
      <c r="B659" s="14" t="inlineStr">
        <is>
          <t>Carriage of Cement</t>
        </is>
      </c>
      <c r="C659" s="13" t="inlineStr">
        <is>
          <t>tonne</t>
        </is>
      </c>
      <c r="D659" s="15" t="n">
        <v>0.066</v>
      </c>
      <c r="E659" s="16" t="n">
        <v>92.23999999999999</v>
      </c>
      <c r="F659" s="16">
        <f>D659*E659</f>
        <v/>
      </c>
    </row>
    <row r="660">
      <c r="A660" s="13" t="inlineStr">
        <is>
          <t>0875</t>
        </is>
      </c>
      <c r="B660" s="14" t="inlineStr">
        <is>
          <t>Red, chocolate, orange, buff or yellow (red oxide of iron) light shade pigment</t>
        </is>
      </c>
      <c r="C660" s="13" t="inlineStr">
        <is>
          <t>kilogram</t>
        </is>
      </c>
      <c r="D660" s="15" t="n">
        <v>4.62</v>
      </c>
      <c r="E660" s="16" t="n">
        <v>60</v>
      </c>
      <c r="F660" s="16">
        <f>D660*E660</f>
        <v/>
      </c>
    </row>
    <row r="661">
      <c r="A661" s="13" t="inlineStr">
        <is>
          <t>0124</t>
        </is>
      </c>
      <c r="B661" s="14" t="inlineStr">
        <is>
          <t>Mason (brick layer) 2nd class</t>
        </is>
      </c>
      <c r="C661" s="13" t="inlineStr">
        <is>
          <t>day</t>
        </is>
      </c>
      <c r="D661" s="15" t="n">
        <v>3.25</v>
      </c>
      <c r="E661" s="16" t="n">
        <v>679</v>
      </c>
      <c r="F661" s="16">
        <f>D661*E661</f>
        <v/>
      </c>
    </row>
    <row r="662">
      <c r="A662" s="13" t="inlineStr">
        <is>
          <t>0115</t>
        </is>
      </c>
      <c r="B662" s="14" t="inlineStr">
        <is>
          <t>Coolie</t>
        </is>
      </c>
      <c r="C662" s="13" t="inlineStr">
        <is>
          <t>day</t>
        </is>
      </c>
      <c r="D662" s="15" t="n">
        <v>3.25</v>
      </c>
      <c r="E662" s="16" t="n">
        <v>558</v>
      </c>
      <c r="F662" s="16">
        <f>D662*E662</f>
        <v/>
      </c>
    </row>
    <row r="663">
      <c r="A663" s="13" t="inlineStr">
        <is>
          <t>0139</t>
        </is>
      </c>
      <c r="B663" s="14" t="inlineStr">
        <is>
          <t>Skilled Beldar (for floor rubbing etc.)</t>
        </is>
      </c>
      <c r="C663" s="13" t="inlineStr">
        <is>
          <t>day</t>
        </is>
      </c>
      <c r="D663" s="15" t="n">
        <v>7.6</v>
      </c>
      <c r="E663" s="16" t="n">
        <v>617</v>
      </c>
      <c r="F663" s="16">
        <f>D663*E663</f>
        <v/>
      </c>
    </row>
    <row r="664">
      <c r="A664" s="13" t="inlineStr">
        <is>
          <t>9999</t>
        </is>
      </c>
      <c r="B664" s="14" t="inlineStr">
        <is>
          <t>Sundries including carborandum stone and polishing powder etc.</t>
        </is>
      </c>
      <c r="C664" s="13" t="inlineStr">
        <is>
          <t>L.S.</t>
        </is>
      </c>
      <c r="D664" s="15" t="n">
        <v>161.46</v>
      </c>
      <c r="E664" s="16" t="n">
        <v>2</v>
      </c>
      <c r="F664" s="16">
        <f>D664*E664</f>
        <v/>
      </c>
    </row>
    <row r="665">
      <c r="A665" s="17" t="inlineStr">
        <is>
          <t>Resource Total (Material + Labour + Machinery, as printed)</t>
        </is>
      </c>
      <c r="B665" s="18" t="n"/>
      <c r="C665" s="18" t="n"/>
      <c r="D665" s="18" t="n"/>
      <c r="E665" s="18" t="n"/>
      <c r="F665" s="19">
        <f>SUM(F655:F664)</f>
        <v/>
      </c>
    </row>
    <row r="666">
      <c r="A666" s="20" t="inlineStr">
        <is>
          <t>SAY (Rs.) — final DAR rate</t>
        </is>
      </c>
      <c r="B666" s="21" t="n"/>
      <c r="C666" s="21" t="n"/>
      <c r="D666" s="21" t="n"/>
      <c r="E666" s="21" t="n"/>
      <c r="F666" s="22" t="n">
        <v>1865.4</v>
      </c>
    </row>
    <row r="668" ht="18" customHeight="1">
      <c r="A668" s="9" t="inlineStr">
        <is>
          <t>11.18.2</t>
        </is>
      </c>
      <c r="B668" s="10" t="inlineStr">
        <is>
          <t>Medium shades pigment using 50% white cement and 50% ordinary cement</t>
        </is>
      </c>
      <c r="C668" s="11" t="n"/>
      <c r="D668" s="11" t="n"/>
      <c r="E668" s="11" t="n"/>
      <c r="F668" s="11" t="n"/>
    </row>
    <row r="669">
      <c r="A669" s="12" t="inlineStr">
        <is>
          <t>Rate basis: per sqm  (source: cost for 10 sqm)</t>
        </is>
      </c>
    </row>
    <row r="670">
      <c r="A670" s="5" t="inlineStr">
        <is>
          <t>Code</t>
        </is>
      </c>
      <c r="B670" s="5" t="inlineStr">
        <is>
          <t>Description</t>
        </is>
      </c>
      <c r="C670" s="5" t="inlineStr">
        <is>
          <t>Unit</t>
        </is>
      </c>
      <c r="D670" s="5" t="inlineStr">
        <is>
          <t>Quantity</t>
        </is>
      </c>
      <c r="E670" s="5" t="inlineStr">
        <is>
          <t>Rate (Rs.)</t>
        </is>
      </c>
      <c r="F670" s="5" t="inlineStr">
        <is>
          <t>Amount (Rs.)</t>
        </is>
      </c>
    </row>
    <row r="671">
      <c r="A671" s="13" t="inlineStr">
        <is>
          <t>3.8</t>
        </is>
      </c>
      <c r="B671" s="14" t="inlineStr">
        <is>
          <t>Rate as per SH: 3.8</t>
        </is>
      </c>
      <c r="C671" s="13" t="inlineStr">
        <is>
          <t>cum</t>
        </is>
      </c>
      <c r="D671" s="15" t="n">
        <v>0.144</v>
      </c>
      <c r="E671" s="16" t="n">
        <v>4664.55</v>
      </c>
      <c r="F671" s="16">
        <f>D671*E671</f>
        <v/>
      </c>
    </row>
    <row r="672">
      <c r="A672" s="13" t="inlineStr">
        <is>
          <t>1202</t>
        </is>
      </c>
      <c r="B672" s="14" t="inlineStr">
        <is>
          <t>Precast terrazo tiles 22 mm thick (medium shade) including wastage &amp; breakage</t>
        </is>
      </c>
      <c r="C672" s="13" t="inlineStr">
        <is>
          <t>sqm</t>
        </is>
      </c>
      <c r="D672" s="15" t="n">
        <v>11</v>
      </c>
      <c r="E672" s="16" t="n">
        <v>265</v>
      </c>
      <c r="F672" s="16">
        <f>D672*E672</f>
        <v/>
      </c>
    </row>
    <row r="673">
      <c r="A673" s="13" t="inlineStr">
        <is>
          <t>9977</t>
        </is>
      </c>
      <c r="B673" s="14" t="inlineStr">
        <is>
          <t>Carriage of tiles</t>
        </is>
      </c>
      <c r="C673" s="13" t="inlineStr">
        <is>
          <t>L.S.</t>
        </is>
      </c>
      <c r="D673" s="15" t="n">
        <v>40.43</v>
      </c>
      <c r="E673" s="16" t="n">
        <v>2</v>
      </c>
      <c r="F673" s="16">
        <f>D673*E673</f>
        <v/>
      </c>
    </row>
    <row r="674">
      <c r="A674" s="13" t="inlineStr">
        <is>
          <t>0368</t>
        </is>
      </c>
      <c r="B674" s="14" t="inlineStr">
        <is>
          <t>White Cement</t>
        </is>
      </c>
      <c r="C674" s="13" t="inlineStr">
        <is>
          <t>tonne</t>
        </is>
      </c>
      <c r="D674" s="15" t="n">
        <v>0.033</v>
      </c>
      <c r="E674" s="16" t="n">
        <v>11200</v>
      </c>
      <c r="F674" s="16">
        <f>D674*E674</f>
        <v/>
      </c>
    </row>
    <row r="675">
      <c r="A675" s="13" t="inlineStr">
        <is>
          <t>0367</t>
        </is>
      </c>
      <c r="B675" s="14" t="inlineStr">
        <is>
          <t>Portland Cement</t>
        </is>
      </c>
      <c r="C675" s="13" t="inlineStr">
        <is>
          <t>tonne</t>
        </is>
      </c>
      <c r="D675" s="15" t="n">
        <v>0.033</v>
      </c>
      <c r="E675" s="16" t="n">
        <v>4940</v>
      </c>
      <c r="F675" s="16">
        <f>D675*E675</f>
        <v/>
      </c>
    </row>
    <row r="676">
      <c r="A676" s="13" t="inlineStr">
        <is>
          <t>2209</t>
        </is>
      </c>
      <c r="B676" s="14" t="inlineStr">
        <is>
          <t>Carriage of Cement</t>
        </is>
      </c>
      <c r="C676" s="13" t="inlineStr">
        <is>
          <t>tonne</t>
        </is>
      </c>
      <c r="D676" s="15" t="n">
        <v>0.066</v>
      </c>
      <c r="E676" s="16" t="n">
        <v>92.23999999999999</v>
      </c>
      <c r="F676" s="16">
        <f>D676*E676</f>
        <v/>
      </c>
    </row>
    <row r="677">
      <c r="A677" s="13" t="inlineStr">
        <is>
          <t>0876</t>
        </is>
      </c>
      <c r="B677" s="14" t="inlineStr">
        <is>
          <t>Green or blue medium shade pigment</t>
        </is>
      </c>
      <c r="C677" s="13" t="inlineStr">
        <is>
          <t>kilogram</t>
        </is>
      </c>
      <c r="D677" s="15" t="n">
        <v>4.62</v>
      </c>
      <c r="E677" s="16" t="n">
        <v>56</v>
      </c>
      <c r="F677" s="16">
        <f>D677*E677</f>
        <v/>
      </c>
    </row>
    <row r="678">
      <c r="A678" s="13" t="inlineStr">
        <is>
          <t>0124</t>
        </is>
      </c>
      <c r="B678" s="14" t="inlineStr">
        <is>
          <t>Mason (brick layer) 2nd class</t>
        </is>
      </c>
      <c r="C678" s="13" t="inlineStr">
        <is>
          <t>day</t>
        </is>
      </c>
      <c r="D678" s="15" t="n">
        <v>3.25</v>
      </c>
      <c r="E678" s="16" t="n">
        <v>679</v>
      </c>
      <c r="F678" s="16">
        <f>D678*E678</f>
        <v/>
      </c>
    </row>
    <row r="679">
      <c r="A679" s="13" t="inlineStr">
        <is>
          <t>0115</t>
        </is>
      </c>
      <c r="B679" s="14" t="inlineStr">
        <is>
          <t>Coolie</t>
        </is>
      </c>
      <c r="C679" s="13" t="inlineStr">
        <is>
          <t>day</t>
        </is>
      </c>
      <c r="D679" s="15" t="n">
        <v>3.25</v>
      </c>
      <c r="E679" s="16" t="n">
        <v>558</v>
      </c>
      <c r="F679" s="16">
        <f>D679*E679</f>
        <v/>
      </c>
    </row>
    <row r="680">
      <c r="A680" s="13" t="inlineStr">
        <is>
          <t>0139</t>
        </is>
      </c>
      <c r="B680" s="14" t="inlineStr">
        <is>
          <t>Skilled Beldar (for floor rubbing etc.)</t>
        </is>
      </c>
      <c r="C680" s="13" t="inlineStr">
        <is>
          <t>day</t>
        </is>
      </c>
      <c r="D680" s="15" t="n">
        <v>7.6</v>
      </c>
      <c r="E680" s="16" t="n">
        <v>617</v>
      </c>
      <c r="F680" s="16">
        <f>D680*E680</f>
        <v/>
      </c>
    </row>
    <row r="681">
      <c r="A681" s="13" t="inlineStr">
        <is>
          <t>9999</t>
        </is>
      </c>
      <c r="B681" s="14" t="inlineStr">
        <is>
          <t>Sundries including carborandum stone and polishing powder etc.</t>
        </is>
      </c>
      <c r="C681" s="13" t="inlineStr">
        <is>
          <t>L.S.</t>
        </is>
      </c>
      <c r="D681" s="15" t="n">
        <v>161.46</v>
      </c>
      <c r="E681" s="16" t="n">
        <v>2</v>
      </c>
      <c r="F681" s="16">
        <f>D681*E681</f>
        <v/>
      </c>
    </row>
    <row r="682">
      <c r="A682" s="17" t="inlineStr">
        <is>
          <t>Resource Total (Material + Labour + Machinery, as printed)</t>
        </is>
      </c>
      <c r="B682" s="18" t="n"/>
      <c r="C682" s="18" t="n"/>
      <c r="D682" s="18" t="n"/>
      <c r="E682" s="18" t="n"/>
      <c r="F682" s="19">
        <f>SUM(F671:F681)</f>
        <v/>
      </c>
    </row>
    <row r="683">
      <c r="A683" s="20" t="inlineStr">
        <is>
          <t>SAY (Rs.) — final DAR rate</t>
        </is>
      </c>
      <c r="B683" s="21" t="n"/>
      <c r="C683" s="21" t="n"/>
      <c r="D683" s="21" t="n"/>
      <c r="E683" s="21" t="n"/>
      <c r="F683" s="22" t="n">
        <v>1805.85</v>
      </c>
    </row>
    <row r="685" ht="18" customHeight="1">
      <c r="A685" s="9" t="inlineStr">
        <is>
          <t>11.18.3</t>
        </is>
      </c>
      <c r="B685" s="10" t="inlineStr">
        <is>
          <t>Dark shade pigment using ordinary cement</t>
        </is>
      </c>
      <c r="C685" s="11" t="n"/>
      <c r="D685" s="11" t="n"/>
      <c r="E685" s="11" t="n"/>
      <c r="F685" s="11" t="n"/>
    </row>
    <row r="686">
      <c r="A686" s="12" t="inlineStr">
        <is>
          <t>Rate basis: per sqm  (source: cost for 10 sqm)</t>
        </is>
      </c>
    </row>
    <row r="687">
      <c r="A687" s="5" t="inlineStr">
        <is>
          <t>Code</t>
        </is>
      </c>
      <c r="B687" s="5" t="inlineStr">
        <is>
          <t>Description</t>
        </is>
      </c>
      <c r="C687" s="5" t="inlineStr">
        <is>
          <t>Unit</t>
        </is>
      </c>
      <c r="D687" s="5" t="inlineStr">
        <is>
          <t>Quantity</t>
        </is>
      </c>
      <c r="E687" s="5" t="inlineStr">
        <is>
          <t>Rate (Rs.)</t>
        </is>
      </c>
      <c r="F687" s="5" t="inlineStr">
        <is>
          <t>Amount (Rs.)</t>
        </is>
      </c>
    </row>
    <row r="688">
      <c r="A688" s="13" t="inlineStr">
        <is>
          <t>3.8</t>
        </is>
      </c>
      <c r="B688" s="14" t="inlineStr">
        <is>
          <t>Rate as per SH: 3.8</t>
        </is>
      </c>
      <c r="C688" s="13" t="inlineStr">
        <is>
          <t>cum</t>
        </is>
      </c>
      <c r="D688" s="15" t="n">
        <v>0.144</v>
      </c>
      <c r="E688" s="16" t="n">
        <v>4664.55</v>
      </c>
      <c r="F688" s="16">
        <f>D688*E688</f>
        <v/>
      </c>
    </row>
    <row r="689">
      <c r="A689" s="13" t="inlineStr">
        <is>
          <t>1203</t>
        </is>
      </c>
      <c r="B689" s="14" t="inlineStr">
        <is>
          <t>Precast terrazo tiles 22 mm thick (dark shade) including wastage &amp; breakage</t>
        </is>
      </c>
      <c r="C689" s="13" t="inlineStr">
        <is>
          <t>sqm</t>
        </is>
      </c>
      <c r="D689" s="15" t="n">
        <v>11</v>
      </c>
      <c r="E689" s="16" t="n">
        <v>245</v>
      </c>
      <c r="F689" s="16">
        <f>D689*E689</f>
        <v/>
      </c>
    </row>
    <row r="690">
      <c r="A690" s="13" t="inlineStr">
        <is>
          <t>9977</t>
        </is>
      </c>
      <c r="B690" s="14" t="inlineStr">
        <is>
          <t>Carriage of tiles</t>
        </is>
      </c>
      <c r="C690" s="13" t="inlineStr">
        <is>
          <t>L.S.</t>
        </is>
      </c>
      <c r="D690" s="15" t="n">
        <v>40.43</v>
      </c>
      <c r="E690" s="16" t="n">
        <v>2</v>
      </c>
      <c r="F690" s="16">
        <f>D690*E690</f>
        <v/>
      </c>
    </row>
    <row r="691">
      <c r="A691" s="13" t="inlineStr">
        <is>
          <t>0367</t>
        </is>
      </c>
      <c r="B691" s="14" t="inlineStr">
        <is>
          <t>Portland Cement</t>
        </is>
      </c>
      <c r="C691" s="13" t="inlineStr">
        <is>
          <t>tonne</t>
        </is>
      </c>
      <c r="D691" s="15" t="n">
        <v>0.066</v>
      </c>
      <c r="E691" s="16" t="n">
        <v>4940</v>
      </c>
      <c r="F691" s="16">
        <f>D691*E691</f>
        <v/>
      </c>
    </row>
    <row r="692">
      <c r="A692" s="13" t="inlineStr">
        <is>
          <t>2209</t>
        </is>
      </c>
      <c r="B692" s="14" t="inlineStr">
        <is>
          <t>Carriage of Cement</t>
        </is>
      </c>
      <c r="C692" s="13" t="inlineStr">
        <is>
          <t>tonne</t>
        </is>
      </c>
      <c r="D692" s="15" t="n">
        <v>0.066</v>
      </c>
      <c r="E692" s="16" t="n">
        <v>92.23999999999999</v>
      </c>
      <c r="F692" s="16">
        <f>D692*E692</f>
        <v/>
      </c>
    </row>
    <row r="693">
      <c r="A693" s="13" t="inlineStr">
        <is>
          <t>0874</t>
        </is>
      </c>
      <c r="B693" s="14" t="inlineStr">
        <is>
          <t>Black colour dark shade pigment</t>
        </is>
      </c>
      <c r="C693" s="13" t="inlineStr">
        <is>
          <t>kilogram</t>
        </is>
      </c>
      <c r="D693" s="15" t="n">
        <v>4.62</v>
      </c>
      <c r="E693" s="16" t="n">
        <v>70</v>
      </c>
      <c r="F693" s="16">
        <f>D693*E693</f>
        <v/>
      </c>
    </row>
    <row r="694">
      <c r="A694" s="13" t="inlineStr">
        <is>
          <t>0124</t>
        </is>
      </c>
      <c r="B694" s="14" t="inlineStr">
        <is>
          <t>Mason (brick layer) 2nd class</t>
        </is>
      </c>
      <c r="C694" s="13" t="inlineStr">
        <is>
          <t>day</t>
        </is>
      </c>
      <c r="D694" s="15" t="n">
        <v>3.25</v>
      </c>
      <c r="E694" s="16" t="n">
        <v>679</v>
      </c>
      <c r="F694" s="16">
        <f>D694*E694</f>
        <v/>
      </c>
    </row>
    <row r="695">
      <c r="A695" s="13" t="inlineStr">
        <is>
          <t>0115</t>
        </is>
      </c>
      <c r="B695" s="14" t="inlineStr">
        <is>
          <t>Coolie</t>
        </is>
      </c>
      <c r="C695" s="13" t="inlineStr">
        <is>
          <t>day</t>
        </is>
      </c>
      <c r="D695" s="15" t="n">
        <v>3.25</v>
      </c>
      <c r="E695" s="16" t="n">
        <v>558</v>
      </c>
      <c r="F695" s="16">
        <f>D695*E695</f>
        <v/>
      </c>
    </row>
    <row r="696">
      <c r="A696" s="13" t="inlineStr">
        <is>
          <t>0139</t>
        </is>
      </c>
      <c r="B696" s="14" t="inlineStr">
        <is>
          <t>Skilled Beldar (for floor rubbing etc.)</t>
        </is>
      </c>
      <c r="C696" s="13" t="inlineStr">
        <is>
          <t>day</t>
        </is>
      </c>
      <c r="D696" s="15" t="n">
        <v>7.6</v>
      </c>
      <c r="E696" s="16" t="n">
        <v>617</v>
      </c>
      <c r="F696" s="16">
        <f>D696*E696</f>
        <v/>
      </c>
    </row>
    <row r="697">
      <c r="A697" s="13" t="inlineStr">
        <is>
          <t>9999</t>
        </is>
      </c>
      <c r="B697" s="14" t="inlineStr">
        <is>
          <t>Sundries including carborandum stone and polishing powder etc.</t>
        </is>
      </c>
      <c r="C697" s="13" t="inlineStr">
        <is>
          <t>L.S.</t>
        </is>
      </c>
      <c r="D697" s="15" t="n">
        <v>161.46</v>
      </c>
      <c r="E697" s="16" t="n">
        <v>2</v>
      </c>
      <c r="F697" s="16">
        <f>D697*E697</f>
        <v/>
      </c>
    </row>
    <row r="698">
      <c r="A698" s="17" t="inlineStr">
        <is>
          <t>Resource Total (Material + Labour + Machinery, as printed)</t>
        </is>
      </c>
      <c r="B698" s="18" t="n"/>
      <c r="C698" s="18" t="n"/>
      <c r="D698" s="18" t="n"/>
      <c r="E698" s="18" t="n"/>
      <c r="F698" s="19">
        <f>SUM(F688:F697)</f>
        <v/>
      </c>
    </row>
    <row r="699">
      <c r="A699" s="20" t="inlineStr">
        <is>
          <t>SAY (Rs.) — final DAR rate</t>
        </is>
      </c>
      <c r="B699" s="21" t="n"/>
      <c r="C699" s="21" t="n"/>
      <c r="D699" s="21" t="n"/>
      <c r="E699" s="21" t="n"/>
      <c r="F699" s="22" t="n">
        <v>1757.45</v>
      </c>
    </row>
    <row r="701" ht="18" customHeight="1">
      <c r="A701" s="9" t="inlineStr">
        <is>
          <t>11.18.4</t>
        </is>
      </c>
      <c r="B701" s="10" t="inlineStr">
        <is>
          <t>Ordinary cement without any pigment</t>
        </is>
      </c>
      <c r="C701" s="11" t="n"/>
      <c r="D701" s="11" t="n"/>
      <c r="E701" s="11" t="n"/>
      <c r="F701" s="11" t="n"/>
    </row>
    <row r="702">
      <c r="A702" s="12" t="inlineStr">
        <is>
          <t>Rate basis: per sqm  (source: cost for 10 sqm)</t>
        </is>
      </c>
    </row>
    <row r="703">
      <c r="A703" s="5" t="inlineStr">
        <is>
          <t>Code</t>
        </is>
      </c>
      <c r="B703" s="5" t="inlineStr">
        <is>
          <t>Description</t>
        </is>
      </c>
      <c r="C703" s="5" t="inlineStr">
        <is>
          <t>Unit</t>
        </is>
      </c>
      <c r="D703" s="5" t="inlineStr">
        <is>
          <t>Quantity</t>
        </is>
      </c>
      <c r="E703" s="5" t="inlineStr">
        <is>
          <t>Rate (Rs.)</t>
        </is>
      </c>
      <c r="F703" s="5" t="inlineStr">
        <is>
          <t>Amount (Rs.)</t>
        </is>
      </c>
    </row>
    <row r="704">
      <c r="A704" s="13" t="inlineStr">
        <is>
          <t>3.8</t>
        </is>
      </c>
      <c r="B704" s="14" t="inlineStr">
        <is>
          <t>Rate as per SH: 3.8</t>
        </is>
      </c>
      <c r="C704" s="13" t="inlineStr">
        <is>
          <t>cum</t>
        </is>
      </c>
      <c r="D704" s="15" t="n">
        <v>0.144</v>
      </c>
      <c r="E704" s="16" t="n">
        <v>4664.55</v>
      </c>
      <c r="F704" s="16">
        <f>D704*E704</f>
        <v/>
      </c>
    </row>
    <row r="705">
      <c r="A705" s="13" t="inlineStr">
        <is>
          <t>1203</t>
        </is>
      </c>
      <c r="B705" s="14" t="inlineStr">
        <is>
          <t>Precast terrazo tiles 22 mm thick (dark shade) including wastage &amp; breakage</t>
        </is>
      </c>
      <c r="C705" s="13" t="inlineStr">
        <is>
          <t>sqm</t>
        </is>
      </c>
      <c r="D705" s="15" t="n">
        <v>11</v>
      </c>
      <c r="E705" s="16" t="n">
        <v>245</v>
      </c>
      <c r="F705" s="16">
        <f>D705*E705</f>
        <v/>
      </c>
    </row>
    <row r="706">
      <c r="A706" s="13" t="inlineStr">
        <is>
          <t>9977</t>
        </is>
      </c>
      <c r="B706" s="14" t="inlineStr">
        <is>
          <t>Carriage of tiles</t>
        </is>
      </c>
      <c r="C706" s="13" t="inlineStr">
        <is>
          <t>L.S.</t>
        </is>
      </c>
      <c r="D706" s="15" t="n">
        <v>40.43</v>
      </c>
      <c r="E706" s="16" t="n">
        <v>2</v>
      </c>
      <c r="F706" s="16">
        <f>D706*E706</f>
        <v/>
      </c>
    </row>
    <row r="707">
      <c r="A707" s="13" t="inlineStr">
        <is>
          <t>0367</t>
        </is>
      </c>
      <c r="B707" s="14" t="inlineStr">
        <is>
          <t>Portland Cement</t>
        </is>
      </c>
      <c r="C707" s="13" t="inlineStr">
        <is>
          <t>tonne</t>
        </is>
      </c>
      <c r="D707" s="15" t="n">
        <v>0.066</v>
      </c>
      <c r="E707" s="16" t="n">
        <v>4940</v>
      </c>
      <c r="F707" s="16">
        <f>D707*E707</f>
        <v/>
      </c>
    </row>
    <row r="708">
      <c r="A708" s="13" t="inlineStr">
        <is>
          <t>2209</t>
        </is>
      </c>
      <c r="B708" s="14" t="inlineStr">
        <is>
          <t>Carriage of Cement</t>
        </is>
      </c>
      <c r="C708" s="13" t="inlineStr">
        <is>
          <t>tonne</t>
        </is>
      </c>
      <c r="D708" s="15" t="n">
        <v>0.066</v>
      </c>
      <c r="E708" s="16" t="n">
        <v>92.23999999999999</v>
      </c>
      <c r="F708" s="16">
        <f>D708*E708</f>
        <v/>
      </c>
    </row>
    <row r="709">
      <c r="A709" s="13" t="inlineStr">
        <is>
          <t>0874</t>
        </is>
      </c>
      <c r="B709" s="14" t="inlineStr">
        <is>
          <t>Black colour dark shade pigment</t>
        </is>
      </c>
      <c r="C709" s="13" t="inlineStr">
        <is>
          <t>kilogram</t>
        </is>
      </c>
      <c r="D709" s="15" t="n">
        <v>4.62</v>
      </c>
      <c r="E709" s="16" t="n">
        <v>70</v>
      </c>
      <c r="F709" s="16">
        <f>D709*E709</f>
        <v/>
      </c>
    </row>
    <row r="710">
      <c r="A710" s="13" t="inlineStr">
        <is>
          <t>0124</t>
        </is>
      </c>
      <c r="B710" s="14" t="inlineStr">
        <is>
          <t>Mason (brick layer) 2nd class</t>
        </is>
      </c>
      <c r="C710" s="13" t="inlineStr">
        <is>
          <t>day</t>
        </is>
      </c>
      <c r="D710" s="15" t="n">
        <v>3.25</v>
      </c>
      <c r="E710" s="16" t="n">
        <v>679</v>
      </c>
      <c r="F710" s="16">
        <f>D710*E710</f>
        <v/>
      </c>
    </row>
    <row r="711">
      <c r="A711" s="13" t="inlineStr">
        <is>
          <t>0115</t>
        </is>
      </c>
      <c r="B711" s="14" t="inlineStr">
        <is>
          <t>Coolie</t>
        </is>
      </c>
      <c r="C711" s="13" t="inlineStr">
        <is>
          <t>day</t>
        </is>
      </c>
      <c r="D711" s="15" t="n">
        <v>3.25</v>
      </c>
      <c r="E711" s="16" t="n">
        <v>558</v>
      </c>
      <c r="F711" s="16">
        <f>D711*E711</f>
        <v/>
      </c>
    </row>
    <row r="712">
      <c r="A712" s="13" t="inlineStr">
        <is>
          <t>0139</t>
        </is>
      </c>
      <c r="B712" s="14" t="inlineStr">
        <is>
          <t>Skilled Beldar (for floor rubbing etc.)</t>
        </is>
      </c>
      <c r="C712" s="13" t="inlineStr">
        <is>
          <t>day</t>
        </is>
      </c>
      <c r="D712" s="15" t="n">
        <v>7.6</v>
      </c>
      <c r="E712" s="16" t="n">
        <v>617</v>
      </c>
      <c r="F712" s="16">
        <f>D712*E712</f>
        <v/>
      </c>
    </row>
    <row r="713">
      <c r="A713" s="13" t="inlineStr">
        <is>
          <t>9999</t>
        </is>
      </c>
      <c r="B713" s="14" t="inlineStr">
        <is>
          <t>Sundries including carborandum stone and polishing powder etc.</t>
        </is>
      </c>
      <c r="C713" s="13" t="inlineStr">
        <is>
          <t>L.S.</t>
        </is>
      </c>
      <c r="D713" s="15" t="n">
        <v>161.46</v>
      </c>
      <c r="E713" s="16" t="n">
        <v>2</v>
      </c>
      <c r="F713" s="16">
        <f>D713*E713</f>
        <v/>
      </c>
    </row>
    <row r="714">
      <c r="A714" s="17" t="inlineStr">
        <is>
          <t>Resource Total (Material + Labour + Machinery, as printed)</t>
        </is>
      </c>
      <c r="B714" s="18" t="n"/>
      <c r="C714" s="18" t="n"/>
      <c r="D714" s="18" t="n"/>
      <c r="E714" s="18" t="n"/>
      <c r="F714" s="19">
        <f>SUM(F704:F713)</f>
        <v/>
      </c>
    </row>
    <row r="715">
      <c r="A715" s="20" t="inlineStr">
        <is>
          <t>SAY (Rs.) — final DAR rate</t>
        </is>
      </c>
      <c r="B715" s="21" t="n"/>
      <c r="C715" s="21" t="n"/>
      <c r="D715" s="21" t="n"/>
      <c r="E715" s="21" t="n"/>
      <c r="F715" s="22" t="n">
        <v>1687.55</v>
      </c>
    </row>
    <row r="717" ht="18" customHeight="1">
      <c r="A717" s="9" t="inlineStr">
        <is>
          <t>11.19.1</t>
        </is>
      </c>
      <c r="B717" s="10" t="inlineStr">
        <is>
          <t>Light shade pigment using white cement</t>
        </is>
      </c>
      <c r="C717" s="11" t="n"/>
      <c r="D717" s="11" t="n"/>
      <c r="E717" s="11" t="n"/>
      <c r="F717" s="11" t="n"/>
    </row>
    <row r="718">
      <c r="A718" s="12" t="inlineStr">
        <is>
          <t>Rate basis: per sqm  (source: cost for 10 sqm)</t>
        </is>
      </c>
    </row>
    <row r="719">
      <c r="A719" s="5" t="inlineStr">
        <is>
          <t>Code</t>
        </is>
      </c>
      <c r="B719" s="5" t="inlineStr">
        <is>
          <t>Description</t>
        </is>
      </c>
      <c r="C719" s="5" t="inlineStr">
        <is>
          <t>Unit</t>
        </is>
      </c>
      <c r="D719" s="5" t="inlineStr">
        <is>
          <t>Quantity</t>
        </is>
      </c>
      <c r="E719" s="5" t="inlineStr">
        <is>
          <t>Rate (Rs.)</t>
        </is>
      </c>
      <c r="F719" s="5" t="inlineStr">
        <is>
          <t>Amount (Rs.)</t>
        </is>
      </c>
    </row>
    <row r="720">
      <c r="A720" s="13" t="inlineStr">
        <is>
          <t>3.9</t>
        </is>
      </c>
      <c r="B720" s="14" t="inlineStr">
        <is>
          <t>Rate as per SH: 3.9</t>
        </is>
      </c>
      <c r="C720" s="13" t="inlineStr">
        <is>
          <t>cum</t>
        </is>
      </c>
      <c r="D720" s="15" t="n">
        <v>0.224</v>
      </c>
      <c r="E720" s="16" t="n">
        <v>4010.35</v>
      </c>
      <c r="F720" s="16">
        <f>D720*E720</f>
        <v/>
      </c>
    </row>
    <row r="721">
      <c r="A721" s="13" t="inlineStr">
        <is>
          <t>1227</t>
        </is>
      </c>
      <c r="B721" s="14" t="inlineStr">
        <is>
          <t>Chequered terrazo tiles 22 mm thick (light shade) including 10% wastage</t>
        </is>
      </c>
      <c r="C721" s="13" t="inlineStr">
        <is>
          <t>sqm</t>
        </is>
      </c>
      <c r="D721" s="15" t="n">
        <v>11</v>
      </c>
      <c r="E721" s="16" t="n">
        <v>275</v>
      </c>
      <c r="F721" s="16">
        <f>D721*E721</f>
        <v/>
      </c>
    </row>
    <row r="722">
      <c r="A722" s="13" t="inlineStr">
        <is>
          <t>9977</t>
        </is>
      </c>
      <c r="B722" s="14" t="inlineStr">
        <is>
          <t>Carriage of tiles</t>
        </is>
      </c>
      <c r="C722" s="13" t="inlineStr">
        <is>
          <t>L.S.</t>
        </is>
      </c>
      <c r="D722" s="15" t="n">
        <v>40.43</v>
      </c>
      <c r="E722" s="16" t="n">
        <v>2</v>
      </c>
      <c r="F722" s="16">
        <f>D722*E722</f>
        <v/>
      </c>
    </row>
    <row r="723">
      <c r="A723" s="13" t="inlineStr">
        <is>
          <t>0367</t>
        </is>
      </c>
      <c r="B723" s="14" t="inlineStr">
        <is>
          <t>Portland Cement</t>
        </is>
      </c>
      <c r="C723" s="13" t="inlineStr">
        <is>
          <t>tonne</t>
        </is>
      </c>
      <c r="D723" s="15" t="n">
        <v>0.044</v>
      </c>
      <c r="E723" s="16" t="n">
        <v>4940</v>
      </c>
      <c r="F723" s="16">
        <f>D723*E723</f>
        <v/>
      </c>
    </row>
    <row r="724">
      <c r="A724" s="13" t="inlineStr">
        <is>
          <t>0368</t>
        </is>
      </c>
      <c r="B724" s="14" t="inlineStr">
        <is>
          <t>White Cement</t>
        </is>
      </c>
      <c r="C724" s="13" t="inlineStr">
        <is>
          <t>tonne</t>
        </is>
      </c>
      <c r="D724" s="15" t="n">
        <v>0.044</v>
      </c>
      <c r="E724" s="16" t="n">
        <v>11200</v>
      </c>
      <c r="F724" s="16">
        <f>D724*E724</f>
        <v/>
      </c>
    </row>
    <row r="725">
      <c r="A725" s="13" t="inlineStr">
        <is>
          <t>2209</t>
        </is>
      </c>
      <c r="B725" s="14" t="inlineStr">
        <is>
          <t>Carriage of Cement</t>
        </is>
      </c>
      <c r="C725" s="13" t="inlineStr">
        <is>
          <t>tonne</t>
        </is>
      </c>
      <c r="D725" s="15" t="n">
        <v>0.08799999999999999</v>
      </c>
      <c r="E725" s="16" t="n">
        <v>92.23999999999999</v>
      </c>
      <c r="F725" s="16">
        <f>D725*E725</f>
        <v/>
      </c>
    </row>
    <row r="726">
      <c r="A726" s="13" t="inlineStr">
        <is>
          <t>0875</t>
        </is>
      </c>
      <c r="B726" s="14" t="inlineStr">
        <is>
          <t>Red, chocolate, orange, buff or yellow (red oxide of iron) light shade pigment</t>
        </is>
      </c>
      <c r="C726" s="13" t="inlineStr">
        <is>
          <t>kilogram</t>
        </is>
      </c>
      <c r="D726" s="15" t="n">
        <v>3.08</v>
      </c>
      <c r="E726" s="16" t="n">
        <v>60</v>
      </c>
      <c r="F726" s="16">
        <f>D726*E726</f>
        <v/>
      </c>
    </row>
    <row r="727">
      <c r="A727" s="13" t="inlineStr">
        <is>
          <t>0124</t>
        </is>
      </c>
      <c r="B727" s="14" t="inlineStr">
        <is>
          <t>Mason (brick layer) 2nd class</t>
        </is>
      </c>
      <c r="C727" s="13" t="inlineStr">
        <is>
          <t>day</t>
        </is>
      </c>
      <c r="D727" s="15" t="n">
        <v>1.6</v>
      </c>
      <c r="E727" s="16" t="n">
        <v>679</v>
      </c>
      <c r="F727" s="16">
        <f>D727*E727</f>
        <v/>
      </c>
    </row>
    <row r="728">
      <c r="A728" s="13" t="inlineStr">
        <is>
          <t>0115</t>
        </is>
      </c>
      <c r="B728" s="14" t="inlineStr">
        <is>
          <t>Coolie</t>
        </is>
      </c>
      <c r="C728" s="13" t="inlineStr">
        <is>
          <t>day</t>
        </is>
      </c>
      <c r="D728" s="15" t="n">
        <v>2</v>
      </c>
      <c r="E728" s="16" t="n">
        <v>558</v>
      </c>
      <c r="F728" s="16">
        <f>D728*E728</f>
        <v/>
      </c>
    </row>
    <row r="729">
      <c r="A729" s="13" t="inlineStr">
        <is>
          <t>0139</t>
        </is>
      </c>
      <c r="B729" s="14" t="inlineStr">
        <is>
          <t>Skilled Beldar (for floor rubbing etc.)</t>
        </is>
      </c>
      <c r="C729" s="13" t="inlineStr">
        <is>
          <t>day</t>
        </is>
      </c>
      <c r="D729" s="15" t="n">
        <v>1</v>
      </c>
      <c r="E729" s="16" t="n">
        <v>617</v>
      </c>
      <c r="F729" s="16">
        <f>D729*E729</f>
        <v/>
      </c>
    </row>
    <row r="730">
      <c r="A730" s="13" t="inlineStr">
        <is>
          <t>0101</t>
        </is>
      </c>
      <c r="B730" s="14" t="inlineStr">
        <is>
          <t>Bhisti</t>
        </is>
      </c>
      <c r="C730" s="13" t="inlineStr">
        <is>
          <t>day</t>
        </is>
      </c>
      <c r="D730" s="15" t="n">
        <v>1</v>
      </c>
      <c r="E730" s="16" t="n">
        <v>617</v>
      </c>
      <c r="F730" s="16">
        <f>D730*E730</f>
        <v/>
      </c>
    </row>
    <row r="731">
      <c r="A731" s="13" t="inlineStr">
        <is>
          <t>0013</t>
        </is>
      </c>
      <c r="B731" s="14" t="inlineStr">
        <is>
          <t>Machine for rubbing of floors</t>
        </is>
      </c>
      <c r="C731" s="13" t="inlineStr">
        <is>
          <t>day</t>
        </is>
      </c>
      <c r="D731" s="15" t="n">
        <v>1.6</v>
      </c>
      <c r="E731" s="16" t="n">
        <v>300</v>
      </c>
      <c r="F731" s="16">
        <f>D731*E731</f>
        <v/>
      </c>
    </row>
    <row r="732">
      <c r="A732" s="13" t="inlineStr">
        <is>
          <t>9999</t>
        </is>
      </c>
      <c r="B732" s="14" t="inlineStr">
        <is>
          <t>Sundries including carborandum stone etc.</t>
        </is>
      </c>
      <c r="C732" s="13" t="inlineStr">
        <is>
          <t>L.S.</t>
        </is>
      </c>
      <c r="D732" s="15" t="n">
        <v>161.98</v>
      </c>
      <c r="E732" s="16" t="n">
        <v>2</v>
      </c>
      <c r="F732" s="16">
        <f>D732*E732</f>
        <v/>
      </c>
    </row>
    <row r="733">
      <c r="A733" s="17" t="inlineStr">
        <is>
          <t>Resource Total (Material + Labour + Machinery, as printed)</t>
        </is>
      </c>
      <c r="B733" s="18" t="n"/>
      <c r="C733" s="18" t="n"/>
      <c r="D733" s="18" t="n"/>
      <c r="E733" s="18" t="n"/>
      <c r="F733" s="19">
        <f>SUM(F720:F732)</f>
        <v/>
      </c>
    </row>
    <row r="734">
      <c r="A734" s="20" t="inlineStr">
        <is>
          <t>SAY (Rs.) — final DAR rate</t>
        </is>
      </c>
      <c r="B734" s="21" t="n"/>
      <c r="C734" s="21" t="n"/>
      <c r="D734" s="21" t="n"/>
      <c r="E734" s="21" t="n"/>
      <c r="F734" s="22" t="n">
        <v>1223.9</v>
      </c>
    </row>
    <row r="736" ht="18" customHeight="1">
      <c r="A736" s="9" t="inlineStr">
        <is>
          <t>11.19.2</t>
        </is>
      </c>
      <c r="B736" s="10" t="inlineStr">
        <is>
          <t>Medium shade pigment using 50% white cement, 50% ordinary cement</t>
        </is>
      </c>
      <c r="C736" s="11" t="n"/>
      <c r="D736" s="11" t="n"/>
      <c r="E736" s="11" t="n"/>
      <c r="F736" s="11" t="n"/>
    </row>
    <row r="737">
      <c r="A737" s="12" t="inlineStr">
        <is>
          <t>Rate basis: per sqm  (source: cost for 10 sqm)</t>
        </is>
      </c>
    </row>
    <row r="738">
      <c r="A738" s="5" t="inlineStr">
        <is>
          <t>Code</t>
        </is>
      </c>
      <c r="B738" s="5" t="inlineStr">
        <is>
          <t>Description</t>
        </is>
      </c>
      <c r="C738" s="5" t="inlineStr">
        <is>
          <t>Unit</t>
        </is>
      </c>
      <c r="D738" s="5" t="inlineStr">
        <is>
          <t>Quantity</t>
        </is>
      </c>
      <c r="E738" s="5" t="inlineStr">
        <is>
          <t>Rate (Rs.)</t>
        </is>
      </c>
      <c r="F738" s="5" t="inlineStr">
        <is>
          <t>Amount (Rs.)</t>
        </is>
      </c>
    </row>
    <row r="739">
      <c r="A739" s="13" t="inlineStr">
        <is>
          <t>3.9</t>
        </is>
      </c>
      <c r="B739" s="14" t="inlineStr">
        <is>
          <t>Rate as per SH: 3.9</t>
        </is>
      </c>
      <c r="C739" s="13" t="inlineStr">
        <is>
          <t>cum</t>
        </is>
      </c>
      <c r="D739" s="15" t="n">
        <v>0.224</v>
      </c>
      <c r="E739" s="16" t="n">
        <v>4010.35</v>
      </c>
      <c r="F739" s="16">
        <f>D739*E739</f>
        <v/>
      </c>
    </row>
    <row r="740">
      <c r="A740" s="13" t="inlineStr">
        <is>
          <t>1228</t>
        </is>
      </c>
      <c r="B740" s="14" t="inlineStr">
        <is>
          <t>Chequered terrazo tiles 22 mm thick (medium shade) including 10% wastage</t>
        </is>
      </c>
      <c r="C740" s="13" t="inlineStr">
        <is>
          <t>sqm</t>
        </is>
      </c>
      <c r="D740" s="15" t="n">
        <v>11</v>
      </c>
      <c r="E740" s="16" t="n">
        <v>300</v>
      </c>
      <c r="F740" s="16">
        <f>D740*E740</f>
        <v/>
      </c>
    </row>
    <row r="741">
      <c r="A741" s="13" t="inlineStr">
        <is>
          <t>9977</t>
        </is>
      </c>
      <c r="B741" s="14" t="inlineStr">
        <is>
          <t>Carriage of tiles</t>
        </is>
      </c>
      <c r="C741" s="13" t="inlineStr">
        <is>
          <t>L.S.</t>
        </is>
      </c>
      <c r="D741" s="15" t="n">
        <v>40.43</v>
      </c>
      <c r="E741" s="16" t="n">
        <v>2</v>
      </c>
      <c r="F741" s="16">
        <f>D741*E741</f>
        <v/>
      </c>
    </row>
    <row r="742">
      <c r="A742" s="13" t="inlineStr">
        <is>
          <t>0367</t>
        </is>
      </c>
      <c r="B742" s="14" t="inlineStr">
        <is>
          <t>Portland Cement</t>
        </is>
      </c>
      <c r="C742" s="13" t="inlineStr">
        <is>
          <t>tonne</t>
        </is>
      </c>
      <c r="D742" s="15" t="n">
        <v>0.066</v>
      </c>
      <c r="E742" s="16" t="n">
        <v>4940</v>
      </c>
      <c r="F742" s="16">
        <f>D742*E742</f>
        <v/>
      </c>
    </row>
    <row r="743">
      <c r="A743" s="13" t="inlineStr">
        <is>
          <t>0368</t>
        </is>
      </c>
      <c r="B743" s="14" t="inlineStr">
        <is>
          <t>White Cement</t>
        </is>
      </c>
      <c r="C743" s="13" t="inlineStr">
        <is>
          <t>tonne</t>
        </is>
      </c>
      <c r="D743" s="15" t="n">
        <v>0.022</v>
      </c>
      <c r="E743" s="16" t="n">
        <v>11200</v>
      </c>
      <c r="F743" s="16">
        <f>D743*E743</f>
        <v/>
      </c>
    </row>
    <row r="744">
      <c r="A744" s="13" t="inlineStr">
        <is>
          <t>2209</t>
        </is>
      </c>
      <c r="B744" s="14" t="inlineStr">
        <is>
          <t>Carriage of Cement</t>
        </is>
      </c>
      <c r="C744" s="13" t="inlineStr">
        <is>
          <t>tonne</t>
        </is>
      </c>
      <c r="D744" s="15" t="n">
        <v>0.08799999999999999</v>
      </c>
      <c r="E744" s="16" t="n">
        <v>92.23999999999999</v>
      </c>
      <c r="F744" s="16">
        <f>D744*E744</f>
        <v/>
      </c>
    </row>
    <row r="745">
      <c r="A745" s="13" t="inlineStr">
        <is>
          <t>0876</t>
        </is>
      </c>
      <c r="B745" s="14" t="inlineStr">
        <is>
          <t>Green or blue medium shade pigment</t>
        </is>
      </c>
      <c r="C745" s="13" t="inlineStr">
        <is>
          <t>kilogram</t>
        </is>
      </c>
      <c r="D745" s="15" t="n">
        <v>3.08</v>
      </c>
      <c r="E745" s="16" t="n">
        <v>56</v>
      </c>
      <c r="F745" s="16">
        <f>D745*E745</f>
        <v/>
      </c>
    </row>
    <row r="746">
      <c r="A746" s="13" t="inlineStr">
        <is>
          <t>0124</t>
        </is>
      </c>
      <c r="B746" s="14" t="inlineStr">
        <is>
          <t>Mason (brick layer) 2nd class</t>
        </is>
      </c>
      <c r="C746" s="13" t="inlineStr">
        <is>
          <t>day</t>
        </is>
      </c>
      <c r="D746" s="15" t="n">
        <v>1.6</v>
      </c>
      <c r="E746" s="16" t="n">
        <v>679</v>
      </c>
      <c r="F746" s="16">
        <f>D746*E746</f>
        <v/>
      </c>
    </row>
    <row r="747">
      <c r="A747" s="13" t="inlineStr">
        <is>
          <t>0115</t>
        </is>
      </c>
      <c r="B747" s="14" t="inlineStr">
        <is>
          <t>Coolie</t>
        </is>
      </c>
      <c r="C747" s="13" t="inlineStr">
        <is>
          <t>day</t>
        </is>
      </c>
      <c r="D747" s="15" t="n">
        <v>2</v>
      </c>
      <c r="E747" s="16" t="n">
        <v>558</v>
      </c>
      <c r="F747" s="16">
        <f>D747*E747</f>
        <v/>
      </c>
    </row>
    <row r="748">
      <c r="A748" s="13" t="inlineStr">
        <is>
          <t>0139</t>
        </is>
      </c>
      <c r="B748" s="14" t="inlineStr">
        <is>
          <t>Skilled Beldar (for floor rubbing etc.)</t>
        </is>
      </c>
      <c r="C748" s="13" t="inlineStr">
        <is>
          <t>day</t>
        </is>
      </c>
      <c r="D748" s="15" t="n">
        <v>1</v>
      </c>
      <c r="E748" s="16" t="n">
        <v>617</v>
      </c>
      <c r="F748" s="16">
        <f>D748*E748</f>
        <v/>
      </c>
    </row>
    <row r="749">
      <c r="A749" s="13" t="inlineStr">
        <is>
          <t>0101</t>
        </is>
      </c>
      <c r="B749" s="14" t="inlineStr">
        <is>
          <t>Bhisti</t>
        </is>
      </c>
      <c r="C749" s="13" t="inlineStr">
        <is>
          <t>day</t>
        </is>
      </c>
      <c r="D749" s="15" t="n">
        <v>1</v>
      </c>
      <c r="E749" s="16" t="n">
        <v>617</v>
      </c>
      <c r="F749" s="16">
        <f>D749*E749</f>
        <v/>
      </c>
    </row>
    <row r="750">
      <c r="A750" s="13" t="inlineStr">
        <is>
          <t>0013</t>
        </is>
      </c>
      <c r="B750" s="14" t="inlineStr">
        <is>
          <t>Machine for rubbing of floors</t>
        </is>
      </c>
      <c r="C750" s="13" t="inlineStr">
        <is>
          <t>day</t>
        </is>
      </c>
      <c r="D750" s="15" t="n">
        <v>1.6</v>
      </c>
      <c r="E750" s="16" t="n">
        <v>300</v>
      </c>
      <c r="F750" s="16">
        <f>D750*E750</f>
        <v/>
      </c>
    </row>
    <row r="751">
      <c r="A751" s="13" t="inlineStr">
        <is>
          <t>9999</t>
        </is>
      </c>
      <c r="B751" s="14" t="inlineStr">
        <is>
          <t>Sundries including carborandum stone etc.</t>
        </is>
      </c>
      <c r="C751" s="13" t="inlineStr">
        <is>
          <t>L.S.</t>
        </is>
      </c>
      <c r="D751" s="15" t="n">
        <v>161.98</v>
      </c>
      <c r="E751" s="16" t="n">
        <v>2</v>
      </c>
      <c r="F751" s="16">
        <f>D751*E751</f>
        <v/>
      </c>
    </row>
    <row r="752">
      <c r="A752" s="17" t="inlineStr">
        <is>
          <t>Resource Total (Material + Labour + Machinery, as printed)</t>
        </is>
      </c>
      <c r="B752" s="18" t="n"/>
      <c r="C752" s="18" t="n"/>
      <c r="D752" s="18" t="n"/>
      <c r="E752" s="18" t="n"/>
      <c r="F752" s="19">
        <f>SUM(F739:F751)</f>
        <v/>
      </c>
    </row>
    <row r="753">
      <c r="A753" s="20" t="inlineStr">
        <is>
          <t>SAY (Rs.) — final DAR rate</t>
        </is>
      </c>
      <c r="B753" s="21" t="n"/>
      <c r="C753" s="21" t="n"/>
      <c r="D753" s="21" t="n"/>
      <c r="E753" s="21" t="n"/>
      <c r="F753" s="22" t="n">
        <v>1240.6</v>
      </c>
    </row>
    <row r="755" ht="18" customHeight="1">
      <c r="A755" s="9" t="inlineStr">
        <is>
          <t>11.19.3</t>
        </is>
      </c>
      <c r="B755" s="10" t="inlineStr">
        <is>
          <t>Dark shade pigment using ordinary cement</t>
        </is>
      </c>
      <c r="C755" s="11" t="n"/>
      <c r="D755" s="11" t="n"/>
      <c r="E755" s="11" t="n"/>
      <c r="F755" s="11" t="n"/>
    </row>
    <row r="756">
      <c r="A756" s="12" t="inlineStr">
        <is>
          <t>Rate basis: per sqm  (source: cost for 10 sqm)</t>
        </is>
      </c>
    </row>
    <row r="757">
      <c r="A757" s="5" t="inlineStr">
        <is>
          <t>Code</t>
        </is>
      </c>
      <c r="B757" s="5" t="inlineStr">
        <is>
          <t>Description</t>
        </is>
      </c>
      <c r="C757" s="5" t="inlineStr">
        <is>
          <t>Unit</t>
        </is>
      </c>
      <c r="D757" s="5" t="inlineStr">
        <is>
          <t>Quantity</t>
        </is>
      </c>
      <c r="E757" s="5" t="inlineStr">
        <is>
          <t>Rate (Rs.)</t>
        </is>
      </c>
      <c r="F757" s="5" t="inlineStr">
        <is>
          <t>Amount (Rs.)</t>
        </is>
      </c>
    </row>
    <row r="758">
      <c r="A758" s="13" t="inlineStr">
        <is>
          <t>3.9</t>
        </is>
      </c>
      <c r="B758" s="14" t="inlineStr">
        <is>
          <t>Rate as per SH: 3.9</t>
        </is>
      </c>
      <c r="C758" s="13" t="inlineStr">
        <is>
          <t>cum</t>
        </is>
      </c>
      <c r="D758" s="15" t="n">
        <v>0.224</v>
      </c>
      <c r="E758" s="16" t="n">
        <v>4010.35</v>
      </c>
      <c r="F758" s="16">
        <f>D758*E758</f>
        <v/>
      </c>
    </row>
    <row r="759">
      <c r="A759" s="13" t="inlineStr">
        <is>
          <t>1229</t>
        </is>
      </c>
      <c r="B759" s="14" t="inlineStr">
        <is>
          <t>Chequered terrazo tiles 22 mm thick (dark shade) including 10% wastage</t>
        </is>
      </c>
      <c r="C759" s="13" t="inlineStr">
        <is>
          <t>sqm</t>
        </is>
      </c>
      <c r="D759" s="15" t="n">
        <v>11</v>
      </c>
      <c r="E759" s="16" t="n">
        <v>260</v>
      </c>
      <c r="F759" s="16">
        <f>D759*E759</f>
        <v/>
      </c>
    </row>
    <row r="760">
      <c r="A760" s="13" t="inlineStr">
        <is>
          <t>9977</t>
        </is>
      </c>
      <c r="B760" s="14" t="inlineStr">
        <is>
          <t>Carriage of tiles</t>
        </is>
      </c>
      <c r="C760" s="13" t="inlineStr">
        <is>
          <t>L.S.</t>
        </is>
      </c>
      <c r="D760" s="15" t="n">
        <v>40.43</v>
      </c>
      <c r="E760" s="16" t="n">
        <v>2</v>
      </c>
      <c r="F760" s="16">
        <f>D760*E760</f>
        <v/>
      </c>
    </row>
    <row r="761">
      <c r="A761" s="13" t="inlineStr">
        <is>
          <t>0367</t>
        </is>
      </c>
      <c r="B761" s="14" t="inlineStr">
        <is>
          <t>Portland Cement</t>
        </is>
      </c>
      <c r="C761" s="13" t="inlineStr">
        <is>
          <t>tonne</t>
        </is>
      </c>
      <c r="D761" s="15" t="n">
        <v>0.08799999999999999</v>
      </c>
      <c r="E761" s="16" t="n">
        <v>4940</v>
      </c>
      <c r="F761" s="16">
        <f>D761*E761</f>
        <v/>
      </c>
    </row>
    <row r="762">
      <c r="A762" s="13" t="inlineStr">
        <is>
          <t>2209</t>
        </is>
      </c>
      <c r="B762" s="14" t="inlineStr">
        <is>
          <t>Carriage of Cement</t>
        </is>
      </c>
      <c r="C762" s="13" t="inlineStr">
        <is>
          <t>tonne</t>
        </is>
      </c>
      <c r="D762" s="15" t="n">
        <v>0.08799999999999999</v>
      </c>
      <c r="E762" s="16" t="n">
        <v>92.23999999999999</v>
      </c>
      <c r="F762" s="16">
        <f>D762*E762</f>
        <v/>
      </c>
    </row>
    <row r="763">
      <c r="A763" s="13" t="inlineStr">
        <is>
          <t>0874</t>
        </is>
      </c>
      <c r="B763" s="14" t="inlineStr">
        <is>
          <t>Black colour dark shade pigment</t>
        </is>
      </c>
      <c r="C763" s="13" t="inlineStr">
        <is>
          <t>kilogram</t>
        </is>
      </c>
      <c r="D763" s="15" t="n">
        <v>3.08</v>
      </c>
      <c r="E763" s="16" t="n">
        <v>70</v>
      </c>
      <c r="F763" s="16">
        <f>D763*E763</f>
        <v/>
      </c>
    </row>
    <row r="764">
      <c r="A764" s="13" t="inlineStr">
        <is>
          <t>0124</t>
        </is>
      </c>
      <c r="B764" s="14" t="inlineStr">
        <is>
          <t>Mason (brick layer) 2nd class</t>
        </is>
      </c>
      <c r="C764" s="13" t="inlineStr">
        <is>
          <t>day</t>
        </is>
      </c>
      <c r="D764" s="15" t="n">
        <v>1.6</v>
      </c>
      <c r="E764" s="16" t="n">
        <v>679</v>
      </c>
      <c r="F764" s="16">
        <f>D764*E764</f>
        <v/>
      </c>
    </row>
    <row r="765">
      <c r="A765" s="13" t="inlineStr">
        <is>
          <t>0115</t>
        </is>
      </c>
      <c r="B765" s="14" t="inlineStr">
        <is>
          <t>Coolie</t>
        </is>
      </c>
      <c r="C765" s="13" t="inlineStr">
        <is>
          <t>day</t>
        </is>
      </c>
      <c r="D765" s="15" t="n">
        <v>2</v>
      </c>
      <c r="E765" s="16" t="n">
        <v>558</v>
      </c>
      <c r="F765" s="16">
        <f>D765*E765</f>
        <v/>
      </c>
    </row>
    <row r="766">
      <c r="A766" s="13" t="inlineStr">
        <is>
          <t>0139</t>
        </is>
      </c>
      <c r="B766" s="14" t="inlineStr">
        <is>
          <t>Skilled Beldar (for floor rubbing etc.)</t>
        </is>
      </c>
      <c r="C766" s="13" t="inlineStr">
        <is>
          <t>day</t>
        </is>
      </c>
      <c r="D766" s="15" t="n">
        <v>1</v>
      </c>
      <c r="E766" s="16" t="n">
        <v>617</v>
      </c>
      <c r="F766" s="16">
        <f>D766*E766</f>
        <v/>
      </c>
    </row>
    <row r="767">
      <c r="A767" s="13" t="inlineStr">
        <is>
          <t>0101</t>
        </is>
      </c>
      <c r="B767" s="14" t="inlineStr">
        <is>
          <t>Bhisti</t>
        </is>
      </c>
      <c r="C767" s="13" t="inlineStr">
        <is>
          <t>day</t>
        </is>
      </c>
      <c r="D767" s="15" t="n">
        <v>1</v>
      </c>
      <c r="E767" s="16" t="n">
        <v>617</v>
      </c>
      <c r="F767" s="16">
        <f>D767*E767</f>
        <v/>
      </c>
    </row>
    <row r="768">
      <c r="A768" s="13" t="inlineStr">
        <is>
          <t>0013</t>
        </is>
      </c>
      <c r="B768" s="14" t="inlineStr">
        <is>
          <t>Machine for rubbing of floors</t>
        </is>
      </c>
      <c r="C768" s="13" t="inlineStr">
        <is>
          <t>day</t>
        </is>
      </c>
      <c r="D768" s="15" t="n">
        <v>1.6</v>
      </c>
      <c r="E768" s="16" t="n">
        <v>300</v>
      </c>
      <c r="F768" s="16">
        <f>D768*E768</f>
        <v/>
      </c>
    </row>
    <row r="769">
      <c r="A769" s="13" t="inlineStr">
        <is>
          <t>9999</t>
        </is>
      </c>
      <c r="B769" s="14" t="inlineStr">
        <is>
          <t>Sundries including carborandum stone etc.</t>
        </is>
      </c>
      <c r="C769" s="13" t="inlineStr">
        <is>
          <t>L.S.</t>
        </is>
      </c>
      <c r="D769" s="15" t="n">
        <v>161.98</v>
      </c>
      <c r="E769" s="16" t="n">
        <v>2</v>
      </c>
      <c r="F769" s="16">
        <f>D769*E769</f>
        <v/>
      </c>
    </row>
    <row r="770">
      <c r="A770" s="17" t="inlineStr">
        <is>
          <t>Resource Total (Material + Labour + Machinery, as printed)</t>
        </is>
      </c>
      <c r="B770" s="18" t="n"/>
      <c r="C770" s="18" t="n"/>
      <c r="D770" s="18" t="n"/>
      <c r="E770" s="18" t="n"/>
      <c r="F770" s="19">
        <f>SUM(F758:F769)</f>
        <v/>
      </c>
    </row>
    <row r="771">
      <c r="A771" s="20" t="inlineStr">
        <is>
          <t>SAY (Rs.) — final DAR rate</t>
        </is>
      </c>
      <c r="B771" s="21" t="n"/>
      <c r="C771" s="21" t="n"/>
      <c r="D771" s="21" t="n"/>
      <c r="E771" s="21" t="n"/>
      <c r="F771" s="22" t="n">
        <v>1169.1</v>
      </c>
    </row>
    <row r="773" ht="18" customHeight="1">
      <c r="A773" s="9" t="inlineStr">
        <is>
          <t>11.19.4</t>
        </is>
      </c>
      <c r="B773" s="10" t="inlineStr">
        <is>
          <t>Ordinary cement without any pigment</t>
        </is>
      </c>
      <c r="C773" s="11" t="n"/>
      <c r="D773" s="11" t="n"/>
      <c r="E773" s="11" t="n"/>
      <c r="F773" s="11" t="n"/>
    </row>
    <row r="774">
      <c r="A774" s="12" t="inlineStr">
        <is>
          <t>Rate basis: per sqm  (source: cost for 10 sqm)</t>
        </is>
      </c>
    </row>
    <row r="775">
      <c r="A775" s="5" t="inlineStr">
        <is>
          <t>Code</t>
        </is>
      </c>
      <c r="B775" s="5" t="inlineStr">
        <is>
          <t>Description</t>
        </is>
      </c>
      <c r="C775" s="5" t="inlineStr">
        <is>
          <t>Unit</t>
        </is>
      </c>
      <c r="D775" s="5" t="inlineStr">
        <is>
          <t>Quantity</t>
        </is>
      </c>
      <c r="E775" s="5" t="inlineStr">
        <is>
          <t>Rate (Rs.)</t>
        </is>
      </c>
      <c r="F775" s="5" t="inlineStr">
        <is>
          <t>Amount (Rs.)</t>
        </is>
      </c>
    </row>
    <row r="776">
      <c r="A776" s="13" t="inlineStr">
        <is>
          <t>3.9</t>
        </is>
      </c>
      <c r="B776" s="14" t="inlineStr">
        <is>
          <t>Rate as per SH: 3.9</t>
        </is>
      </c>
      <c r="C776" s="13" t="inlineStr">
        <is>
          <t>cum</t>
        </is>
      </c>
      <c r="D776" s="15" t="n">
        <v>0.224</v>
      </c>
      <c r="E776" s="16" t="n">
        <v>4010.35</v>
      </c>
      <c r="F776" s="16">
        <f>D776*E776</f>
        <v/>
      </c>
    </row>
    <row r="777">
      <c r="A777" s="13" t="inlineStr">
        <is>
          <t>1229</t>
        </is>
      </c>
      <c r="B777" s="14" t="inlineStr">
        <is>
          <t>Chequered terrazo tiles 22 mm thick (dark shade) including 10% wastage</t>
        </is>
      </c>
      <c r="C777" s="13" t="inlineStr">
        <is>
          <t>sqm</t>
        </is>
      </c>
      <c r="D777" s="15" t="n">
        <v>11</v>
      </c>
      <c r="E777" s="16" t="n">
        <v>260</v>
      </c>
      <c r="F777" s="16">
        <f>D777*E777</f>
        <v/>
      </c>
    </row>
    <row r="778">
      <c r="A778" s="13" t="inlineStr">
        <is>
          <t>9977</t>
        </is>
      </c>
      <c r="B778" s="14" t="inlineStr">
        <is>
          <t>Carriage of tiles</t>
        </is>
      </c>
      <c r="C778" s="13" t="inlineStr">
        <is>
          <t>L.S.</t>
        </is>
      </c>
      <c r="D778" s="15" t="n">
        <v>40.43</v>
      </c>
      <c r="E778" s="16" t="n">
        <v>2</v>
      </c>
      <c r="F778" s="16">
        <f>D778*E778</f>
        <v/>
      </c>
    </row>
    <row r="779">
      <c r="A779" s="13" t="inlineStr">
        <is>
          <t>0367</t>
        </is>
      </c>
      <c r="B779" s="14" t="inlineStr">
        <is>
          <t>Portland Cement</t>
        </is>
      </c>
      <c r="C779" s="13" t="inlineStr">
        <is>
          <t>tonne</t>
        </is>
      </c>
      <c r="D779" s="15" t="n">
        <v>0.08799999999999999</v>
      </c>
      <c r="E779" s="16" t="n">
        <v>4940</v>
      </c>
      <c r="F779" s="16">
        <f>D779*E779</f>
        <v/>
      </c>
    </row>
    <row r="780">
      <c r="A780" s="13" t="inlineStr">
        <is>
          <t>2209</t>
        </is>
      </c>
      <c r="B780" s="14" t="inlineStr">
        <is>
          <t>Carriage of Cement</t>
        </is>
      </c>
      <c r="C780" s="13" t="inlineStr">
        <is>
          <t>tonne</t>
        </is>
      </c>
      <c r="D780" s="15" t="n">
        <v>0.08799999999999999</v>
      </c>
      <c r="E780" s="16" t="n">
        <v>92.23999999999999</v>
      </c>
      <c r="F780" s="16">
        <f>D780*E780</f>
        <v/>
      </c>
    </row>
    <row r="781">
      <c r="A781" s="13" t="inlineStr">
        <is>
          <t>0874</t>
        </is>
      </c>
      <c r="B781" s="14" t="inlineStr">
        <is>
          <t>Black colour dark shade pigment</t>
        </is>
      </c>
      <c r="C781" s="13" t="inlineStr">
        <is>
          <t>kilogram</t>
        </is>
      </c>
      <c r="D781" s="15" t="n">
        <v>3.08</v>
      </c>
      <c r="E781" s="16" t="n">
        <v>70</v>
      </c>
      <c r="F781" s="16">
        <f>D781*E781</f>
        <v/>
      </c>
    </row>
    <row r="782">
      <c r="A782" s="13" t="inlineStr">
        <is>
          <t>0124</t>
        </is>
      </c>
      <c r="B782" s="14" t="inlineStr">
        <is>
          <t>Mason (brick layer) 2nd class</t>
        </is>
      </c>
      <c r="C782" s="13" t="inlineStr">
        <is>
          <t>day</t>
        </is>
      </c>
      <c r="D782" s="15" t="n">
        <v>1.6</v>
      </c>
      <c r="E782" s="16" t="n">
        <v>679</v>
      </c>
      <c r="F782" s="16">
        <f>D782*E782</f>
        <v/>
      </c>
    </row>
    <row r="783">
      <c r="A783" s="13" t="inlineStr">
        <is>
          <t>0115</t>
        </is>
      </c>
      <c r="B783" s="14" t="inlineStr">
        <is>
          <t>Coolie</t>
        </is>
      </c>
      <c r="C783" s="13" t="inlineStr">
        <is>
          <t>day</t>
        </is>
      </c>
      <c r="D783" s="15" t="n">
        <v>2</v>
      </c>
      <c r="E783" s="16" t="n">
        <v>558</v>
      </c>
      <c r="F783" s="16">
        <f>D783*E783</f>
        <v/>
      </c>
    </row>
    <row r="784">
      <c r="A784" s="13" t="inlineStr">
        <is>
          <t>0139</t>
        </is>
      </c>
      <c r="B784" s="14" t="inlineStr">
        <is>
          <t>Skilled Beldar (for floor rubbing etc.)</t>
        </is>
      </c>
      <c r="C784" s="13" t="inlineStr">
        <is>
          <t>day</t>
        </is>
      </c>
      <c r="D784" s="15" t="n">
        <v>1</v>
      </c>
      <c r="E784" s="16" t="n">
        <v>617</v>
      </c>
      <c r="F784" s="16">
        <f>D784*E784</f>
        <v/>
      </c>
    </row>
    <row r="785">
      <c r="A785" s="13" t="inlineStr">
        <is>
          <t>0101</t>
        </is>
      </c>
      <c r="B785" s="14" t="inlineStr">
        <is>
          <t>Bhisti</t>
        </is>
      </c>
      <c r="C785" s="13" t="inlineStr">
        <is>
          <t>day</t>
        </is>
      </c>
      <c r="D785" s="15" t="n">
        <v>1</v>
      </c>
      <c r="E785" s="16" t="n">
        <v>617</v>
      </c>
      <c r="F785" s="16">
        <f>D785*E785</f>
        <v/>
      </c>
    </row>
    <row r="786">
      <c r="A786" s="13" t="inlineStr">
        <is>
          <t>0013</t>
        </is>
      </c>
      <c r="B786" s="14" t="inlineStr">
        <is>
          <t>Machine for rubbing of floors</t>
        </is>
      </c>
      <c r="C786" s="13" t="inlineStr">
        <is>
          <t>day</t>
        </is>
      </c>
      <c r="D786" s="15" t="n">
        <v>1.6</v>
      </c>
      <c r="E786" s="16" t="n">
        <v>300</v>
      </c>
      <c r="F786" s="16">
        <f>D786*E786</f>
        <v/>
      </c>
    </row>
    <row r="787">
      <c r="A787" s="13" t="inlineStr">
        <is>
          <t>9999</t>
        </is>
      </c>
      <c r="B787" s="14" t="inlineStr">
        <is>
          <t>Sundries including carborandum stone etc.</t>
        </is>
      </c>
      <c r="C787" s="13" t="inlineStr">
        <is>
          <t>L.S.</t>
        </is>
      </c>
      <c r="D787" s="15" t="n">
        <v>162.59</v>
      </c>
      <c r="E787" s="16" t="n">
        <v>2</v>
      </c>
      <c r="F787" s="16">
        <f>D787*E787</f>
        <v/>
      </c>
    </row>
    <row r="788">
      <c r="A788" s="17" t="inlineStr">
        <is>
          <t>Resource Total (Material + Labour + Machinery, as printed)</t>
        </is>
      </c>
      <c r="B788" s="18" t="n"/>
      <c r="C788" s="18" t="n"/>
      <c r="D788" s="18" t="n"/>
      <c r="E788" s="18" t="n"/>
      <c r="F788" s="19">
        <f>SUM(F776:F787)</f>
        <v/>
      </c>
    </row>
    <row r="789">
      <c r="A789" s="20" t="inlineStr">
        <is>
          <t>SAY (Rs.) — final DAR rate</t>
        </is>
      </c>
      <c r="B789" s="21" t="n"/>
      <c r="C789" s="21" t="n"/>
      <c r="D789" s="21" t="n"/>
      <c r="E789" s="21" t="n"/>
      <c r="F789" s="22" t="n">
        <v>1113.8</v>
      </c>
    </row>
    <row r="791" ht="18" customHeight="1">
      <c r="A791" s="9" t="inlineStr">
        <is>
          <t>11.20.1</t>
        </is>
      </c>
      <c r="B791" s="10" t="inlineStr">
        <is>
          <t>Light shade pigment using white cement</t>
        </is>
      </c>
      <c r="C791" s="11" t="n"/>
      <c r="D791" s="11" t="n"/>
      <c r="E791" s="11" t="n"/>
      <c r="F791" s="11" t="n"/>
    </row>
    <row r="792">
      <c r="A792" s="12" t="inlineStr">
        <is>
          <t>Rate basis: per sqm  (source: cost for 10 sqm)</t>
        </is>
      </c>
    </row>
    <row r="793">
      <c r="A793" s="5" t="inlineStr">
        <is>
          <t>Code</t>
        </is>
      </c>
      <c r="B793" s="5" t="inlineStr">
        <is>
          <t>Description</t>
        </is>
      </c>
      <c r="C793" s="5" t="inlineStr">
        <is>
          <t>Unit</t>
        </is>
      </c>
      <c r="D793" s="5" t="inlineStr">
        <is>
          <t>Quantity</t>
        </is>
      </c>
      <c r="E793" s="5" t="inlineStr">
        <is>
          <t>Rate (Rs.)</t>
        </is>
      </c>
      <c r="F793" s="5" t="inlineStr">
        <is>
          <t>Amount (Rs.)</t>
        </is>
      </c>
    </row>
    <row r="794">
      <c r="A794" s="13" t="inlineStr">
        <is>
          <t>3.9</t>
        </is>
      </c>
      <c r="B794" s="14" t="inlineStr">
        <is>
          <t>Rate as per SH: 3.9</t>
        </is>
      </c>
      <c r="C794" s="13" t="inlineStr">
        <is>
          <t>cum</t>
        </is>
      </c>
      <c r="D794" s="15" t="n">
        <v>0.22</v>
      </c>
      <c r="E794" s="16" t="n">
        <v>4010.35</v>
      </c>
      <c r="F794" s="16">
        <f>D794*E794</f>
        <v/>
      </c>
    </row>
    <row r="795">
      <c r="A795" s="13" t="inlineStr">
        <is>
          <t>7070</t>
        </is>
      </c>
      <c r="B795" s="14" t="inlineStr">
        <is>
          <t>Chequered precast cement concrete tiles 22mm thick using marble chips of size 6mm - Light shade using white cement including 10% wastage</t>
        </is>
      </c>
      <c r="C795" s="13" t="inlineStr">
        <is>
          <t>sqm</t>
        </is>
      </c>
      <c r="D795" s="15" t="n">
        <v>11</v>
      </c>
      <c r="E795" s="16" t="n">
        <v>400</v>
      </c>
      <c r="F795" s="16">
        <f>D795*E795</f>
        <v/>
      </c>
    </row>
    <row r="796">
      <c r="A796" s="13" t="inlineStr">
        <is>
          <t>9977</t>
        </is>
      </c>
      <c r="B796" s="14" t="inlineStr">
        <is>
          <t>Carriage of tiles</t>
        </is>
      </c>
      <c r="C796" s="13" t="inlineStr">
        <is>
          <t>L.S.</t>
        </is>
      </c>
      <c r="D796" s="15" t="n">
        <v>40.43</v>
      </c>
      <c r="E796" s="16" t="n">
        <v>2</v>
      </c>
      <c r="F796" s="16">
        <f>D796*E796</f>
        <v/>
      </c>
    </row>
    <row r="797">
      <c r="A797" s="13" t="inlineStr">
        <is>
          <t>0367</t>
        </is>
      </c>
      <c r="B797" s="14" t="inlineStr">
        <is>
          <t>Portland Cement</t>
        </is>
      </c>
      <c r="C797" s="13" t="inlineStr">
        <is>
          <t>tonne</t>
        </is>
      </c>
      <c r="D797" s="15" t="n">
        <v>0.044</v>
      </c>
      <c r="E797" s="16" t="n">
        <v>4940</v>
      </c>
      <c r="F797" s="16">
        <f>D797*E797</f>
        <v/>
      </c>
    </row>
    <row r="798">
      <c r="A798" s="13" t="inlineStr">
        <is>
          <t>0368</t>
        </is>
      </c>
      <c r="B798" s="14" t="inlineStr">
        <is>
          <t>White Cement</t>
        </is>
      </c>
      <c r="C798" s="13" t="inlineStr">
        <is>
          <t>tonne</t>
        </is>
      </c>
      <c r="D798" s="15" t="n">
        <v>0.048</v>
      </c>
      <c r="E798" s="16" t="n">
        <v>11200</v>
      </c>
      <c r="F798" s="16">
        <f>D798*E798</f>
        <v/>
      </c>
    </row>
    <row r="799">
      <c r="A799" s="13" t="inlineStr">
        <is>
          <t>2209</t>
        </is>
      </c>
      <c r="B799" s="14" t="inlineStr">
        <is>
          <t>Carriage of Cement</t>
        </is>
      </c>
      <c r="C799" s="13" t="inlineStr">
        <is>
          <t>tonne</t>
        </is>
      </c>
      <c r="D799" s="15" t="n">
        <v>0.092</v>
      </c>
      <c r="E799" s="16" t="n">
        <v>92.23999999999999</v>
      </c>
      <c r="F799" s="16">
        <f>D799*E799</f>
        <v/>
      </c>
    </row>
    <row r="800">
      <c r="A800" s="13" t="inlineStr">
        <is>
          <t>0875</t>
        </is>
      </c>
      <c r="B800" s="14" t="inlineStr">
        <is>
          <t>Red, chocolate, orange, buff or yellow (red oxide of iron) light shade pigment</t>
        </is>
      </c>
      <c r="C800" s="13" t="inlineStr">
        <is>
          <t>kilogram</t>
        </is>
      </c>
      <c r="D800" s="15" t="n">
        <v>3.08</v>
      </c>
      <c r="E800" s="16" t="n">
        <v>60</v>
      </c>
      <c r="F800" s="16">
        <f>D800*E800</f>
        <v/>
      </c>
    </row>
    <row r="801">
      <c r="A801" s="13" t="inlineStr">
        <is>
          <t>0124</t>
        </is>
      </c>
      <c r="B801" s="14" t="inlineStr">
        <is>
          <t>Mason (brick layer) 2nd class</t>
        </is>
      </c>
      <c r="C801" s="13" t="inlineStr">
        <is>
          <t>day</t>
        </is>
      </c>
      <c r="D801" s="15" t="n">
        <v>1.6</v>
      </c>
      <c r="E801" s="16" t="n">
        <v>679</v>
      </c>
      <c r="F801" s="16">
        <f>D801*E801</f>
        <v/>
      </c>
    </row>
    <row r="802">
      <c r="A802" s="13" t="inlineStr">
        <is>
          <t>0115</t>
        </is>
      </c>
      <c r="B802" s="14" t="inlineStr">
        <is>
          <t>Coolie</t>
        </is>
      </c>
      <c r="C802" s="13" t="inlineStr">
        <is>
          <t>day</t>
        </is>
      </c>
      <c r="D802" s="15" t="n">
        <v>2</v>
      </c>
      <c r="E802" s="16" t="n">
        <v>558</v>
      </c>
      <c r="F802" s="16">
        <f>D802*E802</f>
        <v/>
      </c>
    </row>
    <row r="803">
      <c r="A803" s="13" t="inlineStr">
        <is>
          <t>0101</t>
        </is>
      </c>
      <c r="B803" s="14" t="inlineStr">
        <is>
          <t>Bhisti</t>
        </is>
      </c>
      <c r="C803" s="13" t="inlineStr">
        <is>
          <t>day</t>
        </is>
      </c>
      <c r="D803" s="15" t="n">
        <v>1</v>
      </c>
      <c r="E803" s="16" t="n">
        <v>617</v>
      </c>
      <c r="F803" s="16">
        <f>D803*E803</f>
        <v/>
      </c>
    </row>
    <row r="804">
      <c r="A804" s="17" t="inlineStr">
        <is>
          <t>Resource Total (Material + Labour + Machinery, as printed)</t>
        </is>
      </c>
      <c r="B804" s="18" t="n"/>
      <c r="C804" s="18" t="n"/>
      <c r="D804" s="18" t="n"/>
      <c r="E804" s="18" t="n"/>
      <c r="F804" s="19">
        <f>SUM(F794:F803)</f>
        <v/>
      </c>
    </row>
    <row r="805">
      <c r="A805" s="20" t="inlineStr">
        <is>
          <t>SAY (Rs.) — final DAR rate</t>
        </is>
      </c>
      <c r="B805" s="21" t="n"/>
      <c r="C805" s="21" t="n"/>
      <c r="D805" s="21" t="n"/>
      <c r="E805" s="21" t="n"/>
      <c r="F805" s="22" t="n">
        <v>1221.65</v>
      </c>
    </row>
    <row r="807" ht="18" customHeight="1">
      <c r="A807" s="9" t="inlineStr">
        <is>
          <t>11.20.2</t>
        </is>
      </c>
      <c r="B807" s="10" t="inlineStr">
        <is>
          <t>Medium shade pigment using 50% white cement 50% Grey cement</t>
        </is>
      </c>
      <c r="C807" s="11" t="n"/>
      <c r="D807" s="11" t="n"/>
      <c r="E807" s="11" t="n"/>
      <c r="F807" s="11" t="n"/>
    </row>
    <row r="808">
      <c r="A808" s="12" t="inlineStr">
        <is>
          <t>Rate basis: per sqm  (source: cost for 10 sqm)</t>
        </is>
      </c>
    </row>
    <row r="809">
      <c r="A809" s="5" t="inlineStr">
        <is>
          <t>Code</t>
        </is>
      </c>
      <c r="B809" s="5" t="inlineStr">
        <is>
          <t>Description</t>
        </is>
      </c>
      <c r="C809" s="5" t="inlineStr">
        <is>
          <t>Unit</t>
        </is>
      </c>
      <c r="D809" s="5" t="inlineStr">
        <is>
          <t>Quantity</t>
        </is>
      </c>
      <c r="E809" s="5" t="inlineStr">
        <is>
          <t>Rate (Rs.)</t>
        </is>
      </c>
      <c r="F809" s="5" t="inlineStr">
        <is>
          <t>Amount (Rs.)</t>
        </is>
      </c>
    </row>
    <row r="810">
      <c r="A810" s="13" t="inlineStr">
        <is>
          <t>3.9</t>
        </is>
      </c>
      <c r="B810" s="14" t="inlineStr">
        <is>
          <t>Rate as per SH: 3.9</t>
        </is>
      </c>
      <c r="C810" s="13" t="inlineStr">
        <is>
          <t>cum</t>
        </is>
      </c>
      <c r="D810" s="15" t="n">
        <v>0.22</v>
      </c>
      <c r="E810" s="16" t="n">
        <v>4010.35</v>
      </c>
      <c r="F810" s="16">
        <f>D810*E810</f>
        <v/>
      </c>
    </row>
    <row r="811">
      <c r="A811" s="13" t="inlineStr">
        <is>
          <t>7237</t>
        </is>
      </c>
      <c r="B811" s="14" t="inlineStr">
        <is>
          <t>Precast chequered cement tiles 22 mm thick medium shade using 50% white cement, 50% ordinary cement including 10% wastage</t>
        </is>
      </c>
      <c r="C811" s="13" t="inlineStr">
        <is>
          <t>sqm</t>
        </is>
      </c>
      <c r="D811" s="15" t="n">
        <v>11</v>
      </c>
      <c r="E811" s="16" t="n">
        <v>335</v>
      </c>
      <c r="F811" s="16">
        <f>D811*E811</f>
        <v/>
      </c>
    </row>
    <row r="812">
      <c r="A812" s="13" t="inlineStr">
        <is>
          <t>9977</t>
        </is>
      </c>
      <c r="B812" s="14" t="inlineStr">
        <is>
          <t>Carriage of tiles</t>
        </is>
      </c>
      <c r="C812" s="13" t="inlineStr">
        <is>
          <t>L.S.</t>
        </is>
      </c>
      <c r="D812" s="15" t="n">
        <v>40.43</v>
      </c>
      <c r="E812" s="16" t="n">
        <v>2</v>
      </c>
      <c r="F812" s="16">
        <f>D812*E812</f>
        <v/>
      </c>
    </row>
    <row r="813">
      <c r="A813" s="13" t="inlineStr">
        <is>
          <t>0367</t>
        </is>
      </c>
      <c r="B813" s="14" t="inlineStr">
        <is>
          <t>Portland Cement</t>
        </is>
      </c>
      <c r="C813" s="13" t="inlineStr">
        <is>
          <t>tonne</t>
        </is>
      </c>
      <c r="D813" s="15" t="n">
        <v>0.068</v>
      </c>
      <c r="E813" s="16" t="n">
        <v>4940</v>
      </c>
      <c r="F813" s="16">
        <f>D813*E813</f>
        <v/>
      </c>
    </row>
    <row r="814">
      <c r="A814" s="13" t="inlineStr">
        <is>
          <t>0368</t>
        </is>
      </c>
      <c r="B814" s="14" t="inlineStr">
        <is>
          <t>White Cement</t>
        </is>
      </c>
      <c r="C814" s="13" t="inlineStr">
        <is>
          <t>tonne</t>
        </is>
      </c>
      <c r="D814" s="15" t="n">
        <v>0.024</v>
      </c>
      <c r="E814" s="16" t="n">
        <v>11200</v>
      </c>
      <c r="F814" s="16">
        <f>D814*E814</f>
        <v/>
      </c>
    </row>
    <row r="815">
      <c r="A815" s="13" t="inlineStr">
        <is>
          <t>2209</t>
        </is>
      </c>
      <c r="B815" s="14" t="inlineStr">
        <is>
          <t>Carriage of Cement</t>
        </is>
      </c>
      <c r="C815" s="13" t="inlineStr">
        <is>
          <t>tonne</t>
        </is>
      </c>
      <c r="D815" s="15" t="n">
        <v>0.092</v>
      </c>
      <c r="E815" s="16" t="n">
        <v>92.23999999999999</v>
      </c>
      <c r="F815" s="16">
        <f>D815*E815</f>
        <v/>
      </c>
    </row>
    <row r="816">
      <c r="A816" s="13" t="inlineStr">
        <is>
          <t>0876</t>
        </is>
      </c>
      <c r="B816" s="14" t="inlineStr">
        <is>
          <t>Green or blue medium shade pigment</t>
        </is>
      </c>
      <c r="C816" s="13" t="inlineStr">
        <is>
          <t>kilogram</t>
        </is>
      </c>
      <c r="D816" s="15" t="n">
        <v>3.08</v>
      </c>
      <c r="E816" s="16" t="n">
        <v>56</v>
      </c>
      <c r="F816" s="16">
        <f>D816*E816</f>
        <v/>
      </c>
    </row>
    <row r="817">
      <c r="A817" s="13" t="inlineStr">
        <is>
          <t>0124</t>
        </is>
      </c>
      <c r="B817" s="14" t="inlineStr">
        <is>
          <t>Mason (brick layer) 2nd class</t>
        </is>
      </c>
      <c r="C817" s="13" t="inlineStr">
        <is>
          <t>day</t>
        </is>
      </c>
      <c r="D817" s="15" t="n">
        <v>1.6</v>
      </c>
      <c r="E817" s="16" t="n">
        <v>679</v>
      </c>
      <c r="F817" s="16">
        <f>D817*E817</f>
        <v/>
      </c>
    </row>
    <row r="818">
      <c r="A818" s="13" t="inlineStr">
        <is>
          <t>0115</t>
        </is>
      </c>
      <c r="B818" s="14" t="inlineStr">
        <is>
          <t>Coolie</t>
        </is>
      </c>
      <c r="C818" s="13" t="inlineStr">
        <is>
          <t>day</t>
        </is>
      </c>
      <c r="D818" s="15" t="n">
        <v>2</v>
      </c>
      <c r="E818" s="16" t="n">
        <v>558</v>
      </c>
      <c r="F818" s="16">
        <f>D818*E818</f>
        <v/>
      </c>
    </row>
    <row r="819">
      <c r="A819" s="13" t="inlineStr">
        <is>
          <t>0101</t>
        </is>
      </c>
      <c r="B819" s="14" t="inlineStr">
        <is>
          <t>Bhisti</t>
        </is>
      </c>
      <c r="C819" s="13" t="inlineStr">
        <is>
          <t>day</t>
        </is>
      </c>
      <c r="D819" s="15" t="n">
        <v>1</v>
      </c>
      <c r="E819" s="16" t="n">
        <v>617</v>
      </c>
      <c r="F819" s="16">
        <f>D819*E819</f>
        <v/>
      </c>
    </row>
    <row r="820">
      <c r="A820" s="17" t="inlineStr">
        <is>
          <t>Resource Total (Material + Labour + Machinery, as printed)</t>
        </is>
      </c>
      <c r="B820" s="18" t="n"/>
      <c r="C820" s="18" t="n"/>
      <c r="D820" s="18" t="n"/>
      <c r="E820" s="18" t="n"/>
      <c r="F820" s="19">
        <f>SUM(F810:F819)</f>
        <v/>
      </c>
    </row>
    <row r="821">
      <c r="A821" s="20" t="inlineStr">
        <is>
          <t>SAY (Rs.) — final DAR rate</t>
        </is>
      </c>
      <c r="B821" s="21" t="n"/>
      <c r="C821" s="21" t="n"/>
      <c r="D821" s="21" t="n"/>
      <c r="E821" s="21" t="n"/>
      <c r="F821" s="22" t="n">
        <v>1104.25</v>
      </c>
    </row>
    <row r="823" ht="18" customHeight="1">
      <c r="A823" s="9" t="inlineStr">
        <is>
          <t>11.20.3</t>
        </is>
      </c>
      <c r="B823" s="10" t="inlineStr">
        <is>
          <t>Dark shade pigment using ordinary cement</t>
        </is>
      </c>
      <c r="C823" s="11" t="n"/>
      <c r="D823" s="11" t="n"/>
      <c r="E823" s="11" t="n"/>
      <c r="F823" s="11" t="n"/>
    </row>
    <row r="824">
      <c r="A824" s="12" t="inlineStr">
        <is>
          <t>Rate basis: per sqm  (source: cost for 10 sqm)</t>
        </is>
      </c>
    </row>
    <row r="825">
      <c r="A825" s="5" t="inlineStr">
        <is>
          <t>Code</t>
        </is>
      </c>
      <c r="B825" s="5" t="inlineStr">
        <is>
          <t>Description</t>
        </is>
      </c>
      <c r="C825" s="5" t="inlineStr">
        <is>
          <t>Unit</t>
        </is>
      </c>
      <c r="D825" s="5" t="inlineStr">
        <is>
          <t>Quantity</t>
        </is>
      </c>
      <c r="E825" s="5" t="inlineStr">
        <is>
          <t>Rate (Rs.)</t>
        </is>
      </c>
      <c r="F825" s="5" t="inlineStr">
        <is>
          <t>Amount (Rs.)</t>
        </is>
      </c>
    </row>
    <row r="826">
      <c r="A826" s="13" t="inlineStr">
        <is>
          <t>3.9</t>
        </is>
      </c>
      <c r="B826" s="14" t="inlineStr">
        <is>
          <t>Rate as per SH: 3.9</t>
        </is>
      </c>
      <c r="C826" s="13" t="inlineStr">
        <is>
          <t>cum</t>
        </is>
      </c>
      <c r="D826" s="15" t="n">
        <v>0.22</v>
      </c>
      <c r="E826" s="16" t="n">
        <v>4010.35</v>
      </c>
      <c r="F826" s="16">
        <f>D826*E826</f>
        <v/>
      </c>
    </row>
    <row r="827">
      <c r="A827" s="13" t="inlineStr">
        <is>
          <t>7236</t>
        </is>
      </c>
      <c r="B827" s="14" t="inlineStr">
        <is>
          <t>Precast chequered cement tiles 22 mm thick Dark shade using ordinary cement including 10% wastage</t>
        </is>
      </c>
      <c r="C827" s="13" t="inlineStr">
        <is>
          <t>sqm</t>
        </is>
      </c>
      <c r="D827" s="15" t="n">
        <v>11</v>
      </c>
      <c r="E827" s="16" t="n">
        <v>225</v>
      </c>
      <c r="F827" s="16">
        <f>D827*E827</f>
        <v/>
      </c>
    </row>
    <row r="828">
      <c r="A828" s="13" t="inlineStr">
        <is>
          <t>9977</t>
        </is>
      </c>
      <c r="B828" s="14" t="inlineStr">
        <is>
          <t>Carriage of tiles</t>
        </is>
      </c>
      <c r="C828" s="13" t="inlineStr">
        <is>
          <t>L.S.</t>
        </is>
      </c>
      <c r="D828" s="15" t="n">
        <v>40.43</v>
      </c>
      <c r="E828" s="16" t="n">
        <v>2</v>
      </c>
      <c r="F828" s="16">
        <f>D828*E828</f>
        <v/>
      </c>
    </row>
    <row r="829">
      <c r="A829" s="13" t="inlineStr">
        <is>
          <t>0367</t>
        </is>
      </c>
      <c r="B829" s="14" t="inlineStr">
        <is>
          <t>Portland Cement</t>
        </is>
      </c>
      <c r="C829" s="13" t="inlineStr">
        <is>
          <t>tonne</t>
        </is>
      </c>
      <c r="D829" s="15" t="n">
        <v>0.092</v>
      </c>
      <c r="E829" s="16" t="n">
        <v>4940</v>
      </c>
      <c r="F829" s="16">
        <f>D829*E829</f>
        <v/>
      </c>
    </row>
    <row r="830">
      <c r="A830" s="13" t="inlineStr">
        <is>
          <t>2209</t>
        </is>
      </c>
      <c r="B830" s="14" t="inlineStr">
        <is>
          <t>Carriage of Cement</t>
        </is>
      </c>
      <c r="C830" s="13" t="inlineStr">
        <is>
          <t>tonne</t>
        </is>
      </c>
      <c r="D830" s="15" t="n">
        <v>0.092</v>
      </c>
      <c r="E830" s="16" t="n">
        <v>92.23999999999999</v>
      </c>
      <c r="F830" s="16">
        <f>D830*E830</f>
        <v/>
      </c>
    </row>
    <row r="831">
      <c r="A831" s="13" t="inlineStr">
        <is>
          <t>0874</t>
        </is>
      </c>
      <c r="B831" s="14" t="inlineStr">
        <is>
          <t>Black colour dark shade pigment</t>
        </is>
      </c>
      <c r="C831" s="13" t="inlineStr">
        <is>
          <t>kilogram</t>
        </is>
      </c>
      <c r="D831" s="15" t="n">
        <v>3.08</v>
      </c>
      <c r="E831" s="16" t="n">
        <v>70</v>
      </c>
      <c r="F831" s="16">
        <f>D831*E831</f>
        <v/>
      </c>
    </row>
    <row r="832">
      <c r="A832" s="13" t="inlineStr">
        <is>
          <t>0124</t>
        </is>
      </c>
      <c r="B832" s="14" t="inlineStr">
        <is>
          <t>Mason (brick layer) 2nd class</t>
        </is>
      </c>
      <c r="C832" s="13" t="inlineStr">
        <is>
          <t>day</t>
        </is>
      </c>
      <c r="D832" s="15" t="n">
        <v>1.6</v>
      </c>
      <c r="E832" s="16" t="n">
        <v>679</v>
      </c>
      <c r="F832" s="16">
        <f>D832*E832</f>
        <v/>
      </c>
    </row>
    <row r="833">
      <c r="A833" s="13" t="inlineStr">
        <is>
          <t>0115</t>
        </is>
      </c>
      <c r="B833" s="14" t="inlineStr">
        <is>
          <t>Coolie</t>
        </is>
      </c>
      <c r="C833" s="13" t="inlineStr">
        <is>
          <t>day</t>
        </is>
      </c>
      <c r="D833" s="15" t="n">
        <v>2</v>
      </c>
      <c r="E833" s="16" t="n">
        <v>558</v>
      </c>
      <c r="F833" s="16">
        <f>D833*E833</f>
        <v/>
      </c>
    </row>
    <row r="834">
      <c r="A834" s="13" t="inlineStr">
        <is>
          <t>0101</t>
        </is>
      </c>
      <c r="B834" s="14" t="inlineStr">
        <is>
          <t>Bhisti</t>
        </is>
      </c>
      <c r="C834" s="13" t="inlineStr">
        <is>
          <t>day</t>
        </is>
      </c>
      <c r="D834" s="15" t="n">
        <v>1</v>
      </c>
      <c r="E834" s="16" t="n">
        <v>617</v>
      </c>
      <c r="F834" s="16">
        <f>D834*E834</f>
        <v/>
      </c>
    </row>
    <row r="835">
      <c r="A835" s="17" t="inlineStr">
        <is>
          <t>Resource Total (Material + Labour + Machinery, as printed)</t>
        </is>
      </c>
      <c r="B835" s="18" t="n"/>
      <c r="C835" s="18" t="n"/>
      <c r="D835" s="18" t="n"/>
      <c r="E835" s="18" t="n"/>
      <c r="F835" s="19">
        <f>SUM(F826:F834)</f>
        <v/>
      </c>
    </row>
    <row r="836">
      <c r="A836" s="20" t="inlineStr">
        <is>
          <t>SAY (Rs.) — final DAR rate</t>
        </is>
      </c>
      <c r="B836" s="21" t="n"/>
      <c r="C836" s="21" t="n"/>
      <c r="D836" s="21" t="n"/>
      <c r="E836" s="21" t="n"/>
      <c r="F836" s="22" t="n">
        <v>928</v>
      </c>
    </row>
    <row r="838" ht="18" customHeight="1">
      <c r="A838" s="9" t="inlineStr">
        <is>
          <t>11.20.4</t>
        </is>
      </c>
      <c r="B838" s="10" t="inlineStr">
        <is>
          <t>Ordinary cement without any pigment</t>
        </is>
      </c>
      <c r="C838" s="11" t="n"/>
      <c r="D838" s="11" t="n"/>
      <c r="E838" s="11" t="n"/>
      <c r="F838" s="11" t="n"/>
    </row>
    <row r="839">
      <c r="A839" s="12" t="inlineStr">
        <is>
          <t>Rate basis: per sqm  (source: cost for 10 sqm)</t>
        </is>
      </c>
    </row>
    <row r="840">
      <c r="A840" s="5" t="inlineStr">
        <is>
          <t>Code</t>
        </is>
      </c>
      <c r="B840" s="5" t="inlineStr">
        <is>
          <t>Description</t>
        </is>
      </c>
      <c r="C840" s="5" t="inlineStr">
        <is>
          <t>Unit</t>
        </is>
      </c>
      <c r="D840" s="5" t="inlineStr">
        <is>
          <t>Quantity</t>
        </is>
      </c>
      <c r="E840" s="5" t="inlineStr">
        <is>
          <t>Rate (Rs.)</t>
        </is>
      </c>
      <c r="F840" s="5" t="inlineStr">
        <is>
          <t>Amount (Rs.)</t>
        </is>
      </c>
    </row>
    <row r="841">
      <c r="A841" s="13" t="inlineStr">
        <is>
          <t>3.9</t>
        </is>
      </c>
      <c r="B841" s="14" t="inlineStr">
        <is>
          <t>Rate as per SH: 3.9</t>
        </is>
      </c>
      <c r="C841" s="13" t="inlineStr">
        <is>
          <t>cum</t>
        </is>
      </c>
      <c r="D841" s="15" t="n">
        <v>0.22</v>
      </c>
      <c r="E841" s="16" t="n">
        <v>4010.35</v>
      </c>
      <c r="F841" s="16">
        <f>D841*E841</f>
        <v/>
      </c>
    </row>
    <row r="842">
      <c r="A842" s="13" t="inlineStr">
        <is>
          <t>7236</t>
        </is>
      </c>
      <c r="B842" s="14" t="inlineStr">
        <is>
          <t>Precast chequered cement tiles 22 mm thick Dark shade using ordinary cement including 10% wastage</t>
        </is>
      </c>
      <c r="C842" s="13" t="inlineStr">
        <is>
          <t>sqm</t>
        </is>
      </c>
      <c r="D842" s="15" t="n">
        <v>11</v>
      </c>
      <c r="E842" s="16" t="n">
        <v>225</v>
      </c>
      <c r="F842" s="16">
        <f>D842*E842</f>
        <v/>
      </c>
    </row>
    <row r="843">
      <c r="A843" s="13" t="inlineStr">
        <is>
          <t>9977</t>
        </is>
      </c>
      <c r="B843" s="14" t="inlineStr">
        <is>
          <t>Carriage of tiles</t>
        </is>
      </c>
      <c r="C843" s="13" t="inlineStr">
        <is>
          <t>L.S.</t>
        </is>
      </c>
      <c r="D843" s="15" t="n">
        <v>40.43</v>
      </c>
      <c r="E843" s="16" t="n">
        <v>2</v>
      </c>
      <c r="F843" s="16">
        <f>D843*E843</f>
        <v/>
      </c>
    </row>
    <row r="844">
      <c r="A844" s="13" t="inlineStr">
        <is>
          <t>0367</t>
        </is>
      </c>
      <c r="B844" s="14" t="inlineStr">
        <is>
          <t>Portland Cement</t>
        </is>
      </c>
      <c r="C844" s="13" t="inlineStr">
        <is>
          <t>tonne</t>
        </is>
      </c>
      <c r="D844" s="15" t="n">
        <v>0.092</v>
      </c>
      <c r="E844" s="16" t="n">
        <v>4940</v>
      </c>
      <c r="F844" s="16">
        <f>D844*E844</f>
        <v/>
      </c>
    </row>
    <row r="845">
      <c r="A845" s="13" t="inlineStr">
        <is>
          <t>2209</t>
        </is>
      </c>
      <c r="B845" s="14" t="inlineStr">
        <is>
          <t>Carriage of Cement</t>
        </is>
      </c>
      <c r="C845" s="13" t="inlineStr">
        <is>
          <t>tonne</t>
        </is>
      </c>
      <c r="D845" s="15" t="n">
        <v>0.092</v>
      </c>
      <c r="E845" s="16" t="n">
        <v>92.23999999999999</v>
      </c>
      <c r="F845" s="16">
        <f>D845*E845</f>
        <v/>
      </c>
    </row>
    <row r="846">
      <c r="A846" s="13" t="inlineStr">
        <is>
          <t>0874</t>
        </is>
      </c>
      <c r="B846" s="14" t="inlineStr">
        <is>
          <t>Black colour dark shade pigment</t>
        </is>
      </c>
      <c r="C846" s="13" t="inlineStr">
        <is>
          <t>kilogram</t>
        </is>
      </c>
      <c r="D846" s="15" t="n">
        <v>3.08</v>
      </c>
      <c r="E846" s="16" t="n">
        <v>70</v>
      </c>
      <c r="F846" s="16">
        <f>D846*E846</f>
        <v/>
      </c>
    </row>
    <row r="847">
      <c r="A847" s="13" t="inlineStr">
        <is>
          <t>0124</t>
        </is>
      </c>
      <c r="B847" s="14" t="inlineStr">
        <is>
          <t>Mason (brick layer) 2nd class</t>
        </is>
      </c>
      <c r="C847" s="13" t="inlineStr">
        <is>
          <t>day</t>
        </is>
      </c>
      <c r="D847" s="15" t="n">
        <v>1.6</v>
      </c>
      <c r="E847" s="16" t="n">
        <v>679</v>
      </c>
      <c r="F847" s="16">
        <f>D847*E847</f>
        <v/>
      </c>
    </row>
    <row r="848">
      <c r="A848" s="13" t="inlineStr">
        <is>
          <t>0115</t>
        </is>
      </c>
      <c r="B848" s="14" t="inlineStr">
        <is>
          <t>Coolie</t>
        </is>
      </c>
      <c r="C848" s="13" t="inlineStr">
        <is>
          <t>day</t>
        </is>
      </c>
      <c r="D848" s="15" t="n">
        <v>2</v>
      </c>
      <c r="E848" s="16" t="n">
        <v>558</v>
      </c>
      <c r="F848" s="16">
        <f>D848*E848</f>
        <v/>
      </c>
    </row>
    <row r="849">
      <c r="A849" s="13" t="inlineStr">
        <is>
          <t>0101</t>
        </is>
      </c>
      <c r="B849" s="14" t="inlineStr">
        <is>
          <t>Bhisti</t>
        </is>
      </c>
      <c r="C849" s="13" t="inlineStr">
        <is>
          <t>day</t>
        </is>
      </c>
      <c r="D849" s="15" t="n">
        <v>1</v>
      </c>
      <c r="E849" s="16" t="n">
        <v>617</v>
      </c>
      <c r="F849" s="16">
        <f>D849*E849</f>
        <v/>
      </c>
    </row>
    <row r="850">
      <c r="A850" s="17" t="inlineStr">
        <is>
          <t>Resource Total (Material + Labour + Machinery, as printed)</t>
        </is>
      </c>
      <c r="B850" s="18" t="n"/>
      <c r="C850" s="18" t="n"/>
      <c r="D850" s="18" t="n"/>
      <c r="E850" s="18" t="n"/>
      <c r="F850" s="19">
        <f>SUM(F841:F849)</f>
        <v/>
      </c>
    </row>
    <row r="851">
      <c r="A851" s="20" t="inlineStr">
        <is>
          <t>SAY (Rs.) — final DAR rate</t>
        </is>
      </c>
      <c r="B851" s="21" t="n"/>
      <c r="C851" s="21" t="n"/>
      <c r="D851" s="21" t="n"/>
      <c r="E851" s="21" t="n"/>
      <c r="F851" s="22" t="n">
        <v>872.55</v>
      </c>
    </row>
    <row r="853" ht="18" customHeight="1">
      <c r="A853" s="9" t="inlineStr">
        <is>
          <t>11.21.1.1</t>
        </is>
      </c>
      <c r="B853" s="10" t="inlineStr">
        <is>
          <t>Acid and alkali resistant tile</t>
        </is>
      </c>
      <c r="C853" s="11" t="n"/>
      <c r="D853" s="11" t="n"/>
      <c r="E853" s="11" t="n"/>
      <c r="F853" s="11" t="n"/>
    </row>
    <row r="854">
      <c r="A854" s="12" t="inlineStr">
        <is>
          <t>Rate basis: per sqm  (source: cost for 1 sqm)</t>
        </is>
      </c>
    </row>
    <row r="855">
      <c r="A855" s="5" t="inlineStr">
        <is>
          <t>Code</t>
        </is>
      </c>
      <c r="B855" s="5" t="inlineStr">
        <is>
          <t>Description</t>
        </is>
      </c>
      <c r="C855" s="5" t="inlineStr">
        <is>
          <t>Unit</t>
        </is>
      </c>
      <c r="D855" s="5" t="inlineStr">
        <is>
          <t>Quantity</t>
        </is>
      </c>
      <c r="E855" s="5" t="inlineStr">
        <is>
          <t>Rate (Rs.)</t>
        </is>
      </c>
      <c r="F855" s="5" t="inlineStr">
        <is>
          <t>Amount (Rs.)</t>
        </is>
      </c>
    </row>
    <row r="856">
      <c r="A856" s="13" t="inlineStr">
        <is>
          <t>3.9</t>
        </is>
      </c>
      <c r="B856" s="14" t="inlineStr">
        <is>
          <t>Rate as per SH: 3.9</t>
        </is>
      </c>
      <c r="C856" s="13" t="inlineStr">
        <is>
          <t>cum</t>
        </is>
      </c>
      <c r="D856" s="15" t="n">
        <v>0.012</v>
      </c>
      <c r="E856" s="16" t="n">
        <v>4010.35</v>
      </c>
      <c r="F856" s="16">
        <f>D856*E856</f>
        <v/>
      </c>
    </row>
    <row r="857">
      <c r="A857" s="13" t="inlineStr">
        <is>
          <t>7077</t>
        </is>
      </c>
      <c r="B857" s="14" t="inlineStr">
        <is>
          <t>Acid and alkali resistant tiles 300x300 mm size, 10 mm thick</t>
        </is>
      </c>
      <c r="C857" s="13" t="inlineStr">
        <is>
          <t>10 Nos</t>
        </is>
      </c>
      <c r="D857" s="15" t="n">
        <v>1.2</v>
      </c>
      <c r="E857" s="16" t="n">
        <v>520</v>
      </c>
      <c r="F857" s="16">
        <f>D857*E857</f>
        <v/>
      </c>
    </row>
    <row r="858">
      <c r="A858" s="13" t="inlineStr">
        <is>
          <t>9977</t>
        </is>
      </c>
      <c r="B858" s="14" t="inlineStr">
        <is>
          <t>Carriage</t>
        </is>
      </c>
      <c r="C858" s="13" t="inlineStr">
        <is>
          <t>L.S.</t>
        </is>
      </c>
      <c r="D858" s="15" t="n">
        <v>6.24</v>
      </c>
      <c r="E858" s="16" t="n">
        <v>2</v>
      </c>
      <c r="F858" s="16">
        <f>D858*E858</f>
        <v/>
      </c>
    </row>
    <row r="859">
      <c r="A859" s="13" t="inlineStr">
        <is>
          <t>9999</t>
        </is>
      </c>
      <c r="B859" s="14" t="inlineStr">
        <is>
          <t>Mortar for pointing in acid/alkali resistant cement</t>
        </is>
      </c>
      <c r="C859" s="13" t="inlineStr">
        <is>
          <t>L.S.</t>
        </is>
      </c>
      <c r="D859" s="15" t="n">
        <v>40.43</v>
      </c>
      <c r="E859" s="16" t="n">
        <v>2</v>
      </c>
      <c r="F859" s="16">
        <f>D859*E859</f>
        <v/>
      </c>
    </row>
    <row r="860">
      <c r="A860" s="13" t="inlineStr">
        <is>
          <t>0367</t>
        </is>
      </c>
      <c r="B860" s="14" t="inlineStr">
        <is>
          <t>Portland Cement</t>
        </is>
      </c>
      <c r="C860" s="13" t="inlineStr">
        <is>
          <t>tonne</t>
        </is>
      </c>
      <c r="D860" s="15" t="n">
        <v>0.0033</v>
      </c>
      <c r="E860" s="16" t="n">
        <v>4940</v>
      </c>
      <c r="F860" s="16">
        <f>D860*E860</f>
        <v/>
      </c>
    </row>
    <row r="861">
      <c r="A861" s="13" t="inlineStr">
        <is>
          <t>7024</t>
        </is>
      </c>
      <c r="B861" s="14" t="inlineStr">
        <is>
          <t>Acid Proof cement</t>
        </is>
      </c>
      <c r="C861" s="13" t="inlineStr">
        <is>
          <t>tonne</t>
        </is>
      </c>
      <c r="D861" s="15" t="n">
        <v>0.007900000000000001</v>
      </c>
      <c r="E861" s="16" t="n">
        <v>7800</v>
      </c>
      <c r="F861" s="16">
        <f>D861*E861</f>
        <v/>
      </c>
    </row>
    <row r="862">
      <c r="A862" s="13" t="inlineStr">
        <is>
          <t>0123</t>
        </is>
      </c>
      <c r="B862" s="14" t="inlineStr">
        <is>
          <t>Mason (brick layer) 1st class</t>
        </is>
      </c>
      <c r="C862" s="13" t="inlineStr">
        <is>
          <t>day</t>
        </is>
      </c>
      <c r="D862" s="15" t="n">
        <v>0.2</v>
      </c>
      <c r="E862" s="16" t="n">
        <v>738</v>
      </c>
      <c r="F862" s="16">
        <f>D862*E862</f>
        <v/>
      </c>
    </row>
    <row r="863">
      <c r="A863" s="13" t="inlineStr">
        <is>
          <t>0115</t>
        </is>
      </c>
      <c r="B863" s="14" t="inlineStr">
        <is>
          <t>Coolie</t>
        </is>
      </c>
      <c r="C863" s="13" t="inlineStr">
        <is>
          <t>day</t>
        </is>
      </c>
      <c r="D863" s="15" t="n">
        <v>0.2</v>
      </c>
      <c r="E863" s="16" t="n">
        <v>558</v>
      </c>
      <c r="F863" s="16">
        <f>D863*E863</f>
        <v/>
      </c>
    </row>
    <row r="864">
      <c r="A864" s="13" t="inlineStr">
        <is>
          <t>9988</t>
        </is>
      </c>
      <c r="B864" s="14" t="inlineStr">
        <is>
          <t>Sundries including carriage of cement etc.</t>
        </is>
      </c>
      <c r="C864" s="13" t="inlineStr">
        <is>
          <t>L.S.</t>
        </is>
      </c>
      <c r="D864" s="15" t="n">
        <v>26.91</v>
      </c>
      <c r="E864" s="16" t="n">
        <v>2</v>
      </c>
      <c r="F864" s="16">
        <f>D864*E864</f>
        <v/>
      </c>
    </row>
    <row r="865">
      <c r="A865" s="17" t="inlineStr">
        <is>
          <t>Resource Total (Material + Labour + Machinery, as printed)</t>
        </is>
      </c>
      <c r="B865" s="18" t="n"/>
      <c r="C865" s="18" t="n"/>
      <c r="D865" s="18" t="n"/>
      <c r="E865" s="18" t="n"/>
      <c r="F865" s="19">
        <f>SUM(F856:F864)</f>
        <v/>
      </c>
    </row>
    <row r="866">
      <c r="A866" s="20" t="inlineStr">
        <is>
          <t>SAY (Rs.) — final DAR rate</t>
        </is>
      </c>
      <c r="B866" s="21" t="n"/>
      <c r="C866" s="21" t="n"/>
      <c r="D866" s="21" t="n"/>
      <c r="E866" s="21" t="n"/>
      <c r="F866" s="22" t="n">
        <v>1495</v>
      </c>
    </row>
    <row r="868" ht="18" customHeight="1">
      <c r="A868" s="9" t="inlineStr">
        <is>
          <t>11.21.2.1</t>
        </is>
      </c>
      <c r="B868" s="10" t="inlineStr">
        <is>
          <t>Acid and alkali resistant tile</t>
        </is>
      </c>
      <c r="C868" s="11" t="n"/>
      <c r="D868" s="11" t="n"/>
      <c r="E868" s="11" t="n"/>
      <c r="F868" s="11" t="n"/>
    </row>
    <row r="869">
      <c r="A869" s="12" t="inlineStr">
        <is>
          <t>Rate basis: per sqm  (source: cost for 1 sqm)</t>
        </is>
      </c>
    </row>
    <row r="870">
      <c r="A870" s="5" t="inlineStr">
        <is>
          <t>Code</t>
        </is>
      </c>
      <c r="B870" s="5" t="inlineStr">
        <is>
          <t>Description</t>
        </is>
      </c>
      <c r="C870" s="5" t="inlineStr">
        <is>
          <t>Unit</t>
        </is>
      </c>
      <c r="D870" s="5" t="inlineStr">
        <is>
          <t>Quantity</t>
        </is>
      </c>
      <c r="E870" s="5" t="inlineStr">
        <is>
          <t>Rate (Rs.)</t>
        </is>
      </c>
      <c r="F870" s="5" t="inlineStr">
        <is>
          <t>Amount (Rs.)</t>
        </is>
      </c>
    </row>
    <row r="871">
      <c r="A871" s="13" t="inlineStr">
        <is>
          <t>3.9</t>
        </is>
      </c>
      <c r="B871" s="14" t="inlineStr">
        <is>
          <t>Rate as per SH: 3.9</t>
        </is>
      </c>
      <c r="C871" s="13" t="inlineStr">
        <is>
          <t>cum</t>
        </is>
      </c>
      <c r="D871" s="15" t="n">
        <v>0.014</v>
      </c>
      <c r="E871" s="16" t="n">
        <v>4010.35</v>
      </c>
      <c r="F871" s="16">
        <f>D871*E871</f>
        <v/>
      </c>
    </row>
    <row r="872">
      <c r="A872" s="13" t="inlineStr">
        <is>
          <t>7077</t>
        </is>
      </c>
      <c r="B872" s="14" t="inlineStr">
        <is>
          <t>Acid and alkali resistant tiles 300x300 mm size, 10 mm thick</t>
        </is>
      </c>
      <c r="C872" s="13" t="inlineStr">
        <is>
          <t>10 Nos</t>
        </is>
      </c>
      <c r="D872" s="15" t="n">
        <v>1.2</v>
      </c>
      <c r="E872" s="16" t="n">
        <v>520</v>
      </c>
      <c r="F872" s="16">
        <f>D872*E872</f>
        <v/>
      </c>
    </row>
    <row r="873">
      <c r="A873" s="13" t="inlineStr">
        <is>
          <t>9977</t>
        </is>
      </c>
      <c r="B873" s="14" t="inlineStr">
        <is>
          <t>Carriage of tiles</t>
        </is>
      </c>
      <c r="C873" s="13" t="inlineStr">
        <is>
          <t>L.S.</t>
        </is>
      </c>
      <c r="D873" s="15" t="n">
        <v>6.24</v>
      </c>
      <c r="E873" s="16" t="n">
        <v>2</v>
      </c>
      <c r="F873" s="16">
        <f>D873*E873</f>
        <v/>
      </c>
    </row>
    <row r="874">
      <c r="A874" s="13" t="inlineStr">
        <is>
          <t>7024</t>
        </is>
      </c>
      <c r="B874" s="14" t="inlineStr">
        <is>
          <t>Acid Proof cement</t>
        </is>
      </c>
      <c r="C874" s="13" t="inlineStr">
        <is>
          <t>tonne</t>
        </is>
      </c>
      <c r="D874" s="15" t="n">
        <v>0.0086</v>
      </c>
      <c r="E874" s="16" t="n">
        <v>7800</v>
      </c>
      <c r="F874" s="16">
        <f>D874*E874</f>
        <v/>
      </c>
    </row>
    <row r="875">
      <c r="A875" s="13" t="inlineStr">
        <is>
          <t>9999</t>
        </is>
      </c>
      <c r="B875" s="14" t="inlineStr">
        <is>
          <t>Mortar for pointing in acid proof cement</t>
        </is>
      </c>
      <c r="C875" s="13" t="inlineStr">
        <is>
          <t>L.S.</t>
        </is>
      </c>
      <c r="D875" s="15" t="n">
        <v>40.43</v>
      </c>
      <c r="E875" s="16" t="n">
        <v>2</v>
      </c>
      <c r="F875" s="16">
        <f>D875*E875</f>
        <v/>
      </c>
    </row>
    <row r="876">
      <c r="A876" s="13" t="inlineStr">
        <is>
          <t>7024</t>
        </is>
      </c>
      <c r="B876" s="14" t="inlineStr">
        <is>
          <t>Acid Proof cement</t>
        </is>
      </c>
      <c r="C876" s="13" t="inlineStr">
        <is>
          <t>tonne</t>
        </is>
      </c>
      <c r="D876" s="15" t="n">
        <v>0.0033</v>
      </c>
      <c r="E876" s="16" t="n">
        <v>7800</v>
      </c>
      <c r="F876" s="16">
        <f>D876*E876</f>
        <v/>
      </c>
    </row>
    <row r="877">
      <c r="A877" s="13" t="inlineStr">
        <is>
          <t>0123</t>
        </is>
      </c>
      <c r="B877" s="14" t="inlineStr">
        <is>
          <t>Mason (brick layer) 1st class</t>
        </is>
      </c>
      <c r="C877" s="13" t="inlineStr">
        <is>
          <t>day</t>
        </is>
      </c>
      <c r="D877" s="15" t="n">
        <v>0.25</v>
      </c>
      <c r="E877" s="16" t="n">
        <v>738</v>
      </c>
      <c r="F877" s="16">
        <f>D877*E877</f>
        <v/>
      </c>
    </row>
    <row r="878">
      <c r="A878" s="13" t="inlineStr">
        <is>
          <t>0115</t>
        </is>
      </c>
      <c r="B878" s="14" t="inlineStr">
        <is>
          <t>Coolie</t>
        </is>
      </c>
      <c r="C878" s="13" t="inlineStr">
        <is>
          <t>day</t>
        </is>
      </c>
      <c r="D878" s="15" t="n">
        <v>0.25</v>
      </c>
      <c r="E878" s="16" t="n">
        <v>558</v>
      </c>
      <c r="F878" s="16">
        <f>D878*E878</f>
        <v/>
      </c>
    </row>
    <row r="879">
      <c r="A879" s="13" t="inlineStr">
        <is>
          <t>9988</t>
        </is>
      </c>
      <c r="B879" s="14" t="inlineStr">
        <is>
          <t>Sundries including carriage of cement etc.</t>
        </is>
      </c>
      <c r="C879" s="13" t="inlineStr">
        <is>
          <t>L.S.</t>
        </is>
      </c>
      <c r="D879" s="15" t="n">
        <v>26.91</v>
      </c>
      <c r="E879" s="16" t="n">
        <v>2</v>
      </c>
      <c r="F879" s="16">
        <f>D879*E879</f>
        <v/>
      </c>
    </row>
    <row r="880">
      <c r="A880" s="17" t="inlineStr">
        <is>
          <t>Resource Total (Material + Labour + Machinery, as printed)</t>
        </is>
      </c>
      <c r="B880" s="18" t="n"/>
      <c r="C880" s="18" t="n"/>
      <c r="D880" s="18" t="n"/>
      <c r="E880" s="18" t="n"/>
      <c r="F880" s="19">
        <f>SUM(F871:F879)</f>
        <v/>
      </c>
    </row>
    <row r="881">
      <c r="A881" s="20" t="inlineStr">
        <is>
          <t>SAY (Rs.) — final DAR rate</t>
        </is>
      </c>
      <c r="B881" s="21" t="n"/>
      <c r="C881" s="21" t="n"/>
      <c r="D881" s="21" t="n"/>
      <c r="E881" s="21" t="n"/>
      <c r="F881" s="22" t="n">
        <v>1607.7</v>
      </c>
    </row>
    <row r="883" ht="18" customHeight="1">
      <c r="A883" s="9" t="inlineStr">
        <is>
          <t>11.22.1.1</t>
        </is>
      </c>
      <c r="B883" s="10" t="inlineStr">
        <is>
          <t>8 mm thick</t>
        </is>
      </c>
      <c r="C883" s="11" t="n"/>
      <c r="D883" s="11" t="n"/>
      <c r="E883" s="11" t="n"/>
      <c r="F883" s="11" t="n"/>
    </row>
    <row r="884">
      <c r="A884" s="12" t="inlineStr">
        <is>
          <t>Rate basis: per sqm  (source: cost for 1 sqm)</t>
        </is>
      </c>
    </row>
    <row r="885">
      <c r="A885" s="5" t="inlineStr">
        <is>
          <t>Code</t>
        </is>
      </c>
      <c r="B885" s="5" t="inlineStr">
        <is>
          <t>Description</t>
        </is>
      </c>
      <c r="C885" s="5" t="inlineStr">
        <is>
          <t>Unit</t>
        </is>
      </c>
      <c r="D885" s="5" t="inlineStr">
        <is>
          <t>Quantity</t>
        </is>
      </c>
      <c r="E885" s="5" t="inlineStr">
        <is>
          <t>Rate (Rs.)</t>
        </is>
      </c>
      <c r="F885" s="5" t="inlineStr">
        <is>
          <t>Amount (Rs.)</t>
        </is>
      </c>
    </row>
    <row r="886">
      <c r="A886" s="13" t="inlineStr">
        <is>
          <t>3.8</t>
        </is>
      </c>
      <c r="B886" s="14" t="inlineStr">
        <is>
          <t>Rate as per SH: 3.8</t>
        </is>
      </c>
      <c r="C886" s="13" t="inlineStr">
        <is>
          <t>cum</t>
        </is>
      </c>
      <c r="D886" s="15" t="n">
        <v>0.014</v>
      </c>
      <c r="E886" s="16" t="n">
        <v>4664.55</v>
      </c>
      <c r="F886" s="16">
        <f>D886*E886</f>
        <v/>
      </c>
    </row>
    <row r="887">
      <c r="A887" s="13" t="inlineStr">
        <is>
          <t>2751</t>
        </is>
      </c>
      <c r="B887" s="14" t="inlineStr">
        <is>
          <t>8 mm thick marble tiles (polished) Raj Nagar</t>
        </is>
      </c>
      <c r="C887" s="13" t="inlineStr">
        <is>
          <t>sqm</t>
        </is>
      </c>
      <c r="D887" s="15" t="n">
        <v>1.061</v>
      </c>
      <c r="E887" s="16" t="n">
        <v>400</v>
      </c>
      <c r="F887" s="16">
        <f>D887*E887</f>
        <v/>
      </c>
    </row>
    <row r="888">
      <c r="A888" s="13" t="inlineStr">
        <is>
          <t>9977</t>
        </is>
      </c>
      <c r="B888" s="14" t="inlineStr">
        <is>
          <t>Carriage of tiles</t>
        </is>
      </c>
      <c r="C888" s="13" t="inlineStr">
        <is>
          <t>L.S.</t>
        </is>
      </c>
      <c r="D888" s="15" t="n">
        <v>3.9</v>
      </c>
      <c r="E888" s="16" t="n">
        <v>2</v>
      </c>
      <c r="F888" s="16">
        <f>D888*E888</f>
        <v/>
      </c>
    </row>
    <row r="889">
      <c r="A889" s="13" t="inlineStr">
        <is>
          <t>9999</t>
        </is>
      </c>
      <c r="B889" s="14" t="inlineStr">
        <is>
          <t>Mortar for pointing in white cement</t>
        </is>
      </c>
      <c r="C889" s="13" t="inlineStr">
        <is>
          <t>L.S.</t>
        </is>
      </c>
      <c r="D889" s="15" t="n">
        <v>25.35</v>
      </c>
      <c r="E889" s="16" t="n">
        <v>2</v>
      </c>
      <c r="F889" s="16">
        <f>D889*E889</f>
        <v/>
      </c>
    </row>
    <row r="890">
      <c r="A890" s="13" t="inlineStr">
        <is>
          <t>0367</t>
        </is>
      </c>
      <c r="B890" s="14" t="inlineStr">
        <is>
          <t>Portland Cement</t>
        </is>
      </c>
      <c r="C890" s="13" t="inlineStr">
        <is>
          <t>tonne</t>
        </is>
      </c>
      <c r="D890" s="15" t="n">
        <v>0.0033</v>
      </c>
      <c r="E890" s="16" t="n">
        <v>4940</v>
      </c>
      <c r="F890" s="16">
        <f>D890*E890</f>
        <v/>
      </c>
    </row>
    <row r="891">
      <c r="A891" s="13" t="inlineStr">
        <is>
          <t>9999</t>
        </is>
      </c>
      <c r="B891" s="14" t="inlineStr">
        <is>
          <t>Pigment</t>
        </is>
      </c>
      <c r="C891" s="13" t="inlineStr">
        <is>
          <t>L.S.</t>
        </is>
      </c>
      <c r="D891" s="15" t="n">
        <v>2.08</v>
      </c>
      <c r="E891" s="16" t="n">
        <v>2</v>
      </c>
      <c r="F891" s="16">
        <f>D891*E891</f>
        <v/>
      </c>
    </row>
    <row r="892">
      <c r="A892" s="13" t="inlineStr">
        <is>
          <t>0123</t>
        </is>
      </c>
      <c r="B892" s="14" t="inlineStr">
        <is>
          <t>Mason (brick layer) 1st class</t>
        </is>
      </c>
      <c r="C892" s="13" t="inlineStr">
        <is>
          <t>day</t>
        </is>
      </c>
      <c r="D892" s="15" t="n">
        <v>0.25</v>
      </c>
      <c r="E892" s="16" t="n">
        <v>738</v>
      </c>
      <c r="F892" s="16">
        <f>D892*E892</f>
        <v/>
      </c>
    </row>
    <row r="893">
      <c r="A893" s="13" t="inlineStr">
        <is>
          <t>0115</t>
        </is>
      </c>
      <c r="B893" s="14" t="inlineStr">
        <is>
          <t>Coolie</t>
        </is>
      </c>
      <c r="C893" s="13" t="inlineStr">
        <is>
          <t>day</t>
        </is>
      </c>
      <c r="D893" s="15" t="n">
        <v>0.25</v>
      </c>
      <c r="E893" s="16" t="n">
        <v>558</v>
      </c>
      <c r="F893" s="16">
        <f>D893*E893</f>
        <v/>
      </c>
    </row>
    <row r="894">
      <c r="A894" s="13" t="inlineStr">
        <is>
          <t>9988</t>
        </is>
      </c>
      <c r="B894" s="14" t="inlineStr">
        <is>
          <t>Sundries including carriage of cement etc.</t>
        </is>
      </c>
      <c r="C894" s="13" t="inlineStr">
        <is>
          <t>L.S.</t>
        </is>
      </c>
      <c r="D894" s="15" t="n">
        <v>16.9</v>
      </c>
      <c r="E894" s="16" t="n">
        <v>2</v>
      </c>
      <c r="F894" s="16">
        <f>D894*E894</f>
        <v/>
      </c>
    </row>
    <row r="895">
      <c r="A895" s="17" t="inlineStr">
        <is>
          <t>Resource Total (Material + Labour + Machinery, as printed)</t>
        </is>
      </c>
      <c r="B895" s="18" t="n"/>
      <c r="C895" s="18" t="n"/>
      <c r="D895" s="18" t="n"/>
      <c r="E895" s="18" t="n"/>
      <c r="F895" s="19">
        <f>SUM(F886:F894)</f>
        <v/>
      </c>
    </row>
    <row r="896">
      <c r="A896" s="20" t="inlineStr">
        <is>
          <t>SAY (Rs.) — final DAR rate</t>
        </is>
      </c>
      <c r="B896" s="21" t="n"/>
      <c r="C896" s="21" t="n"/>
      <c r="D896" s="21" t="n"/>
      <c r="E896" s="21" t="n"/>
      <c r="F896" s="22" t="n">
        <v>1239.55</v>
      </c>
    </row>
    <row r="898" ht="18" customHeight="1">
      <c r="A898" s="9" t="inlineStr">
        <is>
          <t>11.23.1</t>
        </is>
      </c>
      <c r="B898" s="10" t="inlineStr">
        <is>
          <t>Makrana white second quality</t>
        </is>
      </c>
      <c r="C898" s="11" t="n"/>
      <c r="D898" s="11" t="n"/>
      <c r="E898" s="11" t="n"/>
      <c r="F898" s="11" t="n"/>
    </row>
    <row r="899">
      <c r="A899" s="12" t="inlineStr">
        <is>
          <t>Rate basis: per sqm  (source: cost for 10 sqm)</t>
        </is>
      </c>
    </row>
    <row r="900">
      <c r="A900" s="5" t="inlineStr">
        <is>
          <t>Code</t>
        </is>
      </c>
      <c r="B900" s="5" t="inlineStr">
        <is>
          <t>Description</t>
        </is>
      </c>
      <c r="C900" s="5" t="inlineStr">
        <is>
          <t>Unit</t>
        </is>
      </c>
      <c r="D900" s="5" t="inlineStr">
        <is>
          <t>Quantity</t>
        </is>
      </c>
      <c r="E900" s="5" t="inlineStr">
        <is>
          <t>Rate (Rs.)</t>
        </is>
      </c>
      <c r="F900" s="5" t="inlineStr">
        <is>
          <t>Amount (Rs.)</t>
        </is>
      </c>
    </row>
    <row r="901">
      <c r="A901" s="13" t="inlineStr">
        <is>
          <t>3.9</t>
        </is>
      </c>
      <c r="B901" s="14" t="inlineStr">
        <is>
          <t>Rate as per SH: 3.9</t>
        </is>
      </c>
      <c r="C901" s="13" t="inlineStr">
        <is>
          <t>cum</t>
        </is>
      </c>
      <c r="D901" s="15" t="n">
        <v>0.224</v>
      </c>
      <c r="E901" s="16" t="n">
        <v>4010.35</v>
      </c>
      <c r="F901" s="16">
        <f>D901*E901</f>
        <v/>
      </c>
    </row>
    <row r="902">
      <c r="A902" s="13" t="inlineStr">
        <is>
          <t>6001</t>
        </is>
      </c>
      <c r="B902" s="14" t="inlineStr">
        <is>
          <t>White marble slab Makrana second quality plain veined 18 mm thick</t>
        </is>
      </c>
      <c r="C902" s="13" t="inlineStr">
        <is>
          <t>sqm</t>
        </is>
      </c>
      <c r="D902" s="15" t="n">
        <v>11.5</v>
      </c>
      <c r="E902" s="16" t="n">
        <v>1430</v>
      </c>
      <c r="F902" s="16">
        <f>D902*E902</f>
        <v/>
      </c>
    </row>
    <row r="903">
      <c r="A903" s="13" t="inlineStr">
        <is>
          <t>0367</t>
        </is>
      </c>
      <c r="B903" s="14" t="inlineStr">
        <is>
          <t>Portland Cement</t>
        </is>
      </c>
      <c r="C903" s="13" t="inlineStr">
        <is>
          <t>tonne</t>
        </is>
      </c>
      <c r="D903" s="15" t="n">
        <v>0.05</v>
      </c>
      <c r="E903" s="16" t="n">
        <v>4940</v>
      </c>
      <c r="F903" s="16">
        <f>D903*E903</f>
        <v/>
      </c>
    </row>
    <row r="904">
      <c r="A904" s="13" t="inlineStr">
        <is>
          <t>9977</t>
        </is>
      </c>
      <c r="B904" s="14" t="inlineStr">
        <is>
          <t>Carriage of marble slab</t>
        </is>
      </c>
      <c r="C904" s="13" t="inlineStr">
        <is>
          <t>L.S.</t>
        </is>
      </c>
      <c r="D904" s="15" t="n">
        <v>26.91</v>
      </c>
      <c r="E904" s="16" t="n">
        <v>2</v>
      </c>
      <c r="F904" s="16">
        <f>D904*E904</f>
        <v/>
      </c>
    </row>
    <row r="905">
      <c r="A905" s="13" t="inlineStr">
        <is>
          <t>0123</t>
        </is>
      </c>
      <c r="B905" s="14" t="inlineStr">
        <is>
          <t>Mason (brick layer) 1st class</t>
        </is>
      </c>
      <c r="C905" s="13" t="inlineStr">
        <is>
          <t>day</t>
        </is>
      </c>
      <c r="D905" s="15" t="n">
        <v>1.2</v>
      </c>
      <c r="E905" s="16" t="n">
        <v>738</v>
      </c>
      <c r="F905" s="16">
        <f>D905*E905</f>
        <v/>
      </c>
    </row>
    <row r="906">
      <c r="A906" s="13" t="inlineStr">
        <is>
          <t>0114</t>
        </is>
      </c>
      <c r="B906" s="14" t="inlineStr">
        <is>
          <t>Beldar</t>
        </is>
      </c>
      <c r="C906" s="13" t="inlineStr">
        <is>
          <t>day</t>
        </is>
      </c>
      <c r="D906" s="15" t="n">
        <v>1</v>
      </c>
      <c r="E906" s="16" t="n">
        <v>558</v>
      </c>
      <c r="F906" s="16">
        <f>D906*E906</f>
        <v/>
      </c>
    </row>
    <row r="907">
      <c r="A907" s="13" t="inlineStr">
        <is>
          <t>0115</t>
        </is>
      </c>
      <c r="B907" s="14" t="inlineStr">
        <is>
          <t>Coolie</t>
        </is>
      </c>
      <c r="C907" s="13" t="inlineStr">
        <is>
          <t>day</t>
        </is>
      </c>
      <c r="D907" s="15" t="n">
        <v>1</v>
      </c>
      <c r="E907" s="16" t="n">
        <v>558</v>
      </c>
      <c r="F907" s="16">
        <f>D907*E907</f>
        <v/>
      </c>
    </row>
    <row r="908">
      <c r="A908" s="13" t="inlineStr">
        <is>
          <t>0139</t>
        </is>
      </c>
      <c r="B908" s="14" t="inlineStr">
        <is>
          <t>Skilled Beldar (for floor rubbing etc.)</t>
        </is>
      </c>
      <c r="C908" s="13" t="inlineStr">
        <is>
          <t>day</t>
        </is>
      </c>
      <c r="D908" s="15" t="n">
        <v>5</v>
      </c>
      <c r="E908" s="16" t="n">
        <v>617</v>
      </c>
      <c r="F908" s="16">
        <f>D908*E908</f>
        <v/>
      </c>
    </row>
    <row r="909">
      <c r="A909" s="13" t="inlineStr">
        <is>
          <t>0013</t>
        </is>
      </c>
      <c r="B909" s="14" t="inlineStr">
        <is>
          <t>Machine for rubbing of floors</t>
        </is>
      </c>
      <c r="C909" s="13" t="inlineStr">
        <is>
          <t>day</t>
        </is>
      </c>
      <c r="D909" s="15" t="n">
        <v>4</v>
      </c>
      <c r="E909" s="16" t="n">
        <v>300</v>
      </c>
      <c r="F909" s="16">
        <f>D909*E909</f>
        <v/>
      </c>
    </row>
    <row r="910">
      <c r="A910" s="13" t="inlineStr">
        <is>
          <t>9988</t>
        </is>
      </c>
      <c r="B910" s="14" t="inlineStr">
        <is>
          <t>Sundries and carriage of cement etc.</t>
        </is>
      </c>
      <c r="C910" s="13" t="inlineStr">
        <is>
          <t>L.S.</t>
        </is>
      </c>
      <c r="D910" s="15" t="n">
        <v>134.55</v>
      </c>
      <c r="E910" s="16" t="n">
        <v>2</v>
      </c>
      <c r="F910" s="16">
        <f>D910*E910</f>
        <v/>
      </c>
    </row>
    <row r="911">
      <c r="A911" s="17" t="inlineStr">
        <is>
          <t>Resource Total (Material + Labour + Machinery, as printed)</t>
        </is>
      </c>
      <c r="B911" s="18" t="n"/>
      <c r="C911" s="18" t="n"/>
      <c r="D911" s="18" t="n"/>
      <c r="E911" s="18" t="n"/>
      <c r="F911" s="19">
        <f>SUM(F901:F910)</f>
        <v/>
      </c>
    </row>
    <row r="912">
      <c r="A912" s="20" t="inlineStr">
        <is>
          <t>SAY (Rs.) — final DAR rate</t>
        </is>
      </c>
      <c r="B912" s="21" t="n"/>
      <c r="C912" s="21" t="n"/>
      <c r="D912" s="21" t="n"/>
      <c r="E912" s="21" t="n"/>
      <c r="F912" s="22" t="n">
        <v>3237.8</v>
      </c>
    </row>
    <row r="914" ht="18" customHeight="1">
      <c r="A914" s="9" t="inlineStr">
        <is>
          <t>11.23.2</t>
        </is>
      </c>
      <c r="B914" s="10" t="inlineStr">
        <is>
          <t>Raj Nagar plain</t>
        </is>
      </c>
      <c r="C914" s="11" t="n"/>
      <c r="D914" s="11" t="n"/>
      <c r="E914" s="11" t="n"/>
      <c r="F914" s="11" t="n"/>
    </row>
    <row r="915">
      <c r="A915" s="12" t="inlineStr">
        <is>
          <t>Rate basis: per sqm  (source: cost for 10 sqm)</t>
        </is>
      </c>
    </row>
    <row r="916">
      <c r="A916" s="5" t="inlineStr">
        <is>
          <t>Code</t>
        </is>
      </c>
      <c r="B916" s="5" t="inlineStr">
        <is>
          <t>Description</t>
        </is>
      </c>
      <c r="C916" s="5" t="inlineStr">
        <is>
          <t>Unit</t>
        </is>
      </c>
      <c r="D916" s="5" t="inlineStr">
        <is>
          <t>Quantity</t>
        </is>
      </c>
      <c r="E916" s="5" t="inlineStr">
        <is>
          <t>Rate (Rs.)</t>
        </is>
      </c>
      <c r="F916" s="5" t="inlineStr">
        <is>
          <t>Amount (Rs.)</t>
        </is>
      </c>
    </row>
    <row r="917">
      <c r="A917" s="13" t="inlineStr">
        <is>
          <t>3.9</t>
        </is>
      </c>
      <c r="B917" s="14" t="inlineStr">
        <is>
          <t>Rate as per SH: 3.9</t>
        </is>
      </c>
      <c r="C917" s="13" t="inlineStr">
        <is>
          <t>cum</t>
        </is>
      </c>
      <c r="D917" s="15" t="n">
        <v>0.224</v>
      </c>
      <c r="E917" s="16" t="n">
        <v>4010.35</v>
      </c>
      <c r="F917" s="16">
        <f>D917*E917</f>
        <v/>
      </c>
    </row>
    <row r="918">
      <c r="A918" s="13" t="inlineStr">
        <is>
          <t>7071</t>
        </is>
      </c>
      <c r="B918" s="14" t="inlineStr">
        <is>
          <t>White marble Raj Nagar plain 18 mm thick upto 0.50 sqm area</t>
        </is>
      </c>
      <c r="C918" s="13" t="inlineStr">
        <is>
          <t>sqm</t>
        </is>
      </c>
      <c r="D918" s="15" t="n">
        <v>11.5</v>
      </c>
      <c r="E918" s="16" t="n">
        <v>600</v>
      </c>
      <c r="F918" s="16">
        <f>D918*E918</f>
        <v/>
      </c>
    </row>
    <row r="919">
      <c r="A919" s="13" t="inlineStr">
        <is>
          <t>0367</t>
        </is>
      </c>
      <c r="B919" s="14" t="inlineStr">
        <is>
          <t>Portland Cement</t>
        </is>
      </c>
      <c r="C919" s="13" t="inlineStr">
        <is>
          <t>tonne</t>
        </is>
      </c>
      <c r="D919" s="15" t="n">
        <v>0.05</v>
      </c>
      <c r="E919" s="16" t="n">
        <v>4940</v>
      </c>
      <c r="F919" s="16">
        <f>D919*E919</f>
        <v/>
      </c>
    </row>
    <row r="920">
      <c r="A920" s="13" t="inlineStr">
        <is>
          <t>9977</t>
        </is>
      </c>
      <c r="B920" s="14" t="inlineStr">
        <is>
          <t>Carriage of marble slab</t>
        </is>
      </c>
      <c r="C920" s="13" t="inlineStr">
        <is>
          <t>L.S.</t>
        </is>
      </c>
      <c r="D920" s="15" t="n">
        <v>26.91</v>
      </c>
      <c r="E920" s="16" t="n">
        <v>2</v>
      </c>
      <c r="F920" s="16">
        <f>D920*E920</f>
        <v/>
      </c>
    </row>
    <row r="921">
      <c r="A921" s="13" t="inlineStr">
        <is>
          <t>0123</t>
        </is>
      </c>
      <c r="B921" s="14" t="inlineStr">
        <is>
          <t>Mason (brick layer) 1st class</t>
        </is>
      </c>
      <c r="C921" s="13" t="inlineStr">
        <is>
          <t>day</t>
        </is>
      </c>
      <c r="D921" s="15" t="n">
        <v>1.2</v>
      </c>
      <c r="E921" s="16" t="n">
        <v>738</v>
      </c>
      <c r="F921" s="16">
        <f>D921*E921</f>
        <v/>
      </c>
    </row>
    <row r="922">
      <c r="A922" s="13" t="inlineStr">
        <is>
          <t>0114</t>
        </is>
      </c>
      <c r="B922" s="14" t="inlineStr">
        <is>
          <t>Beldar</t>
        </is>
      </c>
      <c r="C922" s="13" t="inlineStr">
        <is>
          <t>day</t>
        </is>
      </c>
      <c r="D922" s="15" t="n">
        <v>1</v>
      </c>
      <c r="E922" s="16" t="n">
        <v>558</v>
      </c>
      <c r="F922" s="16">
        <f>D922*E922</f>
        <v/>
      </c>
    </row>
    <row r="923">
      <c r="A923" s="13" t="inlineStr">
        <is>
          <t>0115</t>
        </is>
      </c>
      <c r="B923" s="14" t="inlineStr">
        <is>
          <t>Coolie</t>
        </is>
      </c>
      <c r="C923" s="13" t="inlineStr">
        <is>
          <t>day</t>
        </is>
      </c>
      <c r="D923" s="15" t="n">
        <v>1</v>
      </c>
      <c r="E923" s="16" t="n">
        <v>558</v>
      </c>
      <c r="F923" s="16">
        <f>D923*E923</f>
        <v/>
      </c>
    </row>
    <row r="924">
      <c r="A924" s="13" t="inlineStr">
        <is>
          <t>0139</t>
        </is>
      </c>
      <c r="B924" s="14" t="inlineStr">
        <is>
          <t>Skilled Beldar (for floor rubbing etc.)</t>
        </is>
      </c>
      <c r="C924" s="13" t="inlineStr">
        <is>
          <t>day</t>
        </is>
      </c>
      <c r="D924" s="15" t="n">
        <v>5</v>
      </c>
      <c r="E924" s="16" t="n">
        <v>617</v>
      </c>
      <c r="F924" s="16">
        <f>D924*E924</f>
        <v/>
      </c>
    </row>
    <row r="925">
      <c r="A925" s="13" t="inlineStr">
        <is>
          <t>0013</t>
        </is>
      </c>
      <c r="B925" s="14" t="inlineStr">
        <is>
          <t>Machine for rubbing of floors</t>
        </is>
      </c>
      <c r="C925" s="13" t="inlineStr">
        <is>
          <t>day</t>
        </is>
      </c>
      <c r="D925" s="15" t="n">
        <v>4</v>
      </c>
      <c r="E925" s="16" t="n">
        <v>300</v>
      </c>
      <c r="F925" s="16">
        <f>D925*E925</f>
        <v/>
      </c>
    </row>
    <row r="926">
      <c r="A926" s="13" t="inlineStr">
        <is>
          <t>9988</t>
        </is>
      </c>
      <c r="B926" s="14" t="inlineStr">
        <is>
          <t>Sundries and carriage of cement etc.</t>
        </is>
      </c>
      <c r="C926" s="13" t="inlineStr">
        <is>
          <t>L.S.</t>
        </is>
      </c>
      <c r="D926" s="15" t="n">
        <v>134.55</v>
      </c>
      <c r="E926" s="16" t="n">
        <v>2</v>
      </c>
      <c r="F926" s="16">
        <f>D926*E926</f>
        <v/>
      </c>
    </row>
    <row r="927">
      <c r="A927" s="17" t="inlineStr">
        <is>
          <t>Resource Total (Material + Labour + Machinery, as printed)</t>
        </is>
      </c>
      <c r="B927" s="18" t="n"/>
      <c r="C927" s="18" t="n"/>
      <c r="D927" s="18" t="n"/>
      <c r="E927" s="18" t="n"/>
      <c r="F927" s="19">
        <f>SUM(F917:F926)</f>
        <v/>
      </c>
    </row>
    <row r="928">
      <c r="A928" s="20" t="inlineStr">
        <is>
          <t>SAY (Rs.) — final DAR rate</t>
        </is>
      </c>
      <c r="B928" s="21" t="n"/>
      <c r="C928" s="21" t="n"/>
      <c r="D928" s="21" t="n"/>
      <c r="E928" s="21" t="n"/>
      <c r="F928" s="22" t="n">
        <v>1960.75</v>
      </c>
    </row>
    <row r="930" ht="18" customHeight="1">
      <c r="A930" s="9" t="inlineStr">
        <is>
          <t>11.23.3</t>
        </is>
      </c>
      <c r="B930" s="10" t="inlineStr">
        <is>
          <t>Agaria White</t>
        </is>
      </c>
      <c r="C930" s="11" t="n"/>
      <c r="D930" s="11" t="n"/>
      <c r="E930" s="11" t="n"/>
      <c r="F930" s="11" t="n"/>
    </row>
    <row r="931">
      <c r="A931" s="12" t="inlineStr">
        <is>
          <t>Rate basis: per sqm  (source: cost for 10 sqm)</t>
        </is>
      </c>
    </row>
    <row r="932">
      <c r="A932" s="5" t="inlineStr">
        <is>
          <t>Code</t>
        </is>
      </c>
      <c r="B932" s="5" t="inlineStr">
        <is>
          <t>Description</t>
        </is>
      </c>
      <c r="C932" s="5" t="inlineStr">
        <is>
          <t>Unit</t>
        </is>
      </c>
      <c r="D932" s="5" t="inlineStr">
        <is>
          <t>Quantity</t>
        </is>
      </c>
      <c r="E932" s="5" t="inlineStr">
        <is>
          <t>Rate (Rs.)</t>
        </is>
      </c>
      <c r="F932" s="5" t="inlineStr">
        <is>
          <t>Amount (Rs.)</t>
        </is>
      </c>
    </row>
    <row r="933">
      <c r="A933" s="13" t="inlineStr">
        <is>
          <t>3.9</t>
        </is>
      </c>
      <c r="B933" s="14" t="inlineStr">
        <is>
          <t>Rate as per SH: 3.9</t>
        </is>
      </c>
      <c r="C933" s="13" t="inlineStr">
        <is>
          <t>cum</t>
        </is>
      </c>
      <c r="D933" s="15" t="n">
        <v>0.224</v>
      </c>
      <c r="E933" s="16" t="n">
        <v>4010.35</v>
      </c>
      <c r="F933" s="16">
        <f>D933*E933</f>
        <v/>
      </c>
    </row>
    <row r="934">
      <c r="A934" s="13" t="inlineStr">
        <is>
          <t>7850</t>
        </is>
      </c>
      <c r="B934" s="14" t="inlineStr">
        <is>
          <t>Agaria White marble slab plain 18mm thick</t>
        </is>
      </c>
      <c r="C934" s="13" t="inlineStr">
        <is>
          <t>sqm</t>
        </is>
      </c>
      <c r="D934" s="15" t="n">
        <v>11.5</v>
      </c>
      <c r="E934" s="16" t="n">
        <v>1100</v>
      </c>
      <c r="F934" s="16">
        <f>D934*E934</f>
        <v/>
      </c>
    </row>
    <row r="935">
      <c r="A935" s="13" t="inlineStr">
        <is>
          <t>0367</t>
        </is>
      </c>
      <c r="B935" s="14" t="inlineStr">
        <is>
          <t>Portland Cement</t>
        </is>
      </c>
      <c r="C935" s="13" t="inlineStr">
        <is>
          <t>tonne</t>
        </is>
      </c>
      <c r="D935" s="15" t="n">
        <v>0.05</v>
      </c>
      <c r="E935" s="16" t="n">
        <v>4940</v>
      </c>
      <c r="F935" s="16">
        <f>D935*E935</f>
        <v/>
      </c>
    </row>
    <row r="936">
      <c r="A936" s="13" t="inlineStr">
        <is>
          <t>9977</t>
        </is>
      </c>
      <c r="B936" s="14" t="inlineStr">
        <is>
          <t>Carriage of marble slab</t>
        </is>
      </c>
      <c r="C936" s="13" t="inlineStr">
        <is>
          <t>L.S.</t>
        </is>
      </c>
      <c r="D936" s="15" t="n">
        <v>26.91</v>
      </c>
      <c r="E936" s="16" t="n">
        <v>2</v>
      </c>
      <c r="F936" s="16">
        <f>D936*E936</f>
        <v/>
      </c>
    </row>
    <row r="937">
      <c r="A937" s="13" t="inlineStr">
        <is>
          <t>0123</t>
        </is>
      </c>
      <c r="B937" s="14" t="inlineStr">
        <is>
          <t>Mason (brick layer) 1st class</t>
        </is>
      </c>
      <c r="C937" s="13" t="inlineStr">
        <is>
          <t>day</t>
        </is>
      </c>
      <c r="D937" s="15" t="n">
        <v>1.2</v>
      </c>
      <c r="E937" s="16" t="n">
        <v>738</v>
      </c>
      <c r="F937" s="16">
        <f>D937*E937</f>
        <v/>
      </c>
    </row>
    <row r="938">
      <c r="A938" s="13" t="inlineStr">
        <is>
          <t>0114</t>
        </is>
      </c>
      <c r="B938" s="14" t="inlineStr">
        <is>
          <t>Beldar</t>
        </is>
      </c>
      <c r="C938" s="13" t="inlineStr">
        <is>
          <t>day</t>
        </is>
      </c>
      <c r="D938" s="15" t="n">
        <v>1</v>
      </c>
      <c r="E938" s="16" t="n">
        <v>558</v>
      </c>
      <c r="F938" s="16">
        <f>D938*E938</f>
        <v/>
      </c>
    </row>
    <row r="939">
      <c r="A939" s="13" t="inlineStr">
        <is>
          <t>0115</t>
        </is>
      </c>
      <c r="B939" s="14" t="inlineStr">
        <is>
          <t>Coolie</t>
        </is>
      </c>
      <c r="C939" s="13" t="inlineStr">
        <is>
          <t>day</t>
        </is>
      </c>
      <c r="D939" s="15" t="n">
        <v>1</v>
      </c>
      <c r="E939" s="16" t="n">
        <v>558</v>
      </c>
      <c r="F939" s="16">
        <f>D939*E939</f>
        <v/>
      </c>
    </row>
    <row r="940">
      <c r="A940" s="13" t="inlineStr">
        <is>
          <t>0139</t>
        </is>
      </c>
      <c r="B940" s="14" t="inlineStr">
        <is>
          <t>Skilled Beldar (for floor rubbing etc.)</t>
        </is>
      </c>
      <c r="C940" s="13" t="inlineStr">
        <is>
          <t>day</t>
        </is>
      </c>
      <c r="D940" s="15" t="n">
        <v>5</v>
      </c>
      <c r="E940" s="16" t="n">
        <v>617</v>
      </c>
      <c r="F940" s="16">
        <f>D940*E940</f>
        <v/>
      </c>
    </row>
    <row r="941">
      <c r="A941" s="13" t="inlineStr">
        <is>
          <t>0013</t>
        </is>
      </c>
      <c r="B941" s="14" t="inlineStr">
        <is>
          <t>Machine for rubbing of floors</t>
        </is>
      </c>
      <c r="C941" s="13" t="inlineStr">
        <is>
          <t>day</t>
        </is>
      </c>
      <c r="D941" s="15" t="n">
        <v>4</v>
      </c>
      <c r="E941" s="16" t="n">
        <v>300</v>
      </c>
      <c r="F941" s="16">
        <f>D941*E941</f>
        <v/>
      </c>
    </row>
    <row r="942">
      <c r="A942" s="13" t="inlineStr">
        <is>
          <t>9988</t>
        </is>
      </c>
      <c r="B942" s="14" t="inlineStr">
        <is>
          <t>Sundries and carriage of cement etc.</t>
        </is>
      </c>
      <c r="C942" s="13" t="inlineStr">
        <is>
          <t>L.S.</t>
        </is>
      </c>
      <c r="D942" s="15" t="n">
        <v>134.55</v>
      </c>
      <c r="E942" s="16" t="n">
        <v>2</v>
      </c>
      <c r="F942" s="16">
        <f>D942*E942</f>
        <v/>
      </c>
    </row>
    <row r="943">
      <c r="A943" s="17" t="inlineStr">
        <is>
          <t>Resource Total (Material + Labour + Machinery, as printed)</t>
        </is>
      </c>
      <c r="B943" s="18" t="n"/>
      <c r="C943" s="18" t="n"/>
      <c r="D943" s="18" t="n"/>
      <c r="E943" s="18" t="n"/>
      <c r="F943" s="19">
        <f>SUM(F933:F942)</f>
        <v/>
      </c>
    </row>
    <row r="944">
      <c r="A944" s="20" t="inlineStr">
        <is>
          <t>SAY (Rs.) — final DAR rate</t>
        </is>
      </c>
      <c r="B944" s="21" t="n"/>
      <c r="C944" s="21" t="n"/>
      <c r="D944" s="21" t="n"/>
      <c r="E944" s="21" t="n"/>
      <c r="F944" s="22" t="n">
        <v>2730.05</v>
      </c>
    </row>
    <row r="946" ht="18" customHeight="1">
      <c r="A946" s="9" t="inlineStr">
        <is>
          <t>11.23.4</t>
        </is>
      </c>
      <c r="B946" s="10" t="inlineStr">
        <is>
          <t>Black Zebra</t>
        </is>
      </c>
      <c r="C946" s="11" t="n"/>
      <c r="D946" s="11" t="n"/>
      <c r="E946" s="11" t="n"/>
      <c r="F946" s="11" t="n"/>
    </row>
    <row r="947">
      <c r="A947" s="12" t="inlineStr">
        <is>
          <t>Rate basis: per sqm  (source: cost for 10 sqm)</t>
        </is>
      </c>
    </row>
    <row r="948">
      <c r="A948" s="5" t="inlineStr">
        <is>
          <t>Code</t>
        </is>
      </c>
      <c r="B948" s="5" t="inlineStr">
        <is>
          <t>Description</t>
        </is>
      </c>
      <c r="C948" s="5" t="inlineStr">
        <is>
          <t>Unit</t>
        </is>
      </c>
      <c r="D948" s="5" t="inlineStr">
        <is>
          <t>Quantity</t>
        </is>
      </c>
      <c r="E948" s="5" t="inlineStr">
        <is>
          <t>Rate (Rs.)</t>
        </is>
      </c>
      <c r="F948" s="5" t="inlineStr">
        <is>
          <t>Amount (Rs.)</t>
        </is>
      </c>
    </row>
    <row r="949">
      <c r="A949" s="13" t="inlineStr">
        <is>
          <t>3.9</t>
        </is>
      </c>
      <c r="B949" s="14" t="inlineStr">
        <is>
          <t>Rate as per SH: 3.9</t>
        </is>
      </c>
      <c r="C949" s="13" t="inlineStr">
        <is>
          <t>cum</t>
        </is>
      </c>
      <c r="D949" s="15" t="n">
        <v>0.224</v>
      </c>
      <c r="E949" s="16" t="n">
        <v>4010.35</v>
      </c>
      <c r="F949" s="16">
        <f>D949*E949</f>
        <v/>
      </c>
    </row>
    <row r="950">
      <c r="A950" s="13" t="inlineStr">
        <is>
          <t>6019</t>
        </is>
      </c>
      <c r="B950" s="14" t="inlineStr">
        <is>
          <t>Black Zebra marble slab plain 18mm thick</t>
        </is>
      </c>
      <c r="C950" s="13" t="inlineStr">
        <is>
          <t>sqm</t>
        </is>
      </c>
      <c r="D950" s="15" t="n">
        <v>11.5</v>
      </c>
      <c r="E950" s="16" t="n">
        <v>900</v>
      </c>
      <c r="F950" s="16">
        <f>D950*E950</f>
        <v/>
      </c>
    </row>
    <row r="951">
      <c r="A951" s="13" t="inlineStr">
        <is>
          <t>0367</t>
        </is>
      </c>
      <c r="B951" s="14" t="inlineStr">
        <is>
          <t>Portland Cement</t>
        </is>
      </c>
      <c r="C951" s="13" t="inlineStr">
        <is>
          <t>tonne</t>
        </is>
      </c>
      <c r="D951" s="15" t="n">
        <v>0.05</v>
      </c>
      <c r="E951" s="16" t="n">
        <v>4940</v>
      </c>
      <c r="F951" s="16">
        <f>D951*E951</f>
        <v/>
      </c>
    </row>
    <row r="952">
      <c r="A952" s="13" t="inlineStr">
        <is>
          <t>9977</t>
        </is>
      </c>
      <c r="B952" s="14" t="inlineStr">
        <is>
          <t>Carriage of marble slab</t>
        </is>
      </c>
      <c r="C952" s="13" t="inlineStr">
        <is>
          <t>L.S.</t>
        </is>
      </c>
      <c r="D952" s="15" t="n">
        <v>26.91</v>
      </c>
      <c r="E952" s="16" t="n">
        <v>2</v>
      </c>
      <c r="F952" s="16">
        <f>D952*E952</f>
        <v/>
      </c>
    </row>
    <row r="953">
      <c r="A953" s="13" t="inlineStr">
        <is>
          <t>0123</t>
        </is>
      </c>
      <c r="B953" s="14" t="inlineStr">
        <is>
          <t>Mason (brick layer) 1st class</t>
        </is>
      </c>
      <c r="C953" s="13" t="inlineStr">
        <is>
          <t>day</t>
        </is>
      </c>
      <c r="D953" s="15" t="n">
        <v>1.2</v>
      </c>
      <c r="E953" s="16" t="n">
        <v>738</v>
      </c>
      <c r="F953" s="16">
        <f>D953*E953</f>
        <v/>
      </c>
    </row>
    <row r="954">
      <c r="A954" s="13" t="inlineStr">
        <is>
          <t>0114</t>
        </is>
      </c>
      <c r="B954" s="14" t="inlineStr">
        <is>
          <t>Beldar</t>
        </is>
      </c>
      <c r="C954" s="13" t="inlineStr">
        <is>
          <t>day</t>
        </is>
      </c>
      <c r="D954" s="15" t="n">
        <v>1</v>
      </c>
      <c r="E954" s="16" t="n">
        <v>558</v>
      </c>
      <c r="F954" s="16">
        <f>D954*E954</f>
        <v/>
      </c>
    </row>
    <row r="955">
      <c r="A955" s="13" t="inlineStr">
        <is>
          <t>0115</t>
        </is>
      </c>
      <c r="B955" s="14" t="inlineStr">
        <is>
          <t>Coolie</t>
        </is>
      </c>
      <c r="C955" s="13" t="inlineStr">
        <is>
          <t>day</t>
        </is>
      </c>
      <c r="D955" s="15" t="n">
        <v>1</v>
      </c>
      <c r="E955" s="16" t="n">
        <v>558</v>
      </c>
      <c r="F955" s="16">
        <f>D955*E955</f>
        <v/>
      </c>
    </row>
    <row r="956">
      <c r="A956" s="13" t="inlineStr">
        <is>
          <t>0139</t>
        </is>
      </c>
      <c r="B956" s="14" t="inlineStr">
        <is>
          <t>Skilled Beldar (for floor rubbing etc.)</t>
        </is>
      </c>
      <c r="C956" s="13" t="inlineStr">
        <is>
          <t>day</t>
        </is>
      </c>
      <c r="D956" s="15" t="n">
        <v>5</v>
      </c>
      <c r="E956" s="16" t="n">
        <v>617</v>
      </c>
      <c r="F956" s="16">
        <f>D956*E956</f>
        <v/>
      </c>
    </row>
    <row r="957">
      <c r="A957" s="13" t="inlineStr">
        <is>
          <t>0013</t>
        </is>
      </c>
      <c r="B957" s="14" t="inlineStr">
        <is>
          <t>Machine for rubbing of floors</t>
        </is>
      </c>
      <c r="C957" s="13" t="inlineStr">
        <is>
          <t>day</t>
        </is>
      </c>
      <c r="D957" s="15" t="n">
        <v>4</v>
      </c>
      <c r="E957" s="16" t="n">
        <v>300</v>
      </c>
      <c r="F957" s="16">
        <f>D957*E957</f>
        <v/>
      </c>
    </row>
    <row r="958">
      <c r="A958" s="13" t="inlineStr">
        <is>
          <t>9988</t>
        </is>
      </c>
      <c r="B958" s="14" t="inlineStr">
        <is>
          <t>Sundries and carriage of cement etc.</t>
        </is>
      </c>
      <c r="C958" s="13" t="inlineStr">
        <is>
          <t>L.S.</t>
        </is>
      </c>
      <c r="D958" s="15" t="n">
        <v>134.55</v>
      </c>
      <c r="E958" s="16" t="n">
        <v>2</v>
      </c>
      <c r="F958" s="16">
        <f>D958*E958</f>
        <v/>
      </c>
    </row>
    <row r="959">
      <c r="A959" s="17" t="inlineStr">
        <is>
          <t>Resource Total (Material + Labour + Machinery, as printed)</t>
        </is>
      </c>
      <c r="B959" s="18" t="n"/>
      <c r="C959" s="18" t="n"/>
      <c r="D959" s="18" t="n"/>
      <c r="E959" s="18" t="n"/>
      <c r="F959" s="19">
        <f>SUM(F949:F958)</f>
        <v/>
      </c>
    </row>
    <row r="960">
      <c r="A960" s="20" t="inlineStr">
        <is>
          <t>SAY (Rs.) — final DAR rate</t>
        </is>
      </c>
      <c r="B960" s="21" t="n"/>
      <c r="C960" s="21" t="n"/>
      <c r="D960" s="21" t="n"/>
      <c r="E960" s="21" t="n"/>
      <c r="F960" s="22" t="n">
        <v>2422.3</v>
      </c>
    </row>
    <row r="962" ht="18" customHeight="1">
      <c r="A962" s="9" t="inlineStr">
        <is>
          <t>11.23.5</t>
        </is>
      </c>
      <c r="B962" s="10" t="inlineStr">
        <is>
          <t>Udaipur green marble</t>
        </is>
      </c>
      <c r="C962" s="11" t="n"/>
      <c r="D962" s="11" t="n"/>
      <c r="E962" s="11" t="n"/>
      <c r="F962" s="11" t="n"/>
    </row>
    <row r="963">
      <c r="A963" s="12" t="inlineStr">
        <is>
          <t>Rate basis: per sqm  (source: cost for 10 sqm)</t>
        </is>
      </c>
    </row>
    <row r="964">
      <c r="A964" s="5" t="inlineStr">
        <is>
          <t>Code</t>
        </is>
      </c>
      <c r="B964" s="5" t="inlineStr">
        <is>
          <t>Description</t>
        </is>
      </c>
      <c r="C964" s="5" t="inlineStr">
        <is>
          <t>Unit</t>
        </is>
      </c>
      <c r="D964" s="5" t="inlineStr">
        <is>
          <t>Quantity</t>
        </is>
      </c>
      <c r="E964" s="5" t="inlineStr">
        <is>
          <t>Rate (Rs.)</t>
        </is>
      </c>
      <c r="F964" s="5" t="inlineStr">
        <is>
          <t>Amount (Rs.)</t>
        </is>
      </c>
    </row>
    <row r="965">
      <c r="A965" s="13" t="inlineStr">
        <is>
          <t>3.9</t>
        </is>
      </c>
      <c r="B965" s="14" t="inlineStr">
        <is>
          <t>Rate as per SH: 3.9</t>
        </is>
      </c>
      <c r="C965" s="13" t="inlineStr">
        <is>
          <t>cum</t>
        </is>
      </c>
      <c r="D965" s="15" t="n">
        <v>0.224</v>
      </c>
      <c r="E965" s="16" t="n">
        <v>4010.35</v>
      </c>
      <c r="F965" s="16">
        <f>D965*E965</f>
        <v/>
      </c>
    </row>
    <row r="966">
      <c r="A966" s="13" t="inlineStr">
        <is>
          <t>6010</t>
        </is>
      </c>
      <c r="B966" s="14" t="inlineStr">
        <is>
          <t>Udaypur green marble slab plain 18mm thick</t>
        </is>
      </c>
      <c r="C966" s="13" t="inlineStr">
        <is>
          <t>sqm</t>
        </is>
      </c>
      <c r="D966" s="15" t="n">
        <v>11.5</v>
      </c>
      <c r="E966" s="16" t="n">
        <v>620</v>
      </c>
      <c r="F966" s="16">
        <f>D966*E966</f>
        <v/>
      </c>
    </row>
    <row r="967">
      <c r="A967" s="13" t="inlineStr">
        <is>
          <t>0367</t>
        </is>
      </c>
      <c r="B967" s="14" t="inlineStr">
        <is>
          <t>Portland Cement</t>
        </is>
      </c>
      <c r="C967" s="13" t="inlineStr">
        <is>
          <t>tonne</t>
        </is>
      </c>
      <c r="D967" s="15" t="n">
        <v>0.05</v>
      </c>
      <c r="E967" s="16" t="n">
        <v>4940</v>
      </c>
      <c r="F967" s="16">
        <f>D967*E967</f>
        <v/>
      </c>
    </row>
    <row r="968">
      <c r="A968" s="13" t="inlineStr">
        <is>
          <t>9977</t>
        </is>
      </c>
      <c r="B968" s="14" t="inlineStr">
        <is>
          <t>Carriage of marble slab</t>
        </is>
      </c>
      <c r="C968" s="13" t="inlineStr">
        <is>
          <t>L.S.</t>
        </is>
      </c>
      <c r="D968" s="15" t="n">
        <v>26.91</v>
      </c>
      <c r="E968" s="16" t="n">
        <v>2</v>
      </c>
      <c r="F968" s="16">
        <f>D968*E968</f>
        <v/>
      </c>
    </row>
    <row r="969">
      <c r="A969" s="13" t="inlineStr">
        <is>
          <t>0123</t>
        </is>
      </c>
      <c r="B969" s="14" t="inlineStr">
        <is>
          <t>Mason (brick layer) 1st class</t>
        </is>
      </c>
      <c r="C969" s="13" t="inlineStr">
        <is>
          <t>day</t>
        </is>
      </c>
      <c r="D969" s="15" t="n">
        <v>1.2</v>
      </c>
      <c r="E969" s="16" t="n">
        <v>738</v>
      </c>
      <c r="F969" s="16">
        <f>D969*E969</f>
        <v/>
      </c>
    </row>
    <row r="970">
      <c r="A970" s="13" t="inlineStr">
        <is>
          <t>0114</t>
        </is>
      </c>
      <c r="B970" s="14" t="inlineStr">
        <is>
          <t>Beldar</t>
        </is>
      </c>
      <c r="C970" s="13" t="inlineStr">
        <is>
          <t>day</t>
        </is>
      </c>
      <c r="D970" s="15" t="n">
        <v>1</v>
      </c>
      <c r="E970" s="16" t="n">
        <v>558</v>
      </c>
      <c r="F970" s="16">
        <f>D970*E970</f>
        <v/>
      </c>
    </row>
    <row r="971">
      <c r="A971" s="13" t="inlineStr">
        <is>
          <t>0115</t>
        </is>
      </c>
      <c r="B971" s="14" t="inlineStr">
        <is>
          <t>Coolie</t>
        </is>
      </c>
      <c r="C971" s="13" t="inlineStr">
        <is>
          <t>day</t>
        </is>
      </c>
      <c r="D971" s="15" t="n">
        <v>1</v>
      </c>
      <c r="E971" s="16" t="n">
        <v>558</v>
      </c>
      <c r="F971" s="16">
        <f>D971*E971</f>
        <v/>
      </c>
    </row>
    <row r="972">
      <c r="A972" s="13" t="inlineStr">
        <is>
          <t>0139</t>
        </is>
      </c>
      <c r="B972" s="14" t="inlineStr">
        <is>
          <t>Skilled Beldar (for floor rubbing etc.)</t>
        </is>
      </c>
      <c r="C972" s="13" t="inlineStr">
        <is>
          <t>day</t>
        </is>
      </c>
      <c r="D972" s="15" t="n">
        <v>5</v>
      </c>
      <c r="E972" s="16" t="n">
        <v>617</v>
      </c>
      <c r="F972" s="16">
        <f>D972*E972</f>
        <v/>
      </c>
    </row>
    <row r="973">
      <c r="A973" s="13" t="inlineStr">
        <is>
          <t>0013</t>
        </is>
      </c>
      <c r="B973" s="14" t="inlineStr">
        <is>
          <t>Machine for rubbing of floors</t>
        </is>
      </c>
      <c r="C973" s="13" t="inlineStr">
        <is>
          <t>day</t>
        </is>
      </c>
      <c r="D973" s="15" t="n">
        <v>4</v>
      </c>
      <c r="E973" s="16" t="n">
        <v>300</v>
      </c>
      <c r="F973" s="16">
        <f>D973*E973</f>
        <v/>
      </c>
    </row>
    <row r="974">
      <c r="A974" s="13" t="inlineStr">
        <is>
          <t>9988</t>
        </is>
      </c>
      <c r="B974" s="14" t="inlineStr">
        <is>
          <t>Sundries and carriage of cement etc.</t>
        </is>
      </c>
      <c r="C974" s="13" t="inlineStr">
        <is>
          <t>L.S.</t>
        </is>
      </c>
      <c r="D974" s="15" t="n">
        <v>134.55</v>
      </c>
      <c r="E974" s="16" t="n">
        <v>2</v>
      </c>
      <c r="F974" s="16">
        <f>D974*E974</f>
        <v/>
      </c>
    </row>
    <row r="975">
      <c r="A975" s="17" t="inlineStr">
        <is>
          <t>Resource Total (Material + Labour + Machinery, as printed)</t>
        </is>
      </c>
      <c r="B975" s="18" t="n"/>
      <c r="C975" s="18" t="n"/>
      <c r="D975" s="18" t="n"/>
      <c r="E975" s="18" t="n"/>
      <c r="F975" s="19">
        <f>SUM(F965:F974)</f>
        <v/>
      </c>
    </row>
    <row r="976">
      <c r="A976" s="20" t="inlineStr">
        <is>
          <t>SAY (Rs.) — final DAR rate</t>
        </is>
      </c>
      <c r="B976" s="21" t="n"/>
      <c r="C976" s="21" t="n"/>
      <c r="D976" s="21" t="n"/>
      <c r="E976" s="21" t="n"/>
      <c r="F976" s="22" t="n">
        <v>1991.5</v>
      </c>
    </row>
    <row r="978" ht="18" customHeight="1">
      <c r="A978" s="9" t="inlineStr">
        <is>
          <t>11.23.6</t>
        </is>
      </c>
      <c r="B978" s="10" t="inlineStr">
        <is>
          <t>Pink plain marble</t>
        </is>
      </c>
      <c r="C978" s="11" t="n"/>
      <c r="D978" s="11" t="n"/>
      <c r="E978" s="11" t="n"/>
      <c r="F978" s="11" t="n"/>
    </row>
    <row r="979">
      <c r="A979" s="12" t="inlineStr">
        <is>
          <t>Rate basis: per sqm  (source: cost for 10 sqm)</t>
        </is>
      </c>
    </row>
    <row r="980">
      <c r="A980" s="5" t="inlineStr">
        <is>
          <t>Code</t>
        </is>
      </c>
      <c r="B980" s="5" t="inlineStr">
        <is>
          <t>Description</t>
        </is>
      </c>
      <c r="C980" s="5" t="inlineStr">
        <is>
          <t>Unit</t>
        </is>
      </c>
      <c r="D980" s="5" t="inlineStr">
        <is>
          <t>Quantity</t>
        </is>
      </c>
      <c r="E980" s="5" t="inlineStr">
        <is>
          <t>Rate (Rs.)</t>
        </is>
      </c>
      <c r="F980" s="5" t="inlineStr">
        <is>
          <t>Amount (Rs.)</t>
        </is>
      </c>
    </row>
    <row r="981">
      <c r="A981" s="13" t="inlineStr">
        <is>
          <t>3.9</t>
        </is>
      </c>
      <c r="B981" s="14" t="inlineStr">
        <is>
          <t>Rate as per SH: 3.9</t>
        </is>
      </c>
      <c r="C981" s="13" t="inlineStr">
        <is>
          <t>cum</t>
        </is>
      </c>
      <c r="D981" s="15" t="n">
        <v>0.224</v>
      </c>
      <c r="E981" s="16" t="n">
        <v>4010.35</v>
      </c>
      <c r="F981" s="16">
        <f>D981*E981</f>
        <v/>
      </c>
    </row>
    <row r="982">
      <c r="A982" s="13" t="inlineStr">
        <is>
          <t>6007</t>
        </is>
      </c>
      <c r="B982" s="14" t="inlineStr">
        <is>
          <t>Pink marble slab plain 18mm thick</t>
        </is>
      </c>
      <c r="C982" s="13" t="inlineStr">
        <is>
          <t>sqm</t>
        </is>
      </c>
      <c r="D982" s="15" t="n">
        <v>11.5</v>
      </c>
      <c r="E982" s="16" t="n">
        <v>645</v>
      </c>
      <c r="F982" s="16">
        <f>D982*E982</f>
        <v/>
      </c>
    </row>
    <row r="983">
      <c r="A983" s="13" t="inlineStr">
        <is>
          <t>0367</t>
        </is>
      </c>
      <c r="B983" s="14" t="inlineStr">
        <is>
          <t>Portland Cement</t>
        </is>
      </c>
      <c r="C983" s="13" t="inlineStr">
        <is>
          <t>tonne</t>
        </is>
      </c>
      <c r="D983" s="15" t="n">
        <v>0.05</v>
      </c>
      <c r="E983" s="16" t="n">
        <v>4940</v>
      </c>
      <c r="F983" s="16">
        <f>D983*E983</f>
        <v/>
      </c>
    </row>
    <row r="984">
      <c r="A984" s="13" t="inlineStr">
        <is>
          <t>9977</t>
        </is>
      </c>
      <c r="B984" s="14" t="inlineStr">
        <is>
          <t>Carriage of marble slab</t>
        </is>
      </c>
      <c r="C984" s="13" t="inlineStr">
        <is>
          <t>L.S.</t>
        </is>
      </c>
      <c r="D984" s="15" t="n">
        <v>26.91</v>
      </c>
      <c r="E984" s="16" t="n">
        <v>2</v>
      </c>
      <c r="F984" s="16">
        <f>D984*E984</f>
        <v/>
      </c>
    </row>
    <row r="985">
      <c r="A985" s="13" t="inlineStr">
        <is>
          <t>0123</t>
        </is>
      </c>
      <c r="B985" s="14" t="inlineStr">
        <is>
          <t>Mason (brick layer) 1st class</t>
        </is>
      </c>
      <c r="C985" s="13" t="inlineStr">
        <is>
          <t>day</t>
        </is>
      </c>
      <c r="D985" s="15" t="n">
        <v>1.2</v>
      </c>
      <c r="E985" s="16" t="n">
        <v>738</v>
      </c>
      <c r="F985" s="16">
        <f>D985*E985</f>
        <v/>
      </c>
    </row>
    <row r="986">
      <c r="A986" s="13" t="inlineStr">
        <is>
          <t>0114</t>
        </is>
      </c>
      <c r="B986" s="14" t="inlineStr">
        <is>
          <t>Beldar</t>
        </is>
      </c>
      <c r="C986" s="13" t="inlineStr">
        <is>
          <t>day</t>
        </is>
      </c>
      <c r="D986" s="15" t="n">
        <v>1</v>
      </c>
      <c r="E986" s="16" t="n">
        <v>558</v>
      </c>
      <c r="F986" s="16">
        <f>D986*E986</f>
        <v/>
      </c>
    </row>
    <row r="987">
      <c r="A987" s="13" t="inlineStr">
        <is>
          <t>0115</t>
        </is>
      </c>
      <c r="B987" s="14" t="inlineStr">
        <is>
          <t>Coolie</t>
        </is>
      </c>
      <c r="C987" s="13" t="inlineStr">
        <is>
          <t>day</t>
        </is>
      </c>
      <c r="D987" s="15" t="n">
        <v>1</v>
      </c>
      <c r="E987" s="16" t="n">
        <v>558</v>
      </c>
      <c r="F987" s="16">
        <f>D987*E987</f>
        <v/>
      </c>
    </row>
    <row r="988">
      <c r="A988" s="13" t="inlineStr">
        <is>
          <t>0139</t>
        </is>
      </c>
      <c r="B988" s="14" t="inlineStr">
        <is>
          <t>Skilled Beldar (for floor rubbing etc.)</t>
        </is>
      </c>
      <c r="C988" s="13" t="inlineStr">
        <is>
          <t>day</t>
        </is>
      </c>
      <c r="D988" s="15" t="n">
        <v>5</v>
      </c>
      <c r="E988" s="16" t="n">
        <v>617</v>
      </c>
      <c r="F988" s="16">
        <f>D988*E988</f>
        <v/>
      </c>
    </row>
    <row r="989">
      <c r="A989" s="13" t="inlineStr">
        <is>
          <t>0013</t>
        </is>
      </c>
      <c r="B989" s="14" t="inlineStr">
        <is>
          <t>Machine for rubbing of floors</t>
        </is>
      </c>
      <c r="C989" s="13" t="inlineStr">
        <is>
          <t>day</t>
        </is>
      </c>
      <c r="D989" s="15" t="n">
        <v>4</v>
      </c>
      <c r="E989" s="16" t="n">
        <v>300</v>
      </c>
      <c r="F989" s="16">
        <f>D989*E989</f>
        <v/>
      </c>
    </row>
    <row r="990">
      <c r="A990" s="13" t="inlineStr">
        <is>
          <t>9988</t>
        </is>
      </c>
      <c r="B990" s="14" t="inlineStr">
        <is>
          <t>Sundries and carriage of cement etc.</t>
        </is>
      </c>
      <c r="C990" s="13" t="inlineStr">
        <is>
          <t>L.S.</t>
        </is>
      </c>
      <c r="D990" s="15" t="n">
        <v>134.55</v>
      </c>
      <c r="E990" s="16" t="n">
        <v>2</v>
      </c>
      <c r="F990" s="16">
        <f>D990*E990</f>
        <v/>
      </c>
    </row>
    <row r="991">
      <c r="A991" s="17" t="inlineStr">
        <is>
          <t>Resource Total (Material + Labour + Machinery, as printed)</t>
        </is>
      </c>
      <c r="B991" s="18" t="n"/>
      <c r="C991" s="18" t="n"/>
      <c r="D991" s="18" t="n"/>
      <c r="E991" s="18" t="n"/>
      <c r="F991" s="19">
        <f>SUM(F981:F990)</f>
        <v/>
      </c>
    </row>
    <row r="992">
      <c r="A992" s="20" t="inlineStr">
        <is>
          <t>SAY (Rs.) — final DAR rate</t>
        </is>
      </c>
      <c r="B992" s="21" t="n"/>
      <c r="C992" s="21" t="n"/>
      <c r="D992" s="21" t="n"/>
      <c r="E992" s="21" t="n"/>
      <c r="F992" s="22" t="n">
        <v>2029.95</v>
      </c>
    </row>
    <row r="994" ht="18" customHeight="1">
      <c r="A994" s="9" t="inlineStr">
        <is>
          <t>11.24</t>
        </is>
      </c>
      <c r="B994" s="10" t="inlineStr">
        <is>
          <t>Extra for pre finished nosing to treads of steps of marble stone.</t>
        </is>
      </c>
      <c r="C994" s="11" t="n"/>
      <c r="D994" s="11" t="n"/>
      <c r="E994" s="11" t="n"/>
      <c r="F994" s="11" t="n"/>
    </row>
    <row r="995">
      <c r="A995" s="12" t="inlineStr">
        <is>
          <t>Rate basis: per metre  (source: cost for 10 metre)</t>
        </is>
      </c>
    </row>
    <row r="996">
      <c r="A996" s="5" t="inlineStr">
        <is>
          <t>Code</t>
        </is>
      </c>
      <c r="B996" s="5" t="inlineStr">
        <is>
          <t>Description</t>
        </is>
      </c>
      <c r="C996" s="5" t="inlineStr">
        <is>
          <t>Unit</t>
        </is>
      </c>
      <c r="D996" s="5" t="inlineStr">
        <is>
          <t>Quantity</t>
        </is>
      </c>
      <c r="E996" s="5" t="inlineStr">
        <is>
          <t>Rate (Rs.)</t>
        </is>
      </c>
      <c r="F996" s="5" t="inlineStr">
        <is>
          <t>Amount (Rs.)</t>
        </is>
      </c>
    </row>
    <row r="997">
      <c r="A997" s="13" t="inlineStr">
        <is>
          <t>0126</t>
        </is>
      </c>
      <c r="B997" s="14" t="inlineStr">
        <is>
          <t>Mason (for ornamental stone work) 1st class</t>
        </is>
      </c>
      <c r="C997" s="13" t="inlineStr">
        <is>
          <t>day</t>
        </is>
      </c>
      <c r="D997" s="15" t="n">
        <v>2</v>
      </c>
      <c r="E997" s="16" t="n">
        <v>738</v>
      </c>
      <c r="F997" s="16">
        <f>D997*E997</f>
        <v/>
      </c>
    </row>
    <row r="998">
      <c r="A998" s="13" t="inlineStr">
        <is>
          <t>0114</t>
        </is>
      </c>
      <c r="B998" s="14" t="inlineStr">
        <is>
          <t>Beldar</t>
        </is>
      </c>
      <c r="C998" s="13" t="inlineStr">
        <is>
          <t>day</t>
        </is>
      </c>
      <c r="D998" s="15" t="n">
        <v>1.5</v>
      </c>
      <c r="E998" s="16" t="n">
        <v>558</v>
      </c>
      <c r="F998" s="16">
        <f>D998*E998</f>
        <v/>
      </c>
    </row>
    <row r="999">
      <c r="A999" s="13" t="inlineStr">
        <is>
          <t>0139</t>
        </is>
      </c>
      <c r="B999" s="14" t="inlineStr">
        <is>
          <t>Skilled Beldar (for floor rubbing etc.)</t>
        </is>
      </c>
      <c r="C999" s="13" t="inlineStr">
        <is>
          <t>day</t>
        </is>
      </c>
      <c r="D999" s="15" t="n">
        <v>2.5</v>
      </c>
      <c r="E999" s="16" t="n">
        <v>617</v>
      </c>
      <c r="F999" s="16">
        <f>D999*E999</f>
        <v/>
      </c>
    </row>
    <row r="1000">
      <c r="A1000" s="13" t="inlineStr">
        <is>
          <t>9999</t>
        </is>
      </c>
      <c r="B1000" s="14" t="inlineStr">
        <is>
          <t>Sundries</t>
        </is>
      </c>
      <c r="C1000" s="13" t="inlineStr">
        <is>
          <t>L.S.</t>
        </is>
      </c>
      <c r="D1000" s="15" t="n">
        <v>53.82</v>
      </c>
      <c r="E1000" s="16" t="n">
        <v>2</v>
      </c>
      <c r="F1000" s="16">
        <f>D1000*E1000</f>
        <v/>
      </c>
    </row>
    <row r="1001">
      <c r="A1001" s="17" t="inlineStr">
        <is>
          <t>Resource Total (Material + Labour + Machinery, as printed)</t>
        </is>
      </c>
      <c r="B1001" s="18" t="n"/>
      <c r="C1001" s="18" t="n"/>
      <c r="D1001" s="18" t="n"/>
      <c r="E1001" s="18" t="n"/>
      <c r="F1001" s="19">
        <f>SUM(F997:F1000)</f>
        <v/>
      </c>
    </row>
    <row r="1002">
      <c r="A1002" s="20" t="inlineStr">
        <is>
          <t>SAY (Rs.) — final DAR rate</t>
        </is>
      </c>
      <c r="B1002" s="21" t="n"/>
      <c r="C1002" s="21" t="n"/>
      <c r="D1002" s="21" t="n"/>
      <c r="E1002" s="21" t="n"/>
      <c r="F1002" s="22" t="n">
        <v>530.25</v>
      </c>
    </row>
    <row r="1004" ht="28" customHeight="1">
      <c r="A1004" s="9" t="inlineStr">
        <is>
          <t>11.25</t>
        </is>
      </c>
      <c r="B1004" s="10" t="inlineStr">
        <is>
          <t>Extra for marble stone flooring in treads of steps and risers using single length up to 2.00 metre.</t>
        </is>
      </c>
      <c r="C1004" s="11" t="n"/>
      <c r="D1004" s="11" t="n"/>
      <c r="E1004" s="11" t="n"/>
      <c r="F1004" s="11" t="n"/>
    </row>
    <row r="1005">
      <c r="A1005" s="12" t="inlineStr">
        <is>
          <t>Rate basis: per sqm  (source: cost for 10 sqm)</t>
        </is>
      </c>
    </row>
    <row r="1006">
      <c r="A1006" s="5" t="inlineStr">
        <is>
          <t>Code</t>
        </is>
      </c>
      <c r="B1006" s="5" t="inlineStr">
        <is>
          <t>Description</t>
        </is>
      </c>
      <c r="C1006" s="5" t="inlineStr">
        <is>
          <t>Unit</t>
        </is>
      </c>
      <c r="D1006" s="5" t="inlineStr">
        <is>
          <t>Quantity</t>
        </is>
      </c>
      <c r="E1006" s="5" t="inlineStr">
        <is>
          <t>Rate (Rs.)</t>
        </is>
      </c>
      <c r="F1006" s="5" t="inlineStr">
        <is>
          <t>Amount (Rs.)</t>
        </is>
      </c>
    </row>
    <row r="1007">
      <c r="A1007" s="13" t="inlineStr">
        <is>
          <t>0123</t>
        </is>
      </c>
      <c r="B1007" s="14" t="inlineStr">
        <is>
          <t>Mason (brick layer) 1st class</t>
        </is>
      </c>
      <c r="C1007" s="13" t="inlineStr">
        <is>
          <t>day</t>
        </is>
      </c>
      <c r="D1007" s="15" t="n">
        <v>1.95</v>
      </c>
      <c r="E1007" s="16" t="n">
        <v>738</v>
      </c>
      <c r="F1007" s="16">
        <f>D1007*E1007</f>
        <v/>
      </c>
    </row>
    <row r="1008">
      <c r="A1008" s="13" t="inlineStr">
        <is>
          <t>0114</t>
        </is>
      </c>
      <c r="B1008" s="14" t="inlineStr">
        <is>
          <t>Beldar</t>
        </is>
      </c>
      <c r="C1008" s="13" t="inlineStr">
        <is>
          <t>day</t>
        </is>
      </c>
      <c r="D1008" s="15" t="n">
        <v>1.4</v>
      </c>
      <c r="E1008" s="16" t="n">
        <v>558</v>
      </c>
      <c r="F1008" s="16">
        <f>D1008*E1008</f>
        <v/>
      </c>
    </row>
    <row r="1009">
      <c r="A1009" s="13" t="inlineStr">
        <is>
          <t>0115</t>
        </is>
      </c>
      <c r="B1009" s="14" t="inlineStr">
        <is>
          <t>Coolie</t>
        </is>
      </c>
      <c r="C1009" s="13" t="inlineStr">
        <is>
          <t>day</t>
        </is>
      </c>
      <c r="D1009" s="15" t="n">
        <v>0.75</v>
      </c>
      <c r="E1009" s="16" t="n">
        <v>558</v>
      </c>
      <c r="F1009" s="16">
        <f>D1009*E1009</f>
        <v/>
      </c>
    </row>
    <row r="1010">
      <c r="A1010" s="13" t="inlineStr">
        <is>
          <t>0139</t>
        </is>
      </c>
      <c r="B1010" s="14" t="inlineStr">
        <is>
          <t>Skilled Beldar (for floor rubbing etc.)</t>
        </is>
      </c>
      <c r="C1010" s="13" t="inlineStr">
        <is>
          <t>day</t>
        </is>
      </c>
      <c r="D1010" s="15" t="n">
        <v>3.18</v>
      </c>
      <c r="E1010" s="16" t="n">
        <v>617</v>
      </c>
      <c r="F1010" s="16">
        <f>D1010*E1010</f>
        <v/>
      </c>
    </row>
    <row r="1011">
      <c r="A1011" s="13" t="inlineStr">
        <is>
          <t>9999</t>
        </is>
      </c>
      <c r="B1011" s="14" t="inlineStr">
        <is>
          <t>Sundries</t>
        </is>
      </c>
      <c r="C1011" s="13" t="inlineStr">
        <is>
          <t>L.S.</t>
        </is>
      </c>
      <c r="D1011" s="15" t="n">
        <v>26.91</v>
      </c>
      <c r="E1011" s="16" t="n">
        <v>2</v>
      </c>
      <c r="F1011" s="16">
        <f>D1011*E1011</f>
        <v/>
      </c>
    </row>
    <row r="1012">
      <c r="A1012" s="17" t="inlineStr">
        <is>
          <t>Resource Total (Material + Labour + Machinery, as printed)</t>
        </is>
      </c>
      <c r="B1012" s="18" t="n"/>
      <c r="C1012" s="18" t="n"/>
      <c r="D1012" s="18" t="n"/>
      <c r="E1012" s="18" t="n"/>
      <c r="F1012" s="19">
        <f>SUM(F1007:F1011)</f>
        <v/>
      </c>
    </row>
    <row r="1013">
      <c r="A1013" s="20" t="inlineStr">
        <is>
          <t>SAY (Rs.) — final DAR rate</t>
        </is>
      </c>
      <c r="B1013" s="21" t="n"/>
      <c r="C1013" s="21" t="n"/>
      <c r="D1013" s="21" t="n"/>
      <c r="E1013" s="21" t="n"/>
      <c r="F1013" s="22" t="n">
        <v>622.75</v>
      </c>
    </row>
    <row r="1015" ht="18" customHeight="1">
      <c r="A1015" s="9" t="inlineStr">
        <is>
          <t>11.26.1</t>
        </is>
      </c>
      <c r="B1015" s="10" t="inlineStr">
        <is>
          <t>25 mm thick</t>
        </is>
      </c>
      <c r="C1015" s="11" t="n"/>
      <c r="D1015" s="11" t="n"/>
      <c r="E1015" s="11" t="n"/>
      <c r="F1015" s="11" t="n"/>
    </row>
    <row r="1016">
      <c r="A1016" s="12" t="inlineStr">
        <is>
          <t>Rate basis: per sqm  (source: cost for 10 sqm)</t>
        </is>
      </c>
    </row>
    <row r="1017">
      <c r="A1017" s="5" t="inlineStr">
        <is>
          <t>Code</t>
        </is>
      </c>
      <c r="B1017" s="5" t="inlineStr">
        <is>
          <t>Description</t>
        </is>
      </c>
      <c r="C1017" s="5" t="inlineStr">
        <is>
          <t>Unit</t>
        </is>
      </c>
      <c r="D1017" s="5" t="inlineStr">
        <is>
          <t>Quantity</t>
        </is>
      </c>
      <c r="E1017" s="5" t="inlineStr">
        <is>
          <t>Rate (Rs.)</t>
        </is>
      </c>
      <c r="F1017" s="5" t="inlineStr">
        <is>
          <t>Amount (Rs.)</t>
        </is>
      </c>
    </row>
    <row r="1018">
      <c r="A1018" s="13" t="inlineStr">
        <is>
          <t>3.9</t>
        </is>
      </c>
      <c r="B1018" s="14" t="inlineStr">
        <is>
          <t>Rate as per SH: 3.9</t>
        </is>
      </c>
      <c r="C1018" s="13" t="inlineStr">
        <is>
          <t>cum</t>
        </is>
      </c>
      <c r="D1018" s="15" t="n">
        <v>0.224</v>
      </c>
      <c r="E1018" s="16" t="n">
        <v>4010.35</v>
      </c>
      <c r="F1018" s="16">
        <f>D1018*E1018</f>
        <v/>
      </c>
    </row>
    <row r="1019">
      <c r="A1019" s="13" t="inlineStr">
        <is>
          <t>1168</t>
        </is>
      </c>
      <c r="B1019" s="14" t="inlineStr">
        <is>
          <t>Kota stone slab 20 mm to 25 mm thick (semi-polished) including 15% wastage</t>
        </is>
      </c>
      <c r="C1019" s="13" t="inlineStr">
        <is>
          <t>sqm</t>
        </is>
      </c>
      <c r="D1019" s="15" t="n">
        <v>11.5</v>
      </c>
      <c r="E1019" s="16" t="n">
        <v>280</v>
      </c>
      <c r="F1019" s="16">
        <f>D1019*E1019</f>
        <v/>
      </c>
    </row>
    <row r="1020">
      <c r="A1020" s="13" t="inlineStr">
        <is>
          <t>2216</t>
        </is>
      </c>
      <c r="B1020" s="14" t="inlineStr">
        <is>
          <t>Carriage of Stone blocks white &amp; red sand stone &amp; kota stone slab</t>
        </is>
      </c>
      <c r="C1020" s="13" t="inlineStr">
        <is>
          <t>tonne</t>
        </is>
      </c>
      <c r="D1020" s="15" t="n">
        <v>0.67</v>
      </c>
      <c r="E1020" s="16" t="n">
        <v>92.23999999999999</v>
      </c>
      <c r="F1020" s="16">
        <f>D1020*E1020</f>
        <v/>
      </c>
    </row>
    <row r="1021">
      <c r="A1021" s="13" t="inlineStr">
        <is>
          <t>0367</t>
        </is>
      </c>
      <c r="B1021" s="14" t="inlineStr">
        <is>
          <t>Portland Cement</t>
        </is>
      </c>
      <c r="C1021" s="13" t="inlineStr">
        <is>
          <t>tonne</t>
        </is>
      </c>
      <c r="D1021" s="15" t="n">
        <v>0.064</v>
      </c>
      <c r="E1021" s="16" t="n">
        <v>4940</v>
      </c>
      <c r="F1021" s="16">
        <f>D1021*E1021</f>
        <v/>
      </c>
    </row>
    <row r="1022">
      <c r="A1022" s="13" t="inlineStr">
        <is>
          <t>2209</t>
        </is>
      </c>
      <c r="B1022" s="14" t="inlineStr">
        <is>
          <t>Carriage of Cement</t>
        </is>
      </c>
      <c r="C1022" s="13" t="inlineStr">
        <is>
          <t>tonne</t>
        </is>
      </c>
      <c r="D1022" s="15" t="n">
        <v>0.064</v>
      </c>
      <c r="E1022" s="16" t="n">
        <v>92.23999999999999</v>
      </c>
      <c r="F1022" s="16">
        <f>D1022*E1022</f>
        <v/>
      </c>
    </row>
    <row r="1023">
      <c r="A1023" s="13" t="inlineStr">
        <is>
          <t>0874</t>
        </is>
      </c>
      <c r="B1023" s="14" t="inlineStr">
        <is>
          <t>Black colour dark shade pigment</t>
        </is>
      </c>
      <c r="C1023" s="13" t="inlineStr">
        <is>
          <t>kilogram</t>
        </is>
      </c>
      <c r="D1023" s="15" t="n">
        <v>4.5</v>
      </c>
      <c r="E1023" s="16" t="n">
        <v>70</v>
      </c>
      <c r="F1023" s="16">
        <f>D1023*E1023</f>
        <v/>
      </c>
    </row>
    <row r="1024">
      <c r="A1024" s="13" t="inlineStr">
        <is>
          <t>0124</t>
        </is>
      </c>
      <c r="B1024" s="14" t="inlineStr">
        <is>
          <t>Mason (brick layer) 2nd class</t>
        </is>
      </c>
      <c r="C1024" s="13" t="inlineStr">
        <is>
          <t>day</t>
        </is>
      </c>
      <c r="D1024" s="15" t="n">
        <v>1.2</v>
      </c>
      <c r="E1024" s="16" t="n">
        <v>679</v>
      </c>
      <c r="F1024" s="16">
        <f>D1024*E1024</f>
        <v/>
      </c>
    </row>
    <row r="1025">
      <c r="A1025" s="13" t="inlineStr">
        <is>
          <t>0114</t>
        </is>
      </c>
      <c r="B1025" s="14" t="inlineStr">
        <is>
          <t>Beldar</t>
        </is>
      </c>
      <c r="C1025" s="13" t="inlineStr">
        <is>
          <t>day</t>
        </is>
      </c>
      <c r="D1025" s="15" t="n">
        <v>1</v>
      </c>
      <c r="E1025" s="16" t="n">
        <v>558</v>
      </c>
      <c r="F1025" s="16">
        <f>D1025*E1025</f>
        <v/>
      </c>
    </row>
    <row r="1026">
      <c r="A1026" s="13" t="inlineStr">
        <is>
          <t>0115</t>
        </is>
      </c>
      <c r="B1026" s="14" t="inlineStr">
        <is>
          <t>Coolie</t>
        </is>
      </c>
      <c r="C1026" s="13" t="inlineStr">
        <is>
          <t>day</t>
        </is>
      </c>
      <c r="D1026" s="15" t="n">
        <v>1</v>
      </c>
      <c r="E1026" s="16" t="n">
        <v>558</v>
      </c>
      <c r="F1026" s="16">
        <f>D1026*E1026</f>
        <v/>
      </c>
    </row>
    <row r="1027">
      <c r="A1027" s="13" t="inlineStr">
        <is>
          <t>0139</t>
        </is>
      </c>
      <c r="B1027" s="14" t="inlineStr">
        <is>
          <t>Skilled Beldar (for floor rubbing etc.)</t>
        </is>
      </c>
      <c r="C1027" s="13" t="inlineStr">
        <is>
          <t>day</t>
        </is>
      </c>
      <c r="D1027" s="15" t="n">
        <v>5</v>
      </c>
      <c r="E1027" s="16" t="n">
        <v>617</v>
      </c>
      <c r="F1027" s="16">
        <f>D1027*E1027</f>
        <v/>
      </c>
    </row>
    <row r="1028">
      <c r="A1028" s="13" t="inlineStr">
        <is>
          <t>0013</t>
        </is>
      </c>
      <c r="B1028" s="14" t="inlineStr">
        <is>
          <t>Machine for rubbing of floors</t>
        </is>
      </c>
      <c r="C1028" s="13" t="inlineStr">
        <is>
          <t>day</t>
        </is>
      </c>
      <c r="D1028" s="15" t="n">
        <v>4</v>
      </c>
      <c r="E1028" s="16" t="n">
        <v>300</v>
      </c>
      <c r="F1028" s="16">
        <f>D1028*E1028</f>
        <v/>
      </c>
    </row>
    <row r="1029">
      <c r="A1029" s="13" t="inlineStr">
        <is>
          <t>9999</t>
        </is>
      </c>
      <c r="B1029" s="14" t="inlineStr">
        <is>
          <t>Sundries</t>
        </is>
      </c>
      <c r="C1029" s="13" t="inlineStr">
        <is>
          <t>L.S.</t>
        </is>
      </c>
      <c r="D1029" s="15" t="n">
        <v>208.13</v>
      </c>
      <c r="E1029" s="16" t="n">
        <v>2</v>
      </c>
      <c r="F1029" s="16">
        <f>D1029*E1029</f>
        <v/>
      </c>
    </row>
    <row r="1030">
      <c r="A1030" s="17" t="inlineStr">
        <is>
          <t>Resource Total (Material + Labour + Machinery, as printed)</t>
        </is>
      </c>
      <c r="B1030" s="18" t="n"/>
      <c r="C1030" s="18" t="n"/>
      <c r="D1030" s="18" t="n"/>
      <c r="E1030" s="18" t="n"/>
      <c r="F1030" s="19">
        <f>SUM(F1018:F1029)</f>
        <v/>
      </c>
    </row>
    <row r="1031">
      <c r="A1031" s="20" t="inlineStr">
        <is>
          <t>SAY (Rs.) — final DAR rate</t>
        </is>
      </c>
      <c r="B1031" s="21" t="n"/>
      <c r="C1031" s="21" t="n"/>
      <c r="D1031" s="21" t="n"/>
      <c r="E1031" s="21" t="n"/>
      <c r="F1031" s="22" t="n">
        <v>1531.85</v>
      </c>
    </row>
    <row r="1033" ht="28" customHeight="1">
      <c r="A1033" s="9" t="inlineStr">
        <is>
          <t>11.27</t>
        </is>
      </c>
      <c r="B1033" s="10" t="inlineStr">
        <is>
          <t>Kota stone slabs 20 mm thick in risers of steps, skirting, dado and pillars laid on 12 mm (average) thick cement mortar 1:3 (1 cement: 3 coa</t>
        </is>
      </c>
      <c r="C1033" s="11" t="n"/>
      <c r="D1033" s="11" t="n"/>
      <c r="E1033" s="11" t="n"/>
      <c r="F1033" s="11" t="n"/>
    </row>
    <row r="1034">
      <c r="A1034" s="12" t="inlineStr">
        <is>
          <t>Rate basis: per sqm  (source: cost for 10 sqm)</t>
        </is>
      </c>
    </row>
    <row r="1035">
      <c r="A1035" s="5" t="inlineStr">
        <is>
          <t>Code</t>
        </is>
      </c>
      <c r="B1035" s="5" t="inlineStr">
        <is>
          <t>Description</t>
        </is>
      </c>
      <c r="C1035" s="5" t="inlineStr">
        <is>
          <t>Unit</t>
        </is>
      </c>
      <c r="D1035" s="5" t="inlineStr">
        <is>
          <t>Quantity</t>
        </is>
      </c>
      <c r="E1035" s="5" t="inlineStr">
        <is>
          <t>Rate (Rs.)</t>
        </is>
      </c>
      <c r="F1035" s="5" t="inlineStr">
        <is>
          <t>Amount (Rs.)</t>
        </is>
      </c>
    </row>
    <row r="1036">
      <c r="A1036" s="13" t="inlineStr">
        <is>
          <t>3.8</t>
        </is>
      </c>
      <c r="B1036" s="14" t="inlineStr">
        <is>
          <t>Rate as per SH: 3.8</t>
        </is>
      </c>
      <c r="C1036" s="13" t="inlineStr">
        <is>
          <t>cum</t>
        </is>
      </c>
      <c r="D1036" s="15" t="n">
        <v>0.144</v>
      </c>
      <c r="E1036" s="16" t="n">
        <v>4664.55</v>
      </c>
      <c r="F1036" s="16">
        <f>D1036*E1036</f>
        <v/>
      </c>
    </row>
    <row r="1037">
      <c r="A1037" s="13" t="inlineStr">
        <is>
          <t>1168</t>
        </is>
      </c>
      <c r="B1037" s="14" t="inlineStr">
        <is>
          <t>Kota stone slab 20 mm to 25 mm thick (semi-polished) including 15% wastage</t>
        </is>
      </c>
      <c r="C1037" s="13" t="inlineStr">
        <is>
          <t>sqm</t>
        </is>
      </c>
      <c r="D1037" s="15" t="n">
        <v>11.5</v>
      </c>
      <c r="E1037" s="16" t="n">
        <v>280</v>
      </c>
      <c r="F1037" s="16">
        <f>D1037*E1037</f>
        <v/>
      </c>
    </row>
    <row r="1038">
      <c r="A1038" s="13" t="inlineStr">
        <is>
          <t>2216</t>
        </is>
      </c>
      <c r="B1038" s="14" t="inlineStr">
        <is>
          <t>Carriage of Stone blocks white &amp; red sand stone &amp; kota stone slab</t>
        </is>
      </c>
      <c r="C1038" s="13" t="inlineStr">
        <is>
          <t>tonne</t>
        </is>
      </c>
      <c r="D1038" s="15" t="n">
        <v>0.67</v>
      </c>
      <c r="E1038" s="16" t="n">
        <v>92.23999999999999</v>
      </c>
      <c r="F1038" s="16">
        <f>D1038*E1038</f>
        <v/>
      </c>
    </row>
    <row r="1039">
      <c r="A1039" s="13" t="inlineStr">
        <is>
          <t>0367</t>
        </is>
      </c>
      <c r="B1039" s="14" t="inlineStr">
        <is>
          <t>Portland Cement</t>
        </is>
      </c>
      <c r="C1039" s="13" t="inlineStr">
        <is>
          <t>tonne</t>
        </is>
      </c>
      <c r="D1039" s="15" t="n">
        <v>0.064</v>
      </c>
      <c r="E1039" s="16" t="n">
        <v>4940</v>
      </c>
      <c r="F1039" s="16">
        <f>D1039*E1039</f>
        <v/>
      </c>
    </row>
    <row r="1040">
      <c r="A1040" s="13" t="inlineStr">
        <is>
          <t>2209</t>
        </is>
      </c>
      <c r="B1040" s="14" t="inlineStr">
        <is>
          <t>Carriage of Cement</t>
        </is>
      </c>
      <c r="C1040" s="13" t="inlineStr">
        <is>
          <t>tonne</t>
        </is>
      </c>
      <c r="D1040" s="15" t="n">
        <v>0.064</v>
      </c>
      <c r="E1040" s="16" t="n">
        <v>92.23999999999999</v>
      </c>
      <c r="F1040" s="16">
        <f>D1040*E1040</f>
        <v/>
      </c>
    </row>
    <row r="1041">
      <c r="A1041" s="13" t="inlineStr">
        <is>
          <t>0874</t>
        </is>
      </c>
      <c r="B1041" s="14" t="inlineStr">
        <is>
          <t>Black colour dark shade pigment</t>
        </is>
      </c>
      <c r="C1041" s="13" t="inlineStr">
        <is>
          <t>kilogram</t>
        </is>
      </c>
      <c r="D1041" s="15" t="n">
        <v>4.5</v>
      </c>
      <c r="E1041" s="16" t="n">
        <v>70</v>
      </c>
      <c r="F1041" s="16">
        <f>D1041*E1041</f>
        <v/>
      </c>
    </row>
    <row r="1042">
      <c r="A1042" s="13" t="inlineStr">
        <is>
          <t>0124</t>
        </is>
      </c>
      <c r="B1042" s="14" t="inlineStr">
        <is>
          <t>Mason (brick layer) 2nd class</t>
        </is>
      </c>
      <c r="C1042" s="13" t="inlineStr">
        <is>
          <t>day</t>
        </is>
      </c>
      <c r="D1042" s="15" t="n">
        <v>3</v>
      </c>
      <c r="E1042" s="16" t="n">
        <v>679</v>
      </c>
      <c r="F1042" s="16">
        <f>D1042*E1042</f>
        <v/>
      </c>
    </row>
    <row r="1043">
      <c r="A1043" s="13" t="inlineStr">
        <is>
          <t>0114</t>
        </is>
      </c>
      <c r="B1043" s="14" t="inlineStr">
        <is>
          <t>Beldar</t>
        </is>
      </c>
      <c r="C1043" s="13" t="inlineStr">
        <is>
          <t>day</t>
        </is>
      </c>
      <c r="D1043" s="15" t="n">
        <v>3</v>
      </c>
      <c r="E1043" s="16" t="n">
        <v>558</v>
      </c>
      <c r="F1043" s="16">
        <f>D1043*E1043</f>
        <v/>
      </c>
    </row>
    <row r="1044">
      <c r="A1044" s="13" t="inlineStr">
        <is>
          <t>0115</t>
        </is>
      </c>
      <c r="B1044" s="14" t="inlineStr">
        <is>
          <t>Coolie</t>
        </is>
      </c>
      <c r="C1044" s="13" t="inlineStr">
        <is>
          <t>day</t>
        </is>
      </c>
      <c r="D1044" s="15" t="n">
        <v>1</v>
      </c>
      <c r="E1044" s="16" t="n">
        <v>558</v>
      </c>
      <c r="F1044" s="16">
        <f>D1044*E1044</f>
        <v/>
      </c>
    </row>
    <row r="1045">
      <c r="A1045" s="13" t="inlineStr">
        <is>
          <t>0139</t>
        </is>
      </c>
      <c r="B1045" s="14" t="inlineStr">
        <is>
          <t>Skilled Beldar (for floor rubbing etc.)</t>
        </is>
      </c>
      <c r="C1045" s="13" t="inlineStr">
        <is>
          <t>day</t>
        </is>
      </c>
      <c r="D1045" s="15" t="n">
        <v>7</v>
      </c>
      <c r="E1045" s="16" t="n">
        <v>617</v>
      </c>
      <c r="F1045" s="16">
        <f>D1045*E1045</f>
        <v/>
      </c>
    </row>
    <row r="1046">
      <c r="A1046" s="13" t="inlineStr">
        <is>
          <t>9999</t>
        </is>
      </c>
      <c r="B1046" s="14" t="inlineStr">
        <is>
          <t>Sundries</t>
        </is>
      </c>
      <c r="C1046" s="13" t="inlineStr">
        <is>
          <t>L.S.</t>
        </is>
      </c>
      <c r="D1046" s="15" t="n">
        <v>174.98</v>
      </c>
      <c r="E1046" s="16" t="n">
        <v>2</v>
      </c>
      <c r="F1046" s="16">
        <f>D1046*E1046</f>
        <v/>
      </c>
    </row>
    <row r="1047">
      <c r="A1047" s="17" t="inlineStr">
        <is>
          <t>Resource Total (Material + Labour + Machinery, as printed)</t>
        </is>
      </c>
      <c r="B1047" s="18" t="n"/>
      <c r="C1047" s="18" t="n"/>
      <c r="D1047" s="18" t="n"/>
      <c r="E1047" s="18" t="n"/>
      <c r="F1047" s="19">
        <f>SUM(F1036:F1046)</f>
        <v/>
      </c>
    </row>
    <row r="1048">
      <c r="A1048" s="20" t="inlineStr">
        <is>
          <t>SAY (Rs.) — final DAR rate</t>
        </is>
      </c>
      <c r="B1048" s="21" t="n"/>
      <c r="C1048" s="21" t="n"/>
      <c r="D1048" s="21" t="n"/>
      <c r="E1048" s="21" t="n"/>
      <c r="F1048" s="22" t="n">
        <v>1810.05</v>
      </c>
    </row>
    <row r="1050" ht="18" customHeight="1">
      <c r="A1050" s="9" t="inlineStr">
        <is>
          <t>11.28.1</t>
        </is>
      </c>
      <c r="B1050" s="10" t="inlineStr">
        <is>
          <t>Red sand stone</t>
        </is>
      </c>
      <c r="C1050" s="11" t="n"/>
      <c r="D1050" s="11" t="n"/>
      <c r="E1050" s="11" t="n"/>
      <c r="F1050" s="11" t="n"/>
    </row>
    <row r="1051">
      <c r="A1051" s="12" t="inlineStr">
        <is>
          <t>Rate basis: per sqm  (source: cost for 10 sqm)</t>
        </is>
      </c>
    </row>
    <row r="1052">
      <c r="A1052" s="5" t="inlineStr">
        <is>
          <t>Code</t>
        </is>
      </c>
      <c r="B1052" s="5" t="inlineStr">
        <is>
          <t>Description</t>
        </is>
      </c>
      <c r="C1052" s="5" t="inlineStr">
        <is>
          <t>Unit</t>
        </is>
      </c>
      <c r="D1052" s="5" t="inlineStr">
        <is>
          <t>Quantity</t>
        </is>
      </c>
      <c r="E1052" s="5" t="inlineStr">
        <is>
          <t>Rate (Rs.)</t>
        </is>
      </c>
      <c r="F1052" s="5" t="inlineStr">
        <is>
          <t>Amount (Rs.)</t>
        </is>
      </c>
    </row>
    <row r="1053">
      <c r="A1053" s="13" t="inlineStr">
        <is>
          <t>3.10</t>
        </is>
      </c>
      <c r="B1053" s="14" t="inlineStr">
        <is>
          <t>Rate as per SH: 3.10</t>
        </is>
      </c>
      <c r="C1053" s="13" t="inlineStr">
        <is>
          <t>cum</t>
        </is>
      </c>
      <c r="D1053" s="15" t="n">
        <v>0.25</v>
      </c>
      <c r="E1053" s="16" t="n">
        <v>3658.1</v>
      </c>
      <c r="F1053" s="16">
        <f>D1053*E1053</f>
        <v/>
      </c>
    </row>
    <row r="1054">
      <c r="A1054" s="13" t="inlineStr">
        <is>
          <t>1164</t>
        </is>
      </c>
      <c r="B1054" s="14" t="inlineStr">
        <is>
          <t>Red sand stone slab 40 mmthick (un-dressed)</t>
        </is>
      </c>
      <c r="C1054" s="13" t="inlineStr">
        <is>
          <t>sqm</t>
        </is>
      </c>
      <c r="D1054" s="15" t="n">
        <v>11</v>
      </c>
      <c r="E1054" s="16" t="n">
        <v>200</v>
      </c>
      <c r="F1054" s="16">
        <f>D1054*E1054</f>
        <v/>
      </c>
    </row>
    <row r="1055">
      <c r="A1055" s="13" t="inlineStr">
        <is>
          <t>9977</t>
        </is>
      </c>
      <c r="B1055" s="14" t="inlineStr">
        <is>
          <t>Carriage</t>
        </is>
      </c>
      <c r="C1055" s="13" t="inlineStr">
        <is>
          <t>L.S.</t>
        </is>
      </c>
      <c r="D1055" s="15" t="n">
        <v>34.06</v>
      </c>
      <c r="E1055" s="16" t="n">
        <v>2</v>
      </c>
      <c r="F1055" s="16">
        <f>D1055*E1055</f>
        <v/>
      </c>
    </row>
    <row r="1056">
      <c r="A1056" s="13" t="inlineStr">
        <is>
          <t>0123</t>
        </is>
      </c>
      <c r="B1056" s="14" t="inlineStr">
        <is>
          <t>Mason (brick layer) 1st class</t>
        </is>
      </c>
      <c r="C1056" s="13" t="inlineStr">
        <is>
          <t>day</t>
        </is>
      </c>
      <c r="D1056" s="15" t="n">
        <v>3.1</v>
      </c>
      <c r="E1056" s="16" t="n">
        <v>738</v>
      </c>
      <c r="F1056" s="16">
        <f>D1056*E1056</f>
        <v/>
      </c>
    </row>
    <row r="1057">
      <c r="A1057" s="13" t="inlineStr">
        <is>
          <t>0100</t>
        </is>
      </c>
      <c r="B1057" s="14" t="inlineStr">
        <is>
          <t>Bandhani</t>
        </is>
      </c>
      <c r="C1057" s="13" t="inlineStr">
        <is>
          <t>day</t>
        </is>
      </c>
      <c r="D1057" s="15" t="n">
        <v>1.1</v>
      </c>
      <c r="E1057" s="16" t="n">
        <v>617</v>
      </c>
      <c r="F1057" s="16">
        <f>D1057*E1057</f>
        <v/>
      </c>
    </row>
    <row r="1058">
      <c r="A1058" s="13" t="inlineStr">
        <is>
          <t>0115</t>
        </is>
      </c>
      <c r="B1058" s="14" t="inlineStr">
        <is>
          <t>Coolie</t>
        </is>
      </c>
      <c r="C1058" s="13" t="inlineStr">
        <is>
          <t>day</t>
        </is>
      </c>
      <c r="D1058" s="15" t="n">
        <v>0.55</v>
      </c>
      <c r="E1058" s="16" t="n">
        <v>558</v>
      </c>
      <c r="F1058" s="16">
        <f>D1058*E1058</f>
        <v/>
      </c>
    </row>
    <row r="1059">
      <c r="A1059" s="13" t="inlineStr">
        <is>
          <t>0101</t>
        </is>
      </c>
      <c r="B1059" s="14" t="inlineStr">
        <is>
          <t>Bhisti</t>
        </is>
      </c>
      <c r="C1059" s="13" t="inlineStr">
        <is>
          <t>day</t>
        </is>
      </c>
      <c r="D1059" s="15" t="n">
        <v>0.27</v>
      </c>
      <c r="E1059" s="16" t="n">
        <v>617</v>
      </c>
      <c r="F1059" s="16">
        <f>D1059*E1059</f>
        <v/>
      </c>
    </row>
    <row r="1060">
      <c r="A1060" s="13" t="inlineStr">
        <is>
          <t>9999</t>
        </is>
      </c>
      <c r="B1060" s="14" t="inlineStr">
        <is>
          <t>Sundries</t>
        </is>
      </c>
      <c r="C1060" s="13" t="inlineStr">
        <is>
          <t>L.S.</t>
        </is>
      </c>
      <c r="D1060" s="15" t="n">
        <v>10.79</v>
      </c>
      <c r="E1060" s="16" t="n">
        <v>2</v>
      </c>
      <c r="F1060" s="16">
        <f>D1060*E1060</f>
        <v/>
      </c>
    </row>
    <row r="1061">
      <c r="A1061" s="17" t="inlineStr">
        <is>
          <t>Resource Total (Material + Labour + Machinery, as printed)</t>
        </is>
      </c>
      <c r="B1061" s="18" t="n"/>
      <c r="C1061" s="18" t="n"/>
      <c r="D1061" s="18" t="n"/>
      <c r="E1061" s="18" t="n"/>
      <c r="F1061" s="19">
        <f>SUM(F1053:F1060)</f>
        <v/>
      </c>
    </row>
    <row r="1062">
      <c r="A1062" s="20" t="inlineStr">
        <is>
          <t>SAY (Rs.) — final DAR rate</t>
        </is>
      </c>
      <c r="B1062" s="21" t="n"/>
      <c r="C1062" s="21" t="n"/>
      <c r="D1062" s="21" t="n"/>
      <c r="E1062" s="21" t="n"/>
      <c r="F1062" s="22" t="n">
        <v>888.95</v>
      </c>
    </row>
    <row r="1064" ht="18" customHeight="1">
      <c r="A1064" s="9" t="inlineStr">
        <is>
          <t>11.28.2</t>
        </is>
      </c>
      <c r="B1064" s="10" t="inlineStr">
        <is>
          <t>White sand stone</t>
        </is>
      </c>
      <c r="C1064" s="11" t="n"/>
      <c r="D1064" s="11" t="n"/>
      <c r="E1064" s="11" t="n"/>
      <c r="F1064" s="11" t="n"/>
    </row>
    <row r="1065">
      <c r="A1065" s="12" t="inlineStr">
        <is>
          <t>Rate basis: per sqm  (source: cost for 10 sqm)</t>
        </is>
      </c>
    </row>
    <row r="1066">
      <c r="A1066" s="5" t="inlineStr">
        <is>
          <t>Code</t>
        </is>
      </c>
      <c r="B1066" s="5" t="inlineStr">
        <is>
          <t>Description</t>
        </is>
      </c>
      <c r="C1066" s="5" t="inlineStr">
        <is>
          <t>Unit</t>
        </is>
      </c>
      <c r="D1066" s="5" t="inlineStr">
        <is>
          <t>Quantity</t>
        </is>
      </c>
      <c r="E1066" s="5" t="inlineStr">
        <is>
          <t>Rate (Rs.)</t>
        </is>
      </c>
      <c r="F1066" s="5" t="inlineStr">
        <is>
          <t>Amount (Rs.)</t>
        </is>
      </c>
    </row>
    <row r="1067">
      <c r="A1067" s="13" t="inlineStr">
        <is>
          <t>3.10</t>
        </is>
      </c>
      <c r="B1067" s="14" t="inlineStr">
        <is>
          <t>Rate as per SH: 3.10</t>
        </is>
      </c>
      <c r="C1067" s="13" t="inlineStr">
        <is>
          <t>cum</t>
        </is>
      </c>
      <c r="D1067" s="15" t="n">
        <v>0.25</v>
      </c>
      <c r="E1067" s="16" t="n">
        <v>3658.1</v>
      </c>
      <c r="F1067" s="16">
        <f>D1067*E1067</f>
        <v/>
      </c>
    </row>
    <row r="1068">
      <c r="A1068" s="13" t="inlineStr">
        <is>
          <t>1165</t>
        </is>
      </c>
      <c r="B1068" s="14" t="inlineStr">
        <is>
          <t>White sand stone slab 40 mm thick (un-dressed)</t>
        </is>
      </c>
      <c r="C1068" s="13" t="inlineStr">
        <is>
          <t>sqm</t>
        </is>
      </c>
      <c r="D1068" s="15" t="n">
        <v>11</v>
      </c>
      <c r="E1068" s="16" t="n">
        <v>200</v>
      </c>
      <c r="F1068" s="16">
        <f>D1068*E1068</f>
        <v/>
      </c>
    </row>
    <row r="1069">
      <c r="A1069" s="13" t="inlineStr">
        <is>
          <t>9977</t>
        </is>
      </c>
      <c r="B1069" s="14" t="inlineStr">
        <is>
          <t>Carriage</t>
        </is>
      </c>
      <c r="C1069" s="13" t="inlineStr">
        <is>
          <t>L.S.</t>
        </is>
      </c>
      <c r="D1069" s="15" t="n">
        <v>34.06</v>
      </c>
      <c r="E1069" s="16" t="n">
        <v>2</v>
      </c>
      <c r="F1069" s="16">
        <f>D1069*E1069</f>
        <v/>
      </c>
    </row>
    <row r="1070">
      <c r="A1070" s="13" t="inlineStr">
        <is>
          <t>0123</t>
        </is>
      </c>
      <c r="B1070" s="14" t="inlineStr">
        <is>
          <t>Mason (brick layer) 1st class</t>
        </is>
      </c>
      <c r="C1070" s="13" t="inlineStr">
        <is>
          <t>day</t>
        </is>
      </c>
      <c r="D1070" s="15" t="n">
        <v>3.1</v>
      </c>
      <c r="E1070" s="16" t="n">
        <v>738</v>
      </c>
      <c r="F1070" s="16">
        <f>D1070*E1070</f>
        <v/>
      </c>
    </row>
    <row r="1071">
      <c r="A1071" s="13" t="inlineStr">
        <is>
          <t>0100</t>
        </is>
      </c>
      <c r="B1071" s="14" t="inlineStr">
        <is>
          <t>Bandhani</t>
        </is>
      </c>
      <c r="C1071" s="13" t="inlineStr">
        <is>
          <t>day</t>
        </is>
      </c>
      <c r="D1071" s="15" t="n">
        <v>1.1</v>
      </c>
      <c r="E1071" s="16" t="n">
        <v>617</v>
      </c>
      <c r="F1071" s="16">
        <f>D1071*E1071</f>
        <v/>
      </c>
    </row>
    <row r="1072">
      <c r="A1072" s="13" t="inlineStr">
        <is>
          <t>0115</t>
        </is>
      </c>
      <c r="B1072" s="14" t="inlineStr">
        <is>
          <t>Coolie</t>
        </is>
      </c>
      <c r="C1072" s="13" t="inlineStr">
        <is>
          <t>day</t>
        </is>
      </c>
      <c r="D1072" s="15" t="n">
        <v>0.55</v>
      </c>
      <c r="E1072" s="16" t="n">
        <v>558</v>
      </c>
      <c r="F1072" s="16">
        <f>D1072*E1072</f>
        <v/>
      </c>
    </row>
    <row r="1073">
      <c r="A1073" s="13" t="inlineStr">
        <is>
          <t>0101</t>
        </is>
      </c>
      <c r="B1073" s="14" t="inlineStr">
        <is>
          <t>Bhisti</t>
        </is>
      </c>
      <c r="C1073" s="13" t="inlineStr">
        <is>
          <t>day</t>
        </is>
      </c>
      <c r="D1073" s="15" t="n">
        <v>0.27</v>
      </c>
      <c r="E1073" s="16" t="n">
        <v>617</v>
      </c>
      <c r="F1073" s="16">
        <f>D1073*E1073</f>
        <v/>
      </c>
    </row>
    <row r="1074">
      <c r="A1074" s="13" t="inlineStr">
        <is>
          <t>9999</t>
        </is>
      </c>
      <c r="B1074" s="14" t="inlineStr">
        <is>
          <t>Sundries</t>
        </is>
      </c>
      <c r="C1074" s="13" t="inlineStr">
        <is>
          <t>L.S.</t>
        </is>
      </c>
      <c r="D1074" s="15" t="n">
        <v>10.79</v>
      </c>
      <c r="E1074" s="16" t="n">
        <v>2</v>
      </c>
      <c r="F1074" s="16">
        <f>D1074*E1074</f>
        <v/>
      </c>
    </row>
    <row r="1075">
      <c r="A1075" s="17" t="inlineStr">
        <is>
          <t>Resource Total (Material + Labour + Machinery, as printed)</t>
        </is>
      </c>
      <c r="B1075" s="18" t="n"/>
      <c r="C1075" s="18" t="n"/>
      <c r="D1075" s="18" t="n"/>
      <c r="E1075" s="18" t="n"/>
      <c r="F1075" s="19">
        <f>SUM(F1067:F1074)</f>
        <v/>
      </c>
    </row>
    <row r="1076">
      <c r="A1076" s="20" t="inlineStr">
        <is>
          <t>SAY (Rs.) — final DAR rate</t>
        </is>
      </c>
      <c r="B1076" s="21" t="n"/>
      <c r="C1076" s="21" t="n"/>
      <c r="D1076" s="21" t="n"/>
      <c r="E1076" s="21" t="n"/>
      <c r="F1076" s="22" t="n">
        <v>888.95</v>
      </c>
    </row>
    <row r="1078" ht="18" customHeight="1">
      <c r="A1078" s="9" t="inlineStr">
        <is>
          <t>11.29.1</t>
        </is>
      </c>
      <c r="B1078" s="10" t="inlineStr">
        <is>
          <t>Red sand stone</t>
        </is>
      </c>
      <c r="C1078" s="11" t="n"/>
      <c r="D1078" s="11" t="n"/>
      <c r="E1078" s="11" t="n"/>
      <c r="F1078" s="11" t="n"/>
    </row>
    <row r="1079">
      <c r="A1079" s="12" t="inlineStr">
        <is>
          <t>Rate basis: per sqm  (source: cost for 10 sqm)</t>
        </is>
      </c>
    </row>
    <row r="1080">
      <c r="A1080" s="5" t="inlineStr">
        <is>
          <t>Code</t>
        </is>
      </c>
      <c r="B1080" s="5" t="inlineStr">
        <is>
          <t>Description</t>
        </is>
      </c>
      <c r="C1080" s="5" t="inlineStr">
        <is>
          <t>Unit</t>
        </is>
      </c>
      <c r="D1080" s="5" t="inlineStr">
        <is>
          <t>Quantity</t>
        </is>
      </c>
      <c r="E1080" s="5" t="inlineStr">
        <is>
          <t>Rate (Rs.)</t>
        </is>
      </c>
      <c r="F1080" s="5" t="inlineStr">
        <is>
          <t>Amount (Rs.)</t>
        </is>
      </c>
    </row>
    <row r="1081">
      <c r="A1081" s="13" t="inlineStr">
        <is>
          <t>3.10</t>
        </is>
      </c>
      <c r="B1081" s="14" t="inlineStr">
        <is>
          <t>Rate as per SH: 3.10</t>
        </is>
      </c>
      <c r="C1081" s="13" t="inlineStr">
        <is>
          <t>cum</t>
        </is>
      </c>
      <c r="D1081" s="15" t="n">
        <v>0.25</v>
      </c>
      <c r="E1081" s="16" t="n">
        <v>3658.1</v>
      </c>
      <c r="F1081" s="16">
        <f>D1081*E1081</f>
        <v/>
      </c>
    </row>
    <row r="1082">
      <c r="A1082" s="13" t="inlineStr">
        <is>
          <t>3.12</t>
        </is>
      </c>
      <c r="B1082" s="14" t="inlineStr">
        <is>
          <t>Rate as per SH: 3.12</t>
        </is>
      </c>
      <c r="C1082" s="13" t="inlineStr">
        <is>
          <t>cum</t>
        </is>
      </c>
      <c r="D1082" s="15" t="n">
        <v>0.023</v>
      </c>
      <c r="E1082" s="16" t="n">
        <v>5108.05</v>
      </c>
      <c r="F1082" s="16">
        <f>D1082*E1082</f>
        <v/>
      </c>
    </row>
    <row r="1083">
      <c r="A1083" s="13" t="inlineStr">
        <is>
          <t>1164</t>
        </is>
      </c>
      <c r="B1083" s="14" t="inlineStr">
        <is>
          <t>Red sand stone slab 40 mmthick (un-dressed)</t>
        </is>
      </c>
      <c r="C1083" s="13" t="inlineStr">
        <is>
          <t>sqm</t>
        </is>
      </c>
      <c r="D1083" s="15" t="n">
        <v>11</v>
      </c>
      <c r="E1083" s="16" t="n">
        <v>200</v>
      </c>
      <c r="F1083" s="16">
        <f>D1083*E1083</f>
        <v/>
      </c>
    </row>
    <row r="1084">
      <c r="A1084" s="13" t="inlineStr">
        <is>
          <t>9977</t>
        </is>
      </c>
      <c r="B1084" s="14" t="inlineStr">
        <is>
          <t>Carriage</t>
        </is>
      </c>
      <c r="C1084" s="13" t="inlineStr">
        <is>
          <t>L.S.</t>
        </is>
      </c>
      <c r="D1084" s="15" t="n">
        <v>34.06</v>
      </c>
      <c r="E1084" s="16" t="n">
        <v>2</v>
      </c>
      <c r="F1084" s="16">
        <f>D1084*E1084</f>
        <v/>
      </c>
    </row>
    <row r="1085">
      <c r="A1085" s="13" t="inlineStr">
        <is>
          <t>0123</t>
        </is>
      </c>
      <c r="B1085" s="14" t="inlineStr">
        <is>
          <t>Mason (brick layer) 1st class</t>
        </is>
      </c>
      <c r="C1085" s="13" t="inlineStr">
        <is>
          <t>day</t>
        </is>
      </c>
      <c r="D1085" s="15" t="n">
        <v>3.9</v>
      </c>
      <c r="E1085" s="16" t="n">
        <v>738</v>
      </c>
      <c r="F1085" s="16">
        <f>D1085*E1085</f>
        <v/>
      </c>
    </row>
    <row r="1086">
      <c r="A1086" s="13" t="inlineStr">
        <is>
          <t>0100</t>
        </is>
      </c>
      <c r="B1086" s="14" t="inlineStr">
        <is>
          <t>Bandhani</t>
        </is>
      </c>
      <c r="C1086" s="13" t="inlineStr">
        <is>
          <t>day</t>
        </is>
      </c>
      <c r="D1086" s="15" t="n">
        <v>1.1</v>
      </c>
      <c r="E1086" s="16" t="n">
        <v>617</v>
      </c>
      <c r="F1086" s="16">
        <f>D1086*E1086</f>
        <v/>
      </c>
    </row>
    <row r="1087">
      <c r="A1087" s="13" t="inlineStr">
        <is>
          <t>0115</t>
        </is>
      </c>
      <c r="B1087" s="14" t="inlineStr">
        <is>
          <t>Coolie</t>
        </is>
      </c>
      <c r="C1087" s="13" t="inlineStr">
        <is>
          <t>day</t>
        </is>
      </c>
      <c r="D1087" s="15" t="n">
        <v>1.4</v>
      </c>
      <c r="E1087" s="16" t="n">
        <v>558</v>
      </c>
      <c r="F1087" s="16">
        <f>D1087*E1087</f>
        <v/>
      </c>
    </row>
    <row r="1088">
      <c r="A1088" s="13" t="inlineStr">
        <is>
          <t>0101</t>
        </is>
      </c>
      <c r="B1088" s="14" t="inlineStr">
        <is>
          <t>Bhisti</t>
        </is>
      </c>
      <c r="C1088" s="13" t="inlineStr">
        <is>
          <t>day</t>
        </is>
      </c>
      <c r="D1088" s="15" t="n">
        <v>0.55</v>
      </c>
      <c r="E1088" s="16" t="n">
        <v>617</v>
      </c>
      <c r="F1088" s="16">
        <f>D1088*E1088</f>
        <v/>
      </c>
    </row>
    <row r="1089">
      <c r="A1089" s="13" t="inlineStr">
        <is>
          <t>9999</t>
        </is>
      </c>
      <c r="B1089" s="14" t="inlineStr">
        <is>
          <t>Sundries</t>
        </is>
      </c>
      <c r="C1089" s="13" t="inlineStr">
        <is>
          <t>L.S.</t>
        </is>
      </c>
      <c r="D1089" s="15" t="n">
        <v>26.91</v>
      </c>
      <c r="E1089" s="16" t="n">
        <v>2</v>
      </c>
      <c r="F1089" s="16">
        <f>D1089*E1089</f>
        <v/>
      </c>
    </row>
    <row r="1090">
      <c r="A1090" s="17" t="inlineStr">
        <is>
          <t>Resource Total (Material + Labour + Machinery, as printed)</t>
        </is>
      </c>
      <c r="B1090" s="18" t="n"/>
      <c r="C1090" s="18" t="n"/>
      <c r="D1090" s="18" t="n"/>
      <c r="E1090" s="18" t="n"/>
      <c r="F1090" s="19">
        <f>SUM(F1081:F1089)</f>
        <v/>
      </c>
    </row>
    <row r="1091">
      <c r="A1091" s="20" t="inlineStr">
        <is>
          <t>SAY (Rs.) — final DAR rate</t>
        </is>
      </c>
      <c r="B1091" s="21" t="n"/>
      <c r="C1091" s="21" t="n"/>
      <c r="D1091" s="21" t="n"/>
      <c r="E1091" s="21" t="n"/>
      <c r="F1091" s="22" t="n">
        <v>1074.55</v>
      </c>
    </row>
    <row r="1093" ht="18" customHeight="1">
      <c r="A1093" s="9" t="inlineStr">
        <is>
          <t>11.29.2</t>
        </is>
      </c>
      <c r="B1093" s="10" t="inlineStr">
        <is>
          <t>White sand stone</t>
        </is>
      </c>
      <c r="C1093" s="11" t="n"/>
      <c r="D1093" s="11" t="n"/>
      <c r="E1093" s="11" t="n"/>
      <c r="F1093" s="11" t="n"/>
    </row>
    <row r="1094">
      <c r="A1094" s="12" t="inlineStr">
        <is>
          <t>Rate basis: per sqm  (source: cost for 10 sqm)</t>
        </is>
      </c>
    </row>
    <row r="1095">
      <c r="A1095" s="5" t="inlineStr">
        <is>
          <t>Code</t>
        </is>
      </c>
      <c r="B1095" s="5" t="inlineStr">
        <is>
          <t>Description</t>
        </is>
      </c>
      <c r="C1095" s="5" t="inlineStr">
        <is>
          <t>Unit</t>
        </is>
      </c>
      <c r="D1095" s="5" t="inlineStr">
        <is>
          <t>Quantity</t>
        </is>
      </c>
      <c r="E1095" s="5" t="inlineStr">
        <is>
          <t>Rate (Rs.)</t>
        </is>
      </c>
      <c r="F1095" s="5" t="inlineStr">
        <is>
          <t>Amount (Rs.)</t>
        </is>
      </c>
    </row>
    <row r="1096">
      <c r="A1096" s="13" t="inlineStr">
        <is>
          <t>3.10</t>
        </is>
      </c>
      <c r="B1096" s="14" t="inlineStr">
        <is>
          <t>Rate as per SH: 3.10</t>
        </is>
      </c>
      <c r="C1096" s="13" t="inlineStr">
        <is>
          <t>cum</t>
        </is>
      </c>
      <c r="D1096" s="15" t="n">
        <v>0.25</v>
      </c>
      <c r="E1096" s="16" t="n">
        <v>3658.1</v>
      </c>
      <c r="F1096" s="16">
        <f>D1096*E1096</f>
        <v/>
      </c>
    </row>
    <row r="1097">
      <c r="A1097" s="13" t="inlineStr">
        <is>
          <t>3.12</t>
        </is>
      </c>
      <c r="B1097" s="14" t="inlineStr">
        <is>
          <t>Rate as per SH: 3.12</t>
        </is>
      </c>
      <c r="C1097" s="13" t="inlineStr">
        <is>
          <t>cum</t>
        </is>
      </c>
      <c r="D1097" s="15" t="n">
        <v>0.023</v>
      </c>
      <c r="E1097" s="16" t="n">
        <v>5108.05</v>
      </c>
      <c r="F1097" s="16">
        <f>D1097*E1097</f>
        <v/>
      </c>
    </row>
    <row r="1098">
      <c r="A1098" s="13" t="inlineStr">
        <is>
          <t>1165</t>
        </is>
      </c>
      <c r="B1098" s="14" t="inlineStr">
        <is>
          <t>White sand stone slab 40 mm thick (un-dressed)</t>
        </is>
      </c>
      <c r="C1098" s="13" t="inlineStr">
        <is>
          <t>sqm</t>
        </is>
      </c>
      <c r="D1098" s="15" t="n">
        <v>11</v>
      </c>
      <c r="E1098" s="16" t="n">
        <v>200</v>
      </c>
      <c r="F1098" s="16">
        <f>D1098*E1098</f>
        <v/>
      </c>
    </row>
    <row r="1099">
      <c r="A1099" s="13" t="inlineStr">
        <is>
          <t>9977</t>
        </is>
      </c>
      <c r="B1099" s="14" t="inlineStr">
        <is>
          <t>Carriage</t>
        </is>
      </c>
      <c r="C1099" s="13" t="inlineStr">
        <is>
          <t>L.S.</t>
        </is>
      </c>
      <c r="D1099" s="15" t="n">
        <v>34.06</v>
      </c>
      <c r="E1099" s="16" t="n">
        <v>2</v>
      </c>
      <c r="F1099" s="16">
        <f>D1099*E1099</f>
        <v/>
      </c>
    </row>
    <row r="1100">
      <c r="A1100" s="13" t="inlineStr">
        <is>
          <t>0123</t>
        </is>
      </c>
      <c r="B1100" s="14" t="inlineStr">
        <is>
          <t>Mason (brick layer) 1st class</t>
        </is>
      </c>
      <c r="C1100" s="13" t="inlineStr">
        <is>
          <t>day</t>
        </is>
      </c>
      <c r="D1100" s="15" t="n">
        <v>3.9</v>
      </c>
      <c r="E1100" s="16" t="n">
        <v>738</v>
      </c>
      <c r="F1100" s="16">
        <f>D1100*E1100</f>
        <v/>
      </c>
    </row>
    <row r="1101">
      <c r="A1101" s="13" t="inlineStr">
        <is>
          <t>0100</t>
        </is>
      </c>
      <c r="B1101" s="14" t="inlineStr">
        <is>
          <t>Bandhani</t>
        </is>
      </c>
      <c r="C1101" s="13" t="inlineStr">
        <is>
          <t>day</t>
        </is>
      </c>
      <c r="D1101" s="15" t="n">
        <v>1.1</v>
      </c>
      <c r="E1101" s="16" t="n">
        <v>617</v>
      </c>
      <c r="F1101" s="16">
        <f>D1101*E1101</f>
        <v/>
      </c>
    </row>
    <row r="1102">
      <c r="A1102" s="13" t="inlineStr">
        <is>
          <t>0115</t>
        </is>
      </c>
      <c r="B1102" s="14" t="inlineStr">
        <is>
          <t>Coolie</t>
        </is>
      </c>
      <c r="C1102" s="13" t="inlineStr">
        <is>
          <t>day</t>
        </is>
      </c>
      <c r="D1102" s="15" t="n">
        <v>1.4</v>
      </c>
      <c r="E1102" s="16" t="n">
        <v>558</v>
      </c>
      <c r="F1102" s="16">
        <f>D1102*E1102</f>
        <v/>
      </c>
    </row>
    <row r="1103">
      <c r="A1103" s="13" t="inlineStr">
        <is>
          <t>0101</t>
        </is>
      </c>
      <c r="B1103" s="14" t="inlineStr">
        <is>
          <t>Bhisti</t>
        </is>
      </c>
      <c r="C1103" s="13" t="inlineStr">
        <is>
          <t>day</t>
        </is>
      </c>
      <c r="D1103" s="15" t="n">
        <v>0.55</v>
      </c>
      <c r="E1103" s="16" t="n">
        <v>617</v>
      </c>
      <c r="F1103" s="16">
        <f>D1103*E1103</f>
        <v/>
      </c>
    </row>
    <row r="1104">
      <c r="A1104" s="13" t="inlineStr">
        <is>
          <t>9999</t>
        </is>
      </c>
      <c r="B1104" s="14" t="inlineStr">
        <is>
          <t>Sundries</t>
        </is>
      </c>
      <c r="C1104" s="13" t="inlineStr">
        <is>
          <t>L.S.</t>
        </is>
      </c>
      <c r="D1104" s="15" t="n">
        <v>26.91</v>
      </c>
      <c r="E1104" s="16" t="n">
        <v>2</v>
      </c>
      <c r="F1104" s="16">
        <f>D1104*E1104</f>
        <v/>
      </c>
    </row>
    <row r="1105">
      <c r="A1105" s="17" t="inlineStr">
        <is>
          <t>Resource Total (Material + Labour + Machinery, as printed)</t>
        </is>
      </c>
      <c r="B1105" s="18" t="n"/>
      <c r="C1105" s="18" t="n"/>
      <c r="D1105" s="18" t="n"/>
      <c r="E1105" s="18" t="n"/>
      <c r="F1105" s="19">
        <f>SUM(F1096:F1104)</f>
        <v/>
      </c>
    </row>
    <row r="1106">
      <c r="A1106" s="20" t="inlineStr">
        <is>
          <t>SAY (Rs.) — final DAR rate</t>
        </is>
      </c>
      <c r="B1106" s="21" t="n"/>
      <c r="C1106" s="21" t="n"/>
      <c r="D1106" s="21" t="n"/>
      <c r="E1106" s="21" t="n"/>
      <c r="F1106" s="22" t="n">
        <v>1074.55</v>
      </c>
    </row>
    <row r="1108" ht="18" customHeight="1">
      <c r="A1108" s="9" t="inlineStr">
        <is>
          <t>11.30.1</t>
        </is>
      </c>
      <c r="B1108" s="10" t="inlineStr">
        <is>
          <t>Red sand stone</t>
        </is>
      </c>
      <c r="C1108" s="11" t="n"/>
      <c r="D1108" s="11" t="n"/>
      <c r="E1108" s="11" t="n"/>
      <c r="F1108" s="11" t="n"/>
    </row>
    <row r="1109">
      <c r="A1109" s="12" t="inlineStr">
        <is>
          <t>Rate basis: per sqm  (source: cost for 10 sqm)</t>
        </is>
      </c>
    </row>
    <row r="1110">
      <c r="A1110" s="5" t="inlineStr">
        <is>
          <t>Code</t>
        </is>
      </c>
      <c r="B1110" s="5" t="inlineStr">
        <is>
          <t>Description</t>
        </is>
      </c>
      <c r="C1110" s="5" t="inlineStr">
        <is>
          <t>Unit</t>
        </is>
      </c>
      <c r="D1110" s="5" t="inlineStr">
        <is>
          <t>Quantity</t>
        </is>
      </c>
      <c r="E1110" s="5" t="inlineStr">
        <is>
          <t>Rate (Rs.)</t>
        </is>
      </c>
      <c r="F1110" s="5" t="inlineStr">
        <is>
          <t>Amount (Rs.)</t>
        </is>
      </c>
    </row>
    <row r="1111">
      <c r="A1111" s="13" t="inlineStr">
        <is>
          <t>3.10</t>
        </is>
      </c>
      <c r="B1111" s="14" t="inlineStr">
        <is>
          <t>Rate as per SH: 3.10</t>
        </is>
      </c>
      <c r="C1111" s="13" t="inlineStr">
        <is>
          <t>cum</t>
        </is>
      </c>
      <c r="D1111" s="15" t="n">
        <v>0.25</v>
      </c>
      <c r="E1111" s="16" t="n">
        <v>3658.1</v>
      </c>
      <c r="F1111" s="16">
        <f>D1111*E1111</f>
        <v/>
      </c>
    </row>
    <row r="1112">
      <c r="A1112" s="13" t="inlineStr">
        <is>
          <t>3.12</t>
        </is>
      </c>
      <c r="B1112" s="14" t="inlineStr">
        <is>
          <t>Rate as per SH: 3.12</t>
        </is>
      </c>
      <c r="C1112" s="13" t="inlineStr">
        <is>
          <t>cum</t>
        </is>
      </c>
      <c r="D1112" s="15" t="n">
        <v>0.023</v>
      </c>
      <c r="E1112" s="16" t="n">
        <v>5108.05</v>
      </c>
      <c r="F1112" s="16">
        <f>D1112*E1112</f>
        <v/>
      </c>
    </row>
    <row r="1113">
      <c r="A1113" s="13" t="inlineStr">
        <is>
          <t>1164</t>
        </is>
      </c>
      <c r="B1113" s="14" t="inlineStr">
        <is>
          <t>Red sand stone slab 40 mmthick (un-dressed)</t>
        </is>
      </c>
      <c r="C1113" s="13" t="inlineStr">
        <is>
          <t>sqm</t>
        </is>
      </c>
      <c r="D1113" s="15" t="n">
        <v>11</v>
      </c>
      <c r="E1113" s="16" t="n">
        <v>200</v>
      </c>
      <c r="F1113" s="16">
        <f>D1113*E1113</f>
        <v/>
      </c>
    </row>
    <row r="1114">
      <c r="A1114" s="13" t="inlineStr">
        <is>
          <t>9977</t>
        </is>
      </c>
      <c r="B1114" s="14" t="inlineStr">
        <is>
          <t>Carriage</t>
        </is>
      </c>
      <c r="C1114" s="13" t="inlineStr">
        <is>
          <t>L.S.</t>
        </is>
      </c>
      <c r="D1114" s="15" t="n">
        <v>34.06</v>
      </c>
      <c r="E1114" s="16" t="n">
        <v>2</v>
      </c>
      <c r="F1114" s="16">
        <f>D1114*E1114</f>
        <v/>
      </c>
    </row>
    <row r="1115">
      <c r="A1115" s="13" t="inlineStr">
        <is>
          <t>0123</t>
        </is>
      </c>
      <c r="B1115" s="14" t="inlineStr">
        <is>
          <t>Mason (brick layer) 1st class</t>
        </is>
      </c>
      <c r="C1115" s="13" t="inlineStr">
        <is>
          <t>day</t>
        </is>
      </c>
      <c r="D1115" s="15" t="n">
        <v>3.9</v>
      </c>
      <c r="E1115" s="16" t="n">
        <v>738</v>
      </c>
      <c r="F1115" s="16">
        <f>D1115*E1115</f>
        <v/>
      </c>
    </row>
    <row r="1116">
      <c r="A1116" s="13" t="inlineStr">
        <is>
          <t>0100</t>
        </is>
      </c>
      <c r="B1116" s="14" t="inlineStr">
        <is>
          <t>Bandhani</t>
        </is>
      </c>
      <c r="C1116" s="13" t="inlineStr">
        <is>
          <t>day</t>
        </is>
      </c>
      <c r="D1116" s="15" t="n">
        <v>1.1</v>
      </c>
      <c r="E1116" s="16" t="n">
        <v>617</v>
      </c>
      <c r="F1116" s="16">
        <f>D1116*E1116</f>
        <v/>
      </c>
    </row>
    <row r="1117">
      <c r="A1117" s="13" t="inlineStr">
        <is>
          <t>0115</t>
        </is>
      </c>
      <c r="B1117" s="14" t="inlineStr">
        <is>
          <t>Coolie</t>
        </is>
      </c>
      <c r="C1117" s="13" t="inlineStr">
        <is>
          <t>day</t>
        </is>
      </c>
      <c r="D1117" s="15" t="n">
        <v>1.4</v>
      </c>
      <c r="E1117" s="16" t="n">
        <v>558</v>
      </c>
      <c r="F1117" s="16">
        <f>D1117*E1117</f>
        <v/>
      </c>
    </row>
    <row r="1118">
      <c r="A1118" s="13" t="inlineStr">
        <is>
          <t>0101</t>
        </is>
      </c>
      <c r="B1118" s="14" t="inlineStr">
        <is>
          <t>Bhisti</t>
        </is>
      </c>
      <c r="C1118" s="13" t="inlineStr">
        <is>
          <t>day</t>
        </is>
      </c>
      <c r="D1118" s="15" t="n">
        <v>0.55</v>
      </c>
      <c r="E1118" s="16" t="n">
        <v>617</v>
      </c>
      <c r="F1118" s="16">
        <f>D1118*E1118</f>
        <v/>
      </c>
    </row>
    <row r="1119">
      <c r="A1119" s="13" t="inlineStr">
        <is>
          <t>9999</t>
        </is>
      </c>
      <c r="B1119" s="14" t="inlineStr">
        <is>
          <t>Sundries</t>
        </is>
      </c>
      <c r="C1119" s="13" t="inlineStr">
        <is>
          <t>L.S.</t>
        </is>
      </c>
      <c r="D1119" s="15" t="n">
        <v>26.91</v>
      </c>
      <c r="E1119" s="16" t="n">
        <v>2</v>
      </c>
      <c r="F1119" s="16">
        <f>D1119*E1119</f>
        <v/>
      </c>
    </row>
    <row r="1120">
      <c r="A1120" s="13" t="inlineStr">
        <is>
          <t>0139</t>
        </is>
      </c>
      <c r="B1120" s="14" t="inlineStr">
        <is>
          <t>Skilled Beldar (for floor rubbing etc.)</t>
        </is>
      </c>
      <c r="C1120" s="13" t="inlineStr">
        <is>
          <t>day</t>
        </is>
      </c>
      <c r="D1120" s="15" t="n">
        <v>0.618</v>
      </c>
      <c r="E1120" s="16" t="n">
        <v>617</v>
      </c>
      <c r="F1120" s="16">
        <f>D1120*E1120</f>
        <v/>
      </c>
    </row>
    <row r="1121">
      <c r="A1121" s="13" t="inlineStr">
        <is>
          <t>0013</t>
        </is>
      </c>
      <c r="B1121" s="14" t="inlineStr">
        <is>
          <t>Machine for rubbing of floors</t>
        </is>
      </c>
      <c r="C1121" s="13" t="inlineStr">
        <is>
          <t>day</t>
        </is>
      </c>
      <c r="D1121" s="15" t="n">
        <v>0.988</v>
      </c>
      <c r="E1121" s="16" t="n">
        <v>300</v>
      </c>
      <c r="F1121" s="16">
        <f>D1121*E1121</f>
        <v/>
      </c>
    </row>
    <row r="1122">
      <c r="A1122" s="17" t="inlineStr">
        <is>
          <t>Resource Total (Material + Labour + Machinery, as printed)</t>
        </is>
      </c>
      <c r="B1122" s="18" t="n"/>
      <c r="C1122" s="18" t="n"/>
      <c r="D1122" s="18" t="n"/>
      <c r="E1122" s="18" t="n"/>
      <c r="F1122" s="19">
        <f>SUM(F1111:F1121)</f>
        <v/>
      </c>
    </row>
    <row r="1123">
      <c r="A1123" s="20" t="inlineStr">
        <is>
          <t>SAY (Rs.) — final DAR rate</t>
        </is>
      </c>
      <c r="B1123" s="21" t="n"/>
      <c r="C1123" s="21" t="n"/>
      <c r="D1123" s="21" t="n"/>
      <c r="E1123" s="21" t="n"/>
      <c r="F1123" s="22" t="n">
        <v>1165.2</v>
      </c>
    </row>
    <row r="1125" ht="18" customHeight="1">
      <c r="A1125" s="9" t="inlineStr">
        <is>
          <t>11.30.2</t>
        </is>
      </c>
      <c r="B1125" s="10" t="inlineStr">
        <is>
          <t>White sand stone</t>
        </is>
      </c>
      <c r="C1125" s="11" t="n"/>
      <c r="D1125" s="11" t="n"/>
      <c r="E1125" s="11" t="n"/>
      <c r="F1125" s="11" t="n"/>
    </row>
    <row r="1126">
      <c r="A1126" s="12" t="inlineStr">
        <is>
          <t>Rate basis: per sqm  (source: cost for 10 sqm)</t>
        </is>
      </c>
    </row>
    <row r="1127">
      <c r="A1127" s="5" t="inlineStr">
        <is>
          <t>Code</t>
        </is>
      </c>
      <c r="B1127" s="5" t="inlineStr">
        <is>
          <t>Description</t>
        </is>
      </c>
      <c r="C1127" s="5" t="inlineStr">
        <is>
          <t>Unit</t>
        </is>
      </c>
      <c r="D1127" s="5" t="inlineStr">
        <is>
          <t>Quantity</t>
        </is>
      </c>
      <c r="E1127" s="5" t="inlineStr">
        <is>
          <t>Rate (Rs.)</t>
        </is>
      </c>
      <c r="F1127" s="5" t="inlineStr">
        <is>
          <t>Amount (Rs.)</t>
        </is>
      </c>
    </row>
    <row r="1128">
      <c r="A1128" s="13" t="inlineStr">
        <is>
          <t>3.10</t>
        </is>
      </c>
      <c r="B1128" s="14" t="inlineStr">
        <is>
          <t>Rate as per SH: 3.10</t>
        </is>
      </c>
      <c r="C1128" s="13" t="inlineStr">
        <is>
          <t>cum</t>
        </is>
      </c>
      <c r="D1128" s="15" t="n">
        <v>0.25</v>
      </c>
      <c r="E1128" s="16" t="n">
        <v>3658.1</v>
      </c>
      <c r="F1128" s="16">
        <f>D1128*E1128</f>
        <v/>
      </c>
    </row>
    <row r="1129">
      <c r="A1129" s="13" t="inlineStr">
        <is>
          <t>3.12</t>
        </is>
      </c>
      <c r="B1129" s="14" t="inlineStr">
        <is>
          <t>Rate as per SH: 3.12</t>
        </is>
      </c>
      <c r="C1129" s="13" t="inlineStr">
        <is>
          <t>cum</t>
        </is>
      </c>
      <c r="D1129" s="15" t="n">
        <v>0.023</v>
      </c>
      <c r="E1129" s="16" t="n">
        <v>5108.05</v>
      </c>
      <c r="F1129" s="16">
        <f>D1129*E1129</f>
        <v/>
      </c>
    </row>
    <row r="1130">
      <c r="A1130" s="13" t="inlineStr">
        <is>
          <t>1165</t>
        </is>
      </c>
      <c r="B1130" s="14" t="inlineStr">
        <is>
          <t>White sand stone slab 40 mm thick (un-dressed)</t>
        </is>
      </c>
      <c r="C1130" s="13" t="inlineStr">
        <is>
          <t>sqm</t>
        </is>
      </c>
      <c r="D1130" s="15" t="n">
        <v>11</v>
      </c>
      <c r="E1130" s="16" t="n">
        <v>200</v>
      </c>
      <c r="F1130" s="16">
        <f>D1130*E1130</f>
        <v/>
      </c>
    </row>
    <row r="1131">
      <c r="A1131" s="13" t="inlineStr">
        <is>
          <t>9977</t>
        </is>
      </c>
      <c r="B1131" s="14" t="inlineStr">
        <is>
          <t>Carriage</t>
        </is>
      </c>
      <c r="C1131" s="13" t="inlineStr">
        <is>
          <t>L.S.</t>
        </is>
      </c>
      <c r="D1131" s="15" t="n">
        <v>34.06</v>
      </c>
      <c r="E1131" s="16" t="n">
        <v>2</v>
      </c>
      <c r="F1131" s="16">
        <f>D1131*E1131</f>
        <v/>
      </c>
    </row>
    <row r="1132">
      <c r="A1132" s="13" t="inlineStr">
        <is>
          <t>0123</t>
        </is>
      </c>
      <c r="B1132" s="14" t="inlineStr">
        <is>
          <t>Mason (brick layer) 1st class</t>
        </is>
      </c>
      <c r="C1132" s="13" t="inlineStr">
        <is>
          <t>day</t>
        </is>
      </c>
      <c r="D1132" s="15" t="n">
        <v>3.9</v>
      </c>
      <c r="E1132" s="16" t="n">
        <v>738</v>
      </c>
      <c r="F1132" s="16">
        <f>D1132*E1132</f>
        <v/>
      </c>
    </row>
    <row r="1133">
      <c r="A1133" s="13" t="inlineStr">
        <is>
          <t>0100</t>
        </is>
      </c>
      <c r="B1133" s="14" t="inlineStr">
        <is>
          <t>Bandhani</t>
        </is>
      </c>
      <c r="C1133" s="13" t="inlineStr">
        <is>
          <t>day</t>
        </is>
      </c>
      <c r="D1133" s="15" t="n">
        <v>1.1</v>
      </c>
      <c r="E1133" s="16" t="n">
        <v>617</v>
      </c>
      <c r="F1133" s="16">
        <f>D1133*E1133</f>
        <v/>
      </c>
    </row>
    <row r="1134">
      <c r="A1134" s="13" t="inlineStr">
        <is>
          <t>0115</t>
        </is>
      </c>
      <c r="B1134" s="14" t="inlineStr">
        <is>
          <t>Coolie</t>
        </is>
      </c>
      <c r="C1134" s="13" t="inlineStr">
        <is>
          <t>day</t>
        </is>
      </c>
      <c r="D1134" s="15" t="n">
        <v>1.4</v>
      </c>
      <c r="E1134" s="16" t="n">
        <v>558</v>
      </c>
      <c r="F1134" s="16">
        <f>D1134*E1134</f>
        <v/>
      </c>
    </row>
    <row r="1135">
      <c r="A1135" s="13" t="inlineStr">
        <is>
          <t>0101</t>
        </is>
      </c>
      <c r="B1135" s="14" t="inlineStr">
        <is>
          <t>Bhisti</t>
        </is>
      </c>
      <c r="C1135" s="13" t="inlineStr">
        <is>
          <t>day</t>
        </is>
      </c>
      <c r="D1135" s="15" t="n">
        <v>0.55</v>
      </c>
      <c r="E1135" s="16" t="n">
        <v>617</v>
      </c>
      <c r="F1135" s="16">
        <f>D1135*E1135</f>
        <v/>
      </c>
    </row>
    <row r="1136">
      <c r="A1136" s="13" t="inlineStr">
        <is>
          <t>9999</t>
        </is>
      </c>
      <c r="B1136" s="14" t="inlineStr">
        <is>
          <t>Sundries</t>
        </is>
      </c>
      <c r="C1136" s="13" t="inlineStr">
        <is>
          <t>L.S.</t>
        </is>
      </c>
      <c r="D1136" s="15" t="n">
        <v>26.91</v>
      </c>
      <c r="E1136" s="16" t="n">
        <v>2</v>
      </c>
      <c r="F1136" s="16">
        <f>D1136*E1136</f>
        <v/>
      </c>
    </row>
    <row r="1137">
      <c r="A1137" s="13" t="inlineStr">
        <is>
          <t>0139</t>
        </is>
      </c>
      <c r="B1137" s="14" t="inlineStr">
        <is>
          <t>Skilled Beldar (for floor rubbing etc.)</t>
        </is>
      </c>
      <c r="C1137" s="13" t="inlineStr">
        <is>
          <t>day</t>
        </is>
      </c>
      <c r="D1137" s="15" t="n">
        <v>0.618</v>
      </c>
      <c r="E1137" s="16" t="n">
        <v>617</v>
      </c>
      <c r="F1137" s="16">
        <f>D1137*E1137</f>
        <v/>
      </c>
    </row>
    <row r="1138">
      <c r="A1138" s="13" t="inlineStr">
        <is>
          <t>0013</t>
        </is>
      </c>
      <c r="B1138" s="14" t="inlineStr">
        <is>
          <t>Machine for rubbing of floors</t>
        </is>
      </c>
      <c r="C1138" s="13" t="inlineStr">
        <is>
          <t>day</t>
        </is>
      </c>
      <c r="D1138" s="15" t="n">
        <v>0.988</v>
      </c>
      <c r="E1138" s="16" t="n">
        <v>300</v>
      </c>
      <c r="F1138" s="16">
        <f>D1138*E1138</f>
        <v/>
      </c>
    </row>
    <row r="1139">
      <c r="A1139" s="17" t="inlineStr">
        <is>
          <t>Resource Total (Material + Labour + Machinery, as printed)</t>
        </is>
      </c>
      <c r="B1139" s="18" t="n"/>
      <c r="C1139" s="18" t="n"/>
      <c r="D1139" s="18" t="n"/>
      <c r="E1139" s="18" t="n"/>
      <c r="F1139" s="19">
        <f>SUM(F1128:F1138)</f>
        <v/>
      </c>
    </row>
    <row r="1140">
      <c r="A1140" s="20" t="inlineStr">
        <is>
          <t>SAY (Rs.) — final DAR rate</t>
        </is>
      </c>
      <c r="B1140" s="21" t="n"/>
      <c r="C1140" s="21" t="n"/>
      <c r="D1140" s="21" t="n"/>
      <c r="E1140" s="21" t="n"/>
      <c r="F1140" s="22" t="n">
        <v>1165.2</v>
      </c>
    </row>
    <row r="1142" ht="18" customHeight="1">
      <c r="A1142" s="9" t="inlineStr">
        <is>
          <t>11.31</t>
        </is>
      </c>
      <c r="B1142" s="10" t="inlineStr">
        <is>
          <t>Extra for pre finished nosing in treads of steps of Kota stone/ sand stone slab.</t>
        </is>
      </c>
      <c r="C1142" s="11" t="n"/>
      <c r="D1142" s="11" t="n"/>
      <c r="E1142" s="11" t="n"/>
      <c r="F1142" s="11" t="n"/>
    </row>
    <row r="1143">
      <c r="A1143" s="12" t="inlineStr">
        <is>
          <t>Rate basis: per metre  (source: cost for 10 metre)</t>
        </is>
      </c>
    </row>
    <row r="1144">
      <c r="A1144" s="5" t="inlineStr">
        <is>
          <t>Code</t>
        </is>
      </c>
      <c r="B1144" s="5" t="inlineStr">
        <is>
          <t>Description</t>
        </is>
      </c>
      <c r="C1144" s="5" t="inlineStr">
        <is>
          <t>Unit</t>
        </is>
      </c>
      <c r="D1144" s="5" t="inlineStr">
        <is>
          <t>Quantity</t>
        </is>
      </c>
      <c r="E1144" s="5" t="inlineStr">
        <is>
          <t>Rate (Rs.)</t>
        </is>
      </c>
      <c r="F1144" s="5" t="inlineStr">
        <is>
          <t>Amount (Rs.)</t>
        </is>
      </c>
    </row>
    <row r="1145">
      <c r="A1145" s="13" t="inlineStr">
        <is>
          <t>0126</t>
        </is>
      </c>
      <c r="B1145" s="14" t="inlineStr">
        <is>
          <t>Mason (for ornamental stone work) 1st class</t>
        </is>
      </c>
      <c r="C1145" s="13" t="inlineStr">
        <is>
          <t>day</t>
        </is>
      </c>
      <c r="D1145" s="15" t="n">
        <v>1.5</v>
      </c>
      <c r="E1145" s="16" t="n">
        <v>738</v>
      </c>
      <c r="F1145" s="16">
        <f>D1145*E1145</f>
        <v/>
      </c>
    </row>
    <row r="1146">
      <c r="A1146" s="17" t="inlineStr">
        <is>
          <t>Resource Total (Material + Labour + Machinery, as printed)</t>
        </is>
      </c>
      <c r="B1146" s="18" t="n"/>
      <c r="C1146" s="18" t="n"/>
      <c r="D1146" s="18" t="n"/>
      <c r="E1146" s="18" t="n"/>
      <c r="F1146" s="19">
        <f>SUM(F1145:F1145)</f>
        <v/>
      </c>
    </row>
    <row r="1147">
      <c r="A1147" s="20" t="inlineStr">
        <is>
          <t>SAY (Rs.) — final DAR rate</t>
        </is>
      </c>
      <c r="B1147" s="21" t="n"/>
      <c r="C1147" s="21" t="n"/>
      <c r="D1147" s="21" t="n"/>
      <c r="E1147" s="21" t="n"/>
      <c r="F1147" s="22" t="n">
        <v>148.1</v>
      </c>
    </row>
    <row r="1149" ht="28" customHeight="1">
      <c r="A1149" s="9" t="inlineStr">
        <is>
          <t>11.32</t>
        </is>
      </c>
      <c r="B1149" s="10" t="inlineStr">
        <is>
          <t>Extra for Kota stone/ sand stone in treads of steps and risers using single length up to 1.05 metre.</t>
        </is>
      </c>
      <c r="C1149" s="11" t="n"/>
      <c r="D1149" s="11" t="n"/>
      <c r="E1149" s="11" t="n"/>
      <c r="F1149" s="11" t="n"/>
    </row>
    <row r="1150">
      <c r="A1150" s="12" t="inlineStr">
        <is>
          <t>Rate basis: per sqm  (source: cost for 10 sqm)</t>
        </is>
      </c>
    </row>
    <row r="1151">
      <c r="A1151" s="5" t="inlineStr">
        <is>
          <t>Code</t>
        </is>
      </c>
      <c r="B1151" s="5" t="inlineStr">
        <is>
          <t>Description</t>
        </is>
      </c>
      <c r="C1151" s="5" t="inlineStr">
        <is>
          <t>Unit</t>
        </is>
      </c>
      <c r="D1151" s="5" t="inlineStr">
        <is>
          <t>Quantity</t>
        </is>
      </c>
      <c r="E1151" s="5" t="inlineStr">
        <is>
          <t>Rate (Rs.)</t>
        </is>
      </c>
      <c r="F1151" s="5" t="inlineStr">
        <is>
          <t>Amount (Rs.)</t>
        </is>
      </c>
    </row>
    <row r="1152">
      <c r="A1152" s="13" t="inlineStr">
        <is>
          <t>0124</t>
        </is>
      </c>
      <c r="B1152" s="14" t="inlineStr">
        <is>
          <t>Mason (brick layer) 2nd class</t>
        </is>
      </c>
      <c r="C1152" s="13" t="inlineStr">
        <is>
          <t>day</t>
        </is>
      </c>
      <c r="D1152" s="15" t="n">
        <v>0.2</v>
      </c>
      <c r="E1152" s="16" t="n">
        <v>679</v>
      </c>
      <c r="F1152" s="16">
        <f>D1152*E1152</f>
        <v/>
      </c>
    </row>
    <row r="1153">
      <c r="A1153" s="13" t="inlineStr">
        <is>
          <t>0114</t>
        </is>
      </c>
      <c r="B1153" s="14" t="inlineStr">
        <is>
          <t>Beldar</t>
        </is>
      </c>
      <c r="C1153" s="13" t="inlineStr">
        <is>
          <t>day</t>
        </is>
      </c>
      <c r="D1153" s="15" t="n">
        <v>0.2</v>
      </c>
      <c r="E1153" s="16" t="n">
        <v>558</v>
      </c>
      <c r="F1153" s="16">
        <f>D1153*E1153</f>
        <v/>
      </c>
    </row>
    <row r="1154">
      <c r="A1154" s="17" t="inlineStr">
        <is>
          <t>Resource Total (Material + Labour + Machinery, as printed)</t>
        </is>
      </c>
      <c r="B1154" s="18" t="n"/>
      <c r="C1154" s="18" t="n"/>
      <c r="D1154" s="18" t="n"/>
      <c r="E1154" s="18" t="n"/>
      <c r="F1154" s="19">
        <f>SUM(F1152:F1153)</f>
        <v/>
      </c>
    </row>
    <row r="1155">
      <c r="A1155" s="20" t="inlineStr">
        <is>
          <t>SAY (Rs.) — final DAR rate</t>
        </is>
      </c>
      <c r="B1155" s="21" t="n"/>
      <c r="C1155" s="21" t="n"/>
      <c r="D1155" s="21" t="n"/>
      <c r="E1155" s="21" t="n"/>
      <c r="F1155" s="22" t="n">
        <v>33.1</v>
      </c>
    </row>
    <row r="1157" ht="18" customHeight="1">
      <c r="A1157" s="9" t="inlineStr">
        <is>
          <t>11.33.1</t>
        </is>
      </c>
      <c r="B1157" s="10" t="inlineStr">
        <is>
          <t>Second class teak wood</t>
        </is>
      </c>
      <c r="C1157" s="11" t="n"/>
      <c r="D1157" s="11" t="n"/>
      <c r="E1157" s="11" t="n"/>
      <c r="F1157" s="11" t="n"/>
    </row>
    <row r="1158">
      <c r="A1158" s="12" t="inlineStr">
        <is>
          <t>Rate basis: per x4  (source: cost for 2.5 x4)</t>
        </is>
      </c>
    </row>
    <row r="1159">
      <c r="A1159" s="5" t="inlineStr">
        <is>
          <t>Code</t>
        </is>
      </c>
      <c r="B1159" s="5" t="inlineStr">
        <is>
          <t>Description</t>
        </is>
      </c>
      <c r="C1159" s="5" t="inlineStr">
        <is>
          <t>Unit</t>
        </is>
      </c>
      <c r="D1159" s="5" t="inlineStr">
        <is>
          <t>Quantity</t>
        </is>
      </c>
      <c r="E1159" s="5" t="inlineStr">
        <is>
          <t>Rate (Rs.)</t>
        </is>
      </c>
      <c r="F1159" s="5" t="inlineStr">
        <is>
          <t>Amount (Rs.)</t>
        </is>
      </c>
    </row>
    <row r="1160">
      <c r="A1160" s="13" t="inlineStr">
        <is>
          <t>2204</t>
        </is>
      </c>
      <c r="B1160" s="14" t="inlineStr">
        <is>
          <t>Carriage of Timber</t>
        </is>
      </c>
      <c r="C1160" s="13" t="inlineStr">
        <is>
          <t>cum</t>
        </is>
      </c>
      <c r="D1160" s="15" t="n">
        <v>0.2981</v>
      </c>
      <c r="E1160" s="16" t="n">
        <v>118.59</v>
      </c>
      <c r="F1160" s="16">
        <f>D1160*E1160</f>
        <v/>
      </c>
    </row>
    <row r="1161">
      <c r="A1161" s="13" t="inlineStr">
        <is>
          <t>0682</t>
        </is>
      </c>
      <c r="B1161" s="14" t="inlineStr">
        <is>
          <t>Oxidised mild steel screws 50 mm</t>
        </is>
      </c>
      <c r="C1161" s="13" t="inlineStr">
        <is>
          <t>100 Nos</t>
        </is>
      </c>
      <c r="D1161" s="15" t="n">
        <v>2</v>
      </c>
      <c r="E1161" s="16" t="n">
        <v>76</v>
      </c>
      <c r="F1161" s="16">
        <f>D1161*E1161</f>
        <v/>
      </c>
    </row>
    <row r="1162">
      <c r="A1162" s="13" t="inlineStr">
        <is>
          <t>0111</t>
        </is>
      </c>
      <c r="B1162" s="14" t="inlineStr">
        <is>
          <t>Carpenter 1st class</t>
        </is>
      </c>
      <c r="C1162" s="13" t="inlineStr">
        <is>
          <t>day</t>
        </is>
      </c>
      <c r="D1162" s="15" t="n">
        <v>2.68</v>
      </c>
      <c r="E1162" s="16" t="n">
        <v>738</v>
      </c>
      <c r="F1162" s="16">
        <f>D1162*E1162</f>
        <v/>
      </c>
    </row>
    <row r="1163">
      <c r="A1163" s="13" t="inlineStr">
        <is>
          <t>0114</t>
        </is>
      </c>
      <c r="B1163" s="14" t="inlineStr">
        <is>
          <t>Beldar</t>
        </is>
      </c>
      <c r="C1163" s="13" t="inlineStr">
        <is>
          <t>day</t>
        </is>
      </c>
      <c r="D1163" s="15" t="n">
        <v>1.35</v>
      </c>
      <c r="E1163" s="16" t="n">
        <v>558</v>
      </c>
      <c r="F1163" s="16">
        <f>D1163*E1163</f>
        <v/>
      </c>
    </row>
    <row r="1164">
      <c r="A1164" s="13" t="inlineStr">
        <is>
          <t>9999</t>
        </is>
      </c>
      <c r="B1164" s="14" t="inlineStr">
        <is>
          <t>Sundries for glue etc.</t>
        </is>
      </c>
      <c r="C1164" s="13" t="inlineStr">
        <is>
          <t>L.S.</t>
        </is>
      </c>
      <c r="D1164" s="15" t="n">
        <v>33.28</v>
      </c>
      <c r="E1164" s="16" t="n">
        <v>2</v>
      </c>
      <c r="F1164" s="16">
        <f>D1164*E1164</f>
        <v/>
      </c>
    </row>
    <row r="1165">
      <c r="A1165" s="17" t="inlineStr">
        <is>
          <t>Resource Total (Material + Labour + Machinery, as printed)</t>
        </is>
      </c>
      <c r="B1165" s="18" t="n"/>
      <c r="C1165" s="18" t="n"/>
      <c r="D1165" s="18" t="n"/>
      <c r="E1165" s="18" t="n"/>
      <c r="F1165" s="19">
        <f>SUM(F1160:F1164)</f>
        <v/>
      </c>
    </row>
    <row r="1166">
      <c r="A1166" s="20" t="inlineStr">
        <is>
          <t>SAY (Rs.) — final DAR rate</t>
        </is>
      </c>
      <c r="B1166" s="21" t="n"/>
      <c r="C1166" s="21" t="n"/>
      <c r="D1166" s="21" t="n"/>
      <c r="E1166" s="21" t="n"/>
      <c r="F1166" s="22" t="n">
        <v>4152.45</v>
      </c>
    </row>
    <row r="1168" ht="18" customHeight="1">
      <c r="A1168" s="9" t="inlineStr">
        <is>
          <t>11.33.2</t>
        </is>
      </c>
      <c r="B1168" s="10" t="inlineStr">
        <is>
          <t>Second class deodar wood</t>
        </is>
      </c>
      <c r="C1168" s="11" t="n"/>
      <c r="D1168" s="11" t="n"/>
      <c r="E1168" s="11" t="n"/>
      <c r="F1168" s="11" t="n"/>
    </row>
    <row r="1169">
      <c r="A1169" s="12" t="inlineStr">
        <is>
          <t>Rate basis: per x4  (source: cost for 2.5 x4)</t>
        </is>
      </c>
    </row>
    <row r="1170">
      <c r="A1170" s="5" t="inlineStr">
        <is>
          <t>Code</t>
        </is>
      </c>
      <c r="B1170" s="5" t="inlineStr">
        <is>
          <t>Description</t>
        </is>
      </c>
      <c r="C1170" s="5" t="inlineStr">
        <is>
          <t>Unit</t>
        </is>
      </c>
      <c r="D1170" s="5" t="inlineStr">
        <is>
          <t>Quantity</t>
        </is>
      </c>
      <c r="E1170" s="5" t="inlineStr">
        <is>
          <t>Rate (Rs.)</t>
        </is>
      </c>
      <c r="F1170" s="5" t="inlineStr">
        <is>
          <t>Amount (Rs.)</t>
        </is>
      </c>
    </row>
    <row r="1171">
      <c r="A1171" s="13" t="inlineStr">
        <is>
          <t>2204</t>
        </is>
      </c>
      <c r="B1171" s="14" t="inlineStr">
        <is>
          <t>Carriage of Timber</t>
        </is>
      </c>
      <c r="C1171" s="13" t="inlineStr">
        <is>
          <t>cum</t>
        </is>
      </c>
      <c r="D1171" s="15" t="n">
        <v>0.2981</v>
      </c>
      <c r="E1171" s="16" t="n">
        <v>118.59</v>
      </c>
      <c r="F1171" s="16">
        <f>D1171*E1171</f>
        <v/>
      </c>
    </row>
    <row r="1172">
      <c r="A1172" s="13" t="inlineStr">
        <is>
          <t>0682</t>
        </is>
      </c>
      <c r="B1172" s="14" t="inlineStr">
        <is>
          <t>Oxidised mild steel screws 50 mm</t>
        </is>
      </c>
      <c r="C1172" s="13" t="inlineStr">
        <is>
          <t>100 Nos</t>
        </is>
      </c>
      <c r="D1172" s="15" t="n">
        <v>2</v>
      </c>
      <c r="E1172" s="16" t="n">
        <v>76</v>
      </c>
      <c r="F1172" s="16">
        <f>D1172*E1172</f>
        <v/>
      </c>
    </row>
    <row r="1173">
      <c r="A1173" s="13" t="inlineStr">
        <is>
          <t>0111</t>
        </is>
      </c>
      <c r="B1173" s="14" t="inlineStr">
        <is>
          <t>Carpenter 1st class</t>
        </is>
      </c>
      <c r="C1173" s="13" t="inlineStr">
        <is>
          <t>day</t>
        </is>
      </c>
      <c r="D1173" s="15" t="n">
        <v>2.16</v>
      </c>
      <c r="E1173" s="16" t="n">
        <v>738</v>
      </c>
      <c r="F1173" s="16">
        <f>D1173*E1173</f>
        <v/>
      </c>
    </row>
    <row r="1174">
      <c r="A1174" s="13" t="inlineStr">
        <is>
          <t>0114</t>
        </is>
      </c>
      <c r="B1174" s="14" t="inlineStr">
        <is>
          <t>Beldar</t>
        </is>
      </c>
      <c r="C1174" s="13" t="inlineStr">
        <is>
          <t>day</t>
        </is>
      </c>
      <c r="D1174" s="15" t="n">
        <v>1.08</v>
      </c>
      <c r="E1174" s="16" t="n">
        <v>558</v>
      </c>
      <c r="F1174" s="16">
        <f>D1174*E1174</f>
        <v/>
      </c>
    </row>
    <row r="1175">
      <c r="A1175" s="13" t="inlineStr">
        <is>
          <t>9999</t>
        </is>
      </c>
      <c r="B1175" s="14" t="inlineStr">
        <is>
          <t>Sundries for glue etc.</t>
        </is>
      </c>
      <c r="C1175" s="13" t="inlineStr">
        <is>
          <t>L.S.</t>
        </is>
      </c>
      <c r="D1175" s="15" t="n">
        <v>26.91</v>
      </c>
      <c r="E1175" s="16" t="n">
        <v>2</v>
      </c>
      <c r="F1175" s="16">
        <f>D1175*E1175</f>
        <v/>
      </c>
    </row>
    <row r="1176">
      <c r="A1176" s="17" t="inlineStr">
        <is>
          <t>Resource Total (Material + Labour + Machinery, as printed)</t>
        </is>
      </c>
      <c r="B1176" s="18" t="n"/>
      <c r="C1176" s="18" t="n"/>
      <c r="D1176" s="18" t="n"/>
      <c r="E1176" s="18" t="n"/>
      <c r="F1176" s="19">
        <f>SUM(F1171:F1175)</f>
        <v/>
      </c>
    </row>
    <row r="1177">
      <c r="A1177" s="20" t="inlineStr">
        <is>
          <t>SAY (Rs.) — final DAR rate</t>
        </is>
      </c>
      <c r="B1177" s="21" t="n"/>
      <c r="C1177" s="21" t="n"/>
      <c r="D1177" s="21" t="n"/>
      <c r="E1177" s="21" t="n"/>
      <c r="F1177" s="22" t="n">
        <v>2759.1</v>
      </c>
    </row>
    <row r="1179" ht="28" customHeight="1">
      <c r="A1179" s="9" t="inlineStr">
        <is>
          <t>11.34</t>
        </is>
      </c>
      <c r="B1179" s="10" t="inlineStr">
        <is>
          <t xml:space="preserve">38 mm thick wood block flooring of first class teak wood laid over 25 mm thick leveling layer of cement concrete 1:2:4 (1 cement : 2 coarse </t>
        </is>
      </c>
      <c r="C1179" s="11" t="n"/>
      <c r="D1179" s="11" t="n"/>
      <c r="E1179" s="11" t="n"/>
      <c r="F1179" s="11" t="n"/>
    </row>
    <row r="1180">
      <c r="A1180" s="12" t="inlineStr">
        <is>
          <t>Rate basis: per sqm  (source: cost for 1 sqm)</t>
        </is>
      </c>
    </row>
    <row r="1181">
      <c r="A1181" s="5" t="inlineStr">
        <is>
          <t>Code</t>
        </is>
      </c>
      <c r="B1181" s="5" t="inlineStr">
        <is>
          <t>Description</t>
        </is>
      </c>
      <c r="C1181" s="5" t="inlineStr">
        <is>
          <t>Unit</t>
        </is>
      </c>
      <c r="D1181" s="5" t="inlineStr">
        <is>
          <t>Quantity</t>
        </is>
      </c>
      <c r="E1181" s="5" t="inlineStr">
        <is>
          <t>Rate (Rs.)</t>
        </is>
      </c>
      <c r="F1181" s="5" t="inlineStr">
        <is>
          <t>Amount (Rs.)</t>
        </is>
      </c>
    </row>
    <row r="1182">
      <c r="A1182" s="13" t="inlineStr">
        <is>
          <t>0313</t>
        </is>
      </c>
      <c r="B1182" s="14" t="inlineStr">
        <is>
          <t>Blown type petroleum bitumen of penetration 85/25 of approved quality</t>
        </is>
      </c>
      <c r="C1182" s="13" t="inlineStr">
        <is>
          <t>tonne</t>
        </is>
      </c>
      <c r="D1182" s="15" t="n">
        <v>0.0044</v>
      </c>
      <c r="E1182" s="16" t="n">
        <v>34000</v>
      </c>
      <c r="F1182" s="16">
        <f>D1182*E1182</f>
        <v/>
      </c>
    </row>
    <row r="1183">
      <c r="A1183" s="13" t="inlineStr">
        <is>
          <t>2211</t>
        </is>
      </c>
      <c r="B1183" s="14" t="inlineStr">
        <is>
          <t>Carriage of Tar bitumen</t>
        </is>
      </c>
      <c r="C1183" s="13" t="inlineStr">
        <is>
          <t>tonne</t>
        </is>
      </c>
      <c r="D1183" s="15" t="n">
        <v>0.0044</v>
      </c>
      <c r="E1183" s="16" t="n">
        <v>103.77</v>
      </c>
      <c r="F1183" s="16">
        <f>D1183*E1183</f>
        <v/>
      </c>
    </row>
    <row r="1184">
      <c r="A1184" s="13" t="inlineStr">
        <is>
          <t>2204</t>
        </is>
      </c>
      <c r="B1184" s="14" t="inlineStr">
        <is>
          <t>Carriage of Timber</t>
        </is>
      </c>
      <c r="C1184" s="13" t="inlineStr">
        <is>
          <t>cum</t>
        </is>
      </c>
      <c r="D1184" s="15" t="n">
        <v>0.0418</v>
      </c>
      <c r="E1184" s="16" t="n">
        <v>118.59</v>
      </c>
      <c r="F1184" s="16">
        <f>D1184*E1184</f>
        <v/>
      </c>
    </row>
    <row r="1185">
      <c r="A1185" s="13" t="inlineStr">
        <is>
          <t>0111</t>
        </is>
      </c>
      <c r="B1185" s="14" t="inlineStr">
        <is>
          <t>Carpenter 1st class</t>
        </is>
      </c>
      <c r="C1185" s="13" t="inlineStr">
        <is>
          <t>day</t>
        </is>
      </c>
      <c r="D1185" s="15" t="n">
        <v>1.75</v>
      </c>
      <c r="E1185" s="16" t="n">
        <v>738</v>
      </c>
      <c r="F1185" s="16">
        <f>D1185*E1185</f>
        <v/>
      </c>
    </row>
    <row r="1186">
      <c r="A1186" s="13" t="inlineStr">
        <is>
          <t>0114</t>
        </is>
      </c>
      <c r="B1186" s="14" t="inlineStr">
        <is>
          <t>Beldar</t>
        </is>
      </c>
      <c r="C1186" s="13" t="inlineStr">
        <is>
          <t>day</t>
        </is>
      </c>
      <c r="D1186" s="15" t="n">
        <v>2.25</v>
      </c>
      <c r="E1186" s="16" t="n">
        <v>558</v>
      </c>
      <c r="F1186" s="16">
        <f>D1186*E1186</f>
        <v/>
      </c>
    </row>
    <row r="1187">
      <c r="A1187" s="13" t="inlineStr">
        <is>
          <t>0115</t>
        </is>
      </c>
      <c r="B1187" s="14" t="inlineStr">
        <is>
          <t>Coolie</t>
        </is>
      </c>
      <c r="C1187" s="13" t="inlineStr">
        <is>
          <t>day</t>
        </is>
      </c>
      <c r="D1187" s="15" t="n">
        <v>1.5</v>
      </c>
      <c r="E1187" s="16" t="n">
        <v>558</v>
      </c>
      <c r="F1187" s="16">
        <f>D1187*E1187</f>
        <v/>
      </c>
    </row>
    <row r="1188">
      <c r="A1188" s="13" t="inlineStr">
        <is>
          <t>0130</t>
        </is>
      </c>
      <c r="B1188" s="14" t="inlineStr">
        <is>
          <t>Mistry</t>
        </is>
      </c>
      <c r="C1188" s="13" t="inlineStr">
        <is>
          <t>day</t>
        </is>
      </c>
      <c r="D1188" s="15" t="n">
        <v>0.1</v>
      </c>
      <c r="E1188" s="16" t="n">
        <v>738</v>
      </c>
      <c r="F1188" s="16">
        <f>D1188*E1188</f>
        <v/>
      </c>
    </row>
    <row r="1189">
      <c r="A1189" s="13" t="inlineStr">
        <is>
          <t>9999</t>
        </is>
      </c>
      <c r="B1189" s="14" t="inlineStr">
        <is>
          <t>Sundries such as fuel, kerosene oil, sand paper etc.</t>
        </is>
      </c>
      <c r="C1189" s="13" t="inlineStr">
        <is>
          <t>L.S.</t>
        </is>
      </c>
      <c r="D1189" s="15" t="n">
        <v>80.73</v>
      </c>
      <c r="E1189" s="16" t="n">
        <v>2</v>
      </c>
      <c r="F1189" s="16">
        <f>D1189*E1189</f>
        <v/>
      </c>
    </row>
    <row r="1190">
      <c r="A1190" s="17" t="inlineStr">
        <is>
          <t>Resource Total (Material + Labour + Machinery, as printed)</t>
        </is>
      </c>
      <c r="B1190" s="18" t="n"/>
      <c r="C1190" s="18" t="n"/>
      <c r="D1190" s="18" t="n"/>
      <c r="E1190" s="18" t="n"/>
      <c r="F1190" s="19">
        <f>SUM(F1182:F1189)</f>
        <v/>
      </c>
    </row>
    <row r="1191">
      <c r="A1191" s="20" t="inlineStr">
        <is>
          <t>SAY (Rs.) — final DAR rate</t>
        </is>
      </c>
      <c r="B1191" s="21" t="n"/>
      <c r="C1191" s="21" t="n"/>
      <c r="D1191" s="21" t="n"/>
      <c r="E1191" s="21" t="n"/>
      <c r="F1191" s="22" t="n">
        <v>9971.200000000001</v>
      </c>
    </row>
    <row r="1193" ht="28" customHeight="1">
      <c r="A1193" s="9" t="inlineStr">
        <is>
          <t>11.35</t>
        </is>
      </c>
      <c r="B1193" s="10" t="inlineStr">
        <is>
          <t>Providing and fixing M.S. angle 50x50x5 mm to act as nosing with lugs of M.S. flat 10x5 mm, 10 cm long, forked at end 60cm apart (minimum th</t>
        </is>
      </c>
      <c r="C1193" s="11" t="n"/>
      <c r="D1193" s="11" t="n"/>
      <c r="E1193" s="11" t="n"/>
      <c r="F1193" s="11" t="n"/>
    </row>
    <row r="1194">
      <c r="A1194" s="12" t="inlineStr">
        <is>
          <t>Rate basis: per m  (source: cost for 3 m)</t>
        </is>
      </c>
    </row>
    <row r="1195">
      <c r="A1195" s="5" t="inlineStr">
        <is>
          <t>Code</t>
        </is>
      </c>
      <c r="B1195" s="5" t="inlineStr">
        <is>
          <t>Description</t>
        </is>
      </c>
      <c r="C1195" s="5" t="inlineStr">
        <is>
          <t>Unit</t>
        </is>
      </c>
      <c r="D1195" s="5" t="inlineStr">
        <is>
          <t>Quantity</t>
        </is>
      </c>
      <c r="E1195" s="5" t="inlineStr">
        <is>
          <t>Rate (Rs.)</t>
        </is>
      </c>
      <c r="F1195" s="5" t="inlineStr">
        <is>
          <t>Amount (Rs.)</t>
        </is>
      </c>
    </row>
    <row r="1196">
      <c r="A1196" s="13" t="inlineStr">
        <is>
          <t>13.50.3</t>
        </is>
      </c>
      <c r="B1196" s="14" t="inlineStr">
        <is>
          <t>Rate as per SH: 13.50.3</t>
        </is>
      </c>
      <c r="C1196" s="13" t="inlineStr">
        <is>
          <t>sqm</t>
        </is>
      </c>
      <c r="D1196" s="15" t="n">
        <v>0.6</v>
      </c>
      <c r="E1196" s="16" t="n">
        <v>50.7</v>
      </c>
      <c r="F1196" s="16">
        <f>D1196*E1196</f>
        <v/>
      </c>
    </row>
    <row r="1197">
      <c r="A1197" s="13" t="inlineStr">
        <is>
          <t>1007</t>
        </is>
      </c>
      <c r="B1197" s="14" t="inlineStr">
        <is>
          <t>Structurals such as tees,angles channels and R.S. joists</t>
        </is>
      </c>
      <c r="C1197" s="13" t="inlineStr">
        <is>
          <t>quintal</t>
        </is>
      </c>
      <c r="D1197" s="15" t="n">
        <v>0.12</v>
      </c>
      <c r="E1197" s="16" t="n">
        <v>4600</v>
      </c>
      <c r="F1197" s="16">
        <f>D1197*E1197</f>
        <v/>
      </c>
    </row>
    <row r="1198">
      <c r="A1198" s="13" t="inlineStr">
        <is>
          <t>1008</t>
        </is>
      </c>
      <c r="B1198" s="14" t="inlineStr">
        <is>
          <t>Flats upto 10 mm in thickness</t>
        </is>
      </c>
      <c r="C1198" s="13" t="inlineStr">
        <is>
          <t>quintal</t>
        </is>
      </c>
      <c r="D1198" s="15" t="n">
        <v>0.0025</v>
      </c>
      <c r="E1198" s="16" t="n">
        <v>4500</v>
      </c>
      <c r="F1198" s="16">
        <f>D1198*E1198</f>
        <v/>
      </c>
    </row>
    <row r="1199">
      <c r="A1199" s="13" t="inlineStr">
        <is>
          <t>2205</t>
        </is>
      </c>
      <c r="B1199" s="14" t="inlineStr">
        <is>
          <t>Carriage of Steel</t>
        </is>
      </c>
      <c r="C1199" s="13" t="inlineStr">
        <is>
          <t>tonne</t>
        </is>
      </c>
      <c r="D1199" s="15" t="n">
        <v>0.016</v>
      </c>
      <c r="E1199" s="16" t="n">
        <v>92.23999999999999</v>
      </c>
      <c r="F1199" s="16">
        <f>D1199*E1199</f>
        <v/>
      </c>
    </row>
    <row r="1200">
      <c r="A1200" s="13" t="inlineStr">
        <is>
          <t>1215</t>
        </is>
      </c>
      <c r="B1200" s="14" t="inlineStr">
        <is>
          <t>Welding by electric plant</t>
        </is>
      </c>
      <c r="C1200" s="13" t="inlineStr">
        <is>
          <t>cm</t>
        </is>
      </c>
      <c r="D1200" s="15" t="n">
        <v>6</v>
      </c>
      <c r="E1200" s="16" t="n">
        <v>2</v>
      </c>
      <c r="F1200" s="16">
        <f>D1200*E1200</f>
        <v/>
      </c>
    </row>
    <row r="1201">
      <c r="A1201" s="13" t="inlineStr">
        <is>
          <t>9999</t>
        </is>
      </c>
      <c r="B1201" s="14" t="inlineStr">
        <is>
          <t>Sundries</t>
        </is>
      </c>
      <c r="C1201" s="13" t="inlineStr">
        <is>
          <t>L.S.</t>
        </is>
      </c>
      <c r="D1201" s="15" t="n">
        <v>9.1</v>
      </c>
      <c r="E1201" s="16" t="n">
        <v>2</v>
      </c>
      <c r="F1201" s="16">
        <f>D1201*E1201</f>
        <v/>
      </c>
    </row>
    <row r="1202">
      <c r="A1202" s="13" t="inlineStr">
        <is>
          <t>0103</t>
        </is>
      </c>
      <c r="B1202" s="14" t="inlineStr">
        <is>
          <t>Blacksmith 2nd class</t>
        </is>
      </c>
      <c r="C1202" s="13" t="inlineStr">
        <is>
          <t>day</t>
        </is>
      </c>
      <c r="D1202" s="15" t="n">
        <v>0.09</v>
      </c>
      <c r="E1202" s="16" t="n">
        <v>679</v>
      </c>
      <c r="F1202" s="16">
        <f>D1202*E1202</f>
        <v/>
      </c>
    </row>
    <row r="1203">
      <c r="A1203" s="13" t="inlineStr">
        <is>
          <t>0123</t>
        </is>
      </c>
      <c r="B1203" s="14" t="inlineStr">
        <is>
          <t>Mason (brick layer) 1st class</t>
        </is>
      </c>
      <c r="C1203" s="13" t="inlineStr">
        <is>
          <t>day</t>
        </is>
      </c>
      <c r="D1203" s="15" t="n">
        <v>0.45</v>
      </c>
      <c r="E1203" s="16" t="n">
        <v>738</v>
      </c>
      <c r="F1203" s="16">
        <f>D1203*E1203</f>
        <v/>
      </c>
    </row>
    <row r="1204">
      <c r="A1204" s="13" t="inlineStr">
        <is>
          <t>0114</t>
        </is>
      </c>
      <c r="B1204" s="14" t="inlineStr">
        <is>
          <t>Beldar</t>
        </is>
      </c>
      <c r="C1204" s="13" t="inlineStr">
        <is>
          <t>day</t>
        </is>
      </c>
      <c r="D1204" s="15" t="n">
        <v>0.25</v>
      </c>
      <c r="E1204" s="16" t="n">
        <v>558</v>
      </c>
      <c r="F1204" s="16">
        <f>D1204*E1204</f>
        <v/>
      </c>
    </row>
    <row r="1205">
      <c r="A1205" s="17" t="inlineStr">
        <is>
          <t>Resource Total (Material + Labour + Machinery, as printed)</t>
        </is>
      </c>
      <c r="B1205" s="18" t="n"/>
      <c r="C1205" s="18" t="n"/>
      <c r="D1205" s="18" t="n"/>
      <c r="E1205" s="18" t="n"/>
      <c r="F1205" s="19">
        <f>SUM(F1196:F1204)</f>
        <v/>
      </c>
    </row>
    <row r="1206">
      <c r="A1206" s="20" t="inlineStr">
        <is>
          <t>SAY (Rs.) — final DAR rate</t>
        </is>
      </c>
      <c r="B1206" s="21" t="n"/>
      <c r="C1206" s="21" t="n"/>
      <c r="D1206" s="21" t="n"/>
      <c r="E1206" s="21" t="n"/>
      <c r="F1206" s="22" t="n">
        <v>132.25</v>
      </c>
    </row>
    <row r="1208" ht="28" customHeight="1">
      <c r="A1208" s="9" t="inlineStr">
        <is>
          <t>11.37</t>
        </is>
      </c>
      <c r="B1208" s="10" t="inlineStr">
        <is>
          <t>Providing and laying Ceramic glazed floor tiles of size 300x300 mm (thickness to be specified by the manufacturer) of 1st quality conforming</t>
        </is>
      </c>
      <c r="C1208" s="11" t="n"/>
      <c r="D1208" s="11" t="n"/>
      <c r="E1208" s="11" t="n"/>
      <c r="F1208" s="11" t="n"/>
    </row>
    <row r="1209">
      <c r="A1209" s="12" t="inlineStr">
        <is>
          <t>Rate basis: per sqm  (source: cost for 1 sqm)</t>
        </is>
      </c>
    </row>
    <row r="1210">
      <c r="A1210" s="5" t="inlineStr">
        <is>
          <t>Code</t>
        </is>
      </c>
      <c r="B1210" s="5" t="inlineStr">
        <is>
          <t>Description</t>
        </is>
      </c>
      <c r="C1210" s="5" t="inlineStr">
        <is>
          <t>Unit</t>
        </is>
      </c>
      <c r="D1210" s="5" t="inlineStr">
        <is>
          <t>Quantity</t>
        </is>
      </c>
      <c r="E1210" s="5" t="inlineStr">
        <is>
          <t>Rate (Rs.)</t>
        </is>
      </c>
      <c r="F1210" s="5" t="inlineStr">
        <is>
          <t>Amount (Rs.)</t>
        </is>
      </c>
    </row>
    <row r="1211">
      <c r="A1211" s="13" t="inlineStr">
        <is>
          <t>3.9</t>
        </is>
      </c>
      <c r="B1211" s="14" t="inlineStr">
        <is>
          <t>Rate as per SH: 3.9</t>
        </is>
      </c>
      <c r="C1211" s="13" t="inlineStr">
        <is>
          <t>cum</t>
        </is>
      </c>
      <c r="D1211" s="15" t="n">
        <v>0.024</v>
      </c>
      <c r="E1211" s="16" t="n">
        <v>4010.35</v>
      </c>
      <c r="F1211" s="16">
        <f>D1211*E1211</f>
        <v/>
      </c>
    </row>
    <row r="1212">
      <c r="A1212" s="13" t="inlineStr">
        <is>
          <t>7801</t>
        </is>
      </c>
      <c r="B1212" s="14" t="inlineStr">
        <is>
          <t>Ceramic Glazed Tiles Ist quality 300 x 300mm in all shades and designs of White, Ivory, grey, Fuem Red brown etc.</t>
        </is>
      </c>
      <c r="C1212" s="13" t="inlineStr">
        <is>
          <t>sqm</t>
        </is>
      </c>
      <c r="D1212" s="15" t="n">
        <v>1.025</v>
      </c>
      <c r="E1212" s="16" t="n">
        <v>209.1</v>
      </c>
      <c r="F1212" s="16">
        <f>D1212*E1212</f>
        <v/>
      </c>
    </row>
    <row r="1213">
      <c r="A1213" s="13" t="inlineStr">
        <is>
          <t>9977</t>
        </is>
      </c>
      <c r="B1213" s="14" t="inlineStr">
        <is>
          <t>Carriage of tiles</t>
        </is>
      </c>
      <c r="C1213" s="13" t="inlineStr">
        <is>
          <t>L.S.</t>
        </is>
      </c>
      <c r="D1213" s="15" t="n">
        <v>6.24</v>
      </c>
      <c r="E1213" s="16" t="n">
        <v>2</v>
      </c>
      <c r="F1213" s="16">
        <f>D1213*E1213</f>
        <v/>
      </c>
    </row>
    <row r="1214">
      <c r="A1214" s="13" t="inlineStr">
        <is>
          <t>9999</t>
        </is>
      </c>
      <c r="B1214" s="14" t="inlineStr">
        <is>
          <t>Mortar for pointing in white cement</t>
        </is>
      </c>
      <c r="C1214" s="13" t="inlineStr">
        <is>
          <t>L.S.</t>
        </is>
      </c>
      <c r="D1214" s="15" t="n">
        <v>20.2</v>
      </c>
      <c r="E1214" s="16" t="n">
        <v>2</v>
      </c>
      <c r="F1214" s="16">
        <f>D1214*E1214</f>
        <v/>
      </c>
    </row>
    <row r="1215">
      <c r="A1215" s="13" t="inlineStr">
        <is>
          <t>0367</t>
        </is>
      </c>
      <c r="B1215" s="14" t="inlineStr">
        <is>
          <t>Portland Cement</t>
        </is>
      </c>
      <c r="C1215" s="13" t="inlineStr">
        <is>
          <t>tonne</t>
        </is>
      </c>
      <c r="D1215" s="15" t="n">
        <v>0.0033</v>
      </c>
      <c r="E1215" s="16" t="n">
        <v>4940</v>
      </c>
      <c r="F1215" s="16">
        <f>D1215*E1215</f>
        <v/>
      </c>
    </row>
    <row r="1216">
      <c r="A1216" s="13" t="inlineStr">
        <is>
          <t>0123</t>
        </is>
      </c>
      <c r="B1216" s="14" t="inlineStr">
        <is>
          <t>Mason (brick layer) 1st class</t>
        </is>
      </c>
      <c r="C1216" s="13" t="inlineStr">
        <is>
          <t>day</t>
        </is>
      </c>
      <c r="D1216" s="15" t="n">
        <v>0.2</v>
      </c>
      <c r="E1216" s="16" t="n">
        <v>738</v>
      </c>
      <c r="F1216" s="16">
        <f>D1216*E1216</f>
        <v/>
      </c>
    </row>
    <row r="1217">
      <c r="A1217" s="13" t="inlineStr">
        <is>
          <t>0115</t>
        </is>
      </c>
      <c r="B1217" s="14" t="inlineStr">
        <is>
          <t>Coolie</t>
        </is>
      </c>
      <c r="C1217" s="13" t="inlineStr">
        <is>
          <t>day</t>
        </is>
      </c>
      <c r="D1217" s="15" t="n">
        <v>0.2</v>
      </c>
      <c r="E1217" s="16" t="n">
        <v>558</v>
      </c>
      <c r="F1217" s="16">
        <f>D1217*E1217</f>
        <v/>
      </c>
    </row>
    <row r="1218">
      <c r="A1218" s="13" t="inlineStr">
        <is>
          <t>9988</t>
        </is>
      </c>
      <c r="B1218" s="14" t="inlineStr">
        <is>
          <t>Sundries including carriage of cement etc</t>
        </is>
      </c>
      <c r="C1218" s="13" t="inlineStr">
        <is>
          <t>L.S.</t>
        </is>
      </c>
      <c r="D1218" s="15" t="n">
        <v>26.91</v>
      </c>
      <c r="E1218" s="16" t="n">
        <v>2</v>
      </c>
      <c r="F1218" s="16">
        <f>D1218*E1218</f>
        <v/>
      </c>
    </row>
    <row r="1219">
      <c r="A1219" s="17" t="inlineStr">
        <is>
          <t>Resource Total (Material + Labour + Machinery, as printed)</t>
        </is>
      </c>
      <c r="B1219" s="18" t="n"/>
      <c r="C1219" s="18" t="n"/>
      <c r="D1219" s="18" t="n"/>
      <c r="E1219" s="18" t="n"/>
      <c r="F1219" s="19">
        <f>SUM(F1211:F1218)</f>
        <v/>
      </c>
    </row>
    <row r="1220">
      <c r="A1220" s="20" t="inlineStr">
        <is>
          <t>SAY (Rs.) — final DAR rate</t>
        </is>
      </c>
      <c r="B1220" s="21" t="n"/>
      <c r="C1220" s="21" t="n"/>
      <c r="D1220" s="21" t="n"/>
      <c r="E1220" s="21" t="n"/>
      <c r="F1220" s="22" t="n">
        <v>926.9</v>
      </c>
    </row>
    <row r="1222" ht="18" customHeight="1">
      <c r="A1222" s="9" t="inlineStr">
        <is>
          <t>11.37A</t>
        </is>
      </c>
      <c r="B1222" s="10" t="inlineStr">
        <is>
          <t>Providing and fixing 1st quality ceramic glazed floor tiles conforming to IS :</t>
        </is>
      </c>
      <c r="C1222" s="11" t="n"/>
      <c r="D1222" s="11" t="n"/>
      <c r="E1222" s="11" t="n"/>
      <c r="F1222" s="11" t="n"/>
    </row>
    <row r="1223">
      <c r="A1223" s="12" t="inlineStr">
        <is>
          <t>Rate basis: per Sqm  (source: cost for 1 Sqm)</t>
        </is>
      </c>
    </row>
    <row r="1224">
      <c r="A1224" s="5" t="inlineStr">
        <is>
          <t>Code</t>
        </is>
      </c>
      <c r="B1224" s="5" t="inlineStr">
        <is>
          <t>Description</t>
        </is>
      </c>
      <c r="C1224" s="5" t="inlineStr">
        <is>
          <t>Unit</t>
        </is>
      </c>
      <c r="D1224" s="5" t="inlineStr">
        <is>
          <t>Quantity</t>
        </is>
      </c>
      <c r="E1224" s="5" t="inlineStr">
        <is>
          <t>Rate (Rs.)</t>
        </is>
      </c>
      <c r="F1224" s="5" t="inlineStr">
        <is>
          <t>Amount (Rs.)</t>
        </is>
      </c>
    </row>
    <row r="1225">
      <c r="A1225" s="13" t="inlineStr">
        <is>
          <t>7801</t>
        </is>
      </c>
      <c r="B1225" s="14" t="inlineStr">
        <is>
          <t>Glazed Ceramic Floor Tile = 1.00 Sqm+ Add for wastage and breakage @2.5% = 0.025 Sqm =1.025 Sqm</t>
        </is>
      </c>
      <c r="C1225" s="13" t="inlineStr">
        <is>
          <t>sqm</t>
        </is>
      </c>
      <c r="D1225" s="15" t="n">
        <v>1.025</v>
      </c>
      <c r="E1225" s="16" t="n">
        <v>209.1</v>
      </c>
      <c r="F1225" s="16">
        <f>D1225*E1225</f>
        <v/>
      </c>
    </row>
    <row r="1226">
      <c r="A1226" s="13" t="inlineStr">
        <is>
          <t>9999</t>
        </is>
      </c>
      <c r="B1226" s="14" t="inlineStr">
        <is>
          <t>Carriage of Tiles</t>
        </is>
      </c>
      <c r="C1226" s="13" t="inlineStr">
        <is>
          <t>L.S.</t>
        </is>
      </c>
      <c r="D1226" s="15" t="n">
        <v>6.24</v>
      </c>
      <c r="E1226" s="16" t="n">
        <v>2</v>
      </c>
      <c r="F1226" s="16">
        <f>D1226*E1226</f>
        <v/>
      </c>
    </row>
    <row r="1227">
      <c r="A1227" s="13" t="inlineStr">
        <is>
          <t>9999</t>
        </is>
      </c>
      <c r="B1227" s="14" t="inlineStr">
        <is>
          <t>Mortar for pointing in white cement</t>
        </is>
      </c>
      <c r="C1227" s="13" t="inlineStr">
        <is>
          <t>L.S.</t>
        </is>
      </c>
      <c r="D1227" s="15" t="n">
        <v>3.64</v>
      </c>
      <c r="E1227" s="16" t="n">
        <v>2</v>
      </c>
      <c r="F1227" s="16">
        <f>D1227*E1227</f>
        <v/>
      </c>
    </row>
    <row r="1228">
      <c r="A1228" s="13" t="inlineStr">
        <is>
          <t>0367</t>
        </is>
      </c>
      <c r="B1228" s="14" t="inlineStr">
        <is>
          <t>Cement for slurry over bed @ 3.3 Kg/Sqm</t>
        </is>
      </c>
      <c r="C1228" s="13" t="inlineStr">
        <is>
          <t>tonne</t>
        </is>
      </c>
      <c r="D1228" s="15" t="n">
        <v>0.0033</v>
      </c>
      <c r="E1228" s="16" t="n">
        <v>4940</v>
      </c>
      <c r="F1228" s="16">
        <f>D1228*E1228</f>
        <v/>
      </c>
    </row>
    <row r="1229">
      <c r="A1229" s="13" t="inlineStr">
        <is>
          <t>0123</t>
        </is>
      </c>
      <c r="B1229" s="14" t="inlineStr">
        <is>
          <t>Mason 1st Class</t>
        </is>
      </c>
      <c r="C1229" s="13" t="inlineStr">
        <is>
          <t>day</t>
        </is>
      </c>
      <c r="D1229" s="15" t="n">
        <v>0.25</v>
      </c>
      <c r="E1229" s="16" t="n">
        <v>738</v>
      </c>
      <c r="F1229" s="16">
        <f>D1229*E1229</f>
        <v/>
      </c>
    </row>
    <row r="1230">
      <c r="A1230" s="13" t="inlineStr">
        <is>
          <t>0115</t>
        </is>
      </c>
      <c r="B1230" s="14" t="inlineStr">
        <is>
          <t>Coolie</t>
        </is>
      </c>
      <c r="C1230" s="13" t="inlineStr">
        <is>
          <t>day</t>
        </is>
      </c>
      <c r="D1230" s="15" t="n">
        <v>0.25</v>
      </c>
      <c r="E1230" s="16" t="n">
        <v>558</v>
      </c>
      <c r="F1230" s="16">
        <f>D1230*E1230</f>
        <v/>
      </c>
    </row>
    <row r="1231">
      <c r="A1231" s="13" t="inlineStr">
        <is>
          <t>9999</t>
        </is>
      </c>
      <c r="B1231" s="14" t="inlineStr">
        <is>
          <t>Sundries includding carriage of Cement etc</t>
        </is>
      </c>
      <c r="C1231" s="13" t="inlineStr">
        <is>
          <t>L.S.</t>
        </is>
      </c>
      <c r="D1231" s="15" t="n">
        <v>26.91</v>
      </c>
      <c r="E1231" s="16" t="n">
        <v>2</v>
      </c>
      <c r="F1231" s="16">
        <f>D1231*E1231</f>
        <v/>
      </c>
    </row>
    <row r="1232">
      <c r="A1232" s="17" t="inlineStr">
        <is>
          <t>Resource Total (Material + Labour + Machinery, as printed)</t>
        </is>
      </c>
      <c r="B1232" s="18" t="n"/>
      <c r="C1232" s="18" t="n"/>
      <c r="D1232" s="18" t="n"/>
      <c r="E1232" s="18" t="n"/>
      <c r="F1232" s="19">
        <f>SUM(F1225:F1231)</f>
        <v/>
      </c>
    </row>
    <row r="1233">
      <c r="A1233" s="20" t="inlineStr">
        <is>
          <t>SAY (Rs.) — final DAR rate</t>
        </is>
      </c>
      <c r="B1233" s="21" t="n"/>
      <c r="C1233" s="21" t="n"/>
      <c r="D1233" s="21" t="n"/>
      <c r="E1233" s="21" t="n"/>
      <c r="F1233" s="22" t="n">
        <v>927.9</v>
      </c>
    </row>
    <row r="1235" ht="28" customHeight="1">
      <c r="A1235" s="9" t="inlineStr">
        <is>
          <t>11.38</t>
        </is>
      </c>
      <c r="B1235" s="10" t="inlineStr">
        <is>
          <t>Providing and laying Ceramic glazed floor tiles of size 300x300 mm (thickness to be specified by the manufacturer), of 1st quality conformin</t>
        </is>
      </c>
      <c r="C1235" s="11" t="n"/>
      <c r="D1235" s="11" t="n"/>
      <c r="E1235" s="11" t="n"/>
      <c r="F1235" s="11" t="n"/>
    </row>
    <row r="1236">
      <c r="A1236" s="12" t="inlineStr">
        <is>
          <t>Rate basis: per sqm  (source: cost for 1 sqm)</t>
        </is>
      </c>
    </row>
    <row r="1237">
      <c r="A1237" s="5" t="inlineStr">
        <is>
          <t>Code</t>
        </is>
      </c>
      <c r="B1237" s="5" t="inlineStr">
        <is>
          <t>Description</t>
        </is>
      </c>
      <c r="C1237" s="5" t="inlineStr">
        <is>
          <t>Unit</t>
        </is>
      </c>
      <c r="D1237" s="5" t="inlineStr">
        <is>
          <t>Quantity</t>
        </is>
      </c>
      <c r="E1237" s="5" t="inlineStr">
        <is>
          <t>Rate (Rs.)</t>
        </is>
      </c>
      <c r="F1237" s="5" t="inlineStr">
        <is>
          <t>Amount (Rs.)</t>
        </is>
      </c>
    </row>
    <row r="1238">
      <c r="A1238" s="13" t="inlineStr">
        <is>
          <t>3.9</t>
        </is>
      </c>
      <c r="B1238" s="14" t="inlineStr">
        <is>
          <t>Rate as per SH: 3.9</t>
        </is>
      </c>
      <c r="C1238" s="13" t="inlineStr">
        <is>
          <t>cum</t>
        </is>
      </c>
      <c r="D1238" s="15" t="n">
        <v>0.024</v>
      </c>
      <c r="E1238" s="16" t="n">
        <v>4010.35</v>
      </c>
      <c r="F1238" s="16">
        <f>D1238*E1238</f>
        <v/>
      </c>
    </row>
    <row r="1239">
      <c r="A1239" s="13" t="inlineStr">
        <is>
          <t>9977</t>
        </is>
      </c>
      <c r="B1239" s="14" t="inlineStr">
        <is>
          <t>Carriage of tiles</t>
        </is>
      </c>
      <c r="C1239" s="13" t="inlineStr">
        <is>
          <t>L.S.</t>
        </is>
      </c>
      <c r="D1239" s="15" t="n">
        <v>6.24</v>
      </c>
      <c r="E1239" s="16" t="n">
        <v>2</v>
      </c>
      <c r="F1239" s="16">
        <f>D1239*E1239</f>
        <v/>
      </c>
    </row>
    <row r="1240">
      <c r="A1240" s="13" t="inlineStr">
        <is>
          <t>9999</t>
        </is>
      </c>
      <c r="B1240" s="14" t="inlineStr">
        <is>
          <t>Mortar for pointing in white cement</t>
        </is>
      </c>
      <c r="C1240" s="13" t="inlineStr">
        <is>
          <t>L.S.</t>
        </is>
      </c>
      <c r="D1240" s="15" t="n">
        <v>20.2</v>
      </c>
      <c r="E1240" s="16" t="n">
        <v>2</v>
      </c>
      <c r="F1240" s="16">
        <f>D1240*E1240</f>
        <v/>
      </c>
    </row>
    <row r="1241">
      <c r="A1241" s="13" t="inlineStr">
        <is>
          <t>0367</t>
        </is>
      </c>
      <c r="B1241" s="14" t="inlineStr">
        <is>
          <t>Portland Cement</t>
        </is>
      </c>
      <c r="C1241" s="13" t="inlineStr">
        <is>
          <t>tonne</t>
        </is>
      </c>
      <c r="D1241" s="15" t="n">
        <v>0.0033</v>
      </c>
      <c r="E1241" s="16" t="n">
        <v>4940</v>
      </c>
      <c r="F1241" s="16">
        <f>D1241*E1241</f>
        <v/>
      </c>
    </row>
    <row r="1242">
      <c r="A1242" s="13" t="inlineStr">
        <is>
          <t>0123</t>
        </is>
      </c>
      <c r="B1242" s="14" t="inlineStr">
        <is>
          <t>Mason (brick layer) 1st class</t>
        </is>
      </c>
      <c r="C1242" s="13" t="inlineStr">
        <is>
          <t>day</t>
        </is>
      </c>
      <c r="D1242" s="15" t="n">
        <v>0.2</v>
      </c>
      <c r="E1242" s="16" t="n">
        <v>738</v>
      </c>
      <c r="F1242" s="16">
        <f>D1242*E1242</f>
        <v/>
      </c>
    </row>
    <row r="1243">
      <c r="A1243" s="13" t="inlineStr">
        <is>
          <t>0115</t>
        </is>
      </c>
      <c r="B1243" s="14" t="inlineStr">
        <is>
          <t>Coolie</t>
        </is>
      </c>
      <c r="C1243" s="13" t="inlineStr">
        <is>
          <t>day</t>
        </is>
      </c>
      <c r="D1243" s="15" t="n">
        <v>0.2</v>
      </c>
      <c r="E1243" s="16" t="n">
        <v>558</v>
      </c>
      <c r="F1243" s="16">
        <f>D1243*E1243</f>
        <v/>
      </c>
    </row>
    <row r="1244">
      <c r="A1244" s="13" t="inlineStr">
        <is>
          <t>9988</t>
        </is>
      </c>
      <c r="B1244" s="14" t="inlineStr">
        <is>
          <t>Sundries including carriage of cement etc</t>
        </is>
      </c>
      <c r="C1244" s="13" t="inlineStr">
        <is>
          <t>L.S.</t>
        </is>
      </c>
      <c r="D1244" s="15" t="n">
        <v>26.91</v>
      </c>
      <c r="E1244" s="16" t="n">
        <v>2</v>
      </c>
      <c r="F1244" s="16">
        <f>D1244*E1244</f>
        <v/>
      </c>
    </row>
    <row r="1245">
      <c r="A1245" s="17" t="inlineStr">
        <is>
          <t>Resource Total (Material + Labour + Machinery, as printed)</t>
        </is>
      </c>
      <c r="B1245" s="18" t="n"/>
      <c r="C1245" s="18" t="n"/>
      <c r="D1245" s="18" t="n"/>
      <c r="E1245" s="18" t="n"/>
      <c r="F1245" s="19">
        <f>SUM(F1238:F1244)</f>
        <v/>
      </c>
    </row>
    <row r="1246">
      <c r="A1246" s="20" t="inlineStr">
        <is>
          <t>SAY (Rs.) — final DAR rate</t>
        </is>
      </c>
      <c r="B1246" s="21" t="n"/>
      <c r="C1246" s="21" t="n"/>
      <c r="D1246" s="21" t="n"/>
      <c r="E1246" s="21" t="n"/>
      <c r="F1246" s="22" t="n">
        <v>996.7</v>
      </c>
    </row>
    <row r="1248" ht="28" customHeight="1">
      <c r="A1248" s="9" t="inlineStr">
        <is>
          <t>11.39</t>
        </is>
      </c>
      <c r="B1248" s="10" t="inlineStr">
        <is>
          <t>Providing and laying rectified Glazed Ceramic floor tiles of size 300x300 mm or more (thickness to be specified by the manufacturer), of 1st</t>
        </is>
      </c>
      <c r="C1248" s="11" t="n"/>
      <c r="D1248" s="11" t="n"/>
      <c r="E1248" s="11" t="n"/>
      <c r="F1248" s="11" t="n"/>
    </row>
    <row r="1249">
      <c r="A1249" s="12" t="inlineStr">
        <is>
          <t>Rate basis: per sqm  (source: cost for 1 sqm)</t>
        </is>
      </c>
    </row>
    <row r="1250">
      <c r="A1250" s="5" t="inlineStr">
        <is>
          <t>Code</t>
        </is>
      </c>
      <c r="B1250" s="5" t="inlineStr">
        <is>
          <t>Description</t>
        </is>
      </c>
      <c r="C1250" s="5" t="inlineStr">
        <is>
          <t>Unit</t>
        </is>
      </c>
      <c r="D1250" s="5" t="inlineStr">
        <is>
          <t>Quantity</t>
        </is>
      </c>
      <c r="E1250" s="5" t="inlineStr">
        <is>
          <t>Rate (Rs.)</t>
        </is>
      </c>
      <c r="F1250" s="5" t="inlineStr">
        <is>
          <t>Amount (Rs.)</t>
        </is>
      </c>
    </row>
    <row r="1251">
      <c r="A1251" s="13" t="inlineStr">
        <is>
          <t>3.9</t>
        </is>
      </c>
      <c r="B1251" s="14" t="inlineStr">
        <is>
          <t>Rate as per SH: 3.9</t>
        </is>
      </c>
      <c r="C1251" s="13" t="inlineStr">
        <is>
          <t>cum</t>
        </is>
      </c>
      <c r="D1251" s="15" t="n">
        <v>0.024</v>
      </c>
      <c r="E1251" s="16" t="n">
        <v>4010.35</v>
      </c>
      <c r="F1251" s="16">
        <f>D1251*E1251</f>
        <v/>
      </c>
    </row>
    <row r="1252">
      <c r="A1252" s="13" t="inlineStr">
        <is>
          <t>9977</t>
        </is>
      </c>
      <c r="B1252" s="14" t="inlineStr">
        <is>
          <t>Carriage of tiles</t>
        </is>
      </c>
      <c r="C1252" s="13" t="inlineStr">
        <is>
          <t>L.S.</t>
        </is>
      </c>
      <c r="D1252" s="15" t="n">
        <v>6.24</v>
      </c>
      <c r="E1252" s="16" t="n">
        <v>2</v>
      </c>
      <c r="F1252" s="16">
        <f>D1252*E1252</f>
        <v/>
      </c>
    </row>
    <row r="1253">
      <c r="A1253" s="13" t="inlineStr">
        <is>
          <t>9999</t>
        </is>
      </c>
      <c r="B1253" s="14" t="inlineStr">
        <is>
          <t>Mortar for pointing in white cement</t>
        </is>
      </c>
      <c r="C1253" s="13" t="inlineStr">
        <is>
          <t>L.S.</t>
        </is>
      </c>
      <c r="D1253" s="15" t="n">
        <v>13.47</v>
      </c>
      <c r="E1253" s="16" t="n">
        <v>2</v>
      </c>
      <c r="F1253" s="16">
        <f>D1253*E1253</f>
        <v/>
      </c>
    </row>
    <row r="1254">
      <c r="A1254" s="13" t="inlineStr">
        <is>
          <t>0367</t>
        </is>
      </c>
      <c r="B1254" s="14" t="inlineStr">
        <is>
          <t>Portland Cement</t>
        </is>
      </c>
      <c r="C1254" s="13" t="inlineStr">
        <is>
          <t>tonne</t>
        </is>
      </c>
      <c r="D1254" s="15" t="n">
        <v>0.0033</v>
      </c>
      <c r="E1254" s="16" t="n">
        <v>4940</v>
      </c>
      <c r="F1254" s="16">
        <f>D1254*E1254</f>
        <v/>
      </c>
    </row>
    <row r="1255">
      <c r="A1255" s="13" t="inlineStr">
        <is>
          <t>0123</t>
        </is>
      </c>
      <c r="B1255" s="14" t="inlineStr">
        <is>
          <t>Mason (brick layer) 1st class</t>
        </is>
      </c>
      <c r="C1255" s="13" t="inlineStr">
        <is>
          <t>day</t>
        </is>
      </c>
      <c r="D1255" s="15" t="n">
        <v>0.2</v>
      </c>
      <c r="E1255" s="16" t="n">
        <v>738</v>
      </c>
      <c r="F1255" s="16">
        <f>D1255*E1255</f>
        <v/>
      </c>
    </row>
    <row r="1256">
      <c r="A1256" s="13" t="inlineStr">
        <is>
          <t>0115</t>
        </is>
      </c>
      <c r="B1256" s="14" t="inlineStr">
        <is>
          <t>Coolie</t>
        </is>
      </c>
      <c r="C1256" s="13" t="inlineStr">
        <is>
          <t>day</t>
        </is>
      </c>
      <c r="D1256" s="15" t="n">
        <v>0.2</v>
      </c>
      <c r="E1256" s="16" t="n">
        <v>558</v>
      </c>
      <c r="F1256" s="16">
        <f>D1256*E1256</f>
        <v/>
      </c>
    </row>
    <row r="1257">
      <c r="A1257" s="13" t="inlineStr">
        <is>
          <t>9988</t>
        </is>
      </c>
      <c r="B1257" s="14" t="inlineStr">
        <is>
          <t>Sundries including carriage of cement etc</t>
        </is>
      </c>
      <c r="C1257" s="13" t="inlineStr">
        <is>
          <t>L.S.</t>
        </is>
      </c>
      <c r="D1257" s="15" t="n">
        <v>26.91</v>
      </c>
      <c r="E1257" s="16" t="n">
        <v>2</v>
      </c>
      <c r="F1257" s="16">
        <f>D1257*E1257</f>
        <v/>
      </c>
    </row>
    <row r="1258">
      <c r="A1258" s="17" t="inlineStr">
        <is>
          <t>Resource Total (Material + Labour + Machinery, as printed)</t>
        </is>
      </c>
      <c r="B1258" s="18" t="n"/>
      <c r="C1258" s="18" t="n"/>
      <c r="D1258" s="18" t="n"/>
      <c r="E1258" s="18" t="n"/>
      <c r="F1258" s="19">
        <f>SUM(F1251:F1257)</f>
        <v/>
      </c>
    </row>
    <row r="1259">
      <c r="A1259" s="20" t="inlineStr">
        <is>
          <t>SAY (Rs.) — final DAR rate</t>
        </is>
      </c>
      <c r="B1259" s="21" t="n"/>
      <c r="C1259" s="21" t="n"/>
      <c r="D1259" s="21" t="n"/>
      <c r="E1259" s="21" t="n"/>
      <c r="F1259" s="22" t="n">
        <v>1088.4</v>
      </c>
    </row>
    <row r="1261" ht="28" customHeight="1">
      <c r="A1261" s="9" t="inlineStr">
        <is>
          <t>11.40</t>
        </is>
      </c>
      <c r="B1261" s="10" t="inlineStr">
        <is>
          <t>Providing and laying rectified Glazed Ceramic floor tiles of size 300x300 mm or more (thickness to be specified by the manufacturer), of 1st</t>
        </is>
      </c>
      <c r="C1261" s="11" t="n"/>
      <c r="D1261" s="11" t="n"/>
      <c r="E1261" s="11" t="n"/>
      <c r="F1261" s="11" t="n"/>
    </row>
    <row r="1262">
      <c r="A1262" s="12" t="inlineStr">
        <is>
          <t>Rate basis: per sqm  (source: cost for 1 sqm)</t>
        </is>
      </c>
    </row>
    <row r="1263">
      <c r="A1263" s="5" t="inlineStr">
        <is>
          <t>Code</t>
        </is>
      </c>
      <c r="B1263" s="5" t="inlineStr">
        <is>
          <t>Description</t>
        </is>
      </c>
      <c r="C1263" s="5" t="inlineStr">
        <is>
          <t>Unit</t>
        </is>
      </c>
      <c r="D1263" s="5" t="inlineStr">
        <is>
          <t>Quantity</t>
        </is>
      </c>
      <c r="E1263" s="5" t="inlineStr">
        <is>
          <t>Rate (Rs.)</t>
        </is>
      </c>
      <c r="F1263" s="5" t="inlineStr">
        <is>
          <t>Amount (Rs.)</t>
        </is>
      </c>
    </row>
    <row r="1264">
      <c r="A1264" s="13" t="inlineStr">
        <is>
          <t>3.9</t>
        </is>
      </c>
      <c r="B1264" s="14" t="inlineStr">
        <is>
          <t>Rate as per SH: 3.9</t>
        </is>
      </c>
      <c r="C1264" s="13" t="inlineStr">
        <is>
          <t>cum</t>
        </is>
      </c>
      <c r="D1264" s="15" t="n">
        <v>0.024</v>
      </c>
      <c r="E1264" s="16" t="n">
        <v>4010.35</v>
      </c>
      <c r="F1264" s="16">
        <f>D1264*E1264</f>
        <v/>
      </c>
    </row>
    <row r="1265">
      <c r="A1265" s="13" t="inlineStr">
        <is>
          <t>9977</t>
        </is>
      </c>
      <c r="B1265" s="14" t="inlineStr">
        <is>
          <t>Carriage of tiles</t>
        </is>
      </c>
      <c r="C1265" s="13" t="inlineStr">
        <is>
          <t>L.S.</t>
        </is>
      </c>
      <c r="D1265" s="15" t="n">
        <v>6.24</v>
      </c>
      <c r="E1265" s="16" t="n">
        <v>2</v>
      </c>
      <c r="F1265" s="16">
        <f>D1265*E1265</f>
        <v/>
      </c>
    </row>
    <row r="1266">
      <c r="A1266" s="13" t="inlineStr">
        <is>
          <t>9999</t>
        </is>
      </c>
      <c r="B1266" s="14" t="inlineStr">
        <is>
          <t>Mortar for pointing in white cement</t>
        </is>
      </c>
      <c r="C1266" s="13" t="inlineStr">
        <is>
          <t>L.S.</t>
        </is>
      </c>
      <c r="D1266" s="15" t="n">
        <v>13.47</v>
      </c>
      <c r="E1266" s="16" t="n">
        <v>2</v>
      </c>
      <c r="F1266" s="16">
        <f>D1266*E1266</f>
        <v/>
      </c>
    </row>
    <row r="1267">
      <c r="A1267" s="13" t="inlineStr">
        <is>
          <t>0367</t>
        </is>
      </c>
      <c r="B1267" s="14" t="inlineStr">
        <is>
          <t>Portland Cement</t>
        </is>
      </c>
      <c r="C1267" s="13" t="inlineStr">
        <is>
          <t>tonne</t>
        </is>
      </c>
      <c r="D1267" s="15" t="n">
        <v>0.0033</v>
      </c>
      <c r="E1267" s="16" t="n">
        <v>4940</v>
      </c>
      <c r="F1267" s="16">
        <f>D1267*E1267</f>
        <v/>
      </c>
    </row>
    <row r="1268">
      <c r="A1268" s="13" t="inlineStr">
        <is>
          <t>0123</t>
        </is>
      </c>
      <c r="B1268" s="14" t="inlineStr">
        <is>
          <t>Mason (brick layer) 1st class</t>
        </is>
      </c>
      <c r="C1268" s="13" t="inlineStr">
        <is>
          <t>day</t>
        </is>
      </c>
      <c r="D1268" s="15" t="n">
        <v>0.2</v>
      </c>
      <c r="E1268" s="16" t="n">
        <v>738</v>
      </c>
      <c r="F1268" s="16">
        <f>D1268*E1268</f>
        <v/>
      </c>
    </row>
    <row r="1269">
      <c r="A1269" s="13" t="inlineStr">
        <is>
          <t>0115</t>
        </is>
      </c>
      <c r="B1269" s="14" t="inlineStr">
        <is>
          <t>Coolie</t>
        </is>
      </c>
      <c r="C1269" s="13" t="inlineStr">
        <is>
          <t>day</t>
        </is>
      </c>
      <c r="D1269" s="15" t="n">
        <v>0.2</v>
      </c>
      <c r="E1269" s="16" t="n">
        <v>558</v>
      </c>
      <c r="F1269" s="16">
        <f>D1269*E1269</f>
        <v/>
      </c>
    </row>
    <row r="1270">
      <c r="A1270" s="13" t="inlineStr">
        <is>
          <t>9988</t>
        </is>
      </c>
      <c r="B1270" s="14" t="inlineStr">
        <is>
          <t>Sundries including carriage of cement etc</t>
        </is>
      </c>
      <c r="C1270" s="13" t="inlineStr">
        <is>
          <t>L.S.</t>
        </is>
      </c>
      <c r="D1270" s="15" t="n">
        <v>26.91</v>
      </c>
      <c r="E1270" s="16" t="n">
        <v>2</v>
      </c>
      <c r="F1270" s="16">
        <f>D1270*E1270</f>
        <v/>
      </c>
    </row>
    <row r="1271">
      <c r="A1271" s="17" t="inlineStr">
        <is>
          <t>Resource Total (Material + Labour + Machinery, as printed)</t>
        </is>
      </c>
      <c r="B1271" s="18" t="n"/>
      <c r="C1271" s="18" t="n"/>
      <c r="D1271" s="18" t="n"/>
      <c r="E1271" s="18" t="n"/>
      <c r="F1271" s="19">
        <f>SUM(F1264:F1270)</f>
        <v/>
      </c>
    </row>
    <row r="1272">
      <c r="A1272" s="20" t="inlineStr">
        <is>
          <t>SAY (Rs.) — final DAR rate</t>
        </is>
      </c>
      <c r="B1272" s="21" t="n"/>
      <c r="C1272" s="21" t="n"/>
      <c r="D1272" s="21" t="n"/>
      <c r="E1272" s="21" t="n"/>
      <c r="F1272" s="22" t="n">
        <v>1170.7</v>
      </c>
    </row>
    <row r="1274" ht="18" customHeight="1">
      <c r="A1274" s="9" t="inlineStr">
        <is>
          <t>11.41.1</t>
        </is>
      </c>
      <c r="B1274" s="10" t="inlineStr">
        <is>
          <t>Size of Tile 500x500 mm</t>
        </is>
      </c>
      <c r="C1274" s="11" t="n"/>
      <c r="D1274" s="11" t="n"/>
      <c r="E1274" s="11" t="n"/>
      <c r="F1274" s="11" t="n"/>
    </row>
    <row r="1275">
      <c r="A1275" s="12" t="inlineStr">
        <is>
          <t>Rate basis: per sqm  (source: cost for 1 sqm)</t>
        </is>
      </c>
    </row>
    <row r="1276">
      <c r="A1276" s="5" t="inlineStr">
        <is>
          <t>Code</t>
        </is>
      </c>
      <c r="B1276" s="5" t="inlineStr">
        <is>
          <t>Description</t>
        </is>
      </c>
      <c r="C1276" s="5" t="inlineStr">
        <is>
          <t>Unit</t>
        </is>
      </c>
      <c r="D1276" s="5" t="inlineStr">
        <is>
          <t>Quantity</t>
        </is>
      </c>
      <c r="E1276" s="5" t="inlineStr">
        <is>
          <t>Rate (Rs.)</t>
        </is>
      </c>
      <c r="F1276" s="5" t="inlineStr">
        <is>
          <t>Amount (Rs.)</t>
        </is>
      </c>
    </row>
    <row r="1277">
      <c r="A1277" s="13" t="inlineStr">
        <is>
          <t>3.9</t>
        </is>
      </c>
      <c r="B1277" s="14" t="inlineStr">
        <is>
          <t>Rate as per SH: 3.9</t>
        </is>
      </c>
      <c r="C1277" s="13" t="inlineStr">
        <is>
          <t>cum</t>
        </is>
      </c>
      <c r="D1277" s="15" t="n">
        <v>0.024</v>
      </c>
      <c r="E1277" s="16" t="n">
        <v>4010.35</v>
      </c>
      <c r="F1277" s="16">
        <f>D1277*E1277</f>
        <v/>
      </c>
    </row>
    <row r="1278">
      <c r="A1278" s="13" t="inlineStr">
        <is>
          <t>8620</t>
        </is>
      </c>
      <c r="B1278" s="14" t="inlineStr">
        <is>
          <t>Vitrified floor tile 50x50 cm</t>
        </is>
      </c>
      <c r="C1278" s="13" t="inlineStr">
        <is>
          <t>sqm</t>
        </is>
      </c>
      <c r="D1278" s="15" t="n">
        <v>1.025</v>
      </c>
      <c r="E1278" s="16" t="n">
        <v>490</v>
      </c>
      <c r="F1278" s="16">
        <f>D1278*E1278</f>
        <v/>
      </c>
    </row>
    <row r="1279">
      <c r="A1279" s="13" t="inlineStr">
        <is>
          <t>9977</t>
        </is>
      </c>
      <c r="B1279" s="14" t="inlineStr">
        <is>
          <t>Carriage of tiles</t>
        </is>
      </c>
      <c r="C1279" s="13" t="inlineStr">
        <is>
          <t>L.S.</t>
        </is>
      </c>
      <c r="D1279" s="15" t="n">
        <v>6.24</v>
      </c>
      <c r="E1279" s="16" t="n">
        <v>2</v>
      </c>
      <c r="F1279" s="16">
        <f>D1279*E1279</f>
        <v/>
      </c>
    </row>
    <row r="1280">
      <c r="A1280" s="13" t="inlineStr">
        <is>
          <t>9999</t>
        </is>
      </c>
      <c r="B1280" s="14" t="inlineStr">
        <is>
          <t>Mortar for pointing in white cement</t>
        </is>
      </c>
      <c r="C1280" s="13" t="inlineStr">
        <is>
          <t>L.S.</t>
        </is>
      </c>
      <c r="D1280" s="15" t="n">
        <v>3.64</v>
      </c>
      <c r="E1280" s="16" t="n">
        <v>2</v>
      </c>
      <c r="F1280" s="16">
        <f>D1280*E1280</f>
        <v/>
      </c>
    </row>
    <row r="1281">
      <c r="A1281" s="13" t="inlineStr">
        <is>
          <t>0367</t>
        </is>
      </c>
      <c r="B1281" s="14" t="inlineStr">
        <is>
          <t>Portland Cement</t>
        </is>
      </c>
      <c r="C1281" s="13" t="inlineStr">
        <is>
          <t>tonne</t>
        </is>
      </c>
      <c r="D1281" s="15" t="n">
        <v>0.0033</v>
      </c>
      <c r="E1281" s="16" t="n">
        <v>4940</v>
      </c>
      <c r="F1281" s="16">
        <f>D1281*E1281</f>
        <v/>
      </c>
    </row>
    <row r="1282">
      <c r="A1282" s="13" t="inlineStr">
        <is>
          <t>0123</t>
        </is>
      </c>
      <c r="B1282" s="14" t="inlineStr">
        <is>
          <t>Mason (brick layer) 1st class</t>
        </is>
      </c>
      <c r="C1282" s="13" t="inlineStr">
        <is>
          <t>day</t>
        </is>
      </c>
      <c r="D1282" s="15" t="n">
        <v>0.2</v>
      </c>
      <c r="E1282" s="16" t="n">
        <v>738</v>
      </c>
      <c r="F1282" s="16">
        <f>D1282*E1282</f>
        <v/>
      </c>
    </row>
    <row r="1283">
      <c r="A1283" s="13" t="inlineStr">
        <is>
          <t>0115</t>
        </is>
      </c>
      <c r="B1283" s="14" t="inlineStr">
        <is>
          <t>Coolie</t>
        </is>
      </c>
      <c r="C1283" s="13" t="inlineStr">
        <is>
          <t>day</t>
        </is>
      </c>
      <c r="D1283" s="15" t="n">
        <v>0.2</v>
      </c>
      <c r="E1283" s="16" t="n">
        <v>558</v>
      </c>
      <c r="F1283" s="16">
        <f>D1283*E1283</f>
        <v/>
      </c>
    </row>
    <row r="1284">
      <c r="A1284" s="13" t="inlineStr">
        <is>
          <t>9988</t>
        </is>
      </c>
      <c r="B1284" s="14" t="inlineStr">
        <is>
          <t>Sundries including carriage of cement etc</t>
        </is>
      </c>
      <c r="C1284" s="13" t="inlineStr">
        <is>
          <t>L.S.</t>
        </is>
      </c>
      <c r="D1284" s="15" t="n">
        <v>26.91</v>
      </c>
      <c r="E1284" s="16" t="n">
        <v>2</v>
      </c>
      <c r="F1284" s="16">
        <f>D1284*E1284</f>
        <v/>
      </c>
    </row>
    <row r="1285">
      <c r="A1285" s="17" t="inlineStr">
        <is>
          <t>Resource Total (Material + Labour + Machinery, as printed)</t>
        </is>
      </c>
      <c r="B1285" s="18" t="n"/>
      <c r="C1285" s="18" t="n"/>
      <c r="D1285" s="18" t="n"/>
      <c r="E1285" s="18" t="n"/>
      <c r="F1285" s="19">
        <f>SUM(F1277:F1284)</f>
        <v/>
      </c>
    </row>
    <row r="1286">
      <c r="A1286" s="20" t="inlineStr">
        <is>
          <t>SAY (Rs.) — final DAR rate</t>
        </is>
      </c>
      <c r="B1286" s="21" t="n"/>
      <c r="C1286" s="21" t="n"/>
      <c r="D1286" s="21" t="n"/>
      <c r="E1286" s="21" t="n"/>
      <c r="F1286" s="22" t="n">
        <v>1267.8</v>
      </c>
    </row>
    <row r="1288" ht="18" customHeight="1">
      <c r="A1288" s="9" t="inlineStr">
        <is>
          <t>11.41.2</t>
        </is>
      </c>
      <c r="B1288" s="10" t="inlineStr">
        <is>
          <t>Size of Tile 600x600 mm</t>
        </is>
      </c>
      <c r="C1288" s="11" t="n"/>
      <c r="D1288" s="11" t="n"/>
      <c r="E1288" s="11" t="n"/>
      <c r="F1288" s="11" t="n"/>
    </row>
    <row r="1289">
      <c r="A1289" s="12" t="inlineStr">
        <is>
          <t>Rate basis: per sqm  (source: cost for 1 sqm)</t>
        </is>
      </c>
    </row>
    <row r="1290">
      <c r="A1290" s="5" t="inlineStr">
        <is>
          <t>Code</t>
        </is>
      </c>
      <c r="B1290" s="5" t="inlineStr">
        <is>
          <t>Description</t>
        </is>
      </c>
      <c r="C1290" s="5" t="inlineStr">
        <is>
          <t>Unit</t>
        </is>
      </c>
      <c r="D1290" s="5" t="inlineStr">
        <is>
          <t>Quantity</t>
        </is>
      </c>
      <c r="E1290" s="5" t="inlineStr">
        <is>
          <t>Rate (Rs.)</t>
        </is>
      </c>
      <c r="F1290" s="5" t="inlineStr">
        <is>
          <t>Amount (Rs.)</t>
        </is>
      </c>
    </row>
    <row r="1291">
      <c r="A1291" s="13" t="inlineStr">
        <is>
          <t>3.9</t>
        </is>
      </c>
      <c r="B1291" s="14" t="inlineStr">
        <is>
          <t>Rate as per SH: 3.9</t>
        </is>
      </c>
      <c r="C1291" s="13" t="inlineStr">
        <is>
          <t>cum</t>
        </is>
      </c>
      <c r="D1291" s="15" t="n">
        <v>0.024</v>
      </c>
      <c r="E1291" s="16" t="n">
        <v>4010.35</v>
      </c>
      <c r="F1291" s="16">
        <f>D1291*E1291</f>
        <v/>
      </c>
    </row>
    <row r="1292">
      <c r="A1292" s="13" t="inlineStr">
        <is>
          <t>8621</t>
        </is>
      </c>
      <c r="B1292" s="14" t="inlineStr">
        <is>
          <t>Vitrified floor tile 60x60 cm</t>
        </is>
      </c>
      <c r="C1292" s="13" t="inlineStr">
        <is>
          <t>sqm</t>
        </is>
      </c>
      <c r="D1292" s="15" t="n">
        <v>1.025</v>
      </c>
      <c r="E1292" s="16" t="n">
        <v>659.72</v>
      </c>
      <c r="F1292" s="16">
        <f>D1292*E1292</f>
        <v/>
      </c>
    </row>
    <row r="1293">
      <c r="A1293" s="13" t="inlineStr">
        <is>
          <t>9977</t>
        </is>
      </c>
      <c r="B1293" s="14" t="inlineStr">
        <is>
          <t>Carriage of tiles</t>
        </is>
      </c>
      <c r="C1293" s="13" t="inlineStr">
        <is>
          <t>L.S.</t>
        </is>
      </c>
      <c r="D1293" s="15" t="n">
        <v>6.24</v>
      </c>
      <c r="E1293" s="16" t="n">
        <v>2</v>
      </c>
      <c r="F1293" s="16">
        <f>D1293*E1293</f>
        <v/>
      </c>
    </row>
    <row r="1294">
      <c r="A1294" s="13" t="inlineStr">
        <is>
          <t>9999</t>
        </is>
      </c>
      <c r="B1294" s="14" t="inlineStr">
        <is>
          <t>Mortar for pointing in white cement</t>
        </is>
      </c>
      <c r="C1294" s="13" t="inlineStr">
        <is>
          <t>L.S.</t>
        </is>
      </c>
      <c r="D1294" s="15" t="n">
        <v>3.64</v>
      </c>
      <c r="E1294" s="16" t="n">
        <v>2</v>
      </c>
      <c r="F1294" s="16">
        <f>D1294*E1294</f>
        <v/>
      </c>
    </row>
    <row r="1295">
      <c r="A1295" s="13" t="inlineStr">
        <is>
          <t>0367</t>
        </is>
      </c>
      <c r="B1295" s="14" t="inlineStr">
        <is>
          <t>Portland Cement</t>
        </is>
      </c>
      <c r="C1295" s="13" t="inlineStr">
        <is>
          <t>tonne</t>
        </is>
      </c>
      <c r="D1295" s="15" t="n">
        <v>0.0033</v>
      </c>
      <c r="E1295" s="16" t="n">
        <v>4940</v>
      </c>
      <c r="F1295" s="16">
        <f>D1295*E1295</f>
        <v/>
      </c>
    </row>
    <row r="1296">
      <c r="A1296" s="13" t="inlineStr">
        <is>
          <t>0123</t>
        </is>
      </c>
      <c r="B1296" s="14" t="inlineStr">
        <is>
          <t>Mason (brick layer) 1st class</t>
        </is>
      </c>
      <c r="C1296" s="13" t="inlineStr">
        <is>
          <t>day</t>
        </is>
      </c>
      <c r="D1296" s="15" t="n">
        <v>0.2</v>
      </c>
      <c r="E1296" s="16" t="n">
        <v>738</v>
      </c>
      <c r="F1296" s="16">
        <f>D1296*E1296</f>
        <v/>
      </c>
    </row>
    <row r="1297">
      <c r="A1297" s="13" t="inlineStr">
        <is>
          <t>0115</t>
        </is>
      </c>
      <c r="B1297" s="14" t="inlineStr">
        <is>
          <t>Coolie</t>
        </is>
      </c>
      <c r="C1297" s="13" t="inlineStr">
        <is>
          <t>day</t>
        </is>
      </c>
      <c r="D1297" s="15" t="n">
        <v>0.2</v>
      </c>
      <c r="E1297" s="16" t="n">
        <v>558</v>
      </c>
      <c r="F1297" s="16">
        <f>D1297*E1297</f>
        <v/>
      </c>
    </row>
    <row r="1298">
      <c r="A1298" s="13" t="inlineStr">
        <is>
          <t>9988</t>
        </is>
      </c>
      <c r="B1298" s="14" t="inlineStr">
        <is>
          <t>Sundries including carriage of cement etc</t>
        </is>
      </c>
      <c r="C1298" s="13" t="inlineStr">
        <is>
          <t>L.S.</t>
        </is>
      </c>
      <c r="D1298" s="15" t="n">
        <v>26.91</v>
      </c>
      <c r="E1298" s="16" t="n">
        <v>2</v>
      </c>
      <c r="F1298" s="16">
        <f>D1298*E1298</f>
        <v/>
      </c>
    </row>
    <row r="1299">
      <c r="A1299" s="17" t="inlineStr">
        <is>
          <t>Resource Total (Material + Labour + Machinery, as printed)</t>
        </is>
      </c>
      <c r="B1299" s="18" t="n"/>
      <c r="C1299" s="18" t="n"/>
      <c r="D1299" s="18" t="n"/>
      <c r="E1299" s="18" t="n"/>
      <c r="F1299" s="19">
        <f>SUM(F1291:F1298)</f>
        <v/>
      </c>
    </row>
    <row r="1300">
      <c r="A1300" s="20" t="inlineStr">
        <is>
          <t>SAY (Rs.) — final DAR rate</t>
        </is>
      </c>
      <c r="B1300" s="21" t="n"/>
      <c r="C1300" s="21" t="n"/>
      <c r="D1300" s="21" t="n"/>
      <c r="E1300" s="21" t="n"/>
      <c r="F1300" s="22" t="n">
        <v>1500.55</v>
      </c>
    </row>
    <row r="1302" ht="18" customHeight="1">
      <c r="A1302" s="9" t="inlineStr">
        <is>
          <t>11.41.3</t>
        </is>
      </c>
      <c r="B1302" s="10" t="inlineStr">
        <is>
          <t>Size of Tile 800x800 mm</t>
        </is>
      </c>
      <c r="C1302" s="11" t="n"/>
      <c r="D1302" s="11" t="n"/>
      <c r="E1302" s="11" t="n"/>
      <c r="F1302" s="11" t="n"/>
    </row>
    <row r="1303">
      <c r="A1303" s="12" t="inlineStr">
        <is>
          <t>Rate basis: per sqm  (source: cost for 1 sqm)</t>
        </is>
      </c>
    </row>
    <row r="1304">
      <c r="A1304" s="5" t="inlineStr">
        <is>
          <t>Code</t>
        </is>
      </c>
      <c r="B1304" s="5" t="inlineStr">
        <is>
          <t>Description</t>
        </is>
      </c>
      <c r="C1304" s="5" t="inlineStr">
        <is>
          <t>Unit</t>
        </is>
      </c>
      <c r="D1304" s="5" t="inlineStr">
        <is>
          <t>Quantity</t>
        </is>
      </c>
      <c r="E1304" s="5" t="inlineStr">
        <is>
          <t>Rate (Rs.)</t>
        </is>
      </c>
      <c r="F1304" s="5" t="inlineStr">
        <is>
          <t>Amount (Rs.)</t>
        </is>
      </c>
    </row>
    <row r="1305">
      <c r="A1305" s="13" t="inlineStr">
        <is>
          <t>3.9</t>
        </is>
      </c>
      <c r="B1305" s="14" t="inlineStr">
        <is>
          <t>Rate as per SH: 3.9</t>
        </is>
      </c>
      <c r="C1305" s="13" t="inlineStr">
        <is>
          <t>cum</t>
        </is>
      </c>
      <c r="D1305" s="15" t="n">
        <v>0.024</v>
      </c>
      <c r="E1305" s="16" t="n">
        <v>4010.35</v>
      </c>
      <c r="F1305" s="16">
        <f>D1305*E1305</f>
        <v/>
      </c>
    </row>
    <row r="1306">
      <c r="A1306" s="13" t="inlineStr">
        <is>
          <t>8622</t>
        </is>
      </c>
      <c r="B1306" s="14" t="inlineStr">
        <is>
          <t>Vitrified floor tile 80x80 cm</t>
        </is>
      </c>
      <c r="C1306" s="13" t="inlineStr">
        <is>
          <t>sqm</t>
        </is>
      </c>
      <c r="D1306" s="15" t="n">
        <v>1.025</v>
      </c>
      <c r="E1306" s="16" t="n">
        <v>850</v>
      </c>
      <c r="F1306" s="16">
        <f>D1306*E1306</f>
        <v/>
      </c>
    </row>
    <row r="1307">
      <c r="A1307" s="13" t="inlineStr">
        <is>
          <t>9977</t>
        </is>
      </c>
      <c r="B1307" s="14" t="inlineStr">
        <is>
          <t>Carriage of tiles</t>
        </is>
      </c>
      <c r="C1307" s="13" t="inlineStr">
        <is>
          <t>L.S.</t>
        </is>
      </c>
      <c r="D1307" s="15" t="n">
        <v>6.24</v>
      </c>
      <c r="E1307" s="16" t="n">
        <v>2</v>
      </c>
      <c r="F1307" s="16">
        <f>D1307*E1307</f>
        <v/>
      </c>
    </row>
    <row r="1308">
      <c r="A1308" s="13" t="inlineStr">
        <is>
          <t>9999</t>
        </is>
      </c>
      <c r="B1308" s="14" t="inlineStr">
        <is>
          <t>Mortar for pointing in white cement</t>
        </is>
      </c>
      <c r="C1308" s="13" t="inlineStr">
        <is>
          <t>L.S.</t>
        </is>
      </c>
      <c r="D1308" s="15" t="n">
        <v>2.6</v>
      </c>
      <c r="E1308" s="16" t="n">
        <v>2</v>
      </c>
      <c r="F1308" s="16">
        <f>D1308*E1308</f>
        <v/>
      </c>
    </row>
    <row r="1309">
      <c r="A1309" s="13" t="inlineStr">
        <is>
          <t>0367</t>
        </is>
      </c>
      <c r="B1309" s="14" t="inlineStr">
        <is>
          <t>Portland Cement</t>
        </is>
      </c>
      <c r="C1309" s="13" t="inlineStr">
        <is>
          <t>tonne</t>
        </is>
      </c>
      <c r="D1309" s="15" t="n">
        <v>0.0033</v>
      </c>
      <c r="E1309" s="16" t="n">
        <v>4940</v>
      </c>
      <c r="F1309" s="16">
        <f>D1309*E1309</f>
        <v/>
      </c>
    </row>
    <row r="1310">
      <c r="A1310" s="13" t="inlineStr">
        <is>
          <t>0123</t>
        </is>
      </c>
      <c r="B1310" s="14" t="inlineStr">
        <is>
          <t>Mason (brick layer) 1st class</t>
        </is>
      </c>
      <c r="C1310" s="13" t="inlineStr">
        <is>
          <t>day</t>
        </is>
      </c>
      <c r="D1310" s="15" t="n">
        <v>0.2</v>
      </c>
      <c r="E1310" s="16" t="n">
        <v>738</v>
      </c>
      <c r="F1310" s="16">
        <f>D1310*E1310</f>
        <v/>
      </c>
    </row>
    <row r="1311">
      <c r="A1311" s="13" t="inlineStr">
        <is>
          <t>0115</t>
        </is>
      </c>
      <c r="B1311" s="14" t="inlineStr">
        <is>
          <t>Coolie</t>
        </is>
      </c>
      <c r="C1311" s="13" t="inlineStr">
        <is>
          <t>day</t>
        </is>
      </c>
      <c r="D1311" s="15" t="n">
        <v>0.2</v>
      </c>
      <c r="E1311" s="16" t="n">
        <v>558</v>
      </c>
      <c r="F1311" s="16">
        <f>D1311*E1311</f>
        <v/>
      </c>
    </row>
    <row r="1312">
      <c r="A1312" s="13" t="inlineStr">
        <is>
          <t>9988</t>
        </is>
      </c>
      <c r="B1312" s="14" t="inlineStr">
        <is>
          <t>Sundries including carriage of cement etc</t>
        </is>
      </c>
      <c r="C1312" s="13" t="inlineStr">
        <is>
          <t>L.S.</t>
        </is>
      </c>
      <c r="D1312" s="15" t="n">
        <v>26.91</v>
      </c>
      <c r="E1312" s="16" t="n">
        <v>2</v>
      </c>
      <c r="F1312" s="16">
        <f>D1312*E1312</f>
        <v/>
      </c>
    </row>
    <row r="1313">
      <c r="A1313" s="17" t="inlineStr">
        <is>
          <t>Resource Total (Material + Labour + Machinery, as printed)</t>
        </is>
      </c>
      <c r="B1313" s="18" t="n"/>
      <c r="C1313" s="18" t="n"/>
      <c r="D1313" s="18" t="n"/>
      <c r="E1313" s="18" t="n"/>
      <c r="F1313" s="19">
        <f>SUM(F1305:F1312)</f>
        <v/>
      </c>
    </row>
    <row r="1314">
      <c r="A1314" s="20" t="inlineStr">
        <is>
          <t>SAY (Rs.) — final DAR rate</t>
        </is>
      </c>
      <c r="B1314" s="21" t="n"/>
      <c r="C1314" s="21" t="n"/>
      <c r="D1314" s="21" t="n"/>
      <c r="E1314" s="21" t="n"/>
      <c r="F1314" s="22" t="n">
        <v>1758.7</v>
      </c>
    </row>
    <row r="1316" ht="18" customHeight="1">
      <c r="A1316" s="9" t="inlineStr">
        <is>
          <t>11.41.4</t>
        </is>
      </c>
      <c r="B1316" s="10" t="inlineStr">
        <is>
          <t>Size of Tile 1000x1000 mm</t>
        </is>
      </c>
      <c r="C1316" s="11" t="n"/>
      <c r="D1316" s="11" t="n"/>
      <c r="E1316" s="11" t="n"/>
      <c r="F1316" s="11" t="n"/>
    </row>
    <row r="1317">
      <c r="A1317" s="12" t="inlineStr">
        <is>
          <t>Rate basis: per sqm  (source: cost for 1 sqm)</t>
        </is>
      </c>
    </row>
    <row r="1318">
      <c r="A1318" s="5" t="inlineStr">
        <is>
          <t>Code</t>
        </is>
      </c>
      <c r="B1318" s="5" t="inlineStr">
        <is>
          <t>Description</t>
        </is>
      </c>
      <c r="C1318" s="5" t="inlineStr">
        <is>
          <t>Unit</t>
        </is>
      </c>
      <c r="D1318" s="5" t="inlineStr">
        <is>
          <t>Quantity</t>
        </is>
      </c>
      <c r="E1318" s="5" t="inlineStr">
        <is>
          <t>Rate (Rs.)</t>
        </is>
      </c>
      <c r="F1318" s="5" t="inlineStr">
        <is>
          <t>Amount (Rs.)</t>
        </is>
      </c>
    </row>
    <row r="1319">
      <c r="A1319" s="13" t="inlineStr">
        <is>
          <t>3.9</t>
        </is>
      </c>
      <c r="B1319" s="14" t="inlineStr">
        <is>
          <t>Rate as per SH: 3.9</t>
        </is>
      </c>
      <c r="C1319" s="13" t="inlineStr">
        <is>
          <t>cum</t>
        </is>
      </c>
      <c r="D1319" s="15" t="n">
        <v>0.024</v>
      </c>
      <c r="E1319" s="16" t="n">
        <v>4010.35</v>
      </c>
      <c r="F1319" s="16">
        <f>D1319*E1319</f>
        <v/>
      </c>
    </row>
    <row r="1320">
      <c r="A1320" s="13" t="inlineStr">
        <is>
          <t>8623</t>
        </is>
      </c>
      <c r="B1320" s="14" t="inlineStr">
        <is>
          <t>Vitrified floor tile 100x100 cm</t>
        </is>
      </c>
      <c r="C1320" s="13" t="inlineStr">
        <is>
          <t>sqm</t>
        </is>
      </c>
      <c r="D1320" s="15" t="n">
        <v>1.025</v>
      </c>
      <c r="E1320" s="16" t="n">
        <v>1390</v>
      </c>
      <c r="F1320" s="16">
        <f>D1320*E1320</f>
        <v/>
      </c>
    </row>
    <row r="1321">
      <c r="A1321" s="13" t="inlineStr">
        <is>
          <t>9977</t>
        </is>
      </c>
      <c r="B1321" s="14" t="inlineStr">
        <is>
          <t>Carriage of tiles</t>
        </is>
      </c>
      <c r="C1321" s="13" t="inlineStr">
        <is>
          <t>L.S.</t>
        </is>
      </c>
      <c r="D1321" s="15" t="n">
        <v>6.24</v>
      </c>
      <c r="E1321" s="16" t="n">
        <v>2</v>
      </c>
      <c r="F1321" s="16">
        <f>D1321*E1321</f>
        <v/>
      </c>
    </row>
    <row r="1322">
      <c r="A1322" s="13" t="inlineStr">
        <is>
          <t>9999</t>
        </is>
      </c>
      <c r="B1322" s="14" t="inlineStr">
        <is>
          <t>Mortar for pointing in white cement</t>
        </is>
      </c>
      <c r="C1322" s="13" t="inlineStr">
        <is>
          <t>L.S.</t>
        </is>
      </c>
      <c r="D1322" s="15" t="n">
        <v>2.6</v>
      </c>
      <c r="E1322" s="16" t="n">
        <v>2</v>
      </c>
      <c r="F1322" s="16">
        <f>D1322*E1322</f>
        <v/>
      </c>
    </row>
    <row r="1323">
      <c r="A1323" s="13" t="inlineStr">
        <is>
          <t>0367</t>
        </is>
      </c>
      <c r="B1323" s="14" t="inlineStr">
        <is>
          <t>Portland Cement</t>
        </is>
      </c>
      <c r="C1323" s="13" t="inlineStr">
        <is>
          <t>tonne</t>
        </is>
      </c>
      <c r="D1323" s="15" t="n">
        <v>0.0033</v>
      </c>
      <c r="E1323" s="16" t="n">
        <v>4940</v>
      </c>
      <c r="F1323" s="16">
        <f>D1323*E1323</f>
        <v/>
      </c>
    </row>
    <row r="1324">
      <c r="A1324" s="13" t="inlineStr">
        <is>
          <t>0123</t>
        </is>
      </c>
      <c r="B1324" s="14" t="inlineStr">
        <is>
          <t>Mason (brick layer) 1st class</t>
        </is>
      </c>
      <c r="C1324" s="13" t="inlineStr">
        <is>
          <t>day</t>
        </is>
      </c>
      <c r="D1324" s="15" t="n">
        <v>0.2</v>
      </c>
      <c r="E1324" s="16" t="n">
        <v>738</v>
      </c>
      <c r="F1324" s="16">
        <f>D1324*E1324</f>
        <v/>
      </c>
    </row>
    <row r="1325">
      <c r="A1325" s="13" t="inlineStr">
        <is>
          <t>0115</t>
        </is>
      </c>
      <c r="B1325" s="14" t="inlineStr">
        <is>
          <t>Coolie</t>
        </is>
      </c>
      <c r="C1325" s="13" t="inlineStr">
        <is>
          <t>day</t>
        </is>
      </c>
      <c r="D1325" s="15" t="n">
        <v>0.2</v>
      </c>
      <c r="E1325" s="16" t="n">
        <v>558</v>
      </c>
      <c r="F1325" s="16">
        <f>D1325*E1325</f>
        <v/>
      </c>
    </row>
    <row r="1326">
      <c r="A1326" s="13" t="inlineStr">
        <is>
          <t>9988</t>
        </is>
      </c>
      <c r="B1326" s="14" t="inlineStr">
        <is>
          <t>Sundries including carriage of cement etc</t>
        </is>
      </c>
      <c r="C1326" s="13" t="inlineStr">
        <is>
          <t>L.S.</t>
        </is>
      </c>
      <c r="D1326" s="15" t="n">
        <v>26.91</v>
      </c>
      <c r="E1326" s="16" t="n">
        <v>2</v>
      </c>
      <c r="F1326" s="16">
        <f>D1326*E1326</f>
        <v/>
      </c>
    </row>
    <row r="1327">
      <c r="A1327" s="17" t="inlineStr">
        <is>
          <t>Resource Total (Material + Labour + Machinery, as printed)</t>
        </is>
      </c>
      <c r="B1327" s="18" t="n"/>
      <c r="C1327" s="18" t="n"/>
      <c r="D1327" s="18" t="n"/>
      <c r="E1327" s="18" t="n"/>
      <c r="F1327" s="19">
        <f>SUM(F1319:F1326)</f>
        <v/>
      </c>
    </row>
    <row r="1328">
      <c r="A1328" s="20" t="inlineStr">
        <is>
          <t>SAY (Rs.) — final DAR rate</t>
        </is>
      </c>
      <c r="B1328" s="21" t="n"/>
      <c r="C1328" s="21" t="n"/>
      <c r="D1328" s="21" t="n"/>
      <c r="E1328" s="21" t="n"/>
      <c r="F1328" s="22" t="n">
        <v>2499.25</v>
      </c>
    </row>
    <row r="1330" ht="28" customHeight="1">
      <c r="A1330" s="9" t="inlineStr">
        <is>
          <t>11.42</t>
        </is>
      </c>
      <c r="B1330" s="10" t="inlineStr">
        <is>
          <t>Deduct for not using 20 mm thick cement mortar 1:4 (1 cement : 4 coarse sand) bedding in laying of floor tiles and jointing with grey cement</t>
        </is>
      </c>
      <c r="C1330" s="11" t="n"/>
      <c r="D1330" s="11" t="n"/>
      <c r="E1330" s="11" t="n"/>
      <c r="F1330" s="11" t="n"/>
    </row>
    <row r="1331">
      <c r="A1331" s="12" t="inlineStr">
        <is>
          <t>Rate basis: per sqm  (source: cost for 1 sqm)</t>
        </is>
      </c>
    </row>
    <row r="1332">
      <c r="A1332" s="5" t="inlineStr">
        <is>
          <t>Code</t>
        </is>
      </c>
      <c r="B1332" s="5" t="inlineStr">
        <is>
          <t>Description</t>
        </is>
      </c>
      <c r="C1332" s="5" t="inlineStr">
        <is>
          <t>Unit</t>
        </is>
      </c>
      <c r="D1332" s="5" t="inlineStr">
        <is>
          <t>Quantity</t>
        </is>
      </c>
      <c r="E1332" s="5" t="inlineStr">
        <is>
          <t>Rate (Rs.)</t>
        </is>
      </c>
      <c r="F1332" s="5" t="inlineStr">
        <is>
          <t>Amount (Rs.)</t>
        </is>
      </c>
    </row>
    <row r="1333">
      <c r="A1333" s="13" t="inlineStr">
        <is>
          <t>3.9</t>
        </is>
      </c>
      <c r="B1333" s="14" t="inlineStr">
        <is>
          <t>Rate as per SH: 3.9</t>
        </is>
      </c>
      <c r="C1333" s="13" t="inlineStr">
        <is>
          <t>cum</t>
        </is>
      </c>
      <c r="D1333" s="15" t="n">
        <v>0.024</v>
      </c>
      <c r="E1333" s="16" t="n">
        <v>4010.35</v>
      </c>
      <c r="F1333" s="16">
        <f>D1333*E1333</f>
        <v/>
      </c>
    </row>
    <row r="1334">
      <c r="A1334" s="13" t="inlineStr">
        <is>
          <t>9999</t>
        </is>
      </c>
      <c r="B1334" s="14" t="inlineStr">
        <is>
          <t>Mortar for pointing in white cement</t>
        </is>
      </c>
      <c r="C1334" s="13" t="inlineStr">
        <is>
          <t>L.S.</t>
        </is>
      </c>
      <c r="D1334" s="15" t="n">
        <v>40.43</v>
      </c>
      <c r="E1334" s="16" t="n">
        <v>2</v>
      </c>
      <c r="F1334" s="16">
        <f>D1334*E1334</f>
        <v/>
      </c>
    </row>
    <row r="1335">
      <c r="A1335" s="13" t="inlineStr">
        <is>
          <t>0367</t>
        </is>
      </c>
      <c r="B1335" s="14" t="inlineStr">
        <is>
          <t>Portland Cement</t>
        </is>
      </c>
      <c r="C1335" s="13" t="inlineStr">
        <is>
          <t>tonne</t>
        </is>
      </c>
      <c r="D1335" s="15" t="n">
        <v>0.0033</v>
      </c>
      <c r="E1335" s="16" t="n">
        <v>4940</v>
      </c>
      <c r="F1335" s="16">
        <f>D1335*E1335</f>
        <v/>
      </c>
    </row>
    <row r="1336">
      <c r="A1336" s="13" t="inlineStr">
        <is>
          <t>0123</t>
        </is>
      </c>
      <c r="B1336" s="14" t="inlineStr">
        <is>
          <t>Mason (brick layer) 1st class</t>
        </is>
      </c>
      <c r="C1336" s="13" t="inlineStr">
        <is>
          <t>day</t>
        </is>
      </c>
      <c r="D1336" s="15" t="n">
        <v>0.2</v>
      </c>
      <c r="E1336" s="16" t="n">
        <v>738</v>
      </c>
      <c r="F1336" s="16">
        <f>D1336*E1336</f>
        <v/>
      </c>
    </row>
    <row r="1337">
      <c r="A1337" s="13" t="inlineStr">
        <is>
          <t>0115</t>
        </is>
      </c>
      <c r="B1337" s="14" t="inlineStr">
        <is>
          <t>Coolie</t>
        </is>
      </c>
      <c r="C1337" s="13" t="inlineStr">
        <is>
          <t>day</t>
        </is>
      </c>
      <c r="D1337" s="15" t="n">
        <v>0.2</v>
      </c>
      <c r="E1337" s="16" t="n">
        <v>558</v>
      </c>
      <c r="F1337" s="16">
        <f>D1337*E1337</f>
        <v/>
      </c>
    </row>
    <row r="1338">
      <c r="A1338" s="13" t="inlineStr">
        <is>
          <t>9988</t>
        </is>
      </c>
      <c r="B1338" s="14" t="inlineStr">
        <is>
          <t>Sundries i/c carriage of cement etc.</t>
        </is>
      </c>
      <c r="C1338" s="13" t="inlineStr">
        <is>
          <t>L.S.</t>
        </is>
      </c>
      <c r="D1338" s="15" t="n">
        <v>26.91</v>
      </c>
      <c r="E1338" s="16" t="n">
        <v>2</v>
      </c>
      <c r="F1338" s="16">
        <f>D1338*E1338</f>
        <v/>
      </c>
    </row>
    <row r="1339">
      <c r="A1339" s="17" t="inlineStr">
        <is>
          <t>Resource Total (Material + Labour + Machinery, as printed)</t>
        </is>
      </c>
      <c r="B1339" s="18" t="n"/>
      <c r="C1339" s="18" t="n"/>
      <c r="D1339" s="18" t="n"/>
      <c r="E1339" s="18" t="n"/>
      <c r="F1339" s="19">
        <f>SUM(F1333:F1338)</f>
        <v/>
      </c>
    </row>
    <row r="1340">
      <c r="A1340" s="20" t="inlineStr">
        <is>
          <t>SAY (Rs.) — final DAR rate</t>
        </is>
      </c>
      <c r="B1340" s="21" t="n"/>
      <c r="C1340" s="21" t="n"/>
      <c r="D1340" s="21" t="n"/>
      <c r="E1340" s="21" t="n"/>
      <c r="F1340" s="22" t="n">
        <v>677.55</v>
      </c>
    </row>
    <row r="1342" ht="28" customHeight="1">
      <c r="A1342" s="9" t="inlineStr">
        <is>
          <t>11.43</t>
        </is>
      </c>
      <c r="B1342" s="10" t="inlineStr">
        <is>
          <t>Fixing glazed/ Ceramic/ Vitrified floor tiles with cement based high polymer modified quick-set tile adhesive (Water based) conforming to IS</t>
        </is>
      </c>
      <c r="C1342" s="11" t="n"/>
      <c r="D1342" s="11" t="n"/>
      <c r="E1342" s="11" t="n"/>
      <c r="F1342" s="11" t="n"/>
    </row>
    <row r="1343">
      <c r="A1343" s="12" t="inlineStr">
        <is>
          <t>Rate basis: per sqm  (source: cost for 1 sqm)</t>
        </is>
      </c>
    </row>
    <row r="1344">
      <c r="A1344" s="5" t="inlineStr">
        <is>
          <t>Code</t>
        </is>
      </c>
      <c r="B1344" s="5" t="inlineStr">
        <is>
          <t>Description</t>
        </is>
      </c>
      <c r="C1344" s="5" t="inlineStr">
        <is>
          <t>Unit</t>
        </is>
      </c>
      <c r="D1344" s="5" t="inlineStr">
        <is>
          <t>Quantity</t>
        </is>
      </c>
      <c r="E1344" s="5" t="inlineStr">
        <is>
          <t>Rate (Rs.)</t>
        </is>
      </c>
      <c r="F1344" s="5" t="inlineStr">
        <is>
          <t>Amount (Rs.)</t>
        </is>
      </c>
    </row>
    <row r="1345">
      <c r="A1345" s="13" t="inlineStr">
        <is>
          <t>8731</t>
        </is>
      </c>
      <c r="B1345" s="14" t="inlineStr">
        <is>
          <t>High polymer modified quickset tile adhesive. per</t>
        </is>
      </c>
      <c r="C1345" s="13" t="inlineStr">
        <is>
          <t>kg</t>
        </is>
      </c>
      <c r="D1345" s="15" t="n">
        <v>5</v>
      </c>
      <c r="E1345" s="16" t="n">
        <v>9</v>
      </c>
      <c r="F1345" s="16">
        <f>D1345*E1345</f>
        <v/>
      </c>
    </row>
    <row r="1346">
      <c r="A1346" s="13" t="inlineStr">
        <is>
          <t>9999</t>
        </is>
      </c>
      <c r="B1346" s="14" t="inlineStr">
        <is>
          <t>Mortar for pointing in white cement</t>
        </is>
      </c>
      <c r="C1346" s="13" t="inlineStr">
        <is>
          <t>L.S.</t>
        </is>
      </c>
      <c r="D1346" s="15" t="n">
        <v>40.43</v>
      </c>
      <c r="E1346" s="16" t="n">
        <v>2</v>
      </c>
      <c r="F1346" s="16">
        <f>D1346*E1346</f>
        <v/>
      </c>
    </row>
    <row r="1347">
      <c r="A1347" s="13" t="inlineStr">
        <is>
          <t>0123</t>
        </is>
      </c>
      <c r="B1347" s="14" t="inlineStr">
        <is>
          <t>Mason (brick layer) 1st class</t>
        </is>
      </c>
      <c r="C1347" s="13" t="inlineStr">
        <is>
          <t>day</t>
        </is>
      </c>
      <c r="D1347" s="15" t="n">
        <v>0.2</v>
      </c>
      <c r="E1347" s="16" t="n">
        <v>738</v>
      </c>
      <c r="F1347" s="16">
        <f>D1347*E1347</f>
        <v/>
      </c>
    </row>
    <row r="1348">
      <c r="A1348" s="13" t="inlineStr">
        <is>
          <t>0115</t>
        </is>
      </c>
      <c r="B1348" s="14" t="inlineStr">
        <is>
          <t>Coolie</t>
        </is>
      </c>
      <c r="C1348" s="13" t="inlineStr">
        <is>
          <t>day</t>
        </is>
      </c>
      <c r="D1348" s="15" t="n">
        <v>0.2</v>
      </c>
      <c r="E1348" s="16" t="n">
        <v>558</v>
      </c>
      <c r="F1348" s="16">
        <f>D1348*E1348</f>
        <v/>
      </c>
    </row>
    <row r="1349">
      <c r="A1349" s="13" t="inlineStr">
        <is>
          <t>9988</t>
        </is>
      </c>
      <c r="B1349" s="14" t="inlineStr">
        <is>
          <t>Sundries i/c carriage of cement etc.</t>
        </is>
      </c>
      <c r="C1349" s="13" t="inlineStr">
        <is>
          <t>L.S.</t>
        </is>
      </c>
      <c r="D1349" s="15" t="n">
        <v>26.91</v>
      </c>
      <c r="E1349" s="16" t="n">
        <v>2</v>
      </c>
      <c r="F1349" s="16">
        <f>D1349*E1349</f>
        <v/>
      </c>
    </row>
    <row r="1350">
      <c r="A1350" s="17" t="inlineStr">
        <is>
          <t>Resource Total (Material + Labour + Machinery, as printed)</t>
        </is>
      </c>
      <c r="B1350" s="18" t="n"/>
      <c r="C1350" s="18" t="n"/>
      <c r="D1350" s="18" t="n"/>
      <c r="E1350" s="18" t="n"/>
      <c r="F1350" s="19">
        <f>SUM(F1345:F1349)</f>
        <v/>
      </c>
    </row>
    <row r="1351">
      <c r="A1351" s="20" t="inlineStr">
        <is>
          <t>SAY (Rs.) — final DAR rate</t>
        </is>
      </c>
      <c r="B1351" s="21" t="n"/>
      <c r="C1351" s="21" t="n"/>
      <c r="D1351" s="21" t="n"/>
      <c r="E1351" s="21" t="n"/>
      <c r="F1351" s="22" t="n">
        <v>587.2</v>
      </c>
    </row>
    <row r="1353" ht="28" customHeight="1">
      <c r="A1353" s="9" t="inlineStr">
        <is>
          <t>11.44</t>
        </is>
      </c>
      <c r="B1353" s="10" t="inlineStr">
        <is>
          <t>Crazy ceramic tile flooring, with under layer 12 mm thick cement mortar 1:4 (1 cement: 4 coarse sand), with joints not exceeding 5 mm, inclu</t>
        </is>
      </c>
      <c r="C1353" s="11" t="n"/>
      <c r="D1353" s="11" t="n"/>
      <c r="E1353" s="11" t="n"/>
      <c r="F1353" s="11" t="n"/>
    </row>
    <row r="1354">
      <c r="A1354" s="12" t="inlineStr">
        <is>
          <t>Rate basis: per sqm  (source: cost for 10 sqm)</t>
        </is>
      </c>
    </row>
    <row r="1355">
      <c r="A1355" s="5" t="inlineStr">
        <is>
          <t>Code</t>
        </is>
      </c>
      <c r="B1355" s="5" t="inlineStr">
        <is>
          <t>Description</t>
        </is>
      </c>
      <c r="C1355" s="5" t="inlineStr">
        <is>
          <t>Unit</t>
        </is>
      </c>
      <c r="D1355" s="5" t="inlineStr">
        <is>
          <t>Quantity</t>
        </is>
      </c>
      <c r="E1355" s="5" t="inlineStr">
        <is>
          <t>Rate (Rs.)</t>
        </is>
      </c>
      <c r="F1355" s="5" t="inlineStr">
        <is>
          <t>Amount (Rs.)</t>
        </is>
      </c>
    </row>
    <row r="1356">
      <c r="A1356" s="13" t="inlineStr">
        <is>
          <t>3.9</t>
        </is>
      </c>
      <c r="B1356" s="14" t="inlineStr">
        <is>
          <t>Rate as per SH: 3.9</t>
        </is>
      </c>
      <c r="C1356" s="13" t="inlineStr">
        <is>
          <t>cum</t>
        </is>
      </c>
      <c r="D1356" s="15" t="n">
        <v>0.14</v>
      </c>
      <c r="E1356" s="16" t="n">
        <v>4010.35</v>
      </c>
      <c r="F1356" s="16">
        <f>D1356*E1356</f>
        <v/>
      </c>
    </row>
    <row r="1357">
      <c r="A1357" s="13" t="inlineStr">
        <is>
          <t>3.9</t>
        </is>
      </c>
      <c r="B1357" s="14" t="inlineStr">
        <is>
          <t>Rate as per SH: 3.9</t>
        </is>
      </c>
      <c r="C1357" s="13" t="inlineStr">
        <is>
          <t>cum</t>
        </is>
      </c>
      <c r="D1357" s="15" t="n">
        <v>0.03</v>
      </c>
      <c r="E1357" s="16" t="n">
        <v>4010.35</v>
      </c>
      <c r="F1357" s="16">
        <f>D1357*E1357</f>
        <v/>
      </c>
    </row>
    <row r="1358">
      <c r="A1358" s="13" t="inlineStr">
        <is>
          <t>4.18</t>
        </is>
      </c>
      <c r="B1358" s="14" t="inlineStr">
        <is>
          <t>Rate as per SH: 4.18</t>
        </is>
      </c>
      <c r="C1358" s="13" t="inlineStr">
        <is>
          <t>day</t>
        </is>
      </c>
      <c r="D1358" s="15" t="n">
        <v>1.2</v>
      </c>
      <c r="E1358" s="16" t="n">
        <v>738</v>
      </c>
      <c r="F1358" s="16">
        <f>D1358*E1358</f>
        <v/>
      </c>
    </row>
    <row r="1359">
      <c r="A1359" s="13" t="inlineStr">
        <is>
          <t>0124</t>
        </is>
      </c>
      <c r="B1359" s="14" t="inlineStr">
        <is>
          <t>Mason (brick layer) 2nd class</t>
        </is>
      </c>
      <c r="C1359" s="13" t="inlineStr">
        <is>
          <t>day</t>
        </is>
      </c>
      <c r="D1359" s="15" t="n">
        <v>0.67</v>
      </c>
      <c r="E1359" s="16" t="n">
        <v>679</v>
      </c>
      <c r="F1359" s="16">
        <f>D1359*E1359</f>
        <v/>
      </c>
    </row>
    <row r="1360">
      <c r="A1360" s="13" t="inlineStr">
        <is>
          <t>0114</t>
        </is>
      </c>
      <c r="B1360" s="14" t="inlineStr">
        <is>
          <t>Beldar</t>
        </is>
      </c>
      <c r="C1360" s="13" t="inlineStr">
        <is>
          <t>day</t>
        </is>
      </c>
      <c r="D1360" s="15" t="n">
        <v>0.75</v>
      </c>
      <c r="E1360" s="16" t="n">
        <v>558</v>
      </c>
      <c r="F1360" s="16">
        <f>D1360*E1360</f>
        <v/>
      </c>
    </row>
    <row r="1361">
      <c r="A1361" s="13" t="inlineStr">
        <is>
          <t>0101</t>
        </is>
      </c>
      <c r="B1361" s="14" t="inlineStr">
        <is>
          <t>Bhisti</t>
        </is>
      </c>
      <c r="C1361" s="13" t="inlineStr">
        <is>
          <t>day</t>
        </is>
      </c>
      <c r="D1361" s="15" t="n">
        <v>0.92</v>
      </c>
      <c r="E1361" s="16" t="n">
        <v>617</v>
      </c>
      <c r="F1361" s="16">
        <f>D1361*E1361</f>
        <v/>
      </c>
    </row>
    <row r="1362">
      <c r="A1362" s="13" t="inlineStr">
        <is>
          <t>9999</t>
        </is>
      </c>
      <c r="B1362" s="14" t="inlineStr">
        <is>
          <t>Sundries</t>
        </is>
      </c>
      <c r="C1362" s="13" t="inlineStr">
        <is>
          <t>L.S.</t>
        </is>
      </c>
      <c r="D1362" s="15" t="n">
        <v>8.970000000000001</v>
      </c>
      <c r="E1362" s="16" t="n">
        <v>2</v>
      </c>
      <c r="F1362" s="16">
        <f>D1362*E1362</f>
        <v/>
      </c>
    </row>
    <row r="1363">
      <c r="A1363" s="13" t="inlineStr">
        <is>
          <t>0367</t>
        </is>
      </c>
      <c r="B1363" s="14" t="inlineStr">
        <is>
          <t>Portland Cement</t>
        </is>
      </c>
      <c r="C1363" s="13" t="inlineStr">
        <is>
          <t>tonne</t>
        </is>
      </c>
      <c r="D1363" s="15" t="n">
        <v>0.04</v>
      </c>
      <c r="E1363" s="16" t="n">
        <v>4940</v>
      </c>
      <c r="F1363" s="16">
        <f>D1363*E1363</f>
        <v/>
      </c>
    </row>
    <row r="1364">
      <c r="A1364" s="13" t="inlineStr">
        <is>
          <t>2209</t>
        </is>
      </c>
      <c r="B1364" s="14" t="inlineStr">
        <is>
          <t>Carriage of Cement</t>
        </is>
      </c>
      <c r="C1364" s="13" t="inlineStr">
        <is>
          <t>tonne</t>
        </is>
      </c>
      <c r="D1364" s="15" t="n">
        <v>0.04</v>
      </c>
      <c r="E1364" s="16" t="n">
        <v>92.23999999999999</v>
      </c>
      <c r="F1364" s="16">
        <f>D1364*E1364</f>
        <v/>
      </c>
    </row>
    <row r="1365">
      <c r="A1365" s="13" t="inlineStr">
        <is>
          <t>0114</t>
        </is>
      </c>
      <c r="B1365" s="14" t="inlineStr">
        <is>
          <t>Beldar</t>
        </is>
      </c>
      <c r="C1365" s="13" t="inlineStr">
        <is>
          <t>day</t>
        </is>
      </c>
      <c r="D1365" s="15" t="n">
        <v>0.5</v>
      </c>
      <c r="E1365" s="16" t="n">
        <v>558</v>
      </c>
      <c r="F1365" s="16">
        <f>D1365*E1365</f>
        <v/>
      </c>
    </row>
    <row r="1366">
      <c r="A1366" s="13" t="inlineStr">
        <is>
          <t>2709</t>
        </is>
      </c>
      <c r="B1366" s="14" t="inlineStr">
        <is>
          <t>Ceremic Tiles Pieces for Crazy Flooring</t>
        </is>
      </c>
      <c r="C1366" s="13" t="inlineStr">
        <is>
          <t>quintal</t>
        </is>
      </c>
      <c r="D1366" s="15" t="n">
        <v>1.2</v>
      </c>
      <c r="E1366" s="16" t="n">
        <v>135</v>
      </c>
      <c r="F1366" s="16">
        <f>D1366*E1366</f>
        <v/>
      </c>
    </row>
    <row r="1367">
      <c r="A1367" s="13" t="inlineStr">
        <is>
          <t>9977</t>
        </is>
      </c>
      <c r="B1367" s="14" t="inlineStr">
        <is>
          <t>Carriage of tiles</t>
        </is>
      </c>
      <c r="C1367" s="13" t="inlineStr">
        <is>
          <t>L.S.</t>
        </is>
      </c>
      <c r="D1367" s="15" t="n">
        <v>62.4</v>
      </c>
      <c r="E1367" s="16" t="n">
        <v>2</v>
      </c>
      <c r="F1367" s="16">
        <f>D1367*E1367</f>
        <v/>
      </c>
    </row>
    <row r="1368">
      <c r="A1368" s="13" t="inlineStr">
        <is>
          <t>0123</t>
        </is>
      </c>
      <c r="B1368" s="14" t="inlineStr">
        <is>
          <t>Mason (brick layer) 1st class</t>
        </is>
      </c>
      <c r="C1368" s="13" t="inlineStr">
        <is>
          <t>day</t>
        </is>
      </c>
      <c r="D1368" s="15" t="n">
        <v>1.2</v>
      </c>
      <c r="E1368" s="16" t="n">
        <v>738</v>
      </c>
      <c r="F1368" s="16">
        <f>D1368*E1368</f>
        <v/>
      </c>
    </row>
    <row r="1369">
      <c r="A1369" s="13" t="inlineStr">
        <is>
          <t>0114</t>
        </is>
      </c>
      <c r="B1369" s="14" t="inlineStr">
        <is>
          <t>Beldar</t>
        </is>
      </c>
      <c r="C1369" s="13" t="inlineStr">
        <is>
          <t>day</t>
        </is>
      </c>
      <c r="D1369" s="15" t="n">
        <v>1</v>
      </c>
      <c r="E1369" s="16" t="n">
        <v>558</v>
      </c>
      <c r="F1369" s="16">
        <f>D1369*E1369</f>
        <v/>
      </c>
    </row>
    <row r="1370">
      <c r="A1370" s="13" t="inlineStr">
        <is>
          <t>0115</t>
        </is>
      </c>
      <c r="B1370" s="14" t="inlineStr">
        <is>
          <t>Coolie</t>
        </is>
      </c>
      <c r="C1370" s="13" t="inlineStr">
        <is>
          <t>day</t>
        </is>
      </c>
      <c r="D1370" s="15" t="n">
        <v>1</v>
      </c>
      <c r="E1370" s="16" t="n">
        <v>558</v>
      </c>
      <c r="F1370" s="16">
        <f>D1370*E1370</f>
        <v/>
      </c>
    </row>
    <row r="1371">
      <c r="A1371" s="13" t="inlineStr">
        <is>
          <t>0101</t>
        </is>
      </c>
      <c r="B1371" s="14" t="inlineStr">
        <is>
          <t>Bhisti</t>
        </is>
      </c>
      <c r="C1371" s="13" t="inlineStr">
        <is>
          <t>day</t>
        </is>
      </c>
      <c r="D1371" s="15" t="n">
        <v>0.54</v>
      </c>
      <c r="E1371" s="16" t="n">
        <v>617</v>
      </c>
      <c r="F1371" s="16">
        <f>D1371*E1371</f>
        <v/>
      </c>
    </row>
    <row r="1372">
      <c r="A1372" s="13" t="inlineStr">
        <is>
          <t>9999</t>
        </is>
      </c>
      <c r="B1372" s="14" t="inlineStr">
        <is>
          <t>Sundries</t>
        </is>
      </c>
      <c r="C1372" s="13" t="inlineStr">
        <is>
          <t>L.S.</t>
        </is>
      </c>
      <c r="D1372" s="15" t="n">
        <v>67.25</v>
      </c>
      <c r="E1372" s="16" t="n">
        <v>2</v>
      </c>
      <c r="F1372" s="16">
        <f>D1372*E1372</f>
        <v/>
      </c>
    </row>
    <row r="1373">
      <c r="A1373" s="17" t="inlineStr">
        <is>
          <t>Resource Total (Material + Labour + Machinery, as printed)</t>
        </is>
      </c>
      <c r="B1373" s="18" t="n"/>
      <c r="C1373" s="18" t="n"/>
      <c r="D1373" s="18" t="n"/>
      <c r="E1373" s="18" t="n"/>
      <c r="F1373" s="19">
        <f>SUM(F1356:F1372)</f>
        <v/>
      </c>
    </row>
    <row r="1374">
      <c r="A1374" s="20" t="inlineStr">
        <is>
          <t>SAY (Rs.) — final DAR rate</t>
        </is>
      </c>
      <c r="B1374" s="21" t="n"/>
      <c r="C1374" s="21" t="n"/>
      <c r="D1374" s="21" t="n"/>
      <c r="E1374" s="21" t="n"/>
      <c r="F1374" s="22" t="n">
        <v>735.65</v>
      </c>
    </row>
    <row r="1376" ht="28" customHeight="1">
      <c r="A1376" s="9" t="inlineStr">
        <is>
          <t>11.45</t>
        </is>
      </c>
      <c r="B1376" s="10" t="inlineStr">
        <is>
          <t>Providing and laying 500x500x40 mm thick Turf paver (Turfpave XD) on 150 mm thick sub grade of compacted bed of 20 mm thick nominal size sto</t>
        </is>
      </c>
      <c r="C1376" s="11" t="n"/>
      <c r="D1376" s="11" t="n"/>
      <c r="E1376" s="11" t="n"/>
      <c r="F1376" s="11" t="n"/>
    </row>
    <row r="1377">
      <c r="A1377" s="12" t="inlineStr">
        <is>
          <t>Rate basis: per sqm  (source: cost for 10 sqm)</t>
        </is>
      </c>
    </row>
    <row r="1378">
      <c r="A1378" s="5" t="inlineStr">
        <is>
          <t>Code</t>
        </is>
      </c>
      <c r="B1378" s="5" t="inlineStr">
        <is>
          <t>Description</t>
        </is>
      </c>
      <c r="C1378" s="5" t="inlineStr">
        <is>
          <t>Unit</t>
        </is>
      </c>
      <c r="D1378" s="5" t="inlineStr">
        <is>
          <t>Quantity</t>
        </is>
      </c>
      <c r="E1378" s="5" t="inlineStr">
        <is>
          <t>Rate (Rs.)</t>
        </is>
      </c>
      <c r="F1378" s="5" t="inlineStr">
        <is>
          <t>Amount (Rs.)</t>
        </is>
      </c>
    </row>
    <row r="1379">
      <c r="A1379" s="13" t="inlineStr">
        <is>
          <t>2.27</t>
        </is>
      </c>
      <c r="B1379" s="14" t="inlineStr">
        <is>
          <t>Rate as per SH: 2.27</t>
        </is>
      </c>
      <c r="C1379" s="13" t="inlineStr">
        <is>
          <t>cum</t>
        </is>
      </c>
      <c r="D1379" s="15" t="n">
        <v>1.5</v>
      </c>
      <c r="E1379" s="16" t="n">
        <v>1953.05</v>
      </c>
      <c r="F1379" s="16">
        <f>D1379*E1379</f>
        <v/>
      </c>
    </row>
    <row r="1380">
      <c r="A1380" s="13" t="inlineStr">
        <is>
          <t>0295</t>
        </is>
      </c>
      <c r="B1380" s="14" t="inlineStr">
        <is>
          <t>Stone Aggregate (Single size) : 20 mm nominal size</t>
        </is>
      </c>
      <c r="C1380" s="13" t="inlineStr">
        <is>
          <t>cum</t>
        </is>
      </c>
      <c r="D1380" s="15" t="n">
        <v>1.5</v>
      </c>
      <c r="E1380" s="16" t="n">
        <v>1350</v>
      </c>
      <c r="F1380" s="16">
        <f>D1380*E1380</f>
        <v/>
      </c>
    </row>
    <row r="1381">
      <c r="A1381" s="13" t="inlineStr">
        <is>
          <t>2202</t>
        </is>
      </c>
      <c r="B1381" s="14" t="inlineStr">
        <is>
          <t>Stone aggregate below 40 mm nominal size</t>
        </is>
      </c>
      <c r="C1381" s="13" t="inlineStr">
        <is>
          <t>cum</t>
        </is>
      </c>
      <c r="D1381" s="15" t="n">
        <v>1.5</v>
      </c>
      <c r="E1381" s="16" t="n">
        <v>103.77</v>
      </c>
      <c r="F1381" s="16">
        <f>D1381*E1381</f>
        <v/>
      </c>
    </row>
    <row r="1382">
      <c r="A1382" s="13" t="inlineStr">
        <is>
          <t>0114</t>
        </is>
      </c>
      <c r="B1382" s="14" t="inlineStr">
        <is>
          <t>Beldar</t>
        </is>
      </c>
      <c r="C1382" s="13" t="inlineStr">
        <is>
          <t>day</t>
        </is>
      </c>
      <c r="D1382" s="15" t="n">
        <v>0.7</v>
      </c>
      <c r="E1382" s="16" t="n">
        <v>558</v>
      </c>
      <c r="F1382" s="16">
        <f>D1382*E1382</f>
        <v/>
      </c>
    </row>
    <row r="1383">
      <c r="A1383" s="13" t="inlineStr">
        <is>
          <t>0115</t>
        </is>
      </c>
      <c r="B1383" s="14" t="inlineStr">
        <is>
          <t>Coolie</t>
        </is>
      </c>
      <c r="C1383" s="13" t="inlineStr">
        <is>
          <t>day</t>
        </is>
      </c>
      <c r="D1383" s="15" t="n">
        <v>0.52</v>
      </c>
      <c r="E1383" s="16" t="n">
        <v>558</v>
      </c>
      <c r="F1383" s="16">
        <f>D1383*E1383</f>
        <v/>
      </c>
    </row>
    <row r="1384">
      <c r="A1384" s="13" t="inlineStr">
        <is>
          <t>0101</t>
        </is>
      </c>
      <c r="B1384" s="14" t="inlineStr">
        <is>
          <t>Bhisti</t>
        </is>
      </c>
      <c r="C1384" s="13" t="inlineStr">
        <is>
          <t>day</t>
        </is>
      </c>
      <c r="D1384" s="15" t="n">
        <v>0.36</v>
      </c>
      <c r="E1384" s="16" t="n">
        <v>617</v>
      </c>
      <c r="F1384" s="16">
        <f>D1384*E1384</f>
        <v/>
      </c>
    </row>
    <row r="1385">
      <c r="A1385" s="13" t="inlineStr">
        <is>
          <t>2708</t>
        </is>
      </c>
      <c r="B1385" s="14" t="inlineStr">
        <is>
          <t>Truf Paver (500 x 500 x 40 mm)</t>
        </is>
      </c>
      <c r="C1385" s="13" t="inlineStr">
        <is>
          <t>sqm</t>
        </is>
      </c>
      <c r="D1385" s="15" t="n">
        <v>10</v>
      </c>
      <c r="E1385" s="16" t="n">
        <v>500</v>
      </c>
      <c r="F1385" s="16">
        <f>D1385*E1385</f>
        <v/>
      </c>
    </row>
    <row r="1386">
      <c r="A1386" s="13" t="inlineStr">
        <is>
          <t>0123</t>
        </is>
      </c>
      <c r="B1386" s="14" t="inlineStr">
        <is>
          <t>Mason (brick layer) 1st class</t>
        </is>
      </c>
      <c r="C1386" s="13" t="inlineStr">
        <is>
          <t>day</t>
        </is>
      </c>
      <c r="D1386" s="15" t="n">
        <v>0.5</v>
      </c>
      <c r="E1386" s="16" t="n">
        <v>738</v>
      </c>
      <c r="F1386" s="16">
        <f>D1386*E1386</f>
        <v/>
      </c>
    </row>
    <row r="1387">
      <c r="A1387" s="13" t="inlineStr">
        <is>
          <t>0114</t>
        </is>
      </c>
      <c r="B1387" s="14" t="inlineStr">
        <is>
          <t>Beldar</t>
        </is>
      </c>
      <c r="C1387" s="13" t="inlineStr">
        <is>
          <t>day</t>
        </is>
      </c>
      <c r="D1387" s="15" t="n">
        <v>1</v>
      </c>
      <c r="E1387" s="16" t="n">
        <v>558</v>
      </c>
      <c r="F1387" s="16">
        <f>D1387*E1387</f>
        <v/>
      </c>
    </row>
    <row r="1388">
      <c r="A1388" s="13" t="inlineStr">
        <is>
          <t>9999</t>
        </is>
      </c>
      <c r="B1388" s="14" t="inlineStr">
        <is>
          <t>Sundries</t>
        </is>
      </c>
      <c r="C1388" s="13" t="inlineStr">
        <is>
          <t>L.S.</t>
        </is>
      </c>
      <c r="D1388" s="15" t="n">
        <v>50</v>
      </c>
      <c r="E1388" s="16" t="n">
        <v>2</v>
      </c>
      <c r="F1388" s="16">
        <f>D1388*E1388</f>
        <v/>
      </c>
    </row>
    <row r="1389">
      <c r="A1389" s="17" t="inlineStr">
        <is>
          <t>Resource Total (Material + Labour + Machinery, as printed)</t>
        </is>
      </c>
      <c r="B1389" s="18" t="n"/>
      <c r="C1389" s="18" t="n"/>
      <c r="D1389" s="18" t="n"/>
      <c r="E1389" s="18" t="n"/>
      <c r="F1389" s="19">
        <f>SUM(F1379:F1388)</f>
        <v/>
      </c>
    </row>
    <row r="1390">
      <c r="A1390" s="20" t="inlineStr">
        <is>
          <t>SAY (Rs.) — final DAR rate</t>
        </is>
      </c>
      <c r="B1390" s="21" t="n"/>
      <c r="C1390" s="21" t="n"/>
      <c r="D1390" s="21" t="n"/>
      <c r="E1390" s="21" t="n"/>
      <c r="F1390" s="22" t="n">
        <v>1511.9</v>
      </c>
    </row>
    <row r="1392" ht="18" customHeight="1">
      <c r="A1392" s="9" t="inlineStr">
        <is>
          <t>11.46.1</t>
        </is>
      </c>
      <c r="B1392" s="10" t="inlineStr">
        <is>
          <t>Size of Tile 500x500 mm</t>
        </is>
      </c>
      <c r="C1392" s="11" t="n"/>
      <c r="D1392" s="11" t="n"/>
      <c r="E1392" s="11" t="n"/>
      <c r="F1392" s="11" t="n"/>
    </row>
    <row r="1393">
      <c r="A1393" s="12" t="inlineStr">
        <is>
          <t>Rate basis: per sqm  (source: cost for 1 sqm)</t>
        </is>
      </c>
    </row>
    <row r="1394">
      <c r="A1394" s="5" t="inlineStr">
        <is>
          <t>Code</t>
        </is>
      </c>
      <c r="B1394" s="5" t="inlineStr">
        <is>
          <t>Description</t>
        </is>
      </c>
      <c r="C1394" s="5" t="inlineStr">
        <is>
          <t>Unit</t>
        </is>
      </c>
      <c r="D1394" s="5" t="inlineStr">
        <is>
          <t>Quantity</t>
        </is>
      </c>
      <c r="E1394" s="5" t="inlineStr">
        <is>
          <t>Rate (Rs.)</t>
        </is>
      </c>
      <c r="F1394" s="5" t="inlineStr">
        <is>
          <t>Amount (Rs.)</t>
        </is>
      </c>
    </row>
    <row r="1395">
      <c r="A1395" s="13" t="inlineStr">
        <is>
          <t>3.8</t>
        </is>
      </c>
      <c r="B1395" s="14" t="inlineStr">
        <is>
          <t>Rate as per SH: 3.8</t>
        </is>
      </c>
      <c r="C1395" s="13" t="inlineStr">
        <is>
          <t>cum</t>
        </is>
      </c>
      <c r="D1395" s="15" t="n">
        <v>0.014</v>
      </c>
      <c r="E1395" s="16" t="n">
        <v>4664.55</v>
      </c>
      <c r="F1395" s="16">
        <f>D1395*E1395</f>
        <v/>
      </c>
    </row>
    <row r="1396">
      <c r="A1396" s="13" t="inlineStr">
        <is>
          <t>8620</t>
        </is>
      </c>
      <c r="B1396" s="14" t="inlineStr">
        <is>
          <t>Vitrified floor tile 50x50 cm</t>
        </is>
      </c>
      <c r="C1396" s="13" t="inlineStr">
        <is>
          <t>sqm</t>
        </is>
      </c>
      <c r="D1396" s="15" t="n">
        <v>1.025</v>
      </c>
      <c r="E1396" s="16" t="n">
        <v>490</v>
      </c>
      <c r="F1396" s="16">
        <f>D1396*E1396</f>
        <v/>
      </c>
    </row>
    <row r="1397">
      <c r="A1397" s="13" t="inlineStr">
        <is>
          <t>9977</t>
        </is>
      </c>
      <c r="B1397" s="14" t="inlineStr">
        <is>
          <t>Carriage of tiles</t>
        </is>
      </c>
      <c r="C1397" s="13" t="inlineStr">
        <is>
          <t>L.S.</t>
        </is>
      </c>
      <c r="D1397" s="15" t="n">
        <v>6.24</v>
      </c>
      <c r="E1397" s="16" t="n">
        <v>2</v>
      </c>
      <c r="F1397" s="16">
        <f>D1397*E1397</f>
        <v/>
      </c>
    </row>
    <row r="1398">
      <c r="A1398" s="13" t="inlineStr">
        <is>
          <t>9999</t>
        </is>
      </c>
      <c r="B1398" s="14" t="inlineStr">
        <is>
          <t>Mortar for pointing in white cement</t>
        </is>
      </c>
      <c r="C1398" s="13" t="inlineStr">
        <is>
          <t>L.S.</t>
        </is>
      </c>
      <c r="D1398" s="15" t="n">
        <v>3.64</v>
      </c>
      <c r="E1398" s="16" t="n">
        <v>2</v>
      </c>
      <c r="F1398" s="16">
        <f>D1398*E1398</f>
        <v/>
      </c>
    </row>
    <row r="1399">
      <c r="A1399" s="13" t="inlineStr">
        <is>
          <t>0367</t>
        </is>
      </c>
      <c r="B1399" s="14" t="inlineStr">
        <is>
          <t>Portland Cement</t>
        </is>
      </c>
      <c r="C1399" s="13" t="inlineStr">
        <is>
          <t>tonne</t>
        </is>
      </c>
      <c r="D1399" s="15" t="n">
        <v>0.0033</v>
      </c>
      <c r="E1399" s="16" t="n">
        <v>4940</v>
      </c>
      <c r="F1399" s="16">
        <f>D1399*E1399</f>
        <v/>
      </c>
    </row>
    <row r="1400">
      <c r="A1400" s="13" t="inlineStr">
        <is>
          <t>0123</t>
        </is>
      </c>
      <c r="B1400" s="14" t="inlineStr">
        <is>
          <t>Mason (brick layer) 1st class</t>
        </is>
      </c>
      <c r="C1400" s="13" t="inlineStr">
        <is>
          <t>day</t>
        </is>
      </c>
      <c r="D1400" s="15" t="n">
        <v>0.25</v>
      </c>
      <c r="E1400" s="16" t="n">
        <v>738</v>
      </c>
      <c r="F1400" s="16">
        <f>D1400*E1400</f>
        <v/>
      </c>
    </row>
    <row r="1401">
      <c r="A1401" s="13" t="inlineStr">
        <is>
          <t>0115</t>
        </is>
      </c>
      <c r="B1401" s="14" t="inlineStr">
        <is>
          <t>Coolie</t>
        </is>
      </c>
      <c r="C1401" s="13" t="inlineStr">
        <is>
          <t>day</t>
        </is>
      </c>
      <c r="D1401" s="15" t="n">
        <v>0.25</v>
      </c>
      <c r="E1401" s="16" t="n">
        <v>558</v>
      </c>
      <c r="F1401" s="16">
        <f>D1401*E1401</f>
        <v/>
      </c>
    </row>
    <row r="1402">
      <c r="A1402" s="13" t="inlineStr">
        <is>
          <t>9988</t>
        </is>
      </c>
      <c r="B1402" s="14" t="inlineStr">
        <is>
          <t>Sundries including carriage of quick set polymer etc.</t>
        </is>
      </c>
      <c r="C1402" s="13" t="inlineStr">
        <is>
          <t>L.S.</t>
        </is>
      </c>
      <c r="D1402" s="15" t="n">
        <v>26.91</v>
      </c>
      <c r="E1402" s="16" t="n">
        <v>2</v>
      </c>
      <c r="F1402" s="16">
        <f>D1402*E1402</f>
        <v/>
      </c>
    </row>
    <row r="1403">
      <c r="A1403" s="17" t="inlineStr">
        <is>
          <t>Resource Total (Material + Labour + Machinery, as printed)</t>
        </is>
      </c>
      <c r="B1403" s="18" t="n"/>
      <c r="C1403" s="18" t="n"/>
      <c r="D1403" s="18" t="n"/>
      <c r="E1403" s="18" t="n"/>
      <c r="F1403" s="19">
        <f>SUM(F1395:F1402)</f>
        <v/>
      </c>
    </row>
    <row r="1404">
      <c r="A1404" s="20" t="inlineStr">
        <is>
          <t>SAY (Rs.) — final DAR rate</t>
        </is>
      </c>
      <c r="B1404" s="21" t="n"/>
      <c r="C1404" s="21" t="n"/>
      <c r="D1404" s="21" t="n"/>
      <c r="E1404" s="21" t="n"/>
      <c r="F1404" s="22" t="n">
        <v>1313.1</v>
      </c>
    </row>
    <row r="1406" ht="18" customHeight="1">
      <c r="A1406" s="9" t="inlineStr">
        <is>
          <t>11.46.2</t>
        </is>
      </c>
      <c r="B1406" s="10" t="inlineStr">
        <is>
          <t>Size of Tile 600x600 mm</t>
        </is>
      </c>
      <c r="C1406" s="11" t="n"/>
      <c r="D1406" s="11" t="n"/>
      <c r="E1406" s="11" t="n"/>
      <c r="F1406" s="11" t="n"/>
    </row>
    <row r="1407">
      <c r="A1407" s="12" t="inlineStr">
        <is>
          <t>Rate basis: per sqm  (source: cost for 1 sqm)</t>
        </is>
      </c>
    </row>
    <row r="1408">
      <c r="A1408" s="5" t="inlineStr">
        <is>
          <t>Code</t>
        </is>
      </c>
      <c r="B1408" s="5" t="inlineStr">
        <is>
          <t>Description</t>
        </is>
      </c>
      <c r="C1408" s="5" t="inlineStr">
        <is>
          <t>Unit</t>
        </is>
      </c>
      <c r="D1408" s="5" t="inlineStr">
        <is>
          <t>Quantity</t>
        </is>
      </c>
      <c r="E1408" s="5" t="inlineStr">
        <is>
          <t>Rate (Rs.)</t>
        </is>
      </c>
      <c r="F1408" s="5" t="inlineStr">
        <is>
          <t>Amount (Rs.)</t>
        </is>
      </c>
    </row>
    <row r="1409">
      <c r="A1409" s="13" t="inlineStr">
        <is>
          <t>3.8</t>
        </is>
      </c>
      <c r="B1409" s="14" t="inlineStr">
        <is>
          <t>Rate as per SH: 3.8</t>
        </is>
      </c>
      <c r="C1409" s="13" t="inlineStr">
        <is>
          <t>cum</t>
        </is>
      </c>
      <c r="D1409" s="15" t="n">
        <v>0.014</v>
      </c>
      <c r="E1409" s="16" t="n">
        <v>4664.55</v>
      </c>
      <c r="F1409" s="16">
        <f>D1409*E1409</f>
        <v/>
      </c>
    </row>
    <row r="1410">
      <c r="A1410" s="13" t="inlineStr">
        <is>
          <t>8621</t>
        </is>
      </c>
      <c r="B1410" s="14" t="inlineStr">
        <is>
          <t>Vitrified floor tile 60x60 cm</t>
        </is>
      </c>
      <c r="C1410" s="13" t="inlineStr">
        <is>
          <t>sqm</t>
        </is>
      </c>
      <c r="D1410" s="15" t="n">
        <v>1.025</v>
      </c>
      <c r="E1410" s="16" t="n">
        <v>659.72</v>
      </c>
      <c r="F1410" s="16">
        <f>D1410*E1410</f>
        <v/>
      </c>
    </row>
    <row r="1411">
      <c r="A1411" s="13" t="inlineStr">
        <is>
          <t>9977</t>
        </is>
      </c>
      <c r="B1411" s="14" t="inlineStr">
        <is>
          <t>Carriage of tiles</t>
        </is>
      </c>
      <c r="C1411" s="13" t="inlineStr">
        <is>
          <t>L.S.</t>
        </is>
      </c>
      <c r="D1411" s="15" t="n">
        <v>6.24</v>
      </c>
      <c r="E1411" s="16" t="n">
        <v>2</v>
      </c>
      <c r="F1411" s="16">
        <f>D1411*E1411</f>
        <v/>
      </c>
    </row>
    <row r="1412">
      <c r="A1412" s="13" t="inlineStr">
        <is>
          <t>9999</t>
        </is>
      </c>
      <c r="B1412" s="14" t="inlineStr">
        <is>
          <t>Mortar for pointing in white cement</t>
        </is>
      </c>
      <c r="C1412" s="13" t="inlineStr">
        <is>
          <t>L.S.</t>
        </is>
      </c>
      <c r="D1412" s="15" t="n">
        <v>3.64</v>
      </c>
      <c r="E1412" s="16" t="n">
        <v>2</v>
      </c>
      <c r="F1412" s="16">
        <f>D1412*E1412</f>
        <v/>
      </c>
    </row>
    <row r="1413">
      <c r="A1413" s="13" t="inlineStr">
        <is>
          <t>0367</t>
        </is>
      </c>
      <c r="B1413" s="14" t="inlineStr">
        <is>
          <t>Portland Cement</t>
        </is>
      </c>
      <c r="C1413" s="13" t="inlineStr">
        <is>
          <t>tonne</t>
        </is>
      </c>
      <c r="D1413" s="15" t="n">
        <v>0.0033</v>
      </c>
      <c r="E1413" s="16" t="n">
        <v>4940</v>
      </c>
      <c r="F1413" s="16">
        <f>D1413*E1413</f>
        <v/>
      </c>
    </row>
    <row r="1414">
      <c r="A1414" s="13" t="inlineStr">
        <is>
          <t>0123</t>
        </is>
      </c>
      <c r="B1414" s="14" t="inlineStr">
        <is>
          <t>Mason (brick layer) 1st class</t>
        </is>
      </c>
      <c r="C1414" s="13" t="inlineStr">
        <is>
          <t>day</t>
        </is>
      </c>
      <c r="D1414" s="15" t="n">
        <v>0.25</v>
      </c>
      <c r="E1414" s="16" t="n">
        <v>738</v>
      </c>
      <c r="F1414" s="16">
        <f>D1414*E1414</f>
        <v/>
      </c>
    </row>
    <row r="1415">
      <c r="A1415" s="13" t="inlineStr">
        <is>
          <t>0115</t>
        </is>
      </c>
      <c r="B1415" s="14" t="inlineStr">
        <is>
          <t>Coolie</t>
        </is>
      </c>
      <c r="C1415" s="13" t="inlineStr">
        <is>
          <t>day</t>
        </is>
      </c>
      <c r="D1415" s="15" t="n">
        <v>0.25</v>
      </c>
      <c r="E1415" s="16" t="n">
        <v>558</v>
      </c>
      <c r="F1415" s="16">
        <f>D1415*E1415</f>
        <v/>
      </c>
    </row>
    <row r="1416">
      <c r="A1416" s="13" t="inlineStr">
        <is>
          <t>9988</t>
        </is>
      </c>
      <c r="B1416" s="14" t="inlineStr">
        <is>
          <t>Sundries including carriage of quick set polymer etc.</t>
        </is>
      </c>
      <c r="C1416" s="13" t="inlineStr">
        <is>
          <t>L.S.</t>
        </is>
      </c>
      <c r="D1416" s="15" t="n">
        <v>26.91</v>
      </c>
      <c r="E1416" s="16" t="n">
        <v>2</v>
      </c>
      <c r="F1416" s="16">
        <f>D1416*E1416</f>
        <v/>
      </c>
    </row>
    <row r="1417">
      <c r="A1417" s="17" t="inlineStr">
        <is>
          <t>Resource Total (Material + Labour + Machinery, as printed)</t>
        </is>
      </c>
      <c r="B1417" s="18" t="n"/>
      <c r="C1417" s="18" t="n"/>
      <c r="D1417" s="18" t="n"/>
      <c r="E1417" s="18" t="n"/>
      <c r="F1417" s="19">
        <f>SUM(F1409:F1416)</f>
        <v/>
      </c>
    </row>
    <row r="1418">
      <c r="A1418" s="20" t="inlineStr">
        <is>
          <t>SAY (Rs.) — final DAR rate</t>
        </is>
      </c>
      <c r="B1418" s="21" t="n"/>
      <c r="C1418" s="21" t="n"/>
      <c r="D1418" s="21" t="n"/>
      <c r="E1418" s="21" t="n"/>
      <c r="F1418" s="22" t="n">
        <v>1545.85</v>
      </c>
    </row>
    <row r="1420" ht="18" customHeight="1">
      <c r="A1420" s="9" t="inlineStr">
        <is>
          <t>11.46.3</t>
        </is>
      </c>
      <c r="B1420" s="10" t="inlineStr">
        <is>
          <t>Size of Tile 800x800 mm</t>
        </is>
      </c>
      <c r="C1420" s="11" t="n"/>
      <c r="D1420" s="11" t="n"/>
      <c r="E1420" s="11" t="n"/>
      <c r="F1420" s="11" t="n"/>
    </row>
    <row r="1421">
      <c r="A1421" s="12" t="inlineStr">
        <is>
          <t>Rate basis: per sqm  (source: cost for 1 sqm)</t>
        </is>
      </c>
    </row>
    <row r="1422">
      <c r="A1422" s="5" t="inlineStr">
        <is>
          <t>Code</t>
        </is>
      </c>
      <c r="B1422" s="5" t="inlineStr">
        <is>
          <t>Description</t>
        </is>
      </c>
      <c r="C1422" s="5" t="inlineStr">
        <is>
          <t>Unit</t>
        </is>
      </c>
      <c r="D1422" s="5" t="inlineStr">
        <is>
          <t>Quantity</t>
        </is>
      </c>
      <c r="E1422" s="5" t="inlineStr">
        <is>
          <t>Rate (Rs.)</t>
        </is>
      </c>
      <c r="F1422" s="5" t="inlineStr">
        <is>
          <t>Amount (Rs.)</t>
        </is>
      </c>
    </row>
    <row r="1423">
      <c r="A1423" s="13" t="inlineStr">
        <is>
          <t>3.8</t>
        </is>
      </c>
      <c r="B1423" s="14" t="inlineStr">
        <is>
          <t>Rate as per SH: 3.8</t>
        </is>
      </c>
      <c r="C1423" s="13" t="inlineStr">
        <is>
          <t>cum</t>
        </is>
      </c>
      <c r="D1423" s="15" t="n">
        <v>0.014</v>
      </c>
      <c r="E1423" s="16" t="n">
        <v>4664.55</v>
      </c>
      <c r="F1423" s="16">
        <f>D1423*E1423</f>
        <v/>
      </c>
    </row>
    <row r="1424">
      <c r="A1424" s="13" t="inlineStr">
        <is>
          <t>8622</t>
        </is>
      </c>
      <c r="B1424" s="14" t="inlineStr">
        <is>
          <t>Vitrified floor tile 80x80 cm</t>
        </is>
      </c>
      <c r="C1424" s="13" t="inlineStr">
        <is>
          <t>sqm</t>
        </is>
      </c>
      <c r="D1424" s="15" t="n">
        <v>1.025</v>
      </c>
      <c r="E1424" s="16" t="n">
        <v>850</v>
      </c>
      <c r="F1424" s="16">
        <f>D1424*E1424</f>
        <v/>
      </c>
    </row>
    <row r="1425">
      <c r="A1425" s="13" t="inlineStr">
        <is>
          <t>9977</t>
        </is>
      </c>
      <c r="B1425" s="14" t="inlineStr">
        <is>
          <t>Carriage of tiles</t>
        </is>
      </c>
      <c r="C1425" s="13" t="inlineStr">
        <is>
          <t>L.S.</t>
        </is>
      </c>
      <c r="D1425" s="15" t="n">
        <v>6.24</v>
      </c>
      <c r="E1425" s="16" t="n">
        <v>2</v>
      </c>
      <c r="F1425" s="16">
        <f>D1425*E1425</f>
        <v/>
      </c>
    </row>
    <row r="1426">
      <c r="A1426" s="13" t="inlineStr">
        <is>
          <t>9999</t>
        </is>
      </c>
      <c r="B1426" s="14" t="inlineStr">
        <is>
          <t>Mortar for pointing in white cement</t>
        </is>
      </c>
      <c r="C1426" s="13" t="inlineStr">
        <is>
          <t>L.S.</t>
        </is>
      </c>
      <c r="D1426" s="15" t="n">
        <v>3.64</v>
      </c>
      <c r="E1426" s="16" t="n">
        <v>2</v>
      </c>
      <c r="F1426" s="16">
        <f>D1426*E1426</f>
        <v/>
      </c>
    </row>
    <row r="1427">
      <c r="A1427" s="13" t="inlineStr">
        <is>
          <t>0367</t>
        </is>
      </c>
      <c r="B1427" s="14" t="inlineStr">
        <is>
          <t>Portland Cement</t>
        </is>
      </c>
      <c r="C1427" s="13" t="inlineStr">
        <is>
          <t>tonne</t>
        </is>
      </c>
      <c r="D1427" s="15" t="n">
        <v>0.0033</v>
      </c>
      <c r="E1427" s="16" t="n">
        <v>4940</v>
      </c>
      <c r="F1427" s="16">
        <f>D1427*E1427</f>
        <v/>
      </c>
    </row>
    <row r="1428">
      <c r="A1428" s="13" t="inlineStr">
        <is>
          <t>0123</t>
        </is>
      </c>
      <c r="B1428" s="14" t="inlineStr">
        <is>
          <t>Mason (brick layer) 1st class</t>
        </is>
      </c>
      <c r="C1428" s="13" t="inlineStr">
        <is>
          <t>day</t>
        </is>
      </c>
      <c r="D1428" s="15" t="n">
        <v>0.25</v>
      </c>
      <c r="E1428" s="16" t="n">
        <v>738</v>
      </c>
      <c r="F1428" s="16">
        <f>D1428*E1428</f>
        <v/>
      </c>
    </row>
    <row r="1429">
      <c r="A1429" s="13" t="inlineStr">
        <is>
          <t>0115</t>
        </is>
      </c>
      <c r="B1429" s="14" t="inlineStr">
        <is>
          <t>Coolie</t>
        </is>
      </c>
      <c r="C1429" s="13" t="inlineStr">
        <is>
          <t>day</t>
        </is>
      </c>
      <c r="D1429" s="15" t="n">
        <v>0.25</v>
      </c>
      <c r="E1429" s="16" t="n">
        <v>558</v>
      </c>
      <c r="F1429" s="16">
        <f>D1429*E1429</f>
        <v/>
      </c>
    </row>
    <row r="1430">
      <c r="A1430" s="13" t="inlineStr">
        <is>
          <t>9988</t>
        </is>
      </c>
      <c r="B1430" s="14" t="inlineStr">
        <is>
          <t>Sundries including carriage of quick set polymer etc.</t>
        </is>
      </c>
      <c r="C1430" s="13" t="inlineStr">
        <is>
          <t>L.S.</t>
        </is>
      </c>
      <c r="D1430" s="15" t="n">
        <v>26.91</v>
      </c>
      <c r="E1430" s="16" t="n">
        <v>2</v>
      </c>
      <c r="F1430" s="16">
        <f>D1430*E1430</f>
        <v/>
      </c>
    </row>
    <row r="1431">
      <c r="A1431" s="17" t="inlineStr">
        <is>
          <t>Resource Total (Material + Labour + Machinery, as printed)</t>
        </is>
      </c>
      <c r="B1431" s="18" t="n"/>
      <c r="C1431" s="18" t="n"/>
      <c r="D1431" s="18" t="n"/>
      <c r="E1431" s="18" t="n"/>
      <c r="F1431" s="19">
        <f>SUM(F1423:F1430)</f>
        <v/>
      </c>
    </row>
    <row r="1432">
      <c r="A1432" s="20" t="inlineStr">
        <is>
          <t>SAY (Rs.) — final DAR rate</t>
        </is>
      </c>
      <c r="B1432" s="21" t="n"/>
      <c r="C1432" s="21" t="n"/>
      <c r="D1432" s="21" t="n"/>
      <c r="E1432" s="21" t="n"/>
      <c r="F1432" s="22" t="n">
        <v>1806.8</v>
      </c>
    </row>
    <row r="1434" ht="18" customHeight="1">
      <c r="A1434" s="9" t="inlineStr">
        <is>
          <t>11.46.4</t>
        </is>
      </c>
      <c r="B1434" s="10" t="inlineStr">
        <is>
          <t>Size of Tile 1000x1000 mm</t>
        </is>
      </c>
      <c r="C1434" s="11" t="n"/>
      <c r="D1434" s="11" t="n"/>
      <c r="E1434" s="11" t="n"/>
      <c r="F1434" s="11" t="n"/>
    </row>
    <row r="1435">
      <c r="A1435" s="12" t="inlineStr">
        <is>
          <t>Rate basis: per sqm  (source: cost for 1 sqm)</t>
        </is>
      </c>
    </row>
    <row r="1436">
      <c r="A1436" s="5" t="inlineStr">
        <is>
          <t>Code</t>
        </is>
      </c>
      <c r="B1436" s="5" t="inlineStr">
        <is>
          <t>Description</t>
        </is>
      </c>
      <c r="C1436" s="5" t="inlineStr">
        <is>
          <t>Unit</t>
        </is>
      </c>
      <c r="D1436" s="5" t="inlineStr">
        <is>
          <t>Quantity</t>
        </is>
      </c>
      <c r="E1436" s="5" t="inlineStr">
        <is>
          <t>Rate (Rs.)</t>
        </is>
      </c>
      <c r="F1436" s="5" t="inlineStr">
        <is>
          <t>Amount (Rs.)</t>
        </is>
      </c>
    </row>
    <row r="1437">
      <c r="A1437" s="13" t="inlineStr">
        <is>
          <t>3.8</t>
        </is>
      </c>
      <c r="B1437" s="14" t="inlineStr">
        <is>
          <t>Rate as per SH: 3.8</t>
        </is>
      </c>
      <c r="C1437" s="13" t="inlineStr">
        <is>
          <t>cum</t>
        </is>
      </c>
      <c r="D1437" s="15" t="n">
        <v>0.014</v>
      </c>
      <c r="E1437" s="16" t="n">
        <v>4664.55</v>
      </c>
      <c r="F1437" s="16">
        <f>D1437*E1437</f>
        <v/>
      </c>
    </row>
    <row r="1438">
      <c r="A1438" s="13" t="inlineStr">
        <is>
          <t>8623</t>
        </is>
      </c>
      <c r="B1438" s="14" t="inlineStr">
        <is>
          <t>Vitrified floor tile 100x100 cm</t>
        </is>
      </c>
      <c r="C1438" s="13" t="inlineStr">
        <is>
          <t>sqm</t>
        </is>
      </c>
      <c r="D1438" s="15" t="n">
        <v>1.025</v>
      </c>
      <c r="E1438" s="16" t="n">
        <v>1390</v>
      </c>
      <c r="F1438" s="16">
        <f>D1438*E1438</f>
        <v/>
      </c>
    </row>
    <row r="1439">
      <c r="A1439" s="13" t="inlineStr">
        <is>
          <t>9977</t>
        </is>
      </c>
      <c r="B1439" s="14" t="inlineStr">
        <is>
          <t>Carriage of tiles</t>
        </is>
      </c>
      <c r="C1439" s="13" t="inlineStr">
        <is>
          <t>L.S.</t>
        </is>
      </c>
      <c r="D1439" s="15" t="n">
        <v>6.24</v>
      </c>
      <c r="E1439" s="16" t="n">
        <v>2</v>
      </c>
      <c r="F1439" s="16">
        <f>D1439*E1439</f>
        <v/>
      </c>
    </row>
    <row r="1440">
      <c r="A1440" s="13" t="inlineStr">
        <is>
          <t>9999</t>
        </is>
      </c>
      <c r="B1440" s="14" t="inlineStr">
        <is>
          <t>Mortar for pointing in white cement</t>
        </is>
      </c>
      <c r="C1440" s="13" t="inlineStr">
        <is>
          <t>L.S.</t>
        </is>
      </c>
      <c r="D1440" s="15" t="n">
        <v>3.64</v>
      </c>
      <c r="E1440" s="16" t="n">
        <v>2</v>
      </c>
      <c r="F1440" s="16">
        <f>D1440*E1440</f>
        <v/>
      </c>
    </row>
    <row r="1441">
      <c r="A1441" s="13" t="inlineStr">
        <is>
          <t>0367</t>
        </is>
      </c>
      <c r="B1441" s="14" t="inlineStr">
        <is>
          <t>Portland Cement</t>
        </is>
      </c>
      <c r="C1441" s="13" t="inlineStr">
        <is>
          <t>tonne</t>
        </is>
      </c>
      <c r="D1441" s="15" t="n">
        <v>0.0033</v>
      </c>
      <c r="E1441" s="16" t="n">
        <v>4940</v>
      </c>
      <c r="F1441" s="16">
        <f>D1441*E1441</f>
        <v/>
      </c>
    </row>
    <row r="1442">
      <c r="A1442" s="13" t="inlineStr">
        <is>
          <t>0123</t>
        </is>
      </c>
      <c r="B1442" s="14" t="inlineStr">
        <is>
          <t>Mason (brick layer) 1st class</t>
        </is>
      </c>
      <c r="C1442" s="13" t="inlineStr">
        <is>
          <t>day</t>
        </is>
      </c>
      <c r="D1442" s="15" t="n">
        <v>0.25</v>
      </c>
      <c r="E1442" s="16" t="n">
        <v>738</v>
      </c>
      <c r="F1442" s="16">
        <f>D1442*E1442</f>
        <v/>
      </c>
    </row>
    <row r="1443">
      <c r="A1443" s="13" t="inlineStr">
        <is>
          <t>0115</t>
        </is>
      </c>
      <c r="B1443" s="14" t="inlineStr">
        <is>
          <t>Coolie</t>
        </is>
      </c>
      <c r="C1443" s="13" t="inlineStr">
        <is>
          <t>day</t>
        </is>
      </c>
      <c r="D1443" s="15" t="n">
        <v>0.25</v>
      </c>
      <c r="E1443" s="16" t="n">
        <v>558</v>
      </c>
      <c r="F1443" s="16">
        <f>D1443*E1443</f>
        <v/>
      </c>
    </row>
    <row r="1444">
      <c r="A1444" s="13" t="inlineStr">
        <is>
          <t>9988</t>
        </is>
      </c>
      <c r="B1444" s="14" t="inlineStr">
        <is>
          <t>Sundries including carriage of quick set polymer etc.</t>
        </is>
      </c>
      <c r="C1444" s="13" t="inlineStr">
        <is>
          <t>L.S.</t>
        </is>
      </c>
      <c r="D1444" s="15" t="n">
        <v>26.91</v>
      </c>
      <c r="E1444" s="16" t="n">
        <v>2</v>
      </c>
      <c r="F1444" s="16">
        <f>D1444*E1444</f>
        <v/>
      </c>
    </row>
    <row r="1445">
      <c r="A1445" s="17" t="inlineStr">
        <is>
          <t>Resource Total (Material + Labour + Machinery, as printed)</t>
        </is>
      </c>
      <c r="B1445" s="18" t="n"/>
      <c r="C1445" s="18" t="n"/>
      <c r="D1445" s="18" t="n"/>
      <c r="E1445" s="18" t="n"/>
      <c r="F1445" s="19">
        <f>SUM(F1437:F1444)</f>
        <v/>
      </c>
    </row>
    <row r="1446">
      <c r="A1446" s="20" t="inlineStr">
        <is>
          <t>SAY (Rs.) — final DAR rate</t>
        </is>
      </c>
      <c r="B1446" s="21" t="n"/>
      <c r="C1446" s="21" t="n"/>
      <c r="D1446" s="21" t="n"/>
      <c r="E1446" s="21" t="n"/>
      <c r="F1446" s="22" t="n">
        <v>2547.35</v>
      </c>
    </row>
    <row r="1448" ht="28" customHeight="1">
      <c r="A1448" s="9" t="inlineStr">
        <is>
          <t>11.46A</t>
        </is>
      </c>
      <c r="B1448" s="10" t="inlineStr">
        <is>
          <t>Providing and fixing glazed screen printed border tile 75mm wide having thickness 5mm, of approved quality &amp; make, in all shades, design and</t>
        </is>
      </c>
      <c r="C1448" s="11" t="n"/>
      <c r="D1448" s="11" t="n"/>
      <c r="E1448" s="11" t="n"/>
      <c r="F1448" s="11" t="n"/>
    </row>
    <row r="1449">
      <c r="A1449" s="12" t="inlineStr">
        <is>
          <t>Rate basis: per sqm  (source: cost for 1 sqm)</t>
        </is>
      </c>
    </row>
    <row r="1450">
      <c r="A1450" s="5" t="inlineStr">
        <is>
          <t>Code</t>
        </is>
      </c>
      <c r="B1450" s="5" t="inlineStr">
        <is>
          <t>Description</t>
        </is>
      </c>
      <c r="C1450" s="5" t="inlineStr">
        <is>
          <t>Unit</t>
        </is>
      </c>
      <c r="D1450" s="5" t="inlineStr">
        <is>
          <t>Quantity</t>
        </is>
      </c>
      <c r="E1450" s="5" t="inlineStr">
        <is>
          <t>Rate (Rs.)</t>
        </is>
      </c>
      <c r="F1450" s="5" t="inlineStr">
        <is>
          <t>Amount (Rs.)</t>
        </is>
      </c>
    </row>
    <row r="1451">
      <c r="A1451" s="13" t="inlineStr">
        <is>
          <t>8624</t>
        </is>
      </c>
      <c r="B1451" s="14" t="inlineStr">
        <is>
          <t>Border tiles 200x75mm size 5mm thick</t>
        </is>
      </c>
      <c r="C1451" s="13" t="inlineStr">
        <is>
          <t>each</t>
        </is>
      </c>
      <c r="D1451" s="15" t="n">
        <v>68</v>
      </c>
      <c r="E1451" s="16" t="n">
        <v>16</v>
      </c>
      <c r="F1451" s="16">
        <f>D1451*E1451</f>
        <v/>
      </c>
    </row>
    <row r="1452">
      <c r="A1452" s="13" t="inlineStr">
        <is>
          <t>9999</t>
        </is>
      </c>
      <c r="B1452" s="14" t="inlineStr">
        <is>
          <t>Carriage</t>
        </is>
      </c>
      <c r="C1452" s="13" t="inlineStr">
        <is>
          <t>L.S.</t>
        </is>
      </c>
      <c r="D1452" s="15" t="n">
        <v>6.24</v>
      </c>
      <c r="E1452" s="16" t="n">
        <v>2</v>
      </c>
      <c r="F1452" s="16">
        <f>D1452*E1452</f>
        <v/>
      </c>
    </row>
    <row r="1453">
      <c r="A1453" s="13" t="inlineStr">
        <is>
          <t>9999</t>
        </is>
      </c>
      <c r="B1453" s="14" t="inlineStr">
        <is>
          <t>Mortar for pointing in white cement</t>
        </is>
      </c>
      <c r="C1453" s="13" t="inlineStr">
        <is>
          <t>L.S.</t>
        </is>
      </c>
      <c r="D1453" s="15" t="n">
        <v>40.43</v>
      </c>
      <c r="E1453" s="16" t="n">
        <v>2</v>
      </c>
      <c r="F1453" s="16">
        <f>D1453*E1453</f>
        <v/>
      </c>
    </row>
    <row r="1454">
      <c r="A1454" s="13" t="inlineStr">
        <is>
          <t>0367</t>
        </is>
      </c>
      <c r="B1454" s="14" t="inlineStr">
        <is>
          <t>Cement for slurry over bed@ 3.3kg/sqm</t>
        </is>
      </c>
      <c r="C1454" s="13" t="inlineStr">
        <is>
          <t>tonne</t>
        </is>
      </c>
      <c r="D1454" s="15" t="n">
        <v>0.0033</v>
      </c>
      <c r="E1454" s="16" t="n">
        <v>4940</v>
      </c>
      <c r="F1454" s="16">
        <f>D1454*E1454</f>
        <v/>
      </c>
    </row>
    <row r="1455">
      <c r="A1455" s="13" t="inlineStr">
        <is>
          <t>0123</t>
        </is>
      </c>
      <c r="B1455" s="14" t="inlineStr">
        <is>
          <t>Mason 1st class</t>
        </is>
      </c>
      <c r="C1455" s="13" t="inlineStr">
        <is>
          <t>each</t>
        </is>
      </c>
      <c r="D1455" s="15" t="n">
        <v>0.25</v>
      </c>
      <c r="E1455" s="16" t="n">
        <v>738</v>
      </c>
      <c r="F1455" s="16">
        <f>D1455*E1455</f>
        <v/>
      </c>
    </row>
    <row r="1456">
      <c r="A1456" s="13" t="inlineStr">
        <is>
          <t>0115</t>
        </is>
      </c>
      <c r="B1456" s="14" t="inlineStr">
        <is>
          <t>Coolie</t>
        </is>
      </c>
      <c r="C1456" s="13" t="inlineStr">
        <is>
          <t>each</t>
        </is>
      </c>
      <c r="D1456" s="15" t="n">
        <v>0.25</v>
      </c>
      <c r="E1456" s="16" t="n">
        <v>558</v>
      </c>
      <c r="F1456" s="16">
        <f>D1456*E1456</f>
        <v/>
      </c>
    </row>
    <row r="1457">
      <c r="A1457" s="13" t="inlineStr">
        <is>
          <t>9999</t>
        </is>
      </c>
      <c r="B1457" s="14" t="inlineStr">
        <is>
          <t>Sundries 26.91-0.16=26.75</t>
        </is>
      </c>
      <c r="C1457" s="13" t="inlineStr">
        <is>
          <t>L.S.</t>
        </is>
      </c>
      <c r="D1457" s="15" t="n">
        <v>26.75</v>
      </c>
      <c r="E1457" s="16" t="n">
        <v>2</v>
      </c>
      <c r="F1457" s="16">
        <f>D1457*E1457</f>
        <v/>
      </c>
    </row>
    <row r="1458">
      <c r="A1458" s="17" t="inlineStr">
        <is>
          <t>Resource Total (Material + Labour + Machinery, as printed)</t>
        </is>
      </c>
      <c r="B1458" s="18" t="n"/>
      <c r="C1458" s="18" t="n"/>
      <c r="D1458" s="18" t="n"/>
      <c r="E1458" s="18" t="n"/>
      <c r="F1458" s="19">
        <f>SUM(F1451:F1457)</f>
        <v/>
      </c>
    </row>
    <row r="1459">
      <c r="A1459" s="20" t="inlineStr">
        <is>
          <t>SAY (Rs.) — final DAR rate</t>
        </is>
      </c>
      <c r="B1459" s="21" t="n"/>
      <c r="C1459" s="21" t="n"/>
      <c r="D1459" s="21" t="n"/>
      <c r="E1459" s="21" t="n"/>
      <c r="F1459" s="22" t="n">
        <v>164.65</v>
      </c>
    </row>
    <row r="1461" ht="18" customHeight="1">
      <c r="A1461" s="9" t="inlineStr">
        <is>
          <t>11.47.1</t>
        </is>
      </c>
      <c r="B1461" s="10" t="inlineStr">
        <is>
          <t>Size of Tile 500x500 mm</t>
        </is>
      </c>
      <c r="C1461" s="11" t="n"/>
      <c r="D1461" s="11" t="n"/>
      <c r="E1461" s="11" t="n"/>
      <c r="F1461" s="11" t="n"/>
    </row>
    <row r="1462">
      <c r="A1462" s="12" t="inlineStr">
        <is>
          <t>Rate basis: per sqm  (source: cost for 1 sqm)</t>
        </is>
      </c>
    </row>
    <row r="1463">
      <c r="A1463" s="5" t="inlineStr">
        <is>
          <t>Code</t>
        </is>
      </c>
      <c r="B1463" s="5" t="inlineStr">
        <is>
          <t>Description</t>
        </is>
      </c>
      <c r="C1463" s="5" t="inlineStr">
        <is>
          <t>Unit</t>
        </is>
      </c>
      <c r="D1463" s="5" t="inlineStr">
        <is>
          <t>Quantity</t>
        </is>
      </c>
      <c r="E1463" s="5" t="inlineStr">
        <is>
          <t>Rate (Rs.)</t>
        </is>
      </c>
      <c r="F1463" s="5" t="inlineStr">
        <is>
          <t>Amount (Rs.)</t>
        </is>
      </c>
    </row>
    <row r="1464">
      <c r="A1464" s="13" t="inlineStr">
        <is>
          <t>8620</t>
        </is>
      </c>
      <c r="B1464" s="14" t="inlineStr">
        <is>
          <t>Vitrified floor tile 50x50 cm</t>
        </is>
      </c>
      <c r="C1464" s="13" t="inlineStr">
        <is>
          <t>sqm</t>
        </is>
      </c>
      <c r="D1464" s="15" t="n">
        <v>1.025</v>
      </c>
      <c r="E1464" s="16" t="n">
        <v>490</v>
      </c>
      <c r="F1464" s="16">
        <f>D1464*E1464</f>
        <v/>
      </c>
    </row>
    <row r="1465">
      <c r="A1465" s="13" t="inlineStr">
        <is>
          <t>9977</t>
        </is>
      </c>
      <c r="B1465" s="14" t="inlineStr">
        <is>
          <t>Carriage of tiles</t>
        </is>
      </c>
      <c r="C1465" s="13" t="inlineStr">
        <is>
          <t>L.S.</t>
        </is>
      </c>
      <c r="D1465" s="15" t="n">
        <v>6.24</v>
      </c>
      <c r="E1465" s="16" t="n">
        <v>2</v>
      </c>
      <c r="F1465" s="16">
        <f>D1465*E1465</f>
        <v/>
      </c>
    </row>
    <row r="1466">
      <c r="A1466" s="13" t="inlineStr">
        <is>
          <t>8731</t>
        </is>
      </c>
      <c r="B1466" s="14" t="inlineStr">
        <is>
          <t>High polymer modified quickset tile adhesive. per</t>
        </is>
      </c>
      <c r="C1466" s="13" t="inlineStr">
        <is>
          <t>kg</t>
        </is>
      </c>
      <c r="D1466" s="15" t="n">
        <v>10</v>
      </c>
      <c r="E1466" s="16" t="n">
        <v>9</v>
      </c>
      <c r="F1466" s="16">
        <f>D1466*E1466</f>
        <v/>
      </c>
    </row>
    <row r="1467">
      <c r="A1467" s="13" t="inlineStr">
        <is>
          <t>0123</t>
        </is>
      </c>
      <c r="B1467" s="14" t="inlineStr">
        <is>
          <t>Mason (brick layer) 1st class</t>
        </is>
      </c>
      <c r="C1467" s="13" t="inlineStr">
        <is>
          <t>day</t>
        </is>
      </c>
      <c r="D1467" s="15" t="n">
        <v>0.25</v>
      </c>
      <c r="E1467" s="16" t="n">
        <v>738</v>
      </c>
      <c r="F1467" s="16">
        <f>D1467*E1467</f>
        <v/>
      </c>
    </row>
    <row r="1468">
      <c r="A1468" s="13" t="inlineStr">
        <is>
          <t>0115</t>
        </is>
      </c>
      <c r="B1468" s="14" t="inlineStr">
        <is>
          <t>Coolie</t>
        </is>
      </c>
      <c r="C1468" s="13" t="inlineStr">
        <is>
          <t>day</t>
        </is>
      </c>
      <c r="D1468" s="15" t="n">
        <v>0.5</v>
      </c>
      <c r="E1468" s="16" t="n">
        <v>558</v>
      </c>
      <c r="F1468" s="16">
        <f>D1468*E1468</f>
        <v/>
      </c>
    </row>
    <row r="1469">
      <c r="A1469" s="13" t="inlineStr">
        <is>
          <t>9988</t>
        </is>
      </c>
      <c r="B1469" s="14" t="inlineStr">
        <is>
          <t>Sundries including carriage of quick set polymer etc.</t>
        </is>
      </c>
      <c r="C1469" s="13" t="inlineStr">
        <is>
          <t>L.S.</t>
        </is>
      </c>
      <c r="D1469" s="15" t="n">
        <v>26.91</v>
      </c>
      <c r="E1469" s="16" t="n">
        <v>2</v>
      </c>
      <c r="F1469" s="16">
        <f>D1469*E1469</f>
        <v/>
      </c>
    </row>
    <row r="1470">
      <c r="A1470" s="17" t="inlineStr">
        <is>
          <t>Resource Total (Material + Labour + Machinery, as printed)</t>
        </is>
      </c>
      <c r="B1470" s="18" t="n"/>
      <c r="C1470" s="18" t="n"/>
      <c r="D1470" s="18" t="n"/>
      <c r="E1470" s="18" t="n"/>
      <c r="F1470" s="19">
        <f>SUM(F1464:F1469)</f>
        <v/>
      </c>
    </row>
    <row r="1471">
      <c r="A1471" s="20" t="inlineStr">
        <is>
          <t>SAY (Rs.) — final DAR rate</t>
        </is>
      </c>
      <c r="B1471" s="21" t="n"/>
      <c r="C1471" s="21" t="n"/>
      <c r="D1471" s="21" t="n"/>
      <c r="E1471" s="21" t="n"/>
      <c r="F1471" s="22" t="n">
        <v>1501.25</v>
      </c>
    </row>
    <row r="1473" ht="18" customHeight="1">
      <c r="A1473" s="9" t="inlineStr">
        <is>
          <t>11.47.2</t>
        </is>
      </c>
      <c r="B1473" s="10" t="inlineStr">
        <is>
          <t>Size of Tile 600x600 mm</t>
        </is>
      </c>
      <c r="C1473" s="11" t="n"/>
      <c r="D1473" s="11" t="n"/>
      <c r="E1473" s="11" t="n"/>
      <c r="F1473" s="11" t="n"/>
    </row>
    <row r="1474">
      <c r="A1474" s="12" t="inlineStr">
        <is>
          <t>Rate basis: per sqm  (source: cost for 1 sqm)</t>
        </is>
      </c>
    </row>
    <row r="1475">
      <c r="A1475" s="5" t="inlineStr">
        <is>
          <t>Code</t>
        </is>
      </c>
      <c r="B1475" s="5" t="inlineStr">
        <is>
          <t>Description</t>
        </is>
      </c>
      <c r="C1475" s="5" t="inlineStr">
        <is>
          <t>Unit</t>
        </is>
      </c>
      <c r="D1475" s="5" t="inlineStr">
        <is>
          <t>Quantity</t>
        </is>
      </c>
      <c r="E1475" s="5" t="inlineStr">
        <is>
          <t>Rate (Rs.)</t>
        </is>
      </c>
      <c r="F1475" s="5" t="inlineStr">
        <is>
          <t>Amount (Rs.)</t>
        </is>
      </c>
    </row>
    <row r="1476">
      <c r="A1476" s="13" t="inlineStr">
        <is>
          <t>8621</t>
        </is>
      </c>
      <c r="B1476" s="14" t="inlineStr">
        <is>
          <t>Vitrified floor tile 60x60 cm</t>
        </is>
      </c>
      <c r="C1476" s="13" t="inlineStr">
        <is>
          <t>sqm</t>
        </is>
      </c>
      <c r="D1476" s="15" t="n">
        <v>1.025</v>
      </c>
      <c r="E1476" s="16" t="n">
        <v>659.72</v>
      </c>
      <c r="F1476" s="16">
        <f>D1476*E1476</f>
        <v/>
      </c>
    </row>
    <row r="1477">
      <c r="A1477" s="13" t="inlineStr">
        <is>
          <t>9977</t>
        </is>
      </c>
      <c r="B1477" s="14" t="inlineStr">
        <is>
          <t>Carriage of tiles</t>
        </is>
      </c>
      <c r="C1477" s="13" t="inlineStr">
        <is>
          <t>L.S.</t>
        </is>
      </c>
      <c r="D1477" s="15" t="n">
        <v>6.24</v>
      </c>
      <c r="E1477" s="16" t="n">
        <v>2</v>
      </c>
      <c r="F1477" s="16">
        <f>D1477*E1477</f>
        <v/>
      </c>
    </row>
    <row r="1478">
      <c r="A1478" s="13" t="inlineStr">
        <is>
          <t>8731</t>
        </is>
      </c>
      <c r="B1478" s="14" t="inlineStr">
        <is>
          <t>High polymer modified quickset tile adhesive. per</t>
        </is>
      </c>
      <c r="C1478" s="13" t="inlineStr">
        <is>
          <t>kg</t>
        </is>
      </c>
      <c r="D1478" s="15" t="n">
        <v>10</v>
      </c>
      <c r="E1478" s="16" t="n">
        <v>9</v>
      </c>
      <c r="F1478" s="16">
        <f>D1478*E1478</f>
        <v/>
      </c>
    </row>
    <row r="1479">
      <c r="A1479" s="13" t="inlineStr">
        <is>
          <t>0123</t>
        </is>
      </c>
      <c r="B1479" s="14" t="inlineStr">
        <is>
          <t>Mason (brick layer) 1st class</t>
        </is>
      </c>
      <c r="C1479" s="13" t="inlineStr">
        <is>
          <t>day</t>
        </is>
      </c>
      <c r="D1479" s="15" t="n">
        <v>0.25</v>
      </c>
      <c r="E1479" s="16" t="n">
        <v>738</v>
      </c>
      <c r="F1479" s="16">
        <f>D1479*E1479</f>
        <v/>
      </c>
    </row>
    <row r="1480">
      <c r="A1480" s="13" t="inlineStr">
        <is>
          <t>0115</t>
        </is>
      </c>
      <c r="B1480" s="14" t="inlineStr">
        <is>
          <t>Coolie</t>
        </is>
      </c>
      <c r="C1480" s="13" t="inlineStr">
        <is>
          <t>day</t>
        </is>
      </c>
      <c r="D1480" s="15" t="n">
        <v>0.5</v>
      </c>
      <c r="E1480" s="16" t="n">
        <v>558</v>
      </c>
      <c r="F1480" s="16">
        <f>D1480*E1480</f>
        <v/>
      </c>
    </row>
    <row r="1481">
      <c r="A1481" s="13" t="inlineStr">
        <is>
          <t>9988</t>
        </is>
      </c>
      <c r="B1481" s="14" t="inlineStr">
        <is>
          <t>Sundries including carriage of quick set polymer etc.</t>
        </is>
      </c>
      <c r="C1481" s="13" t="inlineStr">
        <is>
          <t>L.S.</t>
        </is>
      </c>
      <c r="D1481" s="15" t="n">
        <v>26.91</v>
      </c>
      <c r="E1481" s="16" t="n">
        <v>2</v>
      </c>
      <c r="F1481" s="16">
        <f>D1481*E1481</f>
        <v/>
      </c>
    </row>
    <row r="1482">
      <c r="A1482" s="17" t="inlineStr">
        <is>
          <t>Resource Total (Material + Labour + Machinery, as printed)</t>
        </is>
      </c>
      <c r="B1482" s="18" t="n"/>
      <c r="C1482" s="18" t="n"/>
      <c r="D1482" s="18" t="n"/>
      <c r="E1482" s="18" t="n"/>
      <c r="F1482" s="19">
        <f>SUM(F1476:F1481)</f>
        <v/>
      </c>
    </row>
    <row r="1483">
      <c r="A1483" s="20" t="inlineStr">
        <is>
          <t>SAY (Rs.) — final DAR rate</t>
        </is>
      </c>
      <c r="B1483" s="21" t="n"/>
      <c r="C1483" s="21" t="n"/>
      <c r="D1483" s="21" t="n"/>
      <c r="E1483" s="21" t="n"/>
      <c r="F1483" s="22" t="n">
        <v>1734</v>
      </c>
    </row>
    <row r="1485" ht="18" customHeight="1">
      <c r="A1485" s="9" t="inlineStr">
        <is>
          <t>11.47.3</t>
        </is>
      </c>
      <c r="B1485" s="10" t="inlineStr">
        <is>
          <t>Size of Tile 800x800 mm</t>
        </is>
      </c>
      <c r="C1485" s="11" t="n"/>
      <c r="D1485" s="11" t="n"/>
      <c r="E1485" s="11" t="n"/>
      <c r="F1485" s="11" t="n"/>
    </row>
    <row r="1486">
      <c r="A1486" s="12" t="inlineStr">
        <is>
          <t>Rate basis: per sqm  (source: cost for 1 sqm)</t>
        </is>
      </c>
    </row>
    <row r="1487">
      <c r="A1487" s="5" t="inlineStr">
        <is>
          <t>Code</t>
        </is>
      </c>
      <c r="B1487" s="5" t="inlineStr">
        <is>
          <t>Description</t>
        </is>
      </c>
      <c r="C1487" s="5" t="inlineStr">
        <is>
          <t>Unit</t>
        </is>
      </c>
      <c r="D1487" s="5" t="inlineStr">
        <is>
          <t>Quantity</t>
        </is>
      </c>
      <c r="E1487" s="5" t="inlineStr">
        <is>
          <t>Rate (Rs.)</t>
        </is>
      </c>
      <c r="F1487" s="5" t="inlineStr">
        <is>
          <t>Amount (Rs.)</t>
        </is>
      </c>
    </row>
    <row r="1488">
      <c r="A1488" s="13" t="inlineStr">
        <is>
          <t>8622</t>
        </is>
      </c>
      <c r="B1488" s="14" t="inlineStr">
        <is>
          <t>Vitrified floor tile 80x80 cm</t>
        </is>
      </c>
      <c r="C1488" s="13" t="inlineStr">
        <is>
          <t>sqm</t>
        </is>
      </c>
      <c r="D1488" s="15" t="n">
        <v>1.025</v>
      </c>
      <c r="E1488" s="16" t="n">
        <v>850</v>
      </c>
      <c r="F1488" s="16">
        <f>D1488*E1488</f>
        <v/>
      </c>
    </row>
    <row r="1489">
      <c r="A1489" s="13" t="inlineStr">
        <is>
          <t>9977</t>
        </is>
      </c>
      <c r="B1489" s="14" t="inlineStr">
        <is>
          <t>Carriage of tiles</t>
        </is>
      </c>
      <c r="C1489" s="13" t="inlineStr">
        <is>
          <t>L.S.</t>
        </is>
      </c>
      <c r="D1489" s="15" t="n">
        <v>6.24</v>
      </c>
      <c r="E1489" s="16" t="n">
        <v>2</v>
      </c>
      <c r="F1489" s="16">
        <f>D1489*E1489</f>
        <v/>
      </c>
    </row>
    <row r="1490">
      <c r="A1490" s="13" t="inlineStr">
        <is>
          <t>8731</t>
        </is>
      </c>
      <c r="B1490" s="14" t="inlineStr">
        <is>
          <t>High polymer modified quickset tile adhesive. per</t>
        </is>
      </c>
      <c r="C1490" s="13" t="inlineStr">
        <is>
          <t>kg</t>
        </is>
      </c>
      <c r="D1490" s="15" t="n">
        <v>10</v>
      </c>
      <c r="E1490" s="16" t="n">
        <v>9</v>
      </c>
      <c r="F1490" s="16">
        <f>D1490*E1490</f>
        <v/>
      </c>
    </row>
    <row r="1491">
      <c r="A1491" s="13" t="inlineStr">
        <is>
          <t>0123</t>
        </is>
      </c>
      <c r="B1491" s="14" t="inlineStr">
        <is>
          <t>Mason (brick layer) 1st class</t>
        </is>
      </c>
      <c r="C1491" s="13" t="inlineStr">
        <is>
          <t>day</t>
        </is>
      </c>
      <c r="D1491" s="15" t="n">
        <v>0.25</v>
      </c>
      <c r="E1491" s="16" t="n">
        <v>738</v>
      </c>
      <c r="F1491" s="16">
        <f>D1491*E1491</f>
        <v/>
      </c>
    </row>
    <row r="1492">
      <c r="A1492" s="13" t="inlineStr">
        <is>
          <t>0115</t>
        </is>
      </c>
      <c r="B1492" s="14" t="inlineStr">
        <is>
          <t>Coolie</t>
        </is>
      </c>
      <c r="C1492" s="13" t="inlineStr">
        <is>
          <t>day</t>
        </is>
      </c>
      <c r="D1492" s="15" t="n">
        <v>0.5</v>
      </c>
      <c r="E1492" s="16" t="n">
        <v>558</v>
      </c>
      <c r="F1492" s="16">
        <f>D1492*E1492</f>
        <v/>
      </c>
    </row>
    <row r="1493">
      <c r="A1493" s="13" t="inlineStr">
        <is>
          <t>9988</t>
        </is>
      </c>
      <c r="B1493" s="14" t="inlineStr">
        <is>
          <t>Sundries including carriage of quick set polymer etc.</t>
        </is>
      </c>
      <c r="C1493" s="13" t="inlineStr">
        <is>
          <t>L.S.</t>
        </is>
      </c>
      <c r="D1493" s="15" t="n">
        <v>26.91</v>
      </c>
      <c r="E1493" s="16" t="n">
        <v>2</v>
      </c>
      <c r="F1493" s="16">
        <f>D1493*E1493</f>
        <v/>
      </c>
    </row>
    <row r="1494">
      <c r="A1494" s="17" t="inlineStr">
        <is>
          <t>Resource Total (Material + Labour + Machinery, as printed)</t>
        </is>
      </c>
      <c r="B1494" s="18" t="n"/>
      <c r="C1494" s="18" t="n"/>
      <c r="D1494" s="18" t="n"/>
      <c r="E1494" s="18" t="n"/>
      <c r="F1494" s="19">
        <f>SUM(F1488:F1493)</f>
        <v/>
      </c>
    </row>
    <row r="1495">
      <c r="A1495" s="20" t="inlineStr">
        <is>
          <t>SAY (Rs.) — final DAR rate</t>
        </is>
      </c>
      <c r="B1495" s="21" t="n"/>
      <c r="C1495" s="21" t="n"/>
      <c r="D1495" s="21" t="n"/>
      <c r="E1495" s="21" t="n"/>
      <c r="F1495" s="22" t="n">
        <v>1994.95</v>
      </c>
    </row>
    <row r="1497" ht="18" customHeight="1">
      <c r="A1497" s="9" t="inlineStr">
        <is>
          <t>11.47.4</t>
        </is>
      </c>
      <c r="B1497" s="10" t="inlineStr">
        <is>
          <t>Size of Tile 1000x1000 mm</t>
        </is>
      </c>
      <c r="C1497" s="11" t="n"/>
      <c r="D1497" s="11" t="n"/>
      <c r="E1497" s="11" t="n"/>
      <c r="F1497" s="11" t="n"/>
    </row>
    <row r="1498">
      <c r="A1498" s="12" t="inlineStr">
        <is>
          <t>Rate basis: per sqm  (source: cost for 1 sqm)</t>
        </is>
      </c>
    </row>
    <row r="1499">
      <c r="A1499" s="5" t="inlineStr">
        <is>
          <t>Code</t>
        </is>
      </c>
      <c r="B1499" s="5" t="inlineStr">
        <is>
          <t>Description</t>
        </is>
      </c>
      <c r="C1499" s="5" t="inlineStr">
        <is>
          <t>Unit</t>
        </is>
      </c>
      <c r="D1499" s="5" t="inlineStr">
        <is>
          <t>Quantity</t>
        </is>
      </c>
      <c r="E1499" s="5" t="inlineStr">
        <is>
          <t>Rate (Rs.)</t>
        </is>
      </c>
      <c r="F1499" s="5" t="inlineStr">
        <is>
          <t>Amount (Rs.)</t>
        </is>
      </c>
    </row>
    <row r="1500">
      <c r="A1500" s="13" t="inlineStr">
        <is>
          <t>8623</t>
        </is>
      </c>
      <c r="B1500" s="14" t="inlineStr">
        <is>
          <t>Vitrified floor tile 100x100 cm</t>
        </is>
      </c>
      <c r="C1500" s="13" t="inlineStr">
        <is>
          <t>sqm</t>
        </is>
      </c>
      <c r="D1500" s="15" t="n">
        <v>1.025</v>
      </c>
      <c r="E1500" s="16" t="n">
        <v>1390</v>
      </c>
      <c r="F1500" s="16">
        <f>D1500*E1500</f>
        <v/>
      </c>
    </row>
    <row r="1501">
      <c r="A1501" s="13" t="inlineStr">
        <is>
          <t>9977</t>
        </is>
      </c>
      <c r="B1501" s="14" t="inlineStr">
        <is>
          <t>Carriage of tiles</t>
        </is>
      </c>
      <c r="C1501" s="13" t="inlineStr">
        <is>
          <t>L.S.</t>
        </is>
      </c>
      <c r="D1501" s="15" t="n">
        <v>6.24</v>
      </c>
      <c r="E1501" s="16" t="n">
        <v>2</v>
      </c>
      <c r="F1501" s="16">
        <f>D1501*E1501</f>
        <v/>
      </c>
    </row>
    <row r="1502">
      <c r="A1502" s="13" t="inlineStr">
        <is>
          <t>8731</t>
        </is>
      </c>
      <c r="B1502" s="14" t="inlineStr">
        <is>
          <t>High polymer modified quickset tile adhesive. per</t>
        </is>
      </c>
      <c r="C1502" s="13" t="inlineStr">
        <is>
          <t>kg</t>
        </is>
      </c>
      <c r="D1502" s="15" t="n">
        <v>10</v>
      </c>
      <c r="E1502" s="16" t="n">
        <v>9</v>
      </c>
      <c r="F1502" s="16">
        <f>D1502*E1502</f>
        <v/>
      </c>
    </row>
    <row r="1503">
      <c r="A1503" s="13" t="inlineStr">
        <is>
          <t>0123</t>
        </is>
      </c>
      <c r="B1503" s="14" t="inlineStr">
        <is>
          <t>Mason (brick layer) 1st class</t>
        </is>
      </c>
      <c r="C1503" s="13" t="inlineStr">
        <is>
          <t>day</t>
        </is>
      </c>
      <c r="D1503" s="15" t="n">
        <v>0.25</v>
      </c>
      <c r="E1503" s="16" t="n">
        <v>738</v>
      </c>
      <c r="F1503" s="16">
        <f>D1503*E1503</f>
        <v/>
      </c>
    </row>
    <row r="1504">
      <c r="A1504" s="13" t="inlineStr">
        <is>
          <t>0115</t>
        </is>
      </c>
      <c r="B1504" s="14" t="inlineStr">
        <is>
          <t>Coolie</t>
        </is>
      </c>
      <c r="C1504" s="13" t="inlineStr">
        <is>
          <t>day</t>
        </is>
      </c>
      <c r="D1504" s="15" t="n">
        <v>0.5</v>
      </c>
      <c r="E1504" s="16" t="n">
        <v>558</v>
      </c>
      <c r="F1504" s="16">
        <f>D1504*E1504</f>
        <v/>
      </c>
    </row>
    <row r="1505">
      <c r="A1505" s="13" t="inlineStr">
        <is>
          <t>9988</t>
        </is>
      </c>
      <c r="B1505" s="14" t="inlineStr">
        <is>
          <t>Sundries including carriage of quick set polymer etc.</t>
        </is>
      </c>
      <c r="C1505" s="13" t="inlineStr">
        <is>
          <t>L.S.</t>
        </is>
      </c>
      <c r="D1505" s="15" t="n">
        <v>26.91</v>
      </c>
      <c r="E1505" s="16" t="n">
        <v>2</v>
      </c>
      <c r="F1505" s="16">
        <f>D1505*E1505</f>
        <v/>
      </c>
    </row>
    <row r="1506">
      <c r="A1506" s="17" t="inlineStr">
        <is>
          <t>Resource Total (Material + Labour + Machinery, as printed)</t>
        </is>
      </c>
      <c r="B1506" s="18" t="n"/>
      <c r="C1506" s="18" t="n"/>
      <c r="D1506" s="18" t="n"/>
      <c r="E1506" s="18" t="n"/>
      <c r="F1506" s="19">
        <f>SUM(F1500:F1505)</f>
        <v/>
      </c>
    </row>
    <row r="1507">
      <c r="A1507" s="20" t="inlineStr">
        <is>
          <t>SAY (Rs.) — final DAR rate</t>
        </is>
      </c>
      <c r="B1507" s="21" t="n"/>
      <c r="C1507" s="21" t="n"/>
      <c r="D1507" s="21" t="n"/>
      <c r="E1507" s="21" t="n"/>
      <c r="F1507" s="22" t="n">
        <v>2735.5</v>
      </c>
    </row>
    <row r="1509" ht="18" customHeight="1">
      <c r="A1509" s="9" t="inlineStr">
        <is>
          <t>11.48.1</t>
        </is>
      </c>
      <c r="B1509" s="10" t="inlineStr">
        <is>
          <t>Size of Tile 500x500 mm</t>
        </is>
      </c>
      <c r="C1509" s="11" t="n"/>
      <c r="D1509" s="11" t="n"/>
      <c r="E1509" s="11" t="n"/>
      <c r="F1509" s="11" t="n"/>
    </row>
    <row r="1510">
      <c r="A1510" s="12" t="inlineStr">
        <is>
          <t>Rate basis: per sqm  (source: cost for 1 sqm)</t>
        </is>
      </c>
    </row>
    <row r="1511">
      <c r="A1511" s="5" t="inlineStr">
        <is>
          <t>Code</t>
        </is>
      </c>
      <c r="B1511" s="5" t="inlineStr">
        <is>
          <t>Description</t>
        </is>
      </c>
      <c r="C1511" s="5" t="inlineStr">
        <is>
          <t>Unit</t>
        </is>
      </c>
      <c r="D1511" s="5" t="inlineStr">
        <is>
          <t>Quantity</t>
        </is>
      </c>
      <c r="E1511" s="5" t="inlineStr">
        <is>
          <t>Rate (Rs.)</t>
        </is>
      </c>
      <c r="F1511" s="5" t="inlineStr">
        <is>
          <t>Amount (Rs.)</t>
        </is>
      </c>
    </row>
    <row r="1512">
      <c r="A1512" s="13" t="inlineStr">
        <is>
          <t>8682</t>
        </is>
      </c>
      <c r="B1512" s="14" t="inlineStr">
        <is>
          <t>Epoxy Grout</t>
        </is>
      </c>
      <c r="C1512" s="13" t="inlineStr">
        <is>
          <t>Kg</t>
        </is>
      </c>
      <c r="D1512" s="15" t="n">
        <v>0.21</v>
      </c>
      <c r="E1512" s="16" t="n">
        <v>371</v>
      </c>
      <c r="F1512" s="16">
        <f>D1512*E1512</f>
        <v/>
      </c>
    </row>
    <row r="1513">
      <c r="A1513" s="13" t="inlineStr">
        <is>
          <t>0123</t>
        </is>
      </c>
      <c r="B1513" s="14" t="inlineStr">
        <is>
          <t>Mason (brick layer) 1st class</t>
        </is>
      </c>
      <c r="C1513" s="13" t="inlineStr">
        <is>
          <t>day</t>
        </is>
      </c>
      <c r="D1513" s="15" t="n">
        <v>0.1</v>
      </c>
      <c r="E1513" s="16" t="n">
        <v>738</v>
      </c>
      <c r="F1513" s="16">
        <f>D1513*E1513</f>
        <v/>
      </c>
    </row>
    <row r="1514">
      <c r="A1514" s="13" t="inlineStr">
        <is>
          <t>0115</t>
        </is>
      </c>
      <c r="B1514" s="14" t="inlineStr">
        <is>
          <t>Coolie</t>
        </is>
      </c>
      <c r="C1514" s="13" t="inlineStr">
        <is>
          <t>day</t>
        </is>
      </c>
      <c r="D1514" s="15" t="n">
        <v>0.1</v>
      </c>
      <c r="E1514" s="16" t="n">
        <v>558</v>
      </c>
      <c r="F1514" s="16">
        <f>D1514*E1514</f>
        <v/>
      </c>
    </row>
    <row r="1515">
      <c r="A1515" s="13" t="inlineStr">
        <is>
          <t>9988</t>
        </is>
      </c>
      <c r="B1515" s="14" t="inlineStr">
        <is>
          <t>Sundries including carriage</t>
        </is>
      </c>
      <c r="C1515" s="13" t="inlineStr">
        <is>
          <t>L.S.</t>
        </is>
      </c>
      <c r="D1515" s="15" t="n">
        <v>5</v>
      </c>
      <c r="E1515" s="16" t="n">
        <v>2</v>
      </c>
      <c r="F1515" s="16">
        <f>D1515*E1515</f>
        <v/>
      </c>
    </row>
    <row r="1516">
      <c r="A1516" s="17" t="inlineStr">
        <is>
          <t>Resource Total (Material + Labour + Machinery, as printed)</t>
        </is>
      </c>
      <c r="B1516" s="18" t="n"/>
      <c r="C1516" s="18" t="n"/>
      <c r="D1516" s="18" t="n"/>
      <c r="E1516" s="18" t="n"/>
      <c r="F1516" s="19">
        <f>SUM(F1512:F1515)</f>
        <v/>
      </c>
    </row>
    <row r="1517">
      <c r="A1517" s="20" t="inlineStr">
        <is>
          <t>SAY (Rs.) — final DAR rate</t>
        </is>
      </c>
      <c r="B1517" s="21" t="n"/>
      <c r="C1517" s="21" t="n"/>
      <c r="D1517" s="21" t="n"/>
      <c r="E1517" s="21" t="n"/>
      <c r="F1517" s="22" t="n">
        <v>291</v>
      </c>
    </row>
    <row r="1519" ht="18" customHeight="1">
      <c r="A1519" s="9" t="inlineStr">
        <is>
          <t>11.48.2</t>
        </is>
      </c>
      <c r="B1519" s="10" t="inlineStr">
        <is>
          <t>Size of Tile 600x600 mm</t>
        </is>
      </c>
      <c r="C1519" s="11" t="n"/>
      <c r="D1519" s="11" t="n"/>
      <c r="E1519" s="11" t="n"/>
      <c r="F1519" s="11" t="n"/>
    </row>
    <row r="1520">
      <c r="A1520" s="12" t="inlineStr">
        <is>
          <t>Rate basis: per sqm  (source: cost for 1 sqm)</t>
        </is>
      </c>
    </row>
    <row r="1521">
      <c r="A1521" s="5" t="inlineStr">
        <is>
          <t>Code</t>
        </is>
      </c>
      <c r="B1521" s="5" t="inlineStr">
        <is>
          <t>Description</t>
        </is>
      </c>
      <c r="C1521" s="5" t="inlineStr">
        <is>
          <t>Unit</t>
        </is>
      </c>
      <c r="D1521" s="5" t="inlineStr">
        <is>
          <t>Quantity</t>
        </is>
      </c>
      <c r="E1521" s="5" t="inlineStr">
        <is>
          <t>Rate (Rs.)</t>
        </is>
      </c>
      <c r="F1521" s="5" t="inlineStr">
        <is>
          <t>Amount (Rs.)</t>
        </is>
      </c>
    </row>
    <row r="1522">
      <c r="A1522" s="13" t="inlineStr">
        <is>
          <t>8682</t>
        </is>
      </c>
      <c r="B1522" s="14" t="inlineStr">
        <is>
          <t>Epoxy Grout</t>
        </is>
      </c>
      <c r="C1522" s="13" t="inlineStr">
        <is>
          <t>Kg</t>
        </is>
      </c>
      <c r="D1522" s="15" t="n">
        <v>0.18</v>
      </c>
      <c r="E1522" s="16" t="n">
        <v>371</v>
      </c>
      <c r="F1522" s="16">
        <f>D1522*E1522</f>
        <v/>
      </c>
    </row>
    <row r="1523">
      <c r="A1523" s="13" t="inlineStr">
        <is>
          <t>0123</t>
        </is>
      </c>
      <c r="B1523" s="14" t="inlineStr">
        <is>
          <t>Mason (brick layer) 1st class</t>
        </is>
      </c>
      <c r="C1523" s="13" t="inlineStr">
        <is>
          <t>day</t>
        </is>
      </c>
      <c r="D1523" s="15" t="n">
        <v>0.08</v>
      </c>
      <c r="E1523" s="16" t="n">
        <v>738</v>
      </c>
      <c r="F1523" s="16">
        <f>D1523*E1523</f>
        <v/>
      </c>
    </row>
    <row r="1524">
      <c r="A1524" s="13" t="inlineStr">
        <is>
          <t>0115</t>
        </is>
      </c>
      <c r="B1524" s="14" t="inlineStr">
        <is>
          <t>Coolie</t>
        </is>
      </c>
      <c r="C1524" s="13" t="inlineStr">
        <is>
          <t>day</t>
        </is>
      </c>
      <c r="D1524" s="15" t="n">
        <v>0.08</v>
      </c>
      <c r="E1524" s="16" t="n">
        <v>558</v>
      </c>
      <c r="F1524" s="16">
        <f>D1524*E1524</f>
        <v/>
      </c>
    </row>
    <row r="1525">
      <c r="A1525" s="13" t="inlineStr">
        <is>
          <t>9988</t>
        </is>
      </c>
      <c r="B1525" s="14" t="inlineStr">
        <is>
          <t>Sundries including carriage</t>
        </is>
      </c>
      <c r="C1525" s="13" t="inlineStr">
        <is>
          <t>L.S.</t>
        </is>
      </c>
      <c r="D1525" s="15" t="n">
        <v>5</v>
      </c>
      <c r="E1525" s="16" t="n">
        <v>2</v>
      </c>
      <c r="F1525" s="16">
        <f>D1525*E1525</f>
        <v/>
      </c>
    </row>
    <row r="1526">
      <c r="A1526" s="17" t="inlineStr">
        <is>
          <t>Resource Total (Material + Labour + Machinery, as printed)</t>
        </is>
      </c>
      <c r="B1526" s="18" t="n"/>
      <c r="C1526" s="18" t="n"/>
      <c r="D1526" s="18" t="n"/>
      <c r="E1526" s="18" t="n"/>
      <c r="F1526" s="19">
        <f>SUM(F1522:F1525)</f>
        <v/>
      </c>
    </row>
    <row r="1527">
      <c r="A1527" s="20" t="inlineStr">
        <is>
          <t>SAY (Rs.) — final DAR rate</t>
        </is>
      </c>
      <c r="B1527" s="21" t="n"/>
      <c r="C1527" s="21" t="n"/>
      <c r="D1527" s="21" t="n"/>
      <c r="E1527" s="21" t="n"/>
      <c r="F1527" s="22" t="n">
        <v>241.45</v>
      </c>
    </row>
    <row r="1529" ht="18" customHeight="1">
      <c r="A1529" s="9" t="inlineStr">
        <is>
          <t>11.48.3</t>
        </is>
      </c>
      <c r="B1529" s="10" t="inlineStr">
        <is>
          <t>Size of Tile 800x800 mm</t>
        </is>
      </c>
      <c r="C1529" s="11" t="n"/>
      <c r="D1529" s="11" t="n"/>
      <c r="E1529" s="11" t="n"/>
      <c r="F1529" s="11" t="n"/>
    </row>
    <row r="1530">
      <c r="A1530" s="12" t="inlineStr">
        <is>
          <t>Rate basis: per sqm  (source: cost for 1 sqm)</t>
        </is>
      </c>
    </row>
    <row r="1531">
      <c r="A1531" s="5" t="inlineStr">
        <is>
          <t>Code</t>
        </is>
      </c>
      <c r="B1531" s="5" t="inlineStr">
        <is>
          <t>Description</t>
        </is>
      </c>
      <c r="C1531" s="5" t="inlineStr">
        <is>
          <t>Unit</t>
        </is>
      </c>
      <c r="D1531" s="5" t="inlineStr">
        <is>
          <t>Quantity</t>
        </is>
      </c>
      <c r="E1531" s="5" t="inlineStr">
        <is>
          <t>Rate (Rs.)</t>
        </is>
      </c>
      <c r="F1531" s="5" t="inlineStr">
        <is>
          <t>Amount (Rs.)</t>
        </is>
      </c>
    </row>
    <row r="1532">
      <c r="A1532" s="13" t="inlineStr">
        <is>
          <t>8682</t>
        </is>
      </c>
      <c r="B1532" s="14" t="inlineStr">
        <is>
          <t>Epoxy Grout</t>
        </is>
      </c>
      <c r="C1532" s="13" t="inlineStr">
        <is>
          <t>Kg</t>
        </is>
      </c>
      <c r="D1532" s="15" t="n">
        <v>0.15</v>
      </c>
      <c r="E1532" s="16" t="n">
        <v>371</v>
      </c>
      <c r="F1532" s="16">
        <f>D1532*E1532</f>
        <v/>
      </c>
    </row>
    <row r="1533">
      <c r="A1533" s="13" t="inlineStr">
        <is>
          <t>0123</t>
        </is>
      </c>
      <c r="B1533" s="14" t="inlineStr">
        <is>
          <t>Mason (brick layer) 1st class</t>
        </is>
      </c>
      <c r="C1533" s="13" t="inlineStr">
        <is>
          <t>day</t>
        </is>
      </c>
      <c r="D1533" s="15" t="n">
        <v>0.06</v>
      </c>
      <c r="E1533" s="16" t="n">
        <v>738</v>
      </c>
      <c r="F1533" s="16">
        <f>D1533*E1533</f>
        <v/>
      </c>
    </row>
    <row r="1534">
      <c r="A1534" s="13" t="inlineStr">
        <is>
          <t>0115</t>
        </is>
      </c>
      <c r="B1534" s="14" t="inlineStr">
        <is>
          <t>Coolie</t>
        </is>
      </c>
      <c r="C1534" s="13" t="inlineStr">
        <is>
          <t>day</t>
        </is>
      </c>
      <c r="D1534" s="15" t="n">
        <v>0.06</v>
      </c>
      <c r="E1534" s="16" t="n">
        <v>558</v>
      </c>
      <c r="F1534" s="16">
        <f>D1534*E1534</f>
        <v/>
      </c>
    </row>
    <row r="1535">
      <c r="A1535" s="13" t="inlineStr">
        <is>
          <t>9988</t>
        </is>
      </c>
      <c r="B1535" s="14" t="inlineStr">
        <is>
          <t>Sundries including carriage</t>
        </is>
      </c>
      <c r="C1535" s="13" t="inlineStr">
        <is>
          <t>L.S.</t>
        </is>
      </c>
      <c r="D1535" s="15" t="n">
        <v>5</v>
      </c>
      <c r="E1535" s="16" t="n">
        <v>2</v>
      </c>
      <c r="F1535" s="16">
        <f>D1535*E1535</f>
        <v/>
      </c>
    </row>
    <row r="1536">
      <c r="A1536" s="17" t="inlineStr">
        <is>
          <t>Resource Total (Material + Labour + Machinery, as printed)</t>
        </is>
      </c>
      <c r="B1536" s="18" t="n"/>
      <c r="C1536" s="18" t="n"/>
      <c r="D1536" s="18" t="n"/>
      <c r="E1536" s="18" t="n"/>
      <c r="F1536" s="19">
        <f>SUM(F1532:F1535)</f>
        <v/>
      </c>
    </row>
    <row r="1537">
      <c r="A1537" s="20" t="inlineStr">
        <is>
          <t>SAY (Rs.) — final DAR rate</t>
        </is>
      </c>
      <c r="B1537" s="21" t="n"/>
      <c r="C1537" s="21" t="n"/>
      <c r="D1537" s="21" t="n"/>
      <c r="E1537" s="21" t="n"/>
      <c r="F1537" s="22" t="n">
        <v>191.85</v>
      </c>
    </row>
    <row r="1539" ht="18" customHeight="1">
      <c r="A1539" s="9" t="inlineStr">
        <is>
          <t>11.48.4</t>
        </is>
      </c>
      <c r="B1539" s="10" t="inlineStr">
        <is>
          <t>Size of Tile 1000x1000 mm</t>
        </is>
      </c>
      <c r="C1539" s="11" t="n"/>
      <c r="D1539" s="11" t="n"/>
      <c r="E1539" s="11" t="n"/>
      <c r="F1539" s="11" t="n"/>
    </row>
    <row r="1540">
      <c r="A1540" s="12" t="inlineStr">
        <is>
          <t>Rate basis: per sqm  (source: cost for 1 sqm)</t>
        </is>
      </c>
    </row>
    <row r="1541">
      <c r="A1541" s="5" t="inlineStr">
        <is>
          <t>Code</t>
        </is>
      </c>
      <c r="B1541" s="5" t="inlineStr">
        <is>
          <t>Description</t>
        </is>
      </c>
      <c r="C1541" s="5" t="inlineStr">
        <is>
          <t>Unit</t>
        </is>
      </c>
      <c r="D1541" s="5" t="inlineStr">
        <is>
          <t>Quantity</t>
        </is>
      </c>
      <c r="E1541" s="5" t="inlineStr">
        <is>
          <t>Rate (Rs.)</t>
        </is>
      </c>
      <c r="F1541" s="5" t="inlineStr">
        <is>
          <t>Amount (Rs.)</t>
        </is>
      </c>
    </row>
    <row r="1542">
      <c r="A1542" s="13" t="inlineStr">
        <is>
          <t>8682</t>
        </is>
      </c>
      <c r="B1542" s="14" t="inlineStr">
        <is>
          <t>Epoxy Grout</t>
        </is>
      </c>
      <c r="C1542" s="13" t="inlineStr">
        <is>
          <t>Kg</t>
        </is>
      </c>
      <c r="D1542" s="15" t="n">
        <v>0.11</v>
      </c>
      <c r="E1542" s="16" t="n">
        <v>371</v>
      </c>
      <c r="F1542" s="16">
        <f>D1542*E1542</f>
        <v/>
      </c>
    </row>
    <row r="1543">
      <c r="A1543" s="13" t="inlineStr">
        <is>
          <t>0123</t>
        </is>
      </c>
      <c r="B1543" s="14" t="inlineStr">
        <is>
          <t>Mason (brick layer) 1st class</t>
        </is>
      </c>
      <c r="C1543" s="13" t="inlineStr">
        <is>
          <t>day</t>
        </is>
      </c>
      <c r="D1543" s="15" t="n">
        <v>0.04</v>
      </c>
      <c r="E1543" s="16" t="n">
        <v>738</v>
      </c>
      <c r="F1543" s="16">
        <f>D1543*E1543</f>
        <v/>
      </c>
    </row>
    <row r="1544">
      <c r="A1544" s="13" t="inlineStr">
        <is>
          <t>0115</t>
        </is>
      </c>
      <c r="B1544" s="14" t="inlineStr">
        <is>
          <t>Coolie</t>
        </is>
      </c>
      <c r="C1544" s="13" t="inlineStr">
        <is>
          <t>day</t>
        </is>
      </c>
      <c r="D1544" s="15" t="n">
        <v>0.04</v>
      </c>
      <c r="E1544" s="16" t="n">
        <v>558</v>
      </c>
      <c r="F1544" s="16">
        <f>D1544*E1544</f>
        <v/>
      </c>
    </row>
    <row r="1545">
      <c r="A1545" s="13" t="inlineStr">
        <is>
          <t>9988</t>
        </is>
      </c>
      <c r="B1545" s="14" t="inlineStr">
        <is>
          <t>Sundries including carriage</t>
        </is>
      </c>
      <c r="C1545" s="13" t="inlineStr">
        <is>
          <t>L.S.</t>
        </is>
      </c>
      <c r="D1545" s="15" t="n">
        <v>5</v>
      </c>
      <c r="E1545" s="16" t="n">
        <v>2</v>
      </c>
      <c r="F1545" s="16">
        <f>D1545*E1545</f>
        <v/>
      </c>
    </row>
    <row r="1546">
      <c r="A1546" s="17" t="inlineStr">
        <is>
          <t>Resource Total (Material + Labour + Machinery, as printed)</t>
        </is>
      </c>
      <c r="B1546" s="18" t="n"/>
      <c r="C1546" s="18" t="n"/>
      <c r="D1546" s="18" t="n"/>
      <c r="E1546" s="18" t="n"/>
      <c r="F1546" s="19">
        <f>SUM(F1542:F1545)</f>
        <v/>
      </c>
    </row>
    <row r="1547">
      <c r="A1547" s="20" t="inlineStr">
        <is>
          <t>SAY (Rs.) — final DAR rate</t>
        </is>
      </c>
      <c r="B1547" s="21" t="n"/>
      <c r="C1547" s="21" t="n"/>
      <c r="D1547" s="21" t="n"/>
      <c r="E1547" s="21" t="n"/>
      <c r="F1547" s="22" t="n">
        <v>137.35</v>
      </c>
    </row>
    <row r="1549" ht="18" customHeight="1">
      <c r="A1549" s="9" t="inlineStr">
        <is>
          <t>11.49.1</t>
        </is>
      </c>
      <c r="B1549" s="10" t="inlineStr">
        <is>
          <t>Size of Tile 500x500 mm</t>
        </is>
      </c>
      <c r="C1549" s="11" t="n"/>
      <c r="D1549" s="11" t="n"/>
      <c r="E1549" s="11" t="n"/>
      <c r="F1549" s="11" t="n"/>
    </row>
    <row r="1550">
      <c r="A1550" s="12" t="inlineStr">
        <is>
          <t>Rate basis: per sqm  (source: cost for 1 sqm)</t>
        </is>
      </c>
    </row>
    <row r="1551">
      <c r="A1551" s="5" t="inlineStr">
        <is>
          <t>Code</t>
        </is>
      </c>
      <c r="B1551" s="5" t="inlineStr">
        <is>
          <t>Description</t>
        </is>
      </c>
      <c r="C1551" s="5" t="inlineStr">
        <is>
          <t>Unit</t>
        </is>
      </c>
      <c r="D1551" s="5" t="inlineStr">
        <is>
          <t>Quantity</t>
        </is>
      </c>
      <c r="E1551" s="5" t="inlineStr">
        <is>
          <t>Rate (Rs.)</t>
        </is>
      </c>
      <c r="F1551" s="5" t="inlineStr">
        <is>
          <t>Amount (Rs.)</t>
        </is>
      </c>
    </row>
    <row r="1552">
      <c r="A1552" s="13" t="inlineStr">
        <is>
          <t>8620</t>
        </is>
      </c>
      <c r="B1552" s="14" t="inlineStr">
        <is>
          <t>Vitrified floor tile 50x50 cm</t>
        </is>
      </c>
      <c r="C1552" s="13" t="inlineStr">
        <is>
          <t>sqm</t>
        </is>
      </c>
      <c r="D1552" s="15" t="n">
        <v>1.025</v>
      </c>
      <c r="E1552" s="16" t="n">
        <v>490</v>
      </c>
      <c r="F1552" s="16">
        <f>D1552*E1552</f>
        <v/>
      </c>
    </row>
    <row r="1553">
      <c r="A1553" s="13" t="inlineStr">
        <is>
          <t>9977</t>
        </is>
      </c>
      <c r="B1553" s="14" t="inlineStr">
        <is>
          <t>Carriage of tiles</t>
        </is>
      </c>
      <c r="C1553" s="13" t="inlineStr">
        <is>
          <t>L.S.</t>
        </is>
      </c>
      <c r="D1553" s="15" t="n">
        <v>6.24</v>
      </c>
      <c r="E1553" s="16" t="n">
        <v>2</v>
      </c>
      <c r="F1553" s="16">
        <f>D1553*E1553</f>
        <v/>
      </c>
    </row>
    <row r="1554">
      <c r="A1554" s="13" t="inlineStr">
        <is>
          <t>8731</t>
        </is>
      </c>
      <c r="B1554" s="14" t="inlineStr">
        <is>
          <t>High polymer modified quickset tile adhesive. per</t>
        </is>
      </c>
      <c r="C1554" s="13" t="inlineStr">
        <is>
          <t>kg</t>
        </is>
      </c>
      <c r="D1554" s="15" t="n">
        <v>10</v>
      </c>
      <c r="E1554" s="16" t="n">
        <v>9</v>
      </c>
      <c r="F1554" s="16">
        <f>D1554*E1554</f>
        <v/>
      </c>
    </row>
    <row r="1555">
      <c r="A1555" s="13" t="inlineStr">
        <is>
          <t>0123</t>
        </is>
      </c>
      <c r="B1555" s="14" t="inlineStr">
        <is>
          <t>Mason (brick layer) 1st class</t>
        </is>
      </c>
      <c r="C1555" s="13" t="inlineStr">
        <is>
          <t>day</t>
        </is>
      </c>
      <c r="D1555" s="15" t="n">
        <v>0.2</v>
      </c>
      <c r="E1555" s="16" t="n">
        <v>738</v>
      </c>
      <c r="F1555" s="16">
        <f>D1555*E1555</f>
        <v/>
      </c>
    </row>
    <row r="1556">
      <c r="A1556" s="13" t="inlineStr">
        <is>
          <t>0115</t>
        </is>
      </c>
      <c r="B1556" s="14" t="inlineStr">
        <is>
          <t>Coolie</t>
        </is>
      </c>
      <c r="C1556" s="13" t="inlineStr">
        <is>
          <t>day</t>
        </is>
      </c>
      <c r="D1556" s="15" t="n">
        <v>0.4</v>
      </c>
      <c r="E1556" s="16" t="n">
        <v>558</v>
      </c>
      <c r="F1556" s="16">
        <f>D1556*E1556</f>
        <v/>
      </c>
    </row>
    <row r="1557">
      <c r="A1557" s="13" t="inlineStr">
        <is>
          <t>9988</t>
        </is>
      </c>
      <c r="B1557" s="14" t="inlineStr">
        <is>
          <t>Sundries including carriage of quick set polymer etc.</t>
        </is>
      </c>
      <c r="C1557" s="13" t="inlineStr">
        <is>
          <t>L.S.</t>
        </is>
      </c>
      <c r="D1557" s="15" t="n">
        <v>26.91</v>
      </c>
      <c r="E1557" s="16" t="n">
        <v>2</v>
      </c>
      <c r="F1557" s="16">
        <f>D1557*E1557</f>
        <v/>
      </c>
    </row>
    <row r="1558">
      <c r="A1558" s="17" t="inlineStr">
        <is>
          <t>Resource Total (Material + Labour + Machinery, as printed)</t>
        </is>
      </c>
      <c r="B1558" s="18" t="n"/>
      <c r="C1558" s="18" t="n"/>
      <c r="D1558" s="18" t="n"/>
      <c r="E1558" s="18" t="n"/>
      <c r="F1558" s="19">
        <f>SUM(F1552:F1557)</f>
        <v/>
      </c>
    </row>
    <row r="1559">
      <c r="A1559" s="20" t="inlineStr">
        <is>
          <t>SAY (Rs.) — final DAR rate</t>
        </is>
      </c>
      <c r="B1559" s="21" t="n"/>
      <c r="C1559" s="21" t="n"/>
      <c r="D1559" s="21" t="n"/>
      <c r="E1559" s="21" t="n"/>
      <c r="F1559" s="22" t="n">
        <v>1377.2</v>
      </c>
    </row>
    <row r="1561" ht="18" customHeight="1">
      <c r="A1561" s="9" t="inlineStr">
        <is>
          <t>11.49.2</t>
        </is>
      </c>
      <c r="B1561" s="10" t="inlineStr">
        <is>
          <t>Size of Tile 600x600 mm</t>
        </is>
      </c>
      <c r="C1561" s="11" t="n"/>
      <c r="D1561" s="11" t="n"/>
      <c r="E1561" s="11" t="n"/>
      <c r="F1561" s="11" t="n"/>
    </row>
    <row r="1562">
      <c r="A1562" s="12" t="inlineStr">
        <is>
          <t>Rate basis: per sqm  (source: cost for 1 sqm)</t>
        </is>
      </c>
    </row>
    <row r="1563">
      <c r="A1563" s="5" t="inlineStr">
        <is>
          <t>Code</t>
        </is>
      </c>
      <c r="B1563" s="5" t="inlineStr">
        <is>
          <t>Description</t>
        </is>
      </c>
      <c r="C1563" s="5" t="inlineStr">
        <is>
          <t>Unit</t>
        </is>
      </c>
      <c r="D1563" s="5" t="inlineStr">
        <is>
          <t>Quantity</t>
        </is>
      </c>
      <c r="E1563" s="5" t="inlineStr">
        <is>
          <t>Rate (Rs.)</t>
        </is>
      </c>
      <c r="F1563" s="5" t="inlineStr">
        <is>
          <t>Amount (Rs.)</t>
        </is>
      </c>
    </row>
    <row r="1564">
      <c r="A1564" s="13" t="inlineStr">
        <is>
          <t>8621</t>
        </is>
      </c>
      <c r="B1564" s="14" t="inlineStr">
        <is>
          <t>Vitrified floor tile 60x60 cm</t>
        </is>
      </c>
      <c r="C1564" s="13" t="inlineStr">
        <is>
          <t>sqm</t>
        </is>
      </c>
      <c r="D1564" s="15" t="n">
        <v>1.025</v>
      </c>
      <c r="E1564" s="16" t="n">
        <v>659.72</v>
      </c>
      <c r="F1564" s="16">
        <f>D1564*E1564</f>
        <v/>
      </c>
    </row>
    <row r="1565">
      <c r="A1565" s="13" t="inlineStr">
        <is>
          <t>9977</t>
        </is>
      </c>
      <c r="B1565" s="14" t="inlineStr">
        <is>
          <t>Carriage of tiles</t>
        </is>
      </c>
      <c r="C1565" s="13" t="inlineStr">
        <is>
          <t>L.S.</t>
        </is>
      </c>
      <c r="D1565" s="15" t="n">
        <v>6.24</v>
      </c>
      <c r="E1565" s="16" t="n">
        <v>2</v>
      </c>
      <c r="F1565" s="16">
        <f>D1565*E1565</f>
        <v/>
      </c>
    </row>
    <row r="1566">
      <c r="A1566" s="13" t="inlineStr">
        <is>
          <t>8731</t>
        </is>
      </c>
      <c r="B1566" s="14" t="inlineStr">
        <is>
          <t>High polymer modified quickset tile adhesive. per</t>
        </is>
      </c>
      <c r="C1566" s="13" t="inlineStr">
        <is>
          <t>kg</t>
        </is>
      </c>
      <c r="D1566" s="15" t="n">
        <v>10</v>
      </c>
      <c r="E1566" s="16" t="n">
        <v>9</v>
      </c>
      <c r="F1566" s="16">
        <f>D1566*E1566</f>
        <v/>
      </c>
    </row>
    <row r="1567">
      <c r="A1567" s="13" t="inlineStr">
        <is>
          <t>0123</t>
        </is>
      </c>
      <c r="B1567" s="14" t="inlineStr">
        <is>
          <t>Mason (brick layer) 1st class</t>
        </is>
      </c>
      <c r="C1567" s="13" t="inlineStr">
        <is>
          <t>day</t>
        </is>
      </c>
      <c r="D1567" s="15" t="n">
        <v>0.2</v>
      </c>
      <c r="E1567" s="16" t="n">
        <v>738</v>
      </c>
      <c r="F1567" s="16">
        <f>D1567*E1567</f>
        <v/>
      </c>
    </row>
    <row r="1568">
      <c r="A1568" s="13" t="inlineStr">
        <is>
          <t>0115</t>
        </is>
      </c>
      <c r="B1568" s="14" t="inlineStr">
        <is>
          <t>Coolie</t>
        </is>
      </c>
      <c r="C1568" s="13" t="inlineStr">
        <is>
          <t>day</t>
        </is>
      </c>
      <c r="D1568" s="15" t="n">
        <v>0.4</v>
      </c>
      <c r="E1568" s="16" t="n">
        <v>558</v>
      </c>
      <c r="F1568" s="16">
        <f>D1568*E1568</f>
        <v/>
      </c>
    </row>
    <row r="1569">
      <c r="A1569" s="13" t="inlineStr">
        <is>
          <t>9988</t>
        </is>
      </c>
      <c r="B1569" s="14" t="inlineStr">
        <is>
          <t>Sundries including carriage of quick set polymer etc.</t>
        </is>
      </c>
      <c r="C1569" s="13" t="inlineStr">
        <is>
          <t>L.S.</t>
        </is>
      </c>
      <c r="D1569" s="15" t="n">
        <v>26.91</v>
      </c>
      <c r="E1569" s="16" t="n">
        <v>2</v>
      </c>
      <c r="F1569" s="16">
        <f>D1569*E1569</f>
        <v/>
      </c>
    </row>
    <row r="1570">
      <c r="A1570" s="17" t="inlineStr">
        <is>
          <t>Resource Total (Material + Labour + Machinery, as printed)</t>
        </is>
      </c>
      <c r="B1570" s="18" t="n"/>
      <c r="C1570" s="18" t="n"/>
      <c r="D1570" s="18" t="n"/>
      <c r="E1570" s="18" t="n"/>
      <c r="F1570" s="19">
        <f>SUM(F1564:F1569)</f>
        <v/>
      </c>
    </row>
    <row r="1571">
      <c r="A1571" s="20" t="inlineStr">
        <is>
          <t>SAY (Rs.) — final DAR rate</t>
        </is>
      </c>
      <c r="B1571" s="21" t="n"/>
      <c r="C1571" s="21" t="n"/>
      <c r="D1571" s="21" t="n"/>
      <c r="E1571" s="21" t="n"/>
      <c r="F1571" s="22" t="n">
        <v>1609.95</v>
      </c>
    </row>
    <row r="1573" ht="18" customHeight="1">
      <c r="A1573" s="9" t="inlineStr">
        <is>
          <t>11.49.3</t>
        </is>
      </c>
      <c r="B1573" s="10" t="inlineStr">
        <is>
          <t>Size of Tile 800x800 mm</t>
        </is>
      </c>
      <c r="C1573" s="11" t="n"/>
      <c r="D1573" s="11" t="n"/>
      <c r="E1573" s="11" t="n"/>
      <c r="F1573" s="11" t="n"/>
    </row>
    <row r="1574">
      <c r="A1574" s="12" t="inlineStr">
        <is>
          <t>Rate basis: per sqm  (source: cost for 1 sqm)</t>
        </is>
      </c>
    </row>
    <row r="1575">
      <c r="A1575" s="5" t="inlineStr">
        <is>
          <t>Code</t>
        </is>
      </c>
      <c r="B1575" s="5" t="inlineStr">
        <is>
          <t>Description</t>
        </is>
      </c>
      <c r="C1575" s="5" t="inlineStr">
        <is>
          <t>Unit</t>
        </is>
      </c>
      <c r="D1575" s="5" t="inlineStr">
        <is>
          <t>Quantity</t>
        </is>
      </c>
      <c r="E1575" s="5" t="inlineStr">
        <is>
          <t>Rate (Rs.)</t>
        </is>
      </c>
      <c r="F1575" s="5" t="inlineStr">
        <is>
          <t>Amount (Rs.)</t>
        </is>
      </c>
    </row>
    <row r="1576">
      <c r="A1576" s="13" t="inlineStr">
        <is>
          <t>8622</t>
        </is>
      </c>
      <c r="B1576" s="14" t="inlineStr">
        <is>
          <t>Vitrified floor tile 80x80 cm</t>
        </is>
      </c>
      <c r="C1576" s="13" t="inlineStr">
        <is>
          <t>sqm</t>
        </is>
      </c>
      <c r="D1576" s="15" t="n">
        <v>1.025</v>
      </c>
      <c r="E1576" s="16" t="n">
        <v>850</v>
      </c>
      <c r="F1576" s="16">
        <f>D1576*E1576</f>
        <v/>
      </c>
    </row>
    <row r="1577">
      <c r="A1577" s="13" t="inlineStr">
        <is>
          <t>9977</t>
        </is>
      </c>
      <c r="B1577" s="14" t="inlineStr">
        <is>
          <t>Carriage of tiles</t>
        </is>
      </c>
      <c r="C1577" s="13" t="inlineStr">
        <is>
          <t>L.S.</t>
        </is>
      </c>
      <c r="D1577" s="15" t="n">
        <v>6.24</v>
      </c>
      <c r="E1577" s="16" t="n">
        <v>2</v>
      </c>
      <c r="F1577" s="16">
        <f>D1577*E1577</f>
        <v/>
      </c>
    </row>
    <row r="1578">
      <c r="A1578" s="13" t="inlineStr">
        <is>
          <t>8731</t>
        </is>
      </c>
      <c r="B1578" s="14" t="inlineStr">
        <is>
          <t>High polymer modified quickset tile adhesive. per</t>
        </is>
      </c>
      <c r="C1578" s="13" t="inlineStr">
        <is>
          <t>kg</t>
        </is>
      </c>
      <c r="D1578" s="15" t="n">
        <v>10</v>
      </c>
      <c r="E1578" s="16" t="n">
        <v>9</v>
      </c>
      <c r="F1578" s="16">
        <f>D1578*E1578</f>
        <v/>
      </c>
    </row>
    <row r="1579">
      <c r="A1579" s="13" t="inlineStr">
        <is>
          <t>0123</t>
        </is>
      </c>
      <c r="B1579" s="14" t="inlineStr">
        <is>
          <t>Mason (brick layer) 1st class</t>
        </is>
      </c>
      <c r="C1579" s="13" t="inlineStr">
        <is>
          <t>day</t>
        </is>
      </c>
      <c r="D1579" s="15" t="n">
        <v>0.2</v>
      </c>
      <c r="E1579" s="16" t="n">
        <v>738</v>
      </c>
      <c r="F1579" s="16">
        <f>D1579*E1579</f>
        <v/>
      </c>
    </row>
    <row r="1580">
      <c r="A1580" s="13" t="inlineStr">
        <is>
          <t>0115</t>
        </is>
      </c>
      <c r="B1580" s="14" t="inlineStr">
        <is>
          <t>Coolie</t>
        </is>
      </c>
      <c r="C1580" s="13" t="inlineStr">
        <is>
          <t>day</t>
        </is>
      </c>
      <c r="D1580" s="15" t="n">
        <v>0.4</v>
      </c>
      <c r="E1580" s="16" t="n">
        <v>558</v>
      </c>
      <c r="F1580" s="16">
        <f>D1580*E1580</f>
        <v/>
      </c>
    </row>
    <row r="1581">
      <c r="A1581" s="13" t="inlineStr">
        <is>
          <t>9988</t>
        </is>
      </c>
      <c r="B1581" s="14" t="inlineStr">
        <is>
          <t>Sundries including carriage of quick set polymer etc.</t>
        </is>
      </c>
      <c r="C1581" s="13" t="inlineStr">
        <is>
          <t>L.S.</t>
        </is>
      </c>
      <c r="D1581" s="15" t="n">
        <v>26.91</v>
      </c>
      <c r="E1581" s="16" t="n">
        <v>2</v>
      </c>
      <c r="F1581" s="16">
        <f>D1581*E1581</f>
        <v/>
      </c>
    </row>
    <row r="1582">
      <c r="A1582" s="17" t="inlineStr">
        <is>
          <t>Resource Total (Material + Labour + Machinery, as printed)</t>
        </is>
      </c>
      <c r="B1582" s="18" t="n"/>
      <c r="C1582" s="18" t="n"/>
      <c r="D1582" s="18" t="n"/>
      <c r="E1582" s="18" t="n"/>
      <c r="F1582" s="19">
        <f>SUM(F1576:F1581)</f>
        <v/>
      </c>
    </row>
    <row r="1583">
      <c r="A1583" s="20" t="inlineStr">
        <is>
          <t>SAY (Rs.) — final DAR rate</t>
        </is>
      </c>
      <c r="B1583" s="21" t="n"/>
      <c r="C1583" s="21" t="n"/>
      <c r="D1583" s="21" t="n"/>
      <c r="E1583" s="21" t="n"/>
      <c r="F1583" s="22" t="n">
        <v>1870.9</v>
      </c>
    </row>
    <row r="1585" ht="18" customHeight="1">
      <c r="A1585" s="9" t="inlineStr">
        <is>
          <t>11.49.4</t>
        </is>
      </c>
      <c r="B1585" s="10" t="inlineStr">
        <is>
          <t>Size of Tile 1000x1000 mm</t>
        </is>
      </c>
      <c r="C1585" s="11" t="n"/>
      <c r="D1585" s="11" t="n"/>
      <c r="E1585" s="11" t="n"/>
      <c r="F1585" s="11" t="n"/>
    </row>
    <row r="1586">
      <c r="A1586" s="12" t="inlineStr">
        <is>
          <t>Rate basis: per sqm  (source: cost for 1 sqm)</t>
        </is>
      </c>
    </row>
    <row r="1587">
      <c r="A1587" s="5" t="inlineStr">
        <is>
          <t>Code</t>
        </is>
      </c>
      <c r="B1587" s="5" t="inlineStr">
        <is>
          <t>Description</t>
        </is>
      </c>
      <c r="C1587" s="5" t="inlineStr">
        <is>
          <t>Unit</t>
        </is>
      </c>
      <c r="D1587" s="5" t="inlineStr">
        <is>
          <t>Quantity</t>
        </is>
      </c>
      <c r="E1587" s="5" t="inlineStr">
        <is>
          <t>Rate (Rs.)</t>
        </is>
      </c>
      <c r="F1587" s="5" t="inlineStr">
        <is>
          <t>Amount (Rs.)</t>
        </is>
      </c>
    </row>
    <row r="1588">
      <c r="A1588" s="13" t="inlineStr">
        <is>
          <t>8623</t>
        </is>
      </c>
      <c r="B1588" s="14" t="inlineStr">
        <is>
          <t>Vitrified floor tile 100x100 cm</t>
        </is>
      </c>
      <c r="C1588" s="13" t="inlineStr">
        <is>
          <t>sqm</t>
        </is>
      </c>
      <c r="D1588" s="15" t="n">
        <v>1.025</v>
      </c>
      <c r="E1588" s="16" t="n">
        <v>1390</v>
      </c>
      <c r="F1588" s="16">
        <f>D1588*E1588</f>
        <v/>
      </c>
    </row>
    <row r="1589">
      <c r="A1589" s="13" t="inlineStr">
        <is>
          <t>9977</t>
        </is>
      </c>
      <c r="B1589" s="14" t="inlineStr">
        <is>
          <t>Carriage of tiles</t>
        </is>
      </c>
      <c r="C1589" s="13" t="inlineStr">
        <is>
          <t>L.S.</t>
        </is>
      </c>
      <c r="D1589" s="15" t="n">
        <v>6.24</v>
      </c>
      <c r="E1589" s="16" t="n">
        <v>2</v>
      </c>
      <c r="F1589" s="16">
        <f>D1589*E1589</f>
        <v/>
      </c>
    </row>
    <row r="1590">
      <c r="A1590" s="13" t="inlineStr">
        <is>
          <t>8731</t>
        </is>
      </c>
      <c r="B1590" s="14" t="inlineStr">
        <is>
          <t>High polymer modified quickset tile adhesive. per</t>
        </is>
      </c>
      <c r="C1590" s="13" t="inlineStr">
        <is>
          <t>kg</t>
        </is>
      </c>
      <c r="D1590" s="15" t="n">
        <v>10</v>
      </c>
      <c r="E1590" s="16" t="n">
        <v>9</v>
      </c>
      <c r="F1590" s="16">
        <f>D1590*E1590</f>
        <v/>
      </c>
    </row>
    <row r="1591">
      <c r="A1591" s="13" t="inlineStr">
        <is>
          <t>0123</t>
        </is>
      </c>
      <c r="B1591" s="14" t="inlineStr">
        <is>
          <t>Mason (brick layer) 1st class</t>
        </is>
      </c>
      <c r="C1591" s="13" t="inlineStr">
        <is>
          <t>day</t>
        </is>
      </c>
      <c r="D1591" s="15" t="n">
        <v>0.2</v>
      </c>
      <c r="E1591" s="16" t="n">
        <v>738</v>
      </c>
      <c r="F1591" s="16">
        <f>D1591*E1591</f>
        <v/>
      </c>
    </row>
    <row r="1592">
      <c r="A1592" s="13" t="inlineStr">
        <is>
          <t>0115</t>
        </is>
      </c>
      <c r="B1592" s="14" t="inlineStr">
        <is>
          <t>Coolie</t>
        </is>
      </c>
      <c r="C1592" s="13" t="inlineStr">
        <is>
          <t>day</t>
        </is>
      </c>
      <c r="D1592" s="15" t="n">
        <v>0.4</v>
      </c>
      <c r="E1592" s="16" t="n">
        <v>558</v>
      </c>
      <c r="F1592" s="16">
        <f>D1592*E1592</f>
        <v/>
      </c>
    </row>
    <row r="1593">
      <c r="A1593" s="13" t="inlineStr">
        <is>
          <t>9988</t>
        </is>
      </c>
      <c r="B1593" s="14" t="inlineStr">
        <is>
          <t>Sundries including carriage of quick set polymer etc.</t>
        </is>
      </c>
      <c r="C1593" s="13" t="inlineStr">
        <is>
          <t>L.S.</t>
        </is>
      </c>
      <c r="D1593" s="15" t="n">
        <v>26.91</v>
      </c>
      <c r="E1593" s="16" t="n">
        <v>2</v>
      </c>
      <c r="F1593" s="16">
        <f>D1593*E1593</f>
        <v/>
      </c>
    </row>
    <row r="1594">
      <c r="A1594" s="17" t="inlineStr">
        <is>
          <t>Resource Total (Material + Labour + Machinery, as printed)</t>
        </is>
      </c>
      <c r="B1594" s="18" t="n"/>
      <c r="C1594" s="18" t="n"/>
      <c r="D1594" s="18" t="n"/>
      <c r="E1594" s="18" t="n"/>
      <c r="F1594" s="19">
        <f>SUM(F1588:F1593)</f>
        <v/>
      </c>
    </row>
    <row r="1595">
      <c r="A1595" s="20" t="inlineStr">
        <is>
          <t>SAY (Rs.) — final DAR rate</t>
        </is>
      </c>
      <c r="B1595" s="21" t="n"/>
      <c r="C1595" s="21" t="n"/>
      <c r="D1595" s="21" t="n"/>
      <c r="E1595" s="21" t="n"/>
      <c r="F1595" s="22" t="n">
        <v>2611.45</v>
      </c>
    </row>
    <row r="1597" ht="28" customHeight="1">
      <c r="A1597" s="9" t="inlineStr">
        <is>
          <t>11.50</t>
        </is>
      </c>
      <c r="B1597" s="10" t="inlineStr">
        <is>
          <t>Deduct for not grouting the joints with white cement and matching pigment in the items of fixing of vitrified tiles.</t>
        </is>
      </c>
      <c r="C1597" s="11" t="n"/>
      <c r="D1597" s="11" t="n"/>
      <c r="E1597" s="11" t="n"/>
      <c r="F1597" s="11" t="n"/>
    </row>
    <row r="1598">
      <c r="A1598" s="12" t="inlineStr">
        <is>
          <t>Rate basis: per sqm  (source: cost for 1 sqm)</t>
        </is>
      </c>
    </row>
    <row r="1599">
      <c r="A1599" s="5" t="inlineStr">
        <is>
          <t>Code</t>
        </is>
      </c>
      <c r="B1599" s="5" t="inlineStr">
        <is>
          <t>Description</t>
        </is>
      </c>
      <c r="C1599" s="5" t="inlineStr">
        <is>
          <t>Unit</t>
        </is>
      </c>
      <c r="D1599" s="5" t="inlineStr">
        <is>
          <t>Quantity</t>
        </is>
      </c>
      <c r="E1599" s="5" t="inlineStr">
        <is>
          <t>Rate (Rs.)</t>
        </is>
      </c>
      <c r="F1599" s="5" t="inlineStr">
        <is>
          <t>Amount (Rs.)</t>
        </is>
      </c>
    </row>
    <row r="1600">
      <c r="A1600" s="13" t="inlineStr">
        <is>
          <t>9999</t>
        </is>
      </c>
      <c r="B1600" s="14" t="inlineStr">
        <is>
          <t>Mortar for pointing in white cement with matching pigment</t>
        </is>
      </c>
      <c r="C1600" s="13" t="inlineStr">
        <is>
          <t>L.S.</t>
        </is>
      </c>
      <c r="D1600" s="15" t="n">
        <v>3.12</v>
      </c>
      <c r="E1600" s="16" t="n">
        <v>2</v>
      </c>
      <c r="F1600" s="16">
        <f>D1600*E1600</f>
        <v/>
      </c>
    </row>
    <row r="1601">
      <c r="A1601" s="13" t="inlineStr">
        <is>
          <t>9999</t>
        </is>
      </c>
      <c r="B1601" s="14" t="inlineStr">
        <is>
          <t>LABOUR</t>
        </is>
      </c>
      <c r="C1601" s="13" t="inlineStr">
        <is>
          <t>L.S.</t>
        </is>
      </c>
      <c r="D1601" s="15" t="n">
        <v>1</v>
      </c>
      <c r="E1601" s="16" t="n">
        <v>2</v>
      </c>
      <c r="F1601" s="16">
        <f>D1601*E1601</f>
        <v/>
      </c>
    </row>
    <row r="1602">
      <c r="A1602" s="17" t="inlineStr">
        <is>
          <t>Resource Total (Material + Labour + Machinery, as printed)</t>
        </is>
      </c>
      <c r="B1602" s="18" t="n"/>
      <c r="C1602" s="18" t="n"/>
      <c r="D1602" s="18" t="n"/>
      <c r="E1602" s="18" t="n"/>
      <c r="F1602" s="19">
        <f>SUM(F1600:F1601)</f>
        <v/>
      </c>
    </row>
    <row r="1603">
      <c r="A1603" s="20" t="inlineStr">
        <is>
          <t>SAY (Rs.) — final DAR rate</t>
        </is>
      </c>
      <c r="B1603" s="21" t="n"/>
      <c r="C1603" s="21" t="n"/>
      <c r="D1603" s="21" t="n"/>
      <c r="E1603" s="21" t="n"/>
      <c r="F1603" s="22" t="n">
        <v>11</v>
      </c>
    </row>
    <row r="1605" ht="28" customHeight="1">
      <c r="A1605" s="9" t="inlineStr">
        <is>
          <t>11.51.1</t>
        </is>
      </c>
      <c r="B1605" s="10" t="inlineStr">
        <is>
          <t>18 mm thick Italian Marble stone slab, Perlato, Rosso verona, Fire Red or Dark Emperadore etc.</t>
        </is>
      </c>
      <c r="C1605" s="11" t="n"/>
      <c r="D1605" s="11" t="n"/>
      <c r="E1605" s="11" t="n"/>
      <c r="F1605" s="11" t="n"/>
    </row>
    <row r="1606">
      <c r="A1606" s="12" t="inlineStr">
        <is>
          <t>Rate basis: per nos  (source: cost for 1 nos)</t>
        </is>
      </c>
    </row>
    <row r="1607">
      <c r="A1607" s="5" t="inlineStr">
        <is>
          <t>Code</t>
        </is>
      </c>
      <c r="B1607" s="5" t="inlineStr">
        <is>
          <t>Description</t>
        </is>
      </c>
      <c r="C1607" s="5" t="inlineStr">
        <is>
          <t>Unit</t>
        </is>
      </c>
      <c r="D1607" s="5" t="inlineStr">
        <is>
          <t>Quantity</t>
        </is>
      </c>
      <c r="E1607" s="5" t="inlineStr">
        <is>
          <t>Rate (Rs.)</t>
        </is>
      </c>
      <c r="F1607" s="5" t="inlineStr">
        <is>
          <t>Amount (Rs.)</t>
        </is>
      </c>
    </row>
    <row r="1608">
      <c r="A1608" s="13" t="inlineStr">
        <is>
          <t>3.9</t>
        </is>
      </c>
      <c r="B1608" s="14" t="inlineStr">
        <is>
          <t>Rate as per SH: 3.9</t>
        </is>
      </c>
      <c r="C1608" s="13" t="inlineStr">
        <is>
          <t>cum</t>
        </is>
      </c>
      <c r="D1608" s="15" t="n">
        <v>0.224</v>
      </c>
      <c r="E1608" s="16" t="n">
        <v>4010.35</v>
      </c>
      <c r="F1608" s="16">
        <f>D1608*E1608</f>
        <v/>
      </c>
    </row>
    <row r="1609">
      <c r="A1609" s="13" t="inlineStr">
        <is>
          <t>1240</t>
        </is>
      </c>
      <c r="B1609" s="14" t="inlineStr">
        <is>
          <t>18 mm thick Italian Marble stone slab, Base mortar1:4 (1 cement : 4 coarse sand)</t>
        </is>
      </c>
      <c r="C1609" s="13" t="inlineStr">
        <is>
          <t>sqm</t>
        </is>
      </c>
      <c r="D1609" s="15" t="n">
        <v>11.5</v>
      </c>
      <c r="E1609" s="16" t="n">
        <v>3209</v>
      </c>
      <c r="F1609" s="16">
        <f>D1609*E1609</f>
        <v/>
      </c>
    </row>
    <row r="1610">
      <c r="A1610" s="13" t="inlineStr">
        <is>
          <t>0368</t>
        </is>
      </c>
      <c r="B1610" s="14" t="inlineStr">
        <is>
          <t>White Cement</t>
        </is>
      </c>
      <c r="C1610" s="13" t="inlineStr">
        <is>
          <t>tonne</t>
        </is>
      </c>
      <c r="D1610" s="15" t="n">
        <v>0.05</v>
      </c>
      <c r="E1610" s="16" t="n">
        <v>11200</v>
      </c>
      <c r="F1610" s="16">
        <f>D1610*E1610</f>
        <v/>
      </c>
    </row>
    <row r="1611">
      <c r="A1611" s="13" t="inlineStr">
        <is>
          <t>2209</t>
        </is>
      </c>
      <c r="B1611" s="14" t="inlineStr">
        <is>
          <t>Carriage of white Cement</t>
        </is>
      </c>
      <c r="C1611" s="13" t="inlineStr">
        <is>
          <t>tonne</t>
        </is>
      </c>
      <c r="D1611" s="15" t="n">
        <v>0.05</v>
      </c>
      <c r="E1611" s="16" t="n">
        <v>92.23999999999999</v>
      </c>
      <c r="F1611" s="16">
        <f>D1611*E1611</f>
        <v/>
      </c>
    </row>
    <row r="1612">
      <c r="A1612" s="13" t="inlineStr">
        <is>
          <t>9999</t>
        </is>
      </c>
      <c r="B1612" s="14" t="inlineStr">
        <is>
          <t>carriage of marble slab</t>
        </is>
      </c>
      <c r="C1612" s="13" t="inlineStr">
        <is>
          <t>L.S.</t>
        </is>
      </c>
      <c r="D1612" s="15" t="n">
        <v>26.91</v>
      </c>
      <c r="E1612" s="16" t="n">
        <v>2</v>
      </c>
      <c r="F1612" s="16">
        <f>D1612*E1612</f>
        <v/>
      </c>
    </row>
    <row r="1613">
      <c r="A1613" s="13" t="inlineStr">
        <is>
          <t>0123</t>
        </is>
      </c>
      <c r="B1613" s="14" t="inlineStr">
        <is>
          <t>Mason (brick layer) 1st class</t>
        </is>
      </c>
      <c r="C1613" s="13" t="inlineStr">
        <is>
          <t>day</t>
        </is>
      </c>
      <c r="D1613" s="15" t="n">
        <v>1.2</v>
      </c>
      <c r="E1613" s="16" t="n">
        <v>738</v>
      </c>
      <c r="F1613" s="16">
        <f>D1613*E1613</f>
        <v/>
      </c>
    </row>
    <row r="1614">
      <c r="A1614" s="13" t="inlineStr">
        <is>
          <t>0114</t>
        </is>
      </c>
      <c r="B1614" s="14" t="inlineStr">
        <is>
          <t>Beldar</t>
        </is>
      </c>
      <c r="C1614" s="13" t="inlineStr">
        <is>
          <t>day</t>
        </is>
      </c>
      <c r="D1614" s="15" t="n">
        <v>1</v>
      </c>
      <c r="E1614" s="16" t="n">
        <v>558</v>
      </c>
      <c r="F1614" s="16">
        <f>D1614*E1614</f>
        <v/>
      </c>
    </row>
    <row r="1615">
      <c r="A1615" s="13" t="inlineStr">
        <is>
          <t>0115</t>
        </is>
      </c>
      <c r="B1615" s="14" t="inlineStr">
        <is>
          <t>Coolie</t>
        </is>
      </c>
      <c r="C1615" s="13" t="inlineStr">
        <is>
          <t>day</t>
        </is>
      </c>
      <c r="D1615" s="15" t="n">
        <v>1</v>
      </c>
      <c r="E1615" s="16" t="n">
        <v>558</v>
      </c>
      <c r="F1615" s="16">
        <f>D1615*E1615</f>
        <v/>
      </c>
    </row>
    <row r="1616">
      <c r="A1616" s="13" t="inlineStr">
        <is>
          <t>0139</t>
        </is>
      </c>
      <c r="B1616" s="14" t="inlineStr">
        <is>
          <t>Skilled Beldar (for floor rubbing etc.)</t>
        </is>
      </c>
      <c r="C1616" s="13" t="inlineStr">
        <is>
          <t>day</t>
        </is>
      </c>
      <c r="D1616" s="15" t="n">
        <v>5</v>
      </c>
      <c r="E1616" s="16" t="n">
        <v>617</v>
      </c>
      <c r="F1616" s="16">
        <f>D1616*E1616</f>
        <v/>
      </c>
    </row>
    <row r="1617">
      <c r="A1617" s="13" t="inlineStr">
        <is>
          <t>0013</t>
        </is>
      </c>
      <c r="B1617" s="14" t="inlineStr">
        <is>
          <t>Machine for rubbing of floors</t>
        </is>
      </c>
      <c r="C1617" s="13" t="inlineStr">
        <is>
          <t>day</t>
        </is>
      </c>
      <c r="D1617" s="15" t="n">
        <v>4</v>
      </c>
      <c r="E1617" s="16" t="n">
        <v>300</v>
      </c>
      <c r="F1617" s="16">
        <f>D1617*E1617</f>
        <v/>
      </c>
    </row>
    <row r="1618">
      <c r="A1618" s="13" t="inlineStr">
        <is>
          <t>9999</t>
        </is>
      </c>
      <c r="B1618" s="14" t="inlineStr">
        <is>
          <t>Mortar for pointing in white cement</t>
        </is>
      </c>
      <c r="C1618" s="13" t="inlineStr">
        <is>
          <t>L.S.</t>
        </is>
      </c>
      <c r="D1618" s="15" t="n">
        <v>25.74</v>
      </c>
      <c r="E1618" s="16" t="n">
        <v>2</v>
      </c>
      <c r="F1618" s="16">
        <f>D1618*E1618</f>
        <v/>
      </c>
    </row>
    <row r="1619">
      <c r="A1619" s="17" t="inlineStr">
        <is>
          <t>Resource Total (Material + Labour + Machinery, as printed)</t>
        </is>
      </c>
      <c r="B1619" s="18" t="n"/>
      <c r="C1619" s="18" t="n"/>
      <c r="D1619" s="18" t="n"/>
      <c r="E1619" s="18" t="n"/>
      <c r="F1619" s="19">
        <f>SUM(F1608:F1618)</f>
        <v/>
      </c>
    </row>
    <row r="1620">
      <c r="A1620" s="20" t="inlineStr">
        <is>
          <t>SAY (Rs.) — final DAR rate</t>
        </is>
      </c>
      <c r="B1620" s="21" t="n"/>
      <c r="C1620" s="21" t="n"/>
      <c r="D1620" s="21" t="n"/>
      <c r="E1620" s="21" t="n"/>
      <c r="F1620" s="22" t="n">
        <v>5986.2</v>
      </c>
    </row>
    <row r="1622" ht="28" customHeight="1">
      <c r="A1622" s="9" t="inlineStr">
        <is>
          <t>11.52.1</t>
        </is>
      </c>
      <c r="B1622" s="10" t="inlineStr">
        <is>
          <t>18 mm thick Italian Marble stone slab, Perlato, Rosso verona, Fire Red or Dark Emperadore etc.</t>
        </is>
      </c>
      <c r="C1622" s="11" t="n"/>
      <c r="D1622" s="11" t="n"/>
      <c r="E1622" s="11" t="n"/>
      <c r="F1622" s="11" t="n"/>
    </row>
    <row r="1623">
      <c r="A1623" s="12" t="inlineStr">
        <is>
          <t>Rate basis: per nos  (source: cost for 1 nos)</t>
        </is>
      </c>
    </row>
    <row r="1624">
      <c r="A1624" s="5" t="inlineStr">
        <is>
          <t>Code</t>
        </is>
      </c>
      <c r="B1624" s="5" t="inlineStr">
        <is>
          <t>Description</t>
        </is>
      </c>
      <c r="C1624" s="5" t="inlineStr">
        <is>
          <t>Unit</t>
        </is>
      </c>
      <c r="D1624" s="5" t="inlineStr">
        <is>
          <t>Quantity</t>
        </is>
      </c>
      <c r="E1624" s="5" t="inlineStr">
        <is>
          <t>Rate (Rs.)</t>
        </is>
      </c>
      <c r="F1624" s="5" t="inlineStr">
        <is>
          <t>Amount (Rs.)</t>
        </is>
      </c>
    </row>
    <row r="1625">
      <c r="A1625" s="13" t="inlineStr">
        <is>
          <t>3.9</t>
        </is>
      </c>
      <c r="B1625" s="14" t="inlineStr">
        <is>
          <t>Rate as per SH: 3.9</t>
        </is>
      </c>
      <c r="C1625" s="13" t="inlineStr">
        <is>
          <t>cum</t>
        </is>
      </c>
      <c r="D1625" s="15" t="n">
        <v>0.224</v>
      </c>
      <c r="E1625" s="16" t="n">
        <v>4010.35</v>
      </c>
      <c r="F1625" s="16">
        <f>D1625*E1625</f>
        <v/>
      </c>
    </row>
    <row r="1626">
      <c r="A1626" s="13" t="inlineStr">
        <is>
          <t>1240</t>
        </is>
      </c>
      <c r="B1626" s="14" t="inlineStr">
        <is>
          <t>18 mm thick Italian Marble stone slab, Base mortar1:4 (1 cement :4 coarse sand)</t>
        </is>
      </c>
      <c r="C1626" s="13" t="inlineStr">
        <is>
          <t>sqm</t>
        </is>
      </c>
      <c r="D1626" s="15" t="n">
        <v>12</v>
      </c>
      <c r="E1626" s="16" t="n">
        <v>3209</v>
      </c>
      <c r="F1626" s="16">
        <f>D1626*E1626</f>
        <v/>
      </c>
    </row>
    <row r="1627">
      <c r="A1627" s="13" t="inlineStr">
        <is>
          <t>0368</t>
        </is>
      </c>
      <c r="B1627" s="14" t="inlineStr">
        <is>
          <t>White Cement</t>
        </is>
      </c>
      <c r="C1627" s="13" t="inlineStr">
        <is>
          <t>tonne</t>
        </is>
      </c>
      <c r="D1627" s="15" t="n">
        <v>0.05</v>
      </c>
      <c r="E1627" s="16" t="n">
        <v>11200</v>
      </c>
      <c r="F1627" s="16">
        <f>D1627*E1627</f>
        <v/>
      </c>
    </row>
    <row r="1628">
      <c r="A1628" s="13" t="inlineStr">
        <is>
          <t>2209</t>
        </is>
      </c>
      <c r="B1628" s="14" t="inlineStr">
        <is>
          <t>Carriage of white Cement</t>
        </is>
      </c>
      <c r="C1628" s="13" t="inlineStr">
        <is>
          <t>tonne</t>
        </is>
      </c>
      <c r="D1628" s="15" t="n">
        <v>0.05</v>
      </c>
      <c r="E1628" s="16" t="n">
        <v>92.23999999999999</v>
      </c>
      <c r="F1628" s="16">
        <f>D1628*E1628</f>
        <v/>
      </c>
    </row>
    <row r="1629">
      <c r="A1629" s="13" t="inlineStr">
        <is>
          <t>9999</t>
        </is>
      </c>
      <c r="B1629" s="14" t="inlineStr">
        <is>
          <t>carriage of marble slab</t>
        </is>
      </c>
      <c r="C1629" s="13" t="inlineStr">
        <is>
          <t>L.S.</t>
        </is>
      </c>
      <c r="D1629" s="15" t="n">
        <v>26.91</v>
      </c>
      <c r="E1629" s="16" t="n">
        <v>2</v>
      </c>
      <c r="F1629" s="16">
        <f>D1629*E1629</f>
        <v/>
      </c>
    </row>
    <row r="1630">
      <c r="A1630" s="13" t="inlineStr">
        <is>
          <t>0123</t>
        </is>
      </c>
      <c r="B1630" s="14" t="inlineStr">
        <is>
          <t>Mason (brick layer) 1st class</t>
        </is>
      </c>
      <c r="C1630" s="13" t="inlineStr">
        <is>
          <t>day</t>
        </is>
      </c>
      <c r="D1630" s="15" t="n">
        <v>1.75</v>
      </c>
      <c r="E1630" s="16" t="n">
        <v>738</v>
      </c>
      <c r="F1630" s="16">
        <f>D1630*E1630</f>
        <v/>
      </c>
    </row>
    <row r="1631">
      <c r="A1631" s="13" t="inlineStr">
        <is>
          <t>0114</t>
        </is>
      </c>
      <c r="B1631" s="14" t="inlineStr">
        <is>
          <t>Beldar</t>
        </is>
      </c>
      <c r="C1631" s="13" t="inlineStr">
        <is>
          <t>day</t>
        </is>
      </c>
      <c r="D1631" s="15" t="n">
        <v>1.25</v>
      </c>
      <c r="E1631" s="16" t="n">
        <v>558</v>
      </c>
      <c r="F1631" s="16">
        <f>D1631*E1631</f>
        <v/>
      </c>
    </row>
    <row r="1632">
      <c r="A1632" s="13" t="inlineStr">
        <is>
          <t>0115</t>
        </is>
      </c>
      <c r="B1632" s="14" t="inlineStr">
        <is>
          <t>Coolie</t>
        </is>
      </c>
      <c r="C1632" s="13" t="inlineStr">
        <is>
          <t>day</t>
        </is>
      </c>
      <c r="D1632" s="15" t="n">
        <v>1</v>
      </c>
      <c r="E1632" s="16" t="n">
        <v>558</v>
      </c>
      <c r="F1632" s="16">
        <f>D1632*E1632</f>
        <v/>
      </c>
    </row>
    <row r="1633">
      <c r="A1633" s="13" t="inlineStr">
        <is>
          <t>0139</t>
        </is>
      </c>
      <c r="B1633" s="14" t="inlineStr">
        <is>
          <t>Skilled Beldar (for floor rubbing etc.)</t>
        </is>
      </c>
      <c r="C1633" s="13" t="inlineStr">
        <is>
          <t>day</t>
        </is>
      </c>
      <c r="D1633" s="15" t="n">
        <v>5</v>
      </c>
      <c r="E1633" s="16" t="n">
        <v>617</v>
      </c>
      <c r="F1633" s="16">
        <f>D1633*E1633</f>
        <v/>
      </c>
    </row>
    <row r="1634">
      <c r="A1634" s="13" t="inlineStr">
        <is>
          <t>0013</t>
        </is>
      </c>
      <c r="B1634" s="14" t="inlineStr">
        <is>
          <t>Machine for rubbing of floors</t>
        </is>
      </c>
      <c r="C1634" s="13" t="inlineStr">
        <is>
          <t>day</t>
        </is>
      </c>
      <c r="D1634" s="15" t="n">
        <v>4</v>
      </c>
      <c r="E1634" s="16" t="n">
        <v>300</v>
      </c>
      <c r="F1634" s="16">
        <f>D1634*E1634</f>
        <v/>
      </c>
    </row>
    <row r="1635">
      <c r="A1635" s="13" t="inlineStr">
        <is>
          <t>9999</t>
        </is>
      </c>
      <c r="B1635" s="14" t="inlineStr">
        <is>
          <t>Mortar for pointing in white cement</t>
        </is>
      </c>
      <c r="C1635" s="13" t="inlineStr">
        <is>
          <t>L.S.</t>
        </is>
      </c>
      <c r="D1635" s="15" t="n">
        <v>25.74</v>
      </c>
      <c r="E1635" s="16" t="n">
        <v>2</v>
      </c>
      <c r="F1635" s="16">
        <f>D1635*E1635</f>
        <v/>
      </c>
    </row>
    <row r="1636">
      <c r="A1636" s="17" t="inlineStr">
        <is>
          <t>Resource Total (Material + Labour + Machinery, as printed)</t>
        </is>
      </c>
      <c r="B1636" s="18" t="n"/>
      <c r="C1636" s="18" t="n"/>
      <c r="D1636" s="18" t="n"/>
      <c r="E1636" s="18" t="n"/>
      <c r="F1636" s="19">
        <f>SUM(F1625:F1635)</f>
        <v/>
      </c>
    </row>
    <row r="1637">
      <c r="A1637" s="20" t="inlineStr">
        <is>
          <t>SAY (Rs.) — final DAR rate</t>
        </is>
      </c>
      <c r="B1637" s="21" t="n"/>
      <c r="C1637" s="21" t="n"/>
      <c r="D1637" s="21" t="n"/>
      <c r="E1637" s="21" t="n"/>
      <c r="F1637" s="22" t="n">
        <v>6276.05</v>
      </c>
    </row>
    <row r="1639" ht="28" customHeight="1">
      <c r="A1639" s="9" t="inlineStr">
        <is>
          <t>11.53</t>
        </is>
      </c>
      <c r="B1639" s="10" t="inlineStr">
        <is>
          <t>Providing and fixing Glass mossaic tiles on finished plain wall surface of size 20 mm x 20 mm x 4 mm in all colour, design , fixing in custo</t>
        </is>
      </c>
      <c r="C1639" s="11" t="n"/>
      <c r="D1639" s="11" t="n"/>
      <c r="E1639" s="11" t="n"/>
      <c r="F1639" s="11" t="n"/>
    </row>
    <row r="1640">
      <c r="A1640" s="12" t="inlineStr">
        <is>
          <t>Rate basis: per nos  (source: cost for 1 nos)</t>
        </is>
      </c>
    </row>
    <row r="1641">
      <c r="A1641" s="5" t="inlineStr">
        <is>
          <t>Code</t>
        </is>
      </c>
      <c r="B1641" s="5" t="inlineStr">
        <is>
          <t>Description</t>
        </is>
      </c>
      <c r="C1641" s="5" t="inlineStr">
        <is>
          <t>Unit</t>
        </is>
      </c>
      <c r="D1641" s="5" t="inlineStr">
        <is>
          <t>Quantity</t>
        </is>
      </c>
      <c r="E1641" s="5" t="inlineStr">
        <is>
          <t>Rate (Rs.)</t>
        </is>
      </c>
      <c r="F1641" s="5" t="inlineStr">
        <is>
          <t>Amount (Rs.)</t>
        </is>
      </c>
    </row>
    <row r="1642">
      <c r="A1642" s="13" t="inlineStr">
        <is>
          <t>1242</t>
        </is>
      </c>
      <c r="B1642" s="14" t="inlineStr">
        <is>
          <t>Glass mossaic tiles (20 mm x 20 mm x 4 mm)</t>
        </is>
      </c>
      <c r="C1642" s="13" t="inlineStr">
        <is>
          <t>sqm</t>
        </is>
      </c>
      <c r="D1642" s="15" t="n">
        <v>8.199999999999999</v>
      </c>
      <c r="E1642" s="16" t="n">
        <v>2049</v>
      </c>
      <c r="F1642" s="16">
        <f>D1642*E1642</f>
        <v/>
      </c>
    </row>
    <row r="1643">
      <c r="A1643" s="13" t="inlineStr">
        <is>
          <t>1243</t>
        </is>
      </c>
      <c r="B1643" s="14" t="inlineStr">
        <is>
          <t>Tile fixing chemical adhesive</t>
        </is>
      </c>
      <c r="C1643" s="13" t="inlineStr">
        <is>
          <t>kg</t>
        </is>
      </c>
      <c r="D1643" s="15" t="n">
        <v>20</v>
      </c>
      <c r="E1643" s="16" t="n">
        <v>8.699999999999999</v>
      </c>
      <c r="F1643" s="16">
        <f>D1643*E1643</f>
        <v/>
      </c>
    </row>
    <row r="1644">
      <c r="A1644" s="13" t="inlineStr">
        <is>
          <t>1244</t>
        </is>
      </c>
      <c r="B1644" s="14" t="inlineStr">
        <is>
          <t>Cement Polymer Grout Compound</t>
        </is>
      </c>
      <c r="C1644" s="13" t="inlineStr">
        <is>
          <t>kg</t>
        </is>
      </c>
      <c r="D1644" s="15" t="n">
        <v>10</v>
      </c>
      <c r="E1644" s="16" t="n">
        <v>16</v>
      </c>
      <c r="F1644" s="16">
        <f>D1644*E1644</f>
        <v/>
      </c>
    </row>
    <row r="1645">
      <c r="A1645" s="13" t="inlineStr">
        <is>
          <t>1245</t>
        </is>
      </c>
      <c r="B1645" s="14" t="inlineStr">
        <is>
          <t>Acid for cleaning tiles</t>
        </is>
      </c>
      <c r="C1645" s="13" t="inlineStr">
        <is>
          <t>litre</t>
        </is>
      </c>
      <c r="D1645" s="15" t="n">
        <v>4</v>
      </c>
      <c r="E1645" s="16" t="n">
        <v>18</v>
      </c>
      <c r="F1645" s="16">
        <f>D1645*E1645</f>
        <v/>
      </c>
    </row>
    <row r="1646">
      <c r="A1646" s="13" t="inlineStr">
        <is>
          <t>9999</t>
        </is>
      </c>
      <c r="B1646" s="14" t="inlineStr">
        <is>
          <t>carriage of marble slab</t>
        </is>
      </c>
      <c r="C1646" s="13" t="inlineStr">
        <is>
          <t>L.S.</t>
        </is>
      </c>
      <c r="D1646" s="15" t="n">
        <v>49.92</v>
      </c>
      <c r="E1646" s="16" t="n">
        <v>2</v>
      </c>
      <c r="F1646" s="16">
        <f>D1646*E1646</f>
        <v/>
      </c>
    </row>
    <row r="1647">
      <c r="A1647" s="13" t="inlineStr">
        <is>
          <t>0123</t>
        </is>
      </c>
      <c r="B1647" s="14" t="inlineStr">
        <is>
          <t>Mason (brick layer) 1st class</t>
        </is>
      </c>
      <c r="C1647" s="13" t="inlineStr">
        <is>
          <t>day</t>
        </is>
      </c>
      <c r="D1647" s="15" t="n">
        <v>1.6</v>
      </c>
      <c r="E1647" s="16" t="n">
        <v>738</v>
      </c>
      <c r="F1647" s="16">
        <f>D1647*E1647</f>
        <v/>
      </c>
    </row>
    <row r="1648">
      <c r="A1648" s="13" t="inlineStr">
        <is>
          <t>0115</t>
        </is>
      </c>
      <c r="B1648" s="14" t="inlineStr">
        <is>
          <t>Coolie</t>
        </is>
      </c>
      <c r="C1648" s="13" t="inlineStr">
        <is>
          <t>day</t>
        </is>
      </c>
      <c r="D1648" s="15" t="n">
        <v>1.6</v>
      </c>
      <c r="E1648" s="16" t="n">
        <v>558</v>
      </c>
      <c r="F1648" s="16">
        <f>D1648*E1648</f>
        <v/>
      </c>
    </row>
    <row r="1649">
      <c r="A1649" s="13" t="inlineStr">
        <is>
          <t>9999</t>
        </is>
      </c>
      <c r="B1649" s="14" t="inlineStr">
        <is>
          <t>Sundries including carriage of adhesive etc.</t>
        </is>
      </c>
      <c r="C1649" s="13" t="inlineStr">
        <is>
          <t>L.S.</t>
        </is>
      </c>
      <c r="D1649" s="15" t="n">
        <v>26.91</v>
      </c>
      <c r="E1649" s="16" t="n">
        <v>2</v>
      </c>
      <c r="F1649" s="16">
        <f>D1649*E1649</f>
        <v/>
      </c>
    </row>
    <row r="1650">
      <c r="A1650" s="17" t="inlineStr">
        <is>
          <t>Resource Total (Material + Labour + Machinery, as printed)</t>
        </is>
      </c>
      <c r="B1650" s="18" t="n"/>
      <c r="C1650" s="18" t="n"/>
      <c r="D1650" s="18" t="n"/>
      <c r="E1650" s="18" t="n"/>
      <c r="F1650" s="19">
        <f>SUM(F1642:F1649)</f>
        <v/>
      </c>
    </row>
    <row r="1651">
      <c r="A1651" s="20" t="inlineStr">
        <is>
          <t>SAY (Rs.) — final DAR rate</t>
        </is>
      </c>
      <c r="B1651" s="21" t="n"/>
      <c r="C1651" s="21" t="n"/>
      <c r="D1651" s="21" t="n"/>
      <c r="E1651" s="21" t="n"/>
      <c r="F1651" s="22" t="n">
        <v>3250.35</v>
      </c>
    </row>
    <row r="1653" ht="18" customHeight="1">
      <c r="A1653" s="9" t="inlineStr">
        <is>
          <t>11.54.1</t>
        </is>
      </c>
      <c r="B1653" s="10" t="inlineStr">
        <is>
          <t>300 mm Finished Floor Height (FFH)</t>
        </is>
      </c>
      <c r="C1653" s="11" t="n"/>
      <c r="D1653" s="11" t="n"/>
      <c r="E1653" s="11" t="n"/>
      <c r="F1653" s="11" t="n"/>
    </row>
    <row r="1654">
      <c r="A1654" s="12" t="inlineStr">
        <is>
          <t>Rate basis: per nos  (source: cost for 1 nos)</t>
        </is>
      </c>
    </row>
    <row r="1655">
      <c r="A1655" s="5" t="inlineStr">
        <is>
          <t>Code</t>
        </is>
      </c>
      <c r="B1655" s="5" t="inlineStr">
        <is>
          <t>Description</t>
        </is>
      </c>
      <c r="C1655" s="5" t="inlineStr">
        <is>
          <t>Unit</t>
        </is>
      </c>
      <c r="D1655" s="5" t="inlineStr">
        <is>
          <t>Quantity</t>
        </is>
      </c>
      <c r="E1655" s="5" t="inlineStr">
        <is>
          <t>Rate (Rs.)</t>
        </is>
      </c>
      <c r="F1655" s="5" t="inlineStr">
        <is>
          <t>Amount (Rs.)</t>
        </is>
      </c>
    </row>
    <row r="1656">
      <c r="A1656" s="13" t="inlineStr">
        <is>
          <t>2711</t>
        </is>
      </c>
      <c r="B1656" s="14" t="inlineStr">
        <is>
          <t>FS800H Grade Flooring Panel (i/c) 5% wastage</t>
        </is>
      </c>
      <c r="C1656" s="13" t="inlineStr">
        <is>
          <t>each</t>
        </is>
      </c>
      <c r="D1656" s="15" t="n">
        <v>292</v>
      </c>
      <c r="E1656" s="16" t="n">
        <v>750</v>
      </c>
      <c r="F1656" s="16">
        <f>D1656*E1656</f>
        <v/>
      </c>
    </row>
    <row r="1657">
      <c r="A1657" s="13" t="inlineStr">
        <is>
          <t>2712</t>
        </is>
      </c>
      <c r="B1657" s="14" t="inlineStr">
        <is>
          <t>Zinc Electroplated Pedestals - 300 mm</t>
        </is>
      </c>
      <c r="C1657" s="13" t="inlineStr">
        <is>
          <t>each</t>
        </is>
      </c>
      <c r="D1657" s="15" t="n">
        <v>360</v>
      </c>
      <c r="E1657" s="16" t="n">
        <v>140</v>
      </c>
      <c r="F1657" s="16">
        <f>D1657*E1657</f>
        <v/>
      </c>
    </row>
    <row r="1658">
      <c r="A1658" s="13" t="inlineStr">
        <is>
          <t>2714</t>
        </is>
      </c>
      <c r="B1658" s="14" t="inlineStr">
        <is>
          <t>Zinc Electroplated Tube Stinger</t>
        </is>
      </c>
      <c r="C1658" s="13" t="inlineStr">
        <is>
          <t>each</t>
        </is>
      </c>
      <c r="D1658" s="15" t="n">
        <v>570</v>
      </c>
      <c r="E1658" s="16" t="n">
        <v>66</v>
      </c>
      <c r="F1658" s="16">
        <f>D1658*E1658</f>
        <v/>
      </c>
    </row>
    <row r="1659">
      <c r="A1659" s="13" t="inlineStr">
        <is>
          <t>2715</t>
        </is>
      </c>
      <c r="B1659" s="14" t="inlineStr">
        <is>
          <t>Machine Screw for Fixing</t>
        </is>
      </c>
      <c r="C1659" s="13" t="inlineStr">
        <is>
          <t>each</t>
        </is>
      </c>
      <c r="D1659" s="15" t="n">
        <v>1140</v>
      </c>
      <c r="E1659" s="16" t="n">
        <v>2</v>
      </c>
      <c r="F1659" s="16">
        <f>D1659*E1659</f>
        <v/>
      </c>
    </row>
    <row r="1660">
      <c r="A1660" s="13" t="inlineStr">
        <is>
          <t>7048</t>
        </is>
      </c>
      <c r="B1660" s="14" t="inlineStr">
        <is>
          <t>Rawl Plug fl0or pedestal grouting on floor</t>
        </is>
      </c>
      <c r="C1660" s="13" t="inlineStr">
        <is>
          <t>each</t>
        </is>
      </c>
      <c r="D1660" s="15" t="n">
        <v>1440</v>
      </c>
      <c r="E1660" s="16" t="n">
        <v>25</v>
      </c>
      <c r="F1660" s="16">
        <f>D1660*E1660</f>
        <v/>
      </c>
    </row>
    <row r="1661">
      <c r="A1661" s="13" t="inlineStr">
        <is>
          <t>9999</t>
        </is>
      </c>
      <c r="B1661" s="14" t="inlineStr">
        <is>
          <t>Carriage of material</t>
        </is>
      </c>
      <c r="C1661" s="13" t="inlineStr">
        <is>
          <t>L.S.</t>
        </is>
      </c>
      <c r="D1661" s="15" t="n">
        <v>490</v>
      </c>
      <c r="E1661" s="16" t="n">
        <v>2</v>
      </c>
      <c r="F1661" s="16">
        <f>D1661*E1661</f>
        <v/>
      </c>
    </row>
    <row r="1662">
      <c r="A1662" s="13" t="inlineStr">
        <is>
          <t>0111</t>
        </is>
      </c>
      <c r="B1662" s="14" t="inlineStr">
        <is>
          <t>Carpenter 1st class</t>
        </is>
      </c>
      <c r="C1662" s="13" t="inlineStr">
        <is>
          <t>day</t>
        </is>
      </c>
      <c r="D1662" s="15" t="n">
        <v>25</v>
      </c>
      <c r="E1662" s="16" t="n">
        <v>738</v>
      </c>
      <c r="F1662" s="16">
        <f>D1662*E1662</f>
        <v/>
      </c>
    </row>
    <row r="1663">
      <c r="A1663" s="13" t="inlineStr">
        <is>
          <t>0114</t>
        </is>
      </c>
      <c r="B1663" s="14" t="inlineStr">
        <is>
          <t>Beldar</t>
        </is>
      </c>
      <c r="C1663" s="13" t="inlineStr">
        <is>
          <t>day</t>
        </is>
      </c>
      <c r="D1663" s="15" t="n">
        <v>25</v>
      </c>
      <c r="E1663" s="16" t="n">
        <v>558</v>
      </c>
      <c r="F1663" s="16">
        <f>D1663*E1663</f>
        <v/>
      </c>
    </row>
    <row r="1664">
      <c r="A1664" s="13" t="inlineStr">
        <is>
          <t>9999</t>
        </is>
      </c>
      <c r="B1664" s="14" t="inlineStr">
        <is>
          <t>Sundries</t>
        </is>
      </c>
      <c r="C1664" s="13" t="inlineStr">
        <is>
          <t>L.S.</t>
        </is>
      </c>
      <c r="D1664" s="15" t="n">
        <v>329</v>
      </c>
      <c r="E1664" s="16" t="n">
        <v>2</v>
      </c>
      <c r="F1664" s="16">
        <f>D1664*E1664</f>
        <v/>
      </c>
    </row>
    <row r="1665">
      <c r="A1665" s="17" t="inlineStr">
        <is>
          <t>Resource Total (Material + Labour + Machinery, as printed)</t>
        </is>
      </c>
      <c r="B1665" s="18" t="n"/>
      <c r="C1665" s="18" t="n"/>
      <c r="D1665" s="18" t="n"/>
      <c r="E1665" s="18" t="n"/>
      <c r="F1665" s="19">
        <f>SUM(F1656:F1664)</f>
        <v/>
      </c>
    </row>
    <row r="1666">
      <c r="A1666" s="20" t="inlineStr">
        <is>
          <t>SAY (Rs.) — final DAR rate</t>
        </is>
      </c>
      <c r="B1666" s="21" t="n"/>
      <c r="C1666" s="21" t="n"/>
      <c r="D1666" s="21" t="n"/>
      <c r="E1666" s="21" t="n"/>
      <c r="F1666" s="22" t="n">
        <v>5075.3</v>
      </c>
    </row>
    <row r="1668" ht="18" customHeight="1">
      <c r="A1668" s="9" t="inlineStr">
        <is>
          <t>11.54.2</t>
        </is>
      </c>
      <c r="B1668" s="10" t="inlineStr">
        <is>
          <t>450 mm Finished Floor Height (FFH).</t>
        </is>
      </c>
      <c r="C1668" s="11" t="n"/>
      <c r="D1668" s="11" t="n"/>
      <c r="E1668" s="11" t="n"/>
      <c r="F1668" s="11" t="n"/>
    </row>
    <row r="1669">
      <c r="A1669" s="12" t="inlineStr">
        <is>
          <t>Rate basis: per nos  (source: cost for 1 nos)</t>
        </is>
      </c>
    </row>
    <row r="1670">
      <c r="A1670" s="5" t="inlineStr">
        <is>
          <t>Code</t>
        </is>
      </c>
      <c r="B1670" s="5" t="inlineStr">
        <is>
          <t>Description</t>
        </is>
      </c>
      <c r="C1670" s="5" t="inlineStr">
        <is>
          <t>Unit</t>
        </is>
      </c>
      <c r="D1670" s="5" t="inlineStr">
        <is>
          <t>Quantity</t>
        </is>
      </c>
      <c r="E1670" s="5" t="inlineStr">
        <is>
          <t>Rate (Rs.)</t>
        </is>
      </c>
      <c r="F1670" s="5" t="inlineStr">
        <is>
          <t>Amount (Rs.)</t>
        </is>
      </c>
    </row>
    <row r="1671">
      <c r="A1671" s="13" t="inlineStr">
        <is>
          <t>2711</t>
        </is>
      </c>
      <c r="B1671" s="14" t="inlineStr">
        <is>
          <t>FS800H Grade Flooring Panel</t>
        </is>
      </c>
      <c r="C1671" s="13" t="inlineStr">
        <is>
          <t>each</t>
        </is>
      </c>
      <c r="D1671" s="15" t="n">
        <v>292</v>
      </c>
      <c r="E1671" s="16" t="n">
        <v>750</v>
      </c>
      <c r="F1671" s="16">
        <f>D1671*E1671</f>
        <v/>
      </c>
    </row>
    <row r="1672">
      <c r="A1672" s="13" t="inlineStr">
        <is>
          <t>2713</t>
        </is>
      </c>
      <c r="B1672" s="14" t="inlineStr">
        <is>
          <t>Zinc Electroplated Pedestals - 450 mm</t>
        </is>
      </c>
      <c r="C1672" s="13" t="inlineStr">
        <is>
          <t>each</t>
        </is>
      </c>
      <c r="D1672" s="15" t="n">
        <v>360</v>
      </c>
      <c r="E1672" s="16" t="n">
        <v>200</v>
      </c>
      <c r="F1672" s="16">
        <f>D1672*E1672</f>
        <v/>
      </c>
    </row>
    <row r="1673">
      <c r="A1673" s="13" t="inlineStr">
        <is>
          <t>2714</t>
        </is>
      </c>
      <c r="B1673" s="14" t="inlineStr">
        <is>
          <t>Zinc Electroplated Tube Stinger</t>
        </is>
      </c>
      <c r="C1673" s="13" t="inlineStr">
        <is>
          <t>each</t>
        </is>
      </c>
      <c r="D1673" s="15" t="n">
        <v>570</v>
      </c>
      <c r="E1673" s="16" t="n">
        <v>66</v>
      </c>
      <c r="F1673" s="16">
        <f>D1673*E1673</f>
        <v/>
      </c>
    </row>
    <row r="1674">
      <c r="A1674" s="13" t="inlineStr">
        <is>
          <t>2715</t>
        </is>
      </c>
      <c r="B1674" s="14" t="inlineStr">
        <is>
          <t>Machine Screw for Fixing</t>
        </is>
      </c>
      <c r="C1674" s="13" t="inlineStr">
        <is>
          <t>each</t>
        </is>
      </c>
      <c r="D1674" s="15" t="n">
        <v>1140</v>
      </c>
      <c r="E1674" s="16" t="n">
        <v>2</v>
      </c>
      <c r="F1674" s="16">
        <f>D1674*E1674</f>
        <v/>
      </c>
    </row>
    <row r="1675">
      <c r="A1675" s="13" t="inlineStr">
        <is>
          <t>7048</t>
        </is>
      </c>
      <c r="B1675" s="14" t="inlineStr">
        <is>
          <t>Rawl plug 50 mm (designation 10 no.)</t>
        </is>
      </c>
      <c r="C1675" s="13" t="inlineStr">
        <is>
          <t>each</t>
        </is>
      </c>
      <c r="D1675" s="15" t="n">
        <v>1440</v>
      </c>
      <c r="E1675" s="16" t="n">
        <v>25</v>
      </c>
      <c r="F1675" s="16">
        <f>D1675*E1675</f>
        <v/>
      </c>
    </row>
    <row r="1676">
      <c r="A1676" s="13" t="inlineStr">
        <is>
          <t>9999</t>
        </is>
      </c>
      <c r="B1676" s="14" t="inlineStr">
        <is>
          <t>Carriage of material</t>
        </is>
      </c>
      <c r="C1676" s="13" t="inlineStr">
        <is>
          <t>L.S.</t>
        </is>
      </c>
      <c r="D1676" s="15" t="n">
        <v>490</v>
      </c>
      <c r="E1676" s="16" t="n">
        <v>2</v>
      </c>
      <c r="F1676" s="16">
        <f>D1676*E1676</f>
        <v/>
      </c>
    </row>
    <row r="1677">
      <c r="A1677" s="13" t="inlineStr">
        <is>
          <t>0111</t>
        </is>
      </c>
      <c r="B1677" s="14" t="inlineStr">
        <is>
          <t>Carpenter 1st class</t>
        </is>
      </c>
      <c r="C1677" s="13" t="inlineStr">
        <is>
          <t>day</t>
        </is>
      </c>
      <c r="D1677" s="15" t="n">
        <v>25</v>
      </c>
      <c r="E1677" s="16" t="n">
        <v>738</v>
      </c>
      <c r="F1677" s="16">
        <f>D1677*E1677</f>
        <v/>
      </c>
    </row>
    <row r="1678">
      <c r="A1678" s="13" t="inlineStr">
        <is>
          <t>0114</t>
        </is>
      </c>
      <c r="B1678" s="14" t="inlineStr">
        <is>
          <t>Beldar</t>
        </is>
      </c>
      <c r="C1678" s="13" t="inlineStr">
        <is>
          <t>day</t>
        </is>
      </c>
      <c r="D1678" s="15" t="n">
        <v>25</v>
      </c>
      <c r="E1678" s="16" t="n">
        <v>558</v>
      </c>
      <c r="F1678" s="16">
        <f>D1678*E1678</f>
        <v/>
      </c>
    </row>
    <row r="1679">
      <c r="A1679" s="13" t="inlineStr">
        <is>
          <t>9999</t>
        </is>
      </c>
      <c r="B1679" s="14" t="inlineStr">
        <is>
          <t>Sundries</t>
        </is>
      </c>
      <c r="C1679" s="13" t="inlineStr">
        <is>
          <t>L.S.</t>
        </is>
      </c>
      <c r="D1679" s="15" t="n">
        <v>329</v>
      </c>
      <c r="E1679" s="16" t="n">
        <v>2</v>
      </c>
      <c r="F1679" s="16">
        <f>D1679*E1679</f>
        <v/>
      </c>
    </row>
    <row r="1680">
      <c r="A1680" s="17" t="inlineStr">
        <is>
          <t>Resource Total (Material + Labour + Machinery, as printed)</t>
        </is>
      </c>
      <c r="B1680" s="18" t="n"/>
      <c r="C1680" s="18" t="n"/>
      <c r="D1680" s="18" t="n"/>
      <c r="E1680" s="18" t="n"/>
      <c r="F1680" s="19">
        <f>SUM(F1671:F1679)</f>
        <v/>
      </c>
    </row>
    <row r="1681">
      <c r="A1681" s="20" t="inlineStr">
        <is>
          <t>SAY (Rs.) — final DAR rate</t>
        </is>
      </c>
      <c r="B1681" s="21" t="n"/>
      <c r="C1681" s="21" t="n"/>
      <c r="D1681" s="21" t="n"/>
      <c r="E1681" s="21" t="n"/>
      <c r="F1681" s="22" t="n">
        <v>5364.3</v>
      </c>
    </row>
    <row r="1683" ht="28" customHeight="1">
      <c r="A1683" s="9" t="inlineStr">
        <is>
          <t>11.55.1</t>
        </is>
      </c>
      <c r="B1683" s="10" t="inlineStr">
        <is>
          <t>Flamed finish granite stone slab Jet Black, Cherry Red, Elite Brown, Cat Eye or equivalent.</t>
        </is>
      </c>
      <c r="C1683" s="11" t="n"/>
      <c r="D1683" s="11" t="n"/>
      <c r="E1683" s="11" t="n"/>
      <c r="F1683" s="11" t="n"/>
    </row>
    <row r="1684">
      <c r="A1684" s="12" t="inlineStr">
        <is>
          <t>Rate basis: per sqm  (source: cost for 10 sqm)</t>
        </is>
      </c>
    </row>
    <row r="1685">
      <c r="A1685" s="5" t="inlineStr">
        <is>
          <t>Code</t>
        </is>
      </c>
      <c r="B1685" s="5" t="inlineStr">
        <is>
          <t>Description</t>
        </is>
      </c>
      <c r="C1685" s="5" t="inlineStr">
        <is>
          <t>Unit</t>
        </is>
      </c>
      <c r="D1685" s="5" t="inlineStr">
        <is>
          <t>Quantity</t>
        </is>
      </c>
      <c r="E1685" s="5" t="inlineStr">
        <is>
          <t>Rate (Rs.)</t>
        </is>
      </c>
      <c r="F1685" s="5" t="inlineStr">
        <is>
          <t>Amount (Rs.)</t>
        </is>
      </c>
    </row>
    <row r="1686">
      <c r="A1686" s="13" t="inlineStr">
        <is>
          <t>3.9</t>
        </is>
      </c>
      <c r="B1686" s="14" t="inlineStr">
        <is>
          <t>Rate as per SH: 3.9</t>
        </is>
      </c>
      <c r="C1686" s="13" t="inlineStr">
        <is>
          <t>cum</t>
        </is>
      </c>
      <c r="D1686" s="15" t="n">
        <v>0.224</v>
      </c>
      <c r="E1686" s="16" t="n">
        <v>4010.35</v>
      </c>
      <c r="F1686" s="16">
        <f>D1686*E1686</f>
        <v/>
      </c>
    </row>
    <row r="1687">
      <c r="A1687" s="13" t="inlineStr">
        <is>
          <t>1239</t>
        </is>
      </c>
      <c r="B1687" s="14" t="inlineStr">
        <is>
          <t>18 mm thick Flamed finish granite stone slab</t>
        </is>
      </c>
      <c r="C1687" s="13" t="inlineStr">
        <is>
          <t>sqm</t>
        </is>
      </c>
      <c r="D1687" s="15" t="n">
        <v>11.5</v>
      </c>
      <c r="E1687" s="16" t="n">
        <v>1000</v>
      </c>
      <c r="F1687" s="16">
        <f>D1687*E1687</f>
        <v/>
      </c>
    </row>
    <row r="1688">
      <c r="A1688" s="13" t="inlineStr">
        <is>
          <t>2216</t>
        </is>
      </c>
      <c r="B1688" s="14" t="inlineStr">
        <is>
          <t>Carriage of Stone blocks white &amp; red sand stone &amp; kota stone slab</t>
        </is>
      </c>
      <c r="C1688" s="13" t="inlineStr">
        <is>
          <t>tonne</t>
        </is>
      </c>
      <c r="D1688" s="15" t="n">
        <v>0.67</v>
      </c>
      <c r="E1688" s="16" t="n">
        <v>92.23999999999999</v>
      </c>
      <c r="F1688" s="16">
        <f>D1688*E1688</f>
        <v/>
      </c>
    </row>
    <row r="1689">
      <c r="A1689" s="13" t="inlineStr">
        <is>
          <t>0367</t>
        </is>
      </c>
      <c r="B1689" s="14" t="inlineStr">
        <is>
          <t>Portland Cement</t>
        </is>
      </c>
      <c r="C1689" s="13" t="inlineStr">
        <is>
          <t>tonne</t>
        </is>
      </c>
      <c r="D1689" s="15" t="n">
        <v>0.05</v>
      </c>
      <c r="E1689" s="16" t="n">
        <v>4940</v>
      </c>
      <c r="F1689" s="16">
        <f>D1689*E1689</f>
        <v/>
      </c>
    </row>
    <row r="1690">
      <c r="A1690" s="13" t="inlineStr">
        <is>
          <t>0874</t>
        </is>
      </c>
      <c r="B1690" s="14" t="inlineStr">
        <is>
          <t>Black colour dark shade pigment</t>
        </is>
      </c>
      <c r="C1690" s="13" t="inlineStr">
        <is>
          <t>kilogram</t>
        </is>
      </c>
      <c r="D1690" s="15" t="n">
        <v>4.5</v>
      </c>
      <c r="E1690" s="16" t="n">
        <v>70</v>
      </c>
      <c r="F1690" s="16">
        <f>D1690*E1690</f>
        <v/>
      </c>
    </row>
    <row r="1691">
      <c r="A1691" s="13" t="inlineStr">
        <is>
          <t>2209</t>
        </is>
      </c>
      <c r="B1691" s="14" t="inlineStr">
        <is>
          <t>Carriage of Cement</t>
        </is>
      </c>
      <c r="C1691" s="13" t="inlineStr">
        <is>
          <t>tonne</t>
        </is>
      </c>
      <c r="D1691" s="15" t="n">
        <v>0.05</v>
      </c>
      <c r="E1691" s="16" t="n">
        <v>92.23999999999999</v>
      </c>
      <c r="F1691" s="16">
        <f>D1691*E1691</f>
        <v/>
      </c>
    </row>
    <row r="1692">
      <c r="A1692" s="13" t="inlineStr">
        <is>
          <t>9999</t>
        </is>
      </c>
      <c r="B1692" s="14" t="inlineStr">
        <is>
          <t>Mortar for pointing in white cement</t>
        </is>
      </c>
      <c r="C1692" s="13" t="inlineStr">
        <is>
          <t>L.S.</t>
        </is>
      </c>
      <c r="D1692" s="15" t="n">
        <v>25.35</v>
      </c>
      <c r="E1692" s="16" t="n">
        <v>2</v>
      </c>
      <c r="F1692" s="16">
        <f>D1692*E1692</f>
        <v/>
      </c>
    </row>
    <row r="1693">
      <c r="A1693" s="13" t="inlineStr">
        <is>
          <t>0124</t>
        </is>
      </c>
      <c r="B1693" s="14" t="inlineStr">
        <is>
          <t>Mason (brick layer) 2nd class</t>
        </is>
      </c>
      <c r="C1693" s="13" t="inlineStr">
        <is>
          <t>day</t>
        </is>
      </c>
      <c r="D1693" s="15" t="n">
        <v>1.2</v>
      </c>
      <c r="E1693" s="16" t="n">
        <v>679</v>
      </c>
      <c r="F1693" s="16">
        <f>D1693*E1693</f>
        <v/>
      </c>
    </row>
    <row r="1694">
      <c r="A1694" s="13" t="inlineStr">
        <is>
          <t>0114</t>
        </is>
      </c>
      <c r="B1694" s="14" t="inlineStr">
        <is>
          <t>Beldar</t>
        </is>
      </c>
      <c r="C1694" s="13" t="inlineStr">
        <is>
          <t>day</t>
        </is>
      </c>
      <c r="D1694" s="15" t="n">
        <v>1</v>
      </c>
      <c r="E1694" s="16" t="n">
        <v>558</v>
      </c>
      <c r="F1694" s="16">
        <f>D1694*E1694</f>
        <v/>
      </c>
    </row>
    <row r="1695">
      <c r="A1695" s="13" t="inlineStr">
        <is>
          <t>0115</t>
        </is>
      </c>
      <c r="B1695" s="14" t="inlineStr">
        <is>
          <t>Coolie</t>
        </is>
      </c>
      <c r="C1695" s="13" t="inlineStr">
        <is>
          <t>day</t>
        </is>
      </c>
      <c r="D1695" s="15" t="n">
        <v>1</v>
      </c>
      <c r="E1695" s="16" t="n">
        <v>558</v>
      </c>
      <c r="F1695" s="16">
        <f>D1695*E1695</f>
        <v/>
      </c>
    </row>
    <row r="1696">
      <c r="A1696" s="13" t="inlineStr">
        <is>
          <t>0139</t>
        </is>
      </c>
      <c r="B1696" s="14" t="inlineStr">
        <is>
          <t>Skilled Beldar (for floor rubbing etc.)</t>
        </is>
      </c>
      <c r="C1696" s="13" t="inlineStr">
        <is>
          <t>day</t>
        </is>
      </c>
      <c r="D1696" s="15" t="n">
        <v>5</v>
      </c>
      <c r="E1696" s="16" t="n">
        <v>617</v>
      </c>
      <c r="F1696" s="16">
        <f>D1696*E1696</f>
        <v/>
      </c>
    </row>
    <row r="1697">
      <c r="A1697" s="13" t="inlineStr">
        <is>
          <t>9999</t>
        </is>
      </c>
      <c r="B1697" s="14" t="inlineStr">
        <is>
          <t>Sundries</t>
        </is>
      </c>
      <c r="C1697" s="13" t="inlineStr">
        <is>
          <t>L.S.</t>
        </is>
      </c>
      <c r="D1697" s="15" t="n">
        <v>208.13</v>
      </c>
      <c r="E1697" s="16" t="n">
        <v>2</v>
      </c>
      <c r="F1697" s="16">
        <f>D1697*E1697</f>
        <v/>
      </c>
    </row>
    <row r="1698">
      <c r="A1698" s="17" t="inlineStr">
        <is>
          <t>Resource Total (Material + Labour + Machinery, as printed)</t>
        </is>
      </c>
      <c r="B1698" s="18" t="n"/>
      <c r="C1698" s="18" t="n"/>
      <c r="D1698" s="18" t="n"/>
      <c r="E1698" s="18" t="n"/>
      <c r="F1698" s="19">
        <f>SUM(F1686:F1697)</f>
        <v/>
      </c>
    </row>
    <row r="1699">
      <c r="A1699" s="20" t="inlineStr">
        <is>
          <t>SAY (Rs.) — final DAR rate</t>
        </is>
      </c>
      <c r="B1699" s="21" t="n"/>
      <c r="C1699" s="21" t="n"/>
      <c r="D1699" s="21" t="n"/>
      <c r="E1699" s="21" t="n"/>
      <c r="F1699" s="22" t="n">
        <v>2476.45</v>
      </c>
    </row>
    <row r="1701" ht="18" customHeight="1">
      <c r="A1701" s="9" t="inlineStr">
        <is>
          <t>11.56.1</t>
        </is>
      </c>
      <c r="B1701" s="10" t="inlineStr">
        <is>
          <t>Polished Granite stone slab jet Black, Cherry Red, Elite Brown, Cat Eye or equivalent.</t>
        </is>
      </c>
      <c r="C1701" s="11" t="n"/>
      <c r="D1701" s="11" t="n"/>
      <c r="E1701" s="11" t="n"/>
      <c r="F1701" s="11" t="n"/>
    </row>
    <row r="1702">
      <c r="A1702" s="12" t="inlineStr">
        <is>
          <t>Rate basis: per sqm  (source: cost for 10 sqm)</t>
        </is>
      </c>
    </row>
    <row r="1703">
      <c r="A1703" s="5" t="inlineStr">
        <is>
          <t>Code</t>
        </is>
      </c>
      <c r="B1703" s="5" t="inlineStr">
        <is>
          <t>Description</t>
        </is>
      </c>
      <c r="C1703" s="5" t="inlineStr">
        <is>
          <t>Unit</t>
        </is>
      </c>
      <c r="D1703" s="5" t="inlineStr">
        <is>
          <t>Quantity</t>
        </is>
      </c>
      <c r="E1703" s="5" t="inlineStr">
        <is>
          <t>Rate (Rs.)</t>
        </is>
      </c>
      <c r="F1703" s="5" t="inlineStr">
        <is>
          <t>Amount (Rs.)</t>
        </is>
      </c>
    </row>
    <row r="1704">
      <c r="A1704" s="13" t="inlineStr">
        <is>
          <t>3.9</t>
        </is>
      </c>
      <c r="B1704" s="14" t="inlineStr">
        <is>
          <t>Rate as per SH: 3.9</t>
        </is>
      </c>
      <c r="C1704" s="13" t="inlineStr">
        <is>
          <t>cum</t>
        </is>
      </c>
      <c r="D1704" s="15" t="n">
        <v>0.224</v>
      </c>
      <c r="E1704" s="16" t="n">
        <v>4010.35</v>
      </c>
      <c r="F1704" s="16">
        <f>D1704*E1704</f>
        <v/>
      </c>
    </row>
    <row r="1705">
      <c r="A1705" s="13" t="inlineStr">
        <is>
          <t>7297</t>
        </is>
      </c>
      <c r="B1705" s="14" t="inlineStr">
        <is>
          <t>Granite of any colour, 18 mm thick (slab area above 0.50 sqm)</t>
        </is>
      </c>
      <c r="C1705" s="13" t="inlineStr">
        <is>
          <t>sqm</t>
        </is>
      </c>
      <c r="D1705" s="15" t="n">
        <v>11.5</v>
      </c>
      <c r="E1705" s="16" t="n">
        <v>1800</v>
      </c>
      <c r="F1705" s="16">
        <f>D1705*E1705</f>
        <v/>
      </c>
    </row>
    <row r="1706">
      <c r="A1706" s="13" t="inlineStr">
        <is>
          <t>2216</t>
        </is>
      </c>
      <c r="B1706" s="14" t="inlineStr">
        <is>
          <t>Carriage of Stone blocks white &amp; red sand stone &amp; kota stone slab</t>
        </is>
      </c>
      <c r="C1706" s="13" t="inlineStr">
        <is>
          <t>tonne</t>
        </is>
      </c>
      <c r="D1706" s="15" t="n">
        <v>0.67</v>
      </c>
      <c r="E1706" s="16" t="n">
        <v>92.23999999999999</v>
      </c>
      <c r="F1706" s="16">
        <f>D1706*E1706</f>
        <v/>
      </c>
    </row>
    <row r="1707">
      <c r="A1707" s="13" t="inlineStr">
        <is>
          <t>0367</t>
        </is>
      </c>
      <c r="B1707" s="14" t="inlineStr">
        <is>
          <t>Portland Cement</t>
        </is>
      </c>
      <c r="C1707" s="13" t="inlineStr">
        <is>
          <t>tonne</t>
        </is>
      </c>
      <c r="D1707" s="15" t="n">
        <v>0.05</v>
      </c>
      <c r="E1707" s="16" t="n">
        <v>4940</v>
      </c>
      <c r="F1707" s="16">
        <f>D1707*E1707</f>
        <v/>
      </c>
    </row>
    <row r="1708">
      <c r="A1708" s="13" t="inlineStr">
        <is>
          <t>0874</t>
        </is>
      </c>
      <c r="B1708" s="14" t="inlineStr">
        <is>
          <t>Black colour dark shade pigment</t>
        </is>
      </c>
      <c r="C1708" s="13" t="inlineStr">
        <is>
          <t>kilogram</t>
        </is>
      </c>
      <c r="D1708" s="15" t="n">
        <v>4.5</v>
      </c>
      <c r="E1708" s="16" t="n">
        <v>70</v>
      </c>
      <c r="F1708" s="16">
        <f>D1708*E1708</f>
        <v/>
      </c>
    </row>
    <row r="1709">
      <c r="A1709" s="13" t="inlineStr">
        <is>
          <t>2209</t>
        </is>
      </c>
      <c r="B1709" s="14" t="inlineStr">
        <is>
          <t>Carriage of Cement</t>
        </is>
      </c>
      <c r="C1709" s="13" t="inlineStr">
        <is>
          <t>tonne</t>
        </is>
      </c>
      <c r="D1709" s="15" t="n">
        <v>0.05</v>
      </c>
      <c r="E1709" s="16" t="n">
        <v>92.23999999999999</v>
      </c>
      <c r="F1709" s="16">
        <f>D1709*E1709</f>
        <v/>
      </c>
    </row>
    <row r="1710">
      <c r="A1710" s="13" t="inlineStr">
        <is>
          <t>9999</t>
        </is>
      </c>
      <c r="B1710" s="14" t="inlineStr">
        <is>
          <t>Mortar for pointing in white cement (11.22)</t>
        </is>
      </c>
      <c r="C1710" s="13" t="inlineStr">
        <is>
          <t>L.S.</t>
        </is>
      </c>
      <c r="D1710" s="15" t="n">
        <v>25.35</v>
      </c>
      <c r="E1710" s="16" t="n">
        <v>2</v>
      </c>
      <c r="F1710" s="16">
        <f>D1710*E1710</f>
        <v/>
      </c>
    </row>
    <row r="1711">
      <c r="A1711" s="13" t="inlineStr">
        <is>
          <t>0124</t>
        </is>
      </c>
      <c r="B1711" s="14" t="inlineStr">
        <is>
          <t>Mason (brick layer) 2nd class</t>
        </is>
      </c>
      <c r="C1711" s="13" t="inlineStr">
        <is>
          <t>day</t>
        </is>
      </c>
      <c r="D1711" s="15" t="n">
        <v>1.2</v>
      </c>
      <c r="E1711" s="16" t="n">
        <v>679</v>
      </c>
      <c r="F1711" s="16">
        <f>D1711*E1711</f>
        <v/>
      </c>
    </row>
    <row r="1712">
      <c r="A1712" s="13" t="inlineStr">
        <is>
          <t>0114</t>
        </is>
      </c>
      <c r="B1712" s="14" t="inlineStr">
        <is>
          <t>Beldar</t>
        </is>
      </c>
      <c r="C1712" s="13" t="inlineStr">
        <is>
          <t>day</t>
        </is>
      </c>
      <c r="D1712" s="15" t="n">
        <v>1</v>
      </c>
      <c r="E1712" s="16" t="n">
        <v>558</v>
      </c>
      <c r="F1712" s="16">
        <f>D1712*E1712</f>
        <v/>
      </c>
    </row>
    <row r="1713">
      <c r="A1713" s="13" t="inlineStr">
        <is>
          <t>0115</t>
        </is>
      </c>
      <c r="B1713" s="14" t="inlineStr">
        <is>
          <t>Coolie</t>
        </is>
      </c>
      <c r="C1713" s="13" t="inlineStr">
        <is>
          <t>day</t>
        </is>
      </c>
      <c r="D1713" s="15" t="n">
        <v>1</v>
      </c>
      <c r="E1713" s="16" t="n">
        <v>558</v>
      </c>
      <c r="F1713" s="16">
        <f>D1713*E1713</f>
        <v/>
      </c>
    </row>
    <row r="1714">
      <c r="A1714" s="13" t="inlineStr">
        <is>
          <t>0139</t>
        </is>
      </c>
      <c r="B1714" s="14" t="inlineStr">
        <is>
          <t>Skilled Beldar (for floor rubbing etc.)</t>
        </is>
      </c>
      <c r="C1714" s="13" t="inlineStr">
        <is>
          <t>day</t>
        </is>
      </c>
      <c r="D1714" s="15" t="n">
        <v>2</v>
      </c>
      <c r="E1714" s="16" t="n">
        <v>617</v>
      </c>
      <c r="F1714" s="16">
        <f>D1714*E1714</f>
        <v/>
      </c>
    </row>
    <row r="1715">
      <c r="A1715" s="13" t="inlineStr">
        <is>
          <t>0019</t>
        </is>
      </c>
      <c r="B1715" s="14" t="inlineStr">
        <is>
          <t>Machine for cutting (hand grinding)</t>
        </is>
      </c>
      <c r="C1715" s="13" t="inlineStr">
        <is>
          <t>day</t>
        </is>
      </c>
      <c r="D1715" s="15" t="n">
        <v>2</v>
      </c>
      <c r="E1715" s="16" t="n">
        <v>250</v>
      </c>
      <c r="F1715" s="16">
        <f>D1715*E1715</f>
        <v/>
      </c>
    </row>
    <row r="1716">
      <c r="A1716" s="13" t="inlineStr">
        <is>
          <t>9999</t>
        </is>
      </c>
      <c r="B1716" s="14" t="inlineStr">
        <is>
          <t>Sundries</t>
        </is>
      </c>
      <c r="C1716" s="13" t="inlineStr">
        <is>
          <t>L.S.</t>
        </is>
      </c>
      <c r="D1716" s="15" t="n">
        <v>208.13</v>
      </c>
      <c r="E1716" s="16" t="n">
        <v>2</v>
      </c>
      <c r="F1716" s="16">
        <f>D1716*E1716</f>
        <v/>
      </c>
    </row>
    <row r="1717">
      <c r="A1717" s="17" t="inlineStr">
        <is>
          <t>Resource Total (Material + Labour + Machinery, as printed)</t>
        </is>
      </c>
      <c r="B1717" s="18" t="n"/>
      <c r="C1717" s="18" t="n"/>
      <c r="D1717" s="18" t="n"/>
      <c r="E1717" s="18" t="n"/>
      <c r="F1717" s="19">
        <f>SUM(F1704:F1716)</f>
        <v/>
      </c>
    </row>
    <row r="1718">
      <c r="A1718" s="20" t="inlineStr">
        <is>
          <t>SAY (Rs.) — final DAR rate</t>
        </is>
      </c>
      <c r="B1718" s="21" t="n"/>
      <c r="C1718" s="21" t="n"/>
      <c r="D1718" s="21" t="n"/>
      <c r="E1718" s="21" t="n"/>
      <c r="F1718" s="22" t="n">
        <v>3526.6</v>
      </c>
    </row>
  </sheetData>
  <mergeCells count="466">
    <mergeCell ref="A1718:E1718"/>
    <mergeCell ref="A1180:F1180"/>
    <mergeCell ref="A419:F419"/>
    <mergeCell ref="A1219:E1219"/>
    <mergeCell ref="A1390:E1390"/>
    <mergeCell ref="A379:E379"/>
    <mergeCell ref="A20:F20"/>
    <mergeCell ref="A640:E640"/>
    <mergeCell ref="A318:F318"/>
    <mergeCell ref="A274:F274"/>
    <mergeCell ref="A1494:E1494"/>
    <mergeCell ref="A1665:E1665"/>
    <mergeCell ref="A839:F839"/>
    <mergeCell ref="A1002:E1002"/>
    <mergeCell ref="B515:F515"/>
    <mergeCell ref="A1431:E1431"/>
    <mergeCell ref="A1602:E1602"/>
    <mergeCell ref="A854:F854"/>
    <mergeCell ref="A470:E470"/>
    <mergeCell ref="B1193:F1193"/>
    <mergeCell ref="A1594:E1594"/>
    <mergeCell ref="A770:E770"/>
    <mergeCell ref="B418:F418"/>
    <mergeCell ref="A947:F947"/>
    <mergeCell ref="A261:E261"/>
    <mergeCell ref="B1125:F1125"/>
    <mergeCell ref="A1620:E1620"/>
    <mergeCell ref="A488:E488"/>
    <mergeCell ref="B228:F228"/>
    <mergeCell ref="A1094:F1094"/>
    <mergeCell ref="A35:F35"/>
    <mergeCell ref="A1146:E1146"/>
    <mergeCell ref="A491:F491"/>
    <mergeCell ref="B19:F19"/>
    <mergeCell ref="B146:F146"/>
    <mergeCell ref="B317:F317"/>
    <mergeCell ref="B838:F838"/>
    <mergeCell ref="B490:F490"/>
    <mergeCell ref="A1206:E1206"/>
    <mergeCell ref="A280:E280"/>
    <mergeCell ref="A451:E451"/>
    <mergeCell ref="B1639:F1639"/>
    <mergeCell ref="A1246:E1246"/>
    <mergeCell ref="A1506:E1506"/>
    <mergeCell ref="A1012:E1012"/>
    <mergeCell ref="A1030:E1030"/>
    <mergeCell ref="A1407:F1407"/>
    <mergeCell ref="A1272:E1272"/>
    <mergeCell ref="A1546:E1546"/>
    <mergeCell ref="A1595:E1595"/>
    <mergeCell ref="A1570:E1570"/>
    <mergeCell ref="A1076:E1076"/>
    <mergeCell ref="A1374:E1374"/>
    <mergeCell ref="A836:E836"/>
    <mergeCell ref="A567:E567"/>
    <mergeCell ref="A865:E865"/>
    <mergeCell ref="B962:F962"/>
    <mergeCell ref="A698:E698"/>
    <mergeCell ref="A1165:E1165"/>
    <mergeCell ref="A959:E959"/>
    <mergeCell ref="B534:F534"/>
    <mergeCell ref="A1559:E1559"/>
    <mergeCell ref="B1261:F1261"/>
    <mergeCell ref="B373:F373"/>
    <mergeCell ref="A896:E896"/>
    <mergeCell ref="A135:E135"/>
    <mergeCell ref="B1497:F1497"/>
    <mergeCell ref="B1668:F1668"/>
    <mergeCell ref="A1154:E1154"/>
    <mergeCell ref="A1259:E1259"/>
    <mergeCell ref="A504:E504"/>
    <mergeCell ref="A49:F49"/>
    <mergeCell ref="A789:E789"/>
    <mergeCell ref="A960:E960"/>
    <mergeCell ref="A383:F383"/>
    <mergeCell ref="A1:F1"/>
    <mergeCell ref="A1331:F1331"/>
    <mergeCell ref="A1389:E1389"/>
    <mergeCell ref="A570:F570"/>
    <mergeCell ref="A1262:F1262"/>
    <mergeCell ref="B1288:F1288"/>
    <mergeCell ref="A792:F792"/>
    <mergeCell ref="B625:F625"/>
    <mergeCell ref="B1573:F1573"/>
    <mergeCell ref="B264:F264"/>
    <mergeCell ref="A88:E88"/>
    <mergeCell ref="B220:F220"/>
    <mergeCell ref="B391:F391"/>
    <mergeCell ref="A753:E753"/>
    <mergeCell ref="A217:E217"/>
    <mergeCell ref="A388:E388"/>
    <mergeCell ref="A752:E752"/>
    <mergeCell ref="A91:F91"/>
    <mergeCell ref="A944:E944"/>
    <mergeCell ref="A804:E804"/>
    <mergeCell ref="A1547:E1547"/>
    <mergeCell ref="A454:F454"/>
    <mergeCell ref="A341:E341"/>
    <mergeCell ref="A512:E512"/>
    <mergeCell ref="A306:E306"/>
    <mergeCell ref="A1636:E1636"/>
    <mergeCell ref="A1313:E1313"/>
    <mergeCell ref="A1684:F1684"/>
    <mergeCell ref="A1540:F1540"/>
    <mergeCell ref="A650:E650"/>
    <mergeCell ref="A975:E975"/>
    <mergeCell ref="B978:F978"/>
    <mergeCell ref="B1434:F1434"/>
    <mergeCell ref="A143:E143"/>
    <mergeCell ref="A232:E232"/>
    <mergeCell ref="B1376:F1376"/>
    <mergeCell ref="A1404:E1404"/>
    <mergeCell ref="A182:E182"/>
    <mergeCell ref="A505:E505"/>
    <mergeCell ref="A532:E532"/>
    <mergeCell ref="A271:E271"/>
    <mergeCell ref="A65:E65"/>
    <mergeCell ref="A805:E805"/>
    <mergeCell ref="A508:F508"/>
    <mergeCell ref="A1034:F1034"/>
    <mergeCell ref="B34:F34"/>
    <mergeCell ref="A686:F686"/>
    <mergeCell ref="B755:F755"/>
    <mergeCell ref="B791:F791"/>
    <mergeCell ref="A881:E881"/>
    <mergeCell ref="A1123:E1123"/>
    <mergeCell ref="A389:E389"/>
    <mergeCell ref="A589:F589"/>
    <mergeCell ref="A931:F931"/>
    <mergeCell ref="B773:F773"/>
    <mergeCell ref="A1474:F1474"/>
    <mergeCell ref="A1339:E1339"/>
    <mergeCell ref="A820:E820"/>
    <mergeCell ref="A1498:F1498"/>
    <mergeCell ref="A221:F221"/>
    <mergeCell ref="A912:E912"/>
    <mergeCell ref="A1105:E1105"/>
    <mergeCell ref="A899:F899"/>
    <mergeCell ref="A520:E520"/>
    <mergeCell ref="A626:F626"/>
    <mergeCell ref="A236:F236"/>
    <mergeCell ref="A1562:F1562"/>
    <mergeCell ref="A2:F2"/>
    <mergeCell ref="B868:F868"/>
    <mergeCell ref="A233:E233"/>
    <mergeCell ref="B1529:F1529"/>
    <mergeCell ref="A531:E531"/>
    <mergeCell ref="B883:F883"/>
    <mergeCell ref="A469:E469"/>
    <mergeCell ref="A392:F392"/>
    <mergeCell ref="B1168:F1168"/>
    <mergeCell ref="A604:E604"/>
    <mergeCell ref="A127:F127"/>
    <mergeCell ref="B1208:F1208"/>
    <mergeCell ref="A176:F176"/>
    <mergeCell ref="A1640:F1640"/>
    <mergeCell ref="A114:F114"/>
    <mergeCell ref="A756:F756"/>
    <mergeCell ref="A979:F979"/>
    <mergeCell ref="A1150:F1150"/>
    <mergeCell ref="B1353:F1353"/>
    <mergeCell ref="A1421:F1421"/>
    <mergeCell ref="A516:F516"/>
    <mergeCell ref="B4:F4"/>
    <mergeCell ref="A1571:E1571"/>
    <mergeCell ref="B1539:F1539"/>
    <mergeCell ref="A1698:E1698"/>
    <mergeCell ref="B507:F507"/>
    <mergeCell ref="A226:E226"/>
    <mergeCell ref="B1653:F1653"/>
    <mergeCell ref="A1062:E1062"/>
    <mergeCell ref="B273:F273"/>
    <mergeCell ref="B1519:F1519"/>
    <mergeCell ref="B807:F807"/>
    <mergeCell ref="A172:E172"/>
    <mergeCell ref="A1516:E1516"/>
    <mergeCell ref="A1005:F1005"/>
    <mergeCell ref="A699:E699"/>
    <mergeCell ref="A1303:F1303"/>
    <mergeCell ref="A1233:E1233"/>
    <mergeCell ref="B1392:F1392"/>
    <mergeCell ref="B1585:F1585"/>
    <mergeCell ref="A1061:E1061"/>
    <mergeCell ref="A544:F544"/>
    <mergeCell ref="A1048:E1048"/>
    <mergeCell ref="A229:F229"/>
    <mergeCell ref="B426:F426"/>
    <mergeCell ref="A310:F310"/>
    <mergeCell ref="A608:F608"/>
    <mergeCell ref="B1597:F1597"/>
    <mergeCell ref="A1654:F1654"/>
    <mergeCell ref="B1316:F1316"/>
    <mergeCell ref="B344:F344"/>
    <mergeCell ref="A541:E541"/>
    <mergeCell ref="A1075:E1075"/>
    <mergeCell ref="A1373:E1373"/>
    <mergeCell ref="A314:E314"/>
    <mergeCell ref="A718:F718"/>
    <mergeCell ref="A605:E605"/>
    <mergeCell ref="A64:E64"/>
    <mergeCell ref="A191:E191"/>
    <mergeCell ref="A1139:E1139"/>
    <mergeCell ref="A1350:E1350"/>
    <mergeCell ref="A315:E315"/>
    <mergeCell ref="A478:E478"/>
    <mergeCell ref="A649:E649"/>
    <mergeCell ref="A194:F194"/>
    <mergeCell ref="B235:F235"/>
    <mergeCell ref="A1343:F1343"/>
    <mergeCell ref="A995:F995"/>
    <mergeCell ref="B1605:F1605"/>
    <mergeCell ref="B1064:F1064"/>
    <mergeCell ref="B643:F643"/>
    <mergeCell ref="A788:E788"/>
    <mergeCell ref="A1328:E1328"/>
    <mergeCell ref="A342:E342"/>
    <mergeCell ref="A262:E262"/>
    <mergeCell ref="A1526:E1526"/>
    <mergeCell ref="A771:E771"/>
    <mergeCell ref="A1603:E1603"/>
    <mergeCell ref="A644:F644"/>
    <mergeCell ref="A1717:E1717"/>
    <mergeCell ref="A1377:F1377"/>
    <mergeCell ref="A927:E927"/>
    <mergeCell ref="A1669:F1669"/>
    <mergeCell ref="A1435:F1435"/>
    <mergeCell ref="A1606:F1606"/>
    <mergeCell ref="A1598:F1598"/>
    <mergeCell ref="B736:F736"/>
    <mergeCell ref="A1666:E1666"/>
    <mergeCell ref="A1147:E1147"/>
    <mergeCell ref="A1445:E1445"/>
    <mergeCell ref="B523:F523"/>
    <mergeCell ref="A1681:E1681"/>
    <mergeCell ref="A1537:E1537"/>
    <mergeCell ref="A265:F265"/>
    <mergeCell ref="B1050:F1050"/>
    <mergeCell ref="A1140:E1140"/>
    <mergeCell ref="A1176:E1176"/>
    <mergeCell ref="A415:E415"/>
    <mergeCell ref="A586:E586"/>
    <mergeCell ref="A1155:E1155"/>
    <mergeCell ref="A1191:E1191"/>
    <mergeCell ref="B668:F668"/>
    <mergeCell ref="A181:E181"/>
    <mergeCell ref="A479:E479"/>
    <mergeCell ref="A715:E715"/>
    <mergeCell ref="A665:E665"/>
    <mergeCell ref="B607:F607"/>
    <mergeCell ref="A1031:E1031"/>
    <mergeCell ref="A270:E270"/>
    <mergeCell ref="A835:E835"/>
    <mergeCell ref="A1458:E1458"/>
    <mergeCell ref="A370:E370"/>
    <mergeCell ref="B994:F994"/>
    <mergeCell ref="B1701:F1701"/>
    <mergeCell ref="A1091:E1091"/>
    <mergeCell ref="A482:F482"/>
    <mergeCell ref="A1471:E1471"/>
    <mergeCell ref="A774:F774"/>
    <mergeCell ref="A943:E943"/>
    <mergeCell ref="A1016:F1016"/>
    <mergeCell ref="A1249:F1249"/>
    <mergeCell ref="B1561:F1561"/>
    <mergeCell ref="B898:F898"/>
    <mergeCell ref="A1166:E1166"/>
    <mergeCell ref="A1558:E1558"/>
    <mergeCell ref="A1495:E1495"/>
    <mergeCell ref="A869:F869"/>
    <mergeCell ref="A1190:E1190"/>
    <mergeCell ref="A1090:E1090"/>
    <mergeCell ref="A31:E31"/>
    <mergeCell ref="A1169:F1169"/>
    <mergeCell ref="A963:F963"/>
    <mergeCell ref="A850:E850"/>
    <mergeCell ref="A737:F737"/>
    <mergeCell ref="B1622:F1622"/>
    <mergeCell ref="A808:F808"/>
    <mergeCell ref="A1550:F1550"/>
    <mergeCell ref="B1274:F1274"/>
    <mergeCell ref="A1158:F1158"/>
    <mergeCell ref="A1517:E1517"/>
    <mergeCell ref="A124:E124"/>
    <mergeCell ref="A374:F374"/>
    <mergeCell ref="A1393:F1393"/>
    <mergeCell ref="A1258:E1258"/>
    <mergeCell ref="A1520:F1520"/>
    <mergeCell ref="B1142:F1142"/>
    <mergeCell ref="B685:F685"/>
    <mergeCell ref="B946:F946"/>
    <mergeCell ref="A1637:E1637"/>
    <mergeCell ref="A1047:E1047"/>
    <mergeCell ref="A1245:E1245"/>
    <mergeCell ref="B543:F543"/>
    <mergeCell ref="A1403:E1403"/>
    <mergeCell ref="B481:F481"/>
    <mergeCell ref="A734:E734"/>
    <mergeCell ref="A976:E976"/>
    <mergeCell ref="A144:E144"/>
    <mergeCell ref="A1574:F1574"/>
    <mergeCell ref="A880:E880"/>
    <mergeCell ref="A513:E513"/>
    <mergeCell ref="A1205:E1205"/>
    <mergeCell ref="A450:E450"/>
    <mergeCell ref="A1486:F1486"/>
    <mergeCell ref="A427:F427"/>
    <mergeCell ref="B309:F309"/>
    <mergeCell ref="B113:F113"/>
    <mergeCell ref="A345:F345"/>
    <mergeCell ref="A1536:E1536"/>
    <mergeCell ref="B1420:F1420"/>
    <mergeCell ref="A1317:F1317"/>
    <mergeCell ref="B382:F382"/>
    <mergeCell ref="A1650:E1650"/>
    <mergeCell ref="A1462:F1462"/>
    <mergeCell ref="A1327:E1327"/>
    <mergeCell ref="A566:E566"/>
    <mergeCell ref="A1106:E1106"/>
    <mergeCell ref="A147:F147"/>
    <mergeCell ref="A851:E851"/>
    <mergeCell ref="A1220:E1220"/>
    <mergeCell ref="A866:E866"/>
    <mergeCell ref="A666:E666"/>
    <mergeCell ref="A1109:F1109"/>
    <mergeCell ref="B1448:F1448"/>
    <mergeCell ref="A895:E895"/>
    <mergeCell ref="B1342:F1342"/>
    <mergeCell ref="A669:F669"/>
    <mergeCell ref="B453:F453"/>
    <mergeCell ref="A1418:E1418"/>
    <mergeCell ref="B914:F914"/>
    <mergeCell ref="A1482:E1482"/>
    <mergeCell ref="A279:E279"/>
    <mergeCell ref="A521:E521"/>
    <mergeCell ref="A928:E928"/>
    <mergeCell ref="B1149:F1149"/>
    <mergeCell ref="B90:F90"/>
    <mergeCell ref="A1177:E1177"/>
    <mergeCell ref="A45:E45"/>
    <mergeCell ref="A1680:E1680"/>
    <mergeCell ref="B184:F184"/>
    <mergeCell ref="A1340:E1340"/>
    <mergeCell ref="A585:E585"/>
    <mergeCell ref="A623:E623"/>
    <mergeCell ref="A821:E821"/>
    <mergeCell ref="A992:E992"/>
    <mergeCell ref="A87:E87"/>
    <mergeCell ref="A524:F524"/>
    <mergeCell ref="A218:E218"/>
    <mergeCell ref="A1271:E1271"/>
    <mergeCell ref="A5:F5"/>
    <mergeCell ref="A1623:F1623"/>
    <mergeCell ref="A46:E46"/>
    <mergeCell ref="A824:F824"/>
    <mergeCell ref="B1461:F1461"/>
    <mergeCell ref="A307:E307"/>
    <mergeCell ref="B472:F472"/>
    <mergeCell ref="A641:E641"/>
    <mergeCell ref="A380:E380"/>
    <mergeCell ref="B1509:F1509"/>
    <mergeCell ref="A371:E371"/>
    <mergeCell ref="A911:E911"/>
    <mergeCell ref="B1033:F1033"/>
    <mergeCell ref="A1470:E1470"/>
    <mergeCell ref="A1432:E1432"/>
    <mergeCell ref="A1699:E1699"/>
    <mergeCell ref="A173:E173"/>
    <mergeCell ref="A535:F535"/>
    <mergeCell ref="A473:F473"/>
    <mergeCell ref="A1051:F1051"/>
    <mergeCell ref="A1209:F1209"/>
    <mergeCell ref="A283:F283"/>
    <mergeCell ref="A682:E682"/>
    <mergeCell ref="A1459:E1459"/>
    <mergeCell ref="B1093:F1093"/>
    <mergeCell ref="A733:E733"/>
    <mergeCell ref="B701:F701"/>
    <mergeCell ref="A1275:F1275"/>
    <mergeCell ref="A1582:E1582"/>
    <mergeCell ref="B853:F853"/>
    <mergeCell ref="B1157:F1157"/>
    <mergeCell ref="B1222:F1222"/>
    <mergeCell ref="A1483:E1483"/>
    <mergeCell ref="B930:F930"/>
    <mergeCell ref="B175:F175"/>
    <mergeCell ref="B1330:F1330"/>
    <mergeCell ref="B569:F569"/>
    <mergeCell ref="A1285:E1285"/>
    <mergeCell ref="A1583:E1583"/>
    <mergeCell ref="A32:E32"/>
    <mergeCell ref="A1300:E1300"/>
    <mergeCell ref="A1122:E1122"/>
    <mergeCell ref="B1248:F1248"/>
    <mergeCell ref="A1194:F1194"/>
    <mergeCell ref="B1235:F1235"/>
    <mergeCell ref="B126:F126"/>
    <mergeCell ref="B1179:F1179"/>
    <mergeCell ref="A1223:F1223"/>
    <mergeCell ref="A1232:E1232"/>
    <mergeCell ref="B193:F193"/>
    <mergeCell ref="A1586:F1586"/>
    <mergeCell ref="A123:E123"/>
    <mergeCell ref="B1485:F1485"/>
    <mergeCell ref="B282:F282"/>
    <mergeCell ref="B1108:F1108"/>
    <mergeCell ref="A110:E110"/>
    <mergeCell ref="B1406:F1406"/>
    <mergeCell ref="A16:E16"/>
    <mergeCell ref="B48:F48"/>
    <mergeCell ref="A1013:E1013"/>
    <mergeCell ref="A1507:E1507"/>
    <mergeCell ref="A423:E423"/>
    <mergeCell ref="A1417:E1417"/>
    <mergeCell ref="A1079:F1079"/>
    <mergeCell ref="A683:E683"/>
    <mergeCell ref="A487:E487"/>
    <mergeCell ref="A1527:E1527"/>
    <mergeCell ref="A68:F68"/>
    <mergeCell ref="A1510:F1510"/>
    <mergeCell ref="A1143:F1143"/>
    <mergeCell ref="A1446:E1446"/>
    <mergeCell ref="A1702:F1702"/>
    <mergeCell ref="B137:F137"/>
    <mergeCell ref="A1354:F1354"/>
    <mergeCell ref="A884:F884"/>
    <mergeCell ref="A134:E134"/>
    <mergeCell ref="A1351:E1351"/>
    <mergeCell ref="B1004:F1004"/>
    <mergeCell ref="B1302:F1302"/>
    <mergeCell ref="B1473:F1473"/>
    <mergeCell ref="A540:E540"/>
    <mergeCell ref="A702:F702"/>
    <mergeCell ref="A225:E225"/>
    <mergeCell ref="A1065:F1065"/>
    <mergeCell ref="A1236:F1236"/>
    <mergeCell ref="A1651:E1651"/>
    <mergeCell ref="A1001:E1001"/>
    <mergeCell ref="B1078:F1078"/>
    <mergeCell ref="A1286:E1286"/>
    <mergeCell ref="A1530:F1530"/>
    <mergeCell ref="A185:F185"/>
    <mergeCell ref="B1683:F1683"/>
    <mergeCell ref="B67:F67"/>
    <mergeCell ref="B1015:F1015"/>
    <mergeCell ref="B1549:F1549"/>
    <mergeCell ref="B588:F588"/>
    <mergeCell ref="A1289:F1289"/>
    <mergeCell ref="A714:E714"/>
    <mergeCell ref="B652:F652"/>
    <mergeCell ref="B823:F823"/>
    <mergeCell ref="B717:F717"/>
    <mergeCell ref="A17:E17"/>
    <mergeCell ref="A424:E424"/>
    <mergeCell ref="A622:E622"/>
    <mergeCell ref="A1299:E1299"/>
    <mergeCell ref="A1619:E1619"/>
    <mergeCell ref="A138:F138"/>
    <mergeCell ref="A416:E416"/>
    <mergeCell ref="A915:F915"/>
    <mergeCell ref="A190:E190"/>
    <mergeCell ref="A1449:F1449"/>
    <mergeCell ref="A1314:E1314"/>
    <mergeCell ref="A111:E111"/>
    <mergeCell ref="A1126:F1126"/>
    <mergeCell ref="A991:E991"/>
    <mergeCell ref="A653:F65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58"/>
  <sheetViews>
    <sheetView showGridLines="0" workbookViewId="0">
      <pane ySplit="3" topLeftCell="A4" activePane="bottomLeft" state="frozen"/>
      <selection pane="bottomLeft" activeCell="A1" sqref="A1"/>
    </sheetView>
  </sheetViews>
  <sheetFormatPr baseColWidth="8" defaultRowHeight="15"/>
  <cols>
    <col width="12" customWidth="1" min="1" max="1"/>
    <col width="60" customWidth="1" min="2" max="2"/>
    <col width="10" customWidth="1" min="3" max="3"/>
    <col width="12" customWidth="1" min="4" max="4"/>
    <col width="13" customWidth="1" min="5" max="5"/>
    <col width="15" customWidth="1" min="6" max="6"/>
  </cols>
  <sheetData>
    <row r="1" ht="26" customHeight="1">
      <c r="A1" s="1" t="inlineStr">
        <is>
          <t>SUB-HEAD 12: ROOFING</t>
        </is>
      </c>
    </row>
    <row r="2" ht="28" customHeight="1">
      <c r="A2" s="8" t="inlineStr">
        <is>
          <t>118 priced items. Amount and SAY are live Excel formulas computed from the Quantity x Rate figures below - edit any Quantity or Rate and the item's rate recalculates.</t>
        </is>
      </c>
    </row>
    <row r="4" ht="18" customHeight="1">
      <c r="A4" s="9" t="inlineStr">
        <is>
          <t>12.1.1</t>
        </is>
      </c>
      <c r="B4" s="10" t="inlineStr">
        <is>
          <t>1.00 mm thick with zinc coating not less than 275 gm/m²</t>
        </is>
      </c>
      <c r="C4" s="11" t="n"/>
      <c r="D4" s="11" t="n"/>
      <c r="E4" s="11" t="n"/>
      <c r="F4" s="11" t="n"/>
    </row>
    <row r="5">
      <c r="A5" s="12" t="inlineStr">
        <is>
          <t>Rate basis: per x18  (source: cost for 2 x18)</t>
        </is>
      </c>
    </row>
    <row r="6">
      <c r="A6" s="5" t="inlineStr">
        <is>
          <t>Code</t>
        </is>
      </c>
      <c r="B6" s="5" t="inlineStr">
        <is>
          <t>Description</t>
        </is>
      </c>
      <c r="C6" s="5" t="inlineStr">
        <is>
          <t>Unit</t>
        </is>
      </c>
      <c r="D6" s="5" t="inlineStr">
        <is>
          <t>Quantity</t>
        </is>
      </c>
      <c r="E6" s="5" t="inlineStr">
        <is>
          <t>Rate (Rs.)</t>
        </is>
      </c>
      <c r="F6" s="5" t="inlineStr">
        <is>
          <t>Amount (Rs.)</t>
        </is>
      </c>
    </row>
    <row r="7">
      <c r="A7" s="13" t="inlineStr">
        <is>
          <t>3050</t>
        </is>
      </c>
      <c r="B7" s="14" t="inlineStr">
        <is>
          <t>Galvanised steel corrugated sheets</t>
        </is>
      </c>
      <c r="C7" s="13" t="inlineStr">
        <is>
          <t>quintal</t>
        </is>
      </c>
      <c r="D7" s="15" t="n">
        <v>23.26</v>
      </c>
      <c r="E7" s="16" t="n">
        <v>5600</v>
      </c>
      <c r="F7" s="16">
        <f>D7*E7</f>
        <v/>
      </c>
    </row>
    <row r="8">
      <c r="A8" s="13" t="inlineStr">
        <is>
          <t>2302</t>
        </is>
      </c>
      <c r="B8" s="14" t="inlineStr">
        <is>
          <t>Carriage of G.I. sheet and accessories</t>
        </is>
      </c>
      <c r="C8" s="13" t="inlineStr">
        <is>
          <t>tonne</t>
        </is>
      </c>
      <c r="D8" s="15" t="n">
        <v>2.326</v>
      </c>
      <c r="E8" s="16" t="n">
        <v>92.23999999999999</v>
      </c>
      <c r="F8" s="16">
        <f>D8*E8</f>
        <v/>
      </c>
    </row>
    <row r="9">
      <c r="A9" s="13" t="inlineStr">
        <is>
          <t>1022</t>
        </is>
      </c>
      <c r="B9" s="14" t="inlineStr">
        <is>
          <t>Galvanised steel bolts &amp; nuts 6 mm dia and 25 mm long round head with slots</t>
        </is>
      </c>
      <c r="C9" s="13" t="inlineStr">
        <is>
          <t>10 Nos</t>
        </is>
      </c>
      <c r="D9" s="15" t="n">
        <v>88.40000000000001</v>
      </c>
      <c r="E9" s="16" t="n">
        <v>38</v>
      </c>
      <c r="F9" s="16">
        <f>D9*E9</f>
        <v/>
      </c>
    </row>
    <row r="10">
      <c r="A10" s="13" t="inlineStr">
        <is>
          <t>1023</t>
        </is>
      </c>
      <c r="B10" s="14" t="inlineStr">
        <is>
          <t>Galvanised steel J or L hooks 8 mm dia</t>
        </is>
      </c>
      <c r="C10" s="13" t="inlineStr">
        <is>
          <t>10 Nos</t>
        </is>
      </c>
      <c r="D10" s="15" t="n">
        <v>81</v>
      </c>
      <c r="E10" s="16" t="n">
        <v>120</v>
      </c>
      <c r="F10" s="16">
        <f>D10*E10</f>
        <v/>
      </c>
    </row>
    <row r="11">
      <c r="A11" s="13" t="inlineStr">
        <is>
          <t>1207</t>
        </is>
      </c>
      <c r="B11" s="14" t="inlineStr">
        <is>
          <t>G.I. Limpet washer</t>
        </is>
      </c>
      <c r="C11" s="13" t="inlineStr">
        <is>
          <t>100 Nos</t>
        </is>
      </c>
      <c r="D11" s="15" t="n">
        <v>16.94</v>
      </c>
      <c r="E11" s="16" t="n">
        <v>21</v>
      </c>
      <c r="F11" s="16">
        <f>D11*E11</f>
        <v/>
      </c>
    </row>
    <row r="12">
      <c r="A12" s="13" t="inlineStr">
        <is>
          <t>1208</t>
        </is>
      </c>
      <c r="B12" s="14" t="inlineStr">
        <is>
          <t>Bitumen washer</t>
        </is>
      </c>
      <c r="C12" s="13" t="inlineStr">
        <is>
          <t>100 Nos</t>
        </is>
      </c>
      <c r="D12" s="15" t="n">
        <v>16.94</v>
      </c>
      <c r="E12" s="16" t="n">
        <v>30</v>
      </c>
      <c r="F12" s="16">
        <f>D12*E12</f>
        <v/>
      </c>
    </row>
    <row r="13">
      <c r="A13" s="13" t="inlineStr">
        <is>
          <t>9977</t>
        </is>
      </c>
      <c r="B13" s="14" t="inlineStr">
        <is>
          <t>Carriage of bolts and washers</t>
        </is>
      </c>
      <c r="C13" s="13" t="inlineStr">
        <is>
          <t>L.S.</t>
        </is>
      </c>
      <c r="D13" s="15" t="n">
        <v>26.91</v>
      </c>
      <c r="E13" s="16" t="n">
        <v>2</v>
      </c>
      <c r="F13" s="16">
        <f>D13*E13</f>
        <v/>
      </c>
    </row>
    <row r="14">
      <c r="A14" s="13" t="inlineStr">
        <is>
          <t>9999</t>
        </is>
      </c>
      <c r="B14" s="14" t="inlineStr">
        <is>
          <t>Sundries</t>
        </is>
      </c>
      <c r="C14" s="13" t="inlineStr">
        <is>
          <t>L.S.</t>
        </is>
      </c>
      <c r="D14" s="15" t="n">
        <v>53.82</v>
      </c>
      <c r="E14" s="16" t="n">
        <v>2</v>
      </c>
      <c r="F14" s="16">
        <f>D14*E14</f>
        <v/>
      </c>
    </row>
    <row r="15">
      <c r="A15" s="13" t="inlineStr">
        <is>
          <t>0130</t>
        </is>
      </c>
      <c r="B15" s="14" t="inlineStr">
        <is>
          <t>Mistry</t>
        </is>
      </c>
      <c r="C15" s="13" t="inlineStr">
        <is>
          <t>day</t>
        </is>
      </c>
      <c r="D15" s="15" t="n">
        <v>1.3</v>
      </c>
      <c r="E15" s="16" t="n">
        <v>738</v>
      </c>
      <c r="F15" s="16">
        <f>D15*E15</f>
        <v/>
      </c>
    </row>
    <row r="16">
      <c r="A16" s="13" t="inlineStr">
        <is>
          <t>0112</t>
        </is>
      </c>
      <c r="B16" s="14" t="inlineStr">
        <is>
          <t>Carpenter 2nd class</t>
        </is>
      </c>
      <c r="C16" s="13" t="inlineStr">
        <is>
          <t>day</t>
        </is>
      </c>
      <c r="D16" s="15" t="n">
        <v>15.5</v>
      </c>
      <c r="E16" s="16" t="n">
        <v>679</v>
      </c>
      <c r="F16" s="16">
        <f>D16*E16</f>
        <v/>
      </c>
    </row>
    <row r="17">
      <c r="A17" s="13" t="inlineStr">
        <is>
          <t>0114</t>
        </is>
      </c>
      <c r="B17" s="14" t="inlineStr">
        <is>
          <t>Beldar</t>
        </is>
      </c>
      <c r="C17" s="13" t="inlineStr">
        <is>
          <t>day</t>
        </is>
      </c>
      <c r="D17" s="15" t="n">
        <v>15.5</v>
      </c>
      <c r="E17" s="16" t="n">
        <v>558</v>
      </c>
      <c r="F17" s="16">
        <f>D17*E17</f>
        <v/>
      </c>
    </row>
    <row r="18">
      <c r="A18" s="13" t="inlineStr">
        <is>
          <t>4202</t>
        </is>
      </c>
      <c r="B18" s="14" t="inlineStr">
        <is>
          <t>Red oxide Zinc chromate primer</t>
        </is>
      </c>
      <c r="C18" s="13" t="inlineStr">
        <is>
          <t>litre</t>
        </is>
      </c>
      <c r="D18" s="15" t="n">
        <v>2.53</v>
      </c>
      <c r="E18" s="16" t="n">
        <v>110</v>
      </c>
      <c r="F18" s="16">
        <f>D18*E18</f>
        <v/>
      </c>
    </row>
    <row r="19">
      <c r="A19" s="13" t="inlineStr">
        <is>
          <t>9977</t>
        </is>
      </c>
      <c r="B19" s="14" t="inlineStr">
        <is>
          <t>Carriage of material</t>
        </is>
      </c>
      <c r="C19" s="13" t="inlineStr">
        <is>
          <t>L.S.</t>
        </is>
      </c>
      <c r="D19" s="15" t="n">
        <v>0.52</v>
      </c>
      <c r="E19" s="16" t="n">
        <v>2</v>
      </c>
      <c r="F19" s="16">
        <f>D19*E19</f>
        <v/>
      </c>
    </row>
    <row r="20">
      <c r="A20" s="13" t="inlineStr">
        <is>
          <t>0131</t>
        </is>
      </c>
      <c r="B20" s="14" t="inlineStr">
        <is>
          <t>Painter</t>
        </is>
      </c>
      <c r="C20" s="13" t="inlineStr">
        <is>
          <t>day</t>
        </is>
      </c>
      <c r="D20" s="15" t="n">
        <v>1.13</v>
      </c>
      <c r="E20" s="16" t="n">
        <v>679</v>
      </c>
      <c r="F20" s="16">
        <f>D20*E20</f>
        <v/>
      </c>
    </row>
    <row r="21">
      <c r="A21" s="13" t="inlineStr">
        <is>
          <t>0115</t>
        </is>
      </c>
      <c r="B21" s="14" t="inlineStr">
        <is>
          <t>Coolie</t>
        </is>
      </c>
      <c r="C21" s="13" t="inlineStr">
        <is>
          <t>day</t>
        </is>
      </c>
      <c r="D21" s="15" t="n">
        <v>1.13</v>
      </c>
      <c r="E21" s="16" t="n">
        <v>558</v>
      </c>
      <c r="F21" s="16">
        <f>D21*E21</f>
        <v/>
      </c>
    </row>
    <row r="22">
      <c r="A22" s="13" t="inlineStr">
        <is>
          <t>9999</t>
        </is>
      </c>
      <c r="B22" s="14" t="inlineStr">
        <is>
          <t>Brushes, sand papers i/c sundries</t>
        </is>
      </c>
      <c r="C22" s="13" t="inlineStr">
        <is>
          <t>L.S.</t>
        </is>
      </c>
      <c r="D22" s="15" t="n">
        <v>50.57</v>
      </c>
      <c r="E22" s="16" t="n">
        <v>2</v>
      </c>
      <c r="F22" s="16">
        <f>D22*E22</f>
        <v/>
      </c>
    </row>
    <row r="23">
      <c r="A23" s="13" t="inlineStr">
        <is>
          <t>0845</t>
        </is>
      </c>
      <c r="B23" s="14" t="inlineStr">
        <is>
          <t>Roofing paint for iron sheets in red colour</t>
        </is>
      </c>
      <c r="C23" s="13" t="inlineStr">
        <is>
          <t>litre</t>
        </is>
      </c>
      <c r="D23" s="15" t="n">
        <v>3.75</v>
      </c>
      <c r="E23" s="16" t="n">
        <v>120</v>
      </c>
      <c r="F23" s="16">
        <f>D23*E23</f>
        <v/>
      </c>
    </row>
    <row r="24">
      <c r="A24" s="13" t="inlineStr">
        <is>
          <t>9977</t>
        </is>
      </c>
      <c r="B24" s="14" t="inlineStr">
        <is>
          <t>Carriage of paint</t>
        </is>
      </c>
      <c r="C24" s="13" t="inlineStr">
        <is>
          <t>L.S.</t>
        </is>
      </c>
      <c r="D24" s="15" t="n">
        <v>6.76</v>
      </c>
      <c r="E24" s="16" t="n">
        <v>2</v>
      </c>
      <c r="F24" s="16">
        <f>D24*E24</f>
        <v/>
      </c>
    </row>
    <row r="25">
      <c r="A25" s="13" t="inlineStr">
        <is>
          <t>0131</t>
        </is>
      </c>
      <c r="B25" s="14" t="inlineStr">
        <is>
          <t>Painter</t>
        </is>
      </c>
      <c r="C25" s="13" t="inlineStr">
        <is>
          <t>day</t>
        </is>
      </c>
      <c r="D25" s="15" t="n">
        <v>2.53</v>
      </c>
      <c r="E25" s="16" t="n">
        <v>679</v>
      </c>
      <c r="F25" s="16">
        <f>D25*E25</f>
        <v/>
      </c>
    </row>
    <row r="26">
      <c r="A26" s="13" t="inlineStr">
        <is>
          <t>0115</t>
        </is>
      </c>
      <c r="B26" s="14" t="inlineStr">
        <is>
          <t>Coolie</t>
        </is>
      </c>
      <c r="C26" s="13" t="inlineStr">
        <is>
          <t>day</t>
        </is>
      </c>
      <c r="D26" s="15" t="n">
        <v>2.53</v>
      </c>
      <c r="E26" s="16" t="n">
        <v>558</v>
      </c>
      <c r="F26" s="16">
        <f>D26*E26</f>
        <v/>
      </c>
    </row>
    <row r="27">
      <c r="A27" s="13" t="inlineStr">
        <is>
          <t>9999</t>
        </is>
      </c>
      <c r="B27" s="14" t="inlineStr">
        <is>
          <t>Brushes and Sandpapers</t>
        </is>
      </c>
      <c r="C27" s="13" t="inlineStr">
        <is>
          <t>L.S.</t>
        </is>
      </c>
      <c r="D27" s="15" t="n">
        <v>31.98</v>
      </c>
      <c r="E27" s="16" t="n">
        <v>2</v>
      </c>
      <c r="F27" s="16">
        <f>D27*E27</f>
        <v/>
      </c>
    </row>
    <row r="28">
      <c r="A28" s="13" t="inlineStr">
        <is>
          <t>9999</t>
        </is>
      </c>
      <c r="B28" s="14" t="inlineStr">
        <is>
          <t>Sundries</t>
        </is>
      </c>
      <c r="C28" s="13" t="inlineStr">
        <is>
          <t>L.S.</t>
        </is>
      </c>
      <c r="D28" s="15" t="n">
        <v>38.09</v>
      </c>
      <c r="E28" s="16" t="n">
        <v>2</v>
      </c>
      <c r="F28" s="16">
        <f>D28*E28</f>
        <v/>
      </c>
    </row>
    <row r="29">
      <c r="A29" s="17" t="inlineStr">
        <is>
          <t>Resource Total (Material + Labour + Machinery, as printed)</t>
        </is>
      </c>
      <c r="B29" s="18" t="n"/>
      <c r="C29" s="18" t="n"/>
      <c r="D29" s="18" t="n"/>
      <c r="E29" s="18" t="n"/>
      <c r="F29" s="19">
        <f>SUM(F7:F28)</f>
        <v/>
      </c>
    </row>
    <row r="30">
      <c r="A30" s="20" t="inlineStr">
        <is>
          <t>SAY (Rs.) — final DAR rate</t>
        </is>
      </c>
      <c r="B30" s="21" t="n"/>
      <c r="C30" s="21" t="n"/>
      <c r="D30" s="21" t="n"/>
      <c r="E30" s="21" t="n"/>
      <c r="F30" s="22" t="n">
        <v>1234.25</v>
      </c>
    </row>
    <row r="32" ht="18" customHeight="1">
      <c r="A32" s="9" t="inlineStr">
        <is>
          <t>12.1.2</t>
        </is>
      </c>
      <c r="B32" s="10" t="inlineStr">
        <is>
          <t>0.80 mm thick with zinc coating not less than 275 gm/m²</t>
        </is>
      </c>
      <c r="C32" s="11" t="n"/>
      <c r="D32" s="11" t="n"/>
      <c r="E32" s="11" t="n"/>
      <c r="F32" s="11" t="n"/>
    </row>
    <row r="33">
      <c r="A33" s="12" t="inlineStr">
        <is>
          <t>Rate basis: per x18  (source: cost for 2 x18)</t>
        </is>
      </c>
    </row>
    <row r="34">
      <c r="A34" s="5" t="inlineStr">
        <is>
          <t>Code</t>
        </is>
      </c>
      <c r="B34" s="5" t="inlineStr">
        <is>
          <t>Description</t>
        </is>
      </c>
      <c r="C34" s="5" t="inlineStr">
        <is>
          <t>Unit</t>
        </is>
      </c>
      <c r="D34" s="5" t="inlineStr">
        <is>
          <t>Quantity</t>
        </is>
      </c>
      <c r="E34" s="5" t="inlineStr">
        <is>
          <t>Rate (Rs.)</t>
        </is>
      </c>
      <c r="F34" s="5" t="inlineStr">
        <is>
          <t>Amount (Rs.)</t>
        </is>
      </c>
    </row>
    <row r="35">
      <c r="A35" s="13" t="inlineStr">
        <is>
          <t>3050</t>
        </is>
      </c>
      <c r="B35" s="14" t="inlineStr">
        <is>
          <t>Galvanised steel corrugated sheets</t>
        </is>
      </c>
      <c r="C35" s="13" t="inlineStr">
        <is>
          <t>quintal</t>
        </is>
      </c>
      <c r="D35" s="15" t="n">
        <v>19.02</v>
      </c>
      <c r="E35" s="16" t="n">
        <v>5600</v>
      </c>
      <c r="F35" s="16">
        <f>D35*E35</f>
        <v/>
      </c>
    </row>
    <row r="36">
      <c r="A36" s="13" t="inlineStr">
        <is>
          <t>2302</t>
        </is>
      </c>
      <c r="B36" s="14" t="inlineStr">
        <is>
          <t>Carriage of G.I. sheet and accessories</t>
        </is>
      </c>
      <c r="C36" s="13" t="inlineStr">
        <is>
          <t>tonne</t>
        </is>
      </c>
      <c r="D36" s="15" t="n">
        <v>1.902</v>
      </c>
      <c r="E36" s="16" t="n">
        <v>92.23999999999999</v>
      </c>
      <c r="F36" s="16">
        <f>D36*E36</f>
        <v/>
      </c>
    </row>
    <row r="37">
      <c r="A37" s="13" t="inlineStr">
        <is>
          <t>1022</t>
        </is>
      </c>
      <c r="B37" s="14" t="inlineStr">
        <is>
          <t>Galvanised steel bolts &amp; nuts 6 mm dia and 25 mmlong round head with slots</t>
        </is>
      </c>
      <c r="C37" s="13" t="inlineStr">
        <is>
          <t>10 Nos</t>
        </is>
      </c>
      <c r="D37" s="15" t="n">
        <v>88.40000000000001</v>
      </c>
      <c r="E37" s="16" t="n">
        <v>38</v>
      </c>
      <c r="F37" s="16">
        <f>D37*E37</f>
        <v/>
      </c>
    </row>
    <row r="38">
      <c r="A38" s="13" t="inlineStr">
        <is>
          <t>1023</t>
        </is>
      </c>
      <c r="B38" s="14" t="inlineStr">
        <is>
          <t>Galvanised steel J or L hooks 8 mm dia</t>
        </is>
      </c>
      <c r="C38" s="13" t="inlineStr">
        <is>
          <t>10 Nos</t>
        </is>
      </c>
      <c r="D38" s="15" t="n">
        <v>81</v>
      </c>
      <c r="E38" s="16" t="n">
        <v>120</v>
      </c>
      <c r="F38" s="16">
        <f>D38*E38</f>
        <v/>
      </c>
    </row>
    <row r="39">
      <c r="A39" s="13" t="inlineStr">
        <is>
          <t>1207</t>
        </is>
      </c>
      <c r="B39" s="14" t="inlineStr">
        <is>
          <t>G.I. Limpet washer</t>
        </is>
      </c>
      <c r="C39" s="13" t="inlineStr">
        <is>
          <t>100 Nos</t>
        </is>
      </c>
      <c r="D39" s="15" t="n">
        <v>16.94</v>
      </c>
      <c r="E39" s="16" t="n">
        <v>21</v>
      </c>
      <c r="F39" s="16">
        <f>D39*E39</f>
        <v/>
      </c>
    </row>
    <row r="40">
      <c r="A40" s="13" t="inlineStr">
        <is>
          <t>1208</t>
        </is>
      </c>
      <c r="B40" s="14" t="inlineStr">
        <is>
          <t>Bitumen washer</t>
        </is>
      </c>
      <c r="C40" s="13" t="inlineStr">
        <is>
          <t>100 Nos</t>
        </is>
      </c>
      <c r="D40" s="15" t="n">
        <v>16.94</v>
      </c>
      <c r="E40" s="16" t="n">
        <v>30</v>
      </c>
      <c r="F40" s="16">
        <f>D40*E40</f>
        <v/>
      </c>
    </row>
    <row r="41">
      <c r="A41" s="13" t="inlineStr">
        <is>
          <t>9977</t>
        </is>
      </c>
      <c r="B41" s="14" t="inlineStr">
        <is>
          <t>Carriage of bolts and washers</t>
        </is>
      </c>
      <c r="C41" s="13" t="inlineStr">
        <is>
          <t>L.S.</t>
        </is>
      </c>
      <c r="D41" s="15" t="n">
        <v>26.91</v>
      </c>
      <c r="E41" s="16" t="n">
        <v>2</v>
      </c>
      <c r="F41" s="16">
        <f>D41*E41</f>
        <v/>
      </c>
    </row>
    <row r="42">
      <c r="A42" s="13" t="inlineStr">
        <is>
          <t>9999</t>
        </is>
      </c>
      <c r="B42" s="14" t="inlineStr">
        <is>
          <t>Sundries</t>
        </is>
      </c>
      <c r="C42" s="13" t="inlineStr">
        <is>
          <t>L.S.</t>
        </is>
      </c>
      <c r="D42" s="15" t="n">
        <v>53.82</v>
      </c>
      <c r="E42" s="16" t="n">
        <v>2</v>
      </c>
      <c r="F42" s="16">
        <f>D42*E42</f>
        <v/>
      </c>
    </row>
    <row r="43">
      <c r="A43" s="13" t="inlineStr">
        <is>
          <t>0130</t>
        </is>
      </c>
      <c r="B43" s="14" t="inlineStr">
        <is>
          <t>Mistry</t>
        </is>
      </c>
      <c r="C43" s="13" t="inlineStr">
        <is>
          <t>day</t>
        </is>
      </c>
      <c r="D43" s="15" t="n">
        <v>1.3</v>
      </c>
      <c r="E43" s="16" t="n">
        <v>738</v>
      </c>
      <c r="F43" s="16">
        <f>D43*E43</f>
        <v/>
      </c>
    </row>
    <row r="44">
      <c r="A44" s="13" t="inlineStr">
        <is>
          <t>0112</t>
        </is>
      </c>
      <c r="B44" s="14" t="inlineStr">
        <is>
          <t>Carpenter 2nd class</t>
        </is>
      </c>
      <c r="C44" s="13" t="inlineStr">
        <is>
          <t>day</t>
        </is>
      </c>
      <c r="D44" s="15" t="n">
        <v>15.5</v>
      </c>
      <c r="E44" s="16" t="n">
        <v>679</v>
      </c>
      <c r="F44" s="16">
        <f>D44*E44</f>
        <v/>
      </c>
    </row>
    <row r="45">
      <c r="A45" s="13" t="inlineStr">
        <is>
          <t>0114</t>
        </is>
      </c>
      <c r="B45" s="14" t="inlineStr">
        <is>
          <t>Beldar</t>
        </is>
      </c>
      <c r="C45" s="13" t="inlineStr">
        <is>
          <t>day</t>
        </is>
      </c>
      <c r="D45" s="15" t="n">
        <v>15.5</v>
      </c>
      <c r="E45" s="16" t="n">
        <v>558</v>
      </c>
      <c r="F45" s="16">
        <f>D45*E45</f>
        <v/>
      </c>
    </row>
    <row r="46">
      <c r="A46" s="13" t="inlineStr">
        <is>
          <t>4202</t>
        </is>
      </c>
      <c r="B46" s="14" t="inlineStr">
        <is>
          <t>Red oxide Zinc chromate primer</t>
        </is>
      </c>
      <c r="C46" s="13" t="inlineStr">
        <is>
          <t>litre</t>
        </is>
      </c>
      <c r="D46" s="15" t="n">
        <v>2.53</v>
      </c>
      <c r="E46" s="16" t="n">
        <v>110</v>
      </c>
      <c r="F46" s="16">
        <f>D46*E46</f>
        <v/>
      </c>
    </row>
    <row r="47">
      <c r="A47" s="13" t="inlineStr">
        <is>
          <t>9977</t>
        </is>
      </c>
      <c r="B47" s="14" t="inlineStr">
        <is>
          <t>Carriage of material</t>
        </is>
      </c>
      <c r="C47" s="13" t="inlineStr">
        <is>
          <t>L.S.</t>
        </is>
      </c>
      <c r="D47" s="15" t="n">
        <v>0.52</v>
      </c>
      <c r="E47" s="16" t="n">
        <v>2</v>
      </c>
      <c r="F47" s="16">
        <f>D47*E47</f>
        <v/>
      </c>
    </row>
    <row r="48">
      <c r="A48" s="13" t="inlineStr">
        <is>
          <t>0131</t>
        </is>
      </c>
      <c r="B48" s="14" t="inlineStr">
        <is>
          <t>Painter</t>
        </is>
      </c>
      <c r="C48" s="13" t="inlineStr">
        <is>
          <t>day</t>
        </is>
      </c>
      <c r="D48" s="15" t="n">
        <v>1.13</v>
      </c>
      <c r="E48" s="16" t="n">
        <v>679</v>
      </c>
      <c r="F48" s="16">
        <f>D48*E48</f>
        <v/>
      </c>
    </row>
    <row r="49">
      <c r="A49" s="13" t="inlineStr">
        <is>
          <t>0115</t>
        </is>
      </c>
      <c r="B49" s="14" t="inlineStr">
        <is>
          <t>Coolie</t>
        </is>
      </c>
      <c r="C49" s="13" t="inlineStr">
        <is>
          <t>day</t>
        </is>
      </c>
      <c r="D49" s="15" t="n">
        <v>1.13</v>
      </c>
      <c r="E49" s="16" t="n">
        <v>558</v>
      </c>
      <c r="F49" s="16">
        <f>D49*E49</f>
        <v/>
      </c>
    </row>
    <row r="50">
      <c r="A50" s="13" t="inlineStr">
        <is>
          <t>9999</t>
        </is>
      </c>
      <c r="B50" s="14" t="inlineStr">
        <is>
          <t>Brushes, sand papers i/c sundries</t>
        </is>
      </c>
      <c r="C50" s="13" t="inlineStr">
        <is>
          <t>L.S.</t>
        </is>
      </c>
      <c r="D50" s="15" t="n">
        <v>50.57</v>
      </c>
      <c r="E50" s="16" t="n">
        <v>2</v>
      </c>
      <c r="F50" s="16">
        <f>D50*E50</f>
        <v/>
      </c>
    </row>
    <row r="51">
      <c r="A51" s="13" t="inlineStr">
        <is>
          <t>0845</t>
        </is>
      </c>
      <c r="B51" s="14" t="inlineStr">
        <is>
          <t>Roofing paint for iron sheets in red colour</t>
        </is>
      </c>
      <c r="C51" s="13" t="inlineStr">
        <is>
          <t>litre</t>
        </is>
      </c>
      <c r="D51" s="15" t="n">
        <v>3.75</v>
      </c>
      <c r="E51" s="16" t="n">
        <v>120</v>
      </c>
      <c r="F51" s="16">
        <f>D51*E51</f>
        <v/>
      </c>
    </row>
    <row r="52">
      <c r="A52" s="13" t="inlineStr">
        <is>
          <t>9977</t>
        </is>
      </c>
      <c r="B52" s="14" t="inlineStr">
        <is>
          <t>Carriage of paint</t>
        </is>
      </c>
      <c r="C52" s="13" t="inlineStr">
        <is>
          <t>L.S.</t>
        </is>
      </c>
      <c r="D52" s="15" t="n">
        <v>6.76</v>
      </c>
      <c r="E52" s="16" t="n">
        <v>2</v>
      </c>
      <c r="F52" s="16">
        <f>D52*E52</f>
        <v/>
      </c>
    </row>
    <row r="53">
      <c r="A53" s="13" t="inlineStr">
        <is>
          <t>0131</t>
        </is>
      </c>
      <c r="B53" s="14" t="inlineStr">
        <is>
          <t>Painter</t>
        </is>
      </c>
      <c r="C53" s="13" t="inlineStr">
        <is>
          <t>day</t>
        </is>
      </c>
      <c r="D53" s="15" t="n">
        <v>2.53</v>
      </c>
      <c r="E53" s="16" t="n">
        <v>679</v>
      </c>
      <c r="F53" s="16">
        <f>D53*E53</f>
        <v/>
      </c>
    </row>
    <row r="54">
      <c r="A54" s="13" t="inlineStr">
        <is>
          <t>0115</t>
        </is>
      </c>
      <c r="B54" s="14" t="inlineStr">
        <is>
          <t>Coolie</t>
        </is>
      </c>
      <c r="C54" s="13" t="inlineStr">
        <is>
          <t>day</t>
        </is>
      </c>
      <c r="D54" s="15" t="n">
        <v>2.53</v>
      </c>
      <c r="E54" s="16" t="n">
        <v>558</v>
      </c>
      <c r="F54" s="16">
        <f>D54*E54</f>
        <v/>
      </c>
    </row>
    <row r="55">
      <c r="A55" s="13" t="inlineStr">
        <is>
          <t>9999</t>
        </is>
      </c>
      <c r="B55" s="14" t="inlineStr">
        <is>
          <t>Brushes and Sandpapers</t>
        </is>
      </c>
      <c r="C55" s="13" t="inlineStr">
        <is>
          <t>L.S.</t>
        </is>
      </c>
      <c r="D55" s="15" t="n">
        <v>31.98</v>
      </c>
      <c r="E55" s="16" t="n">
        <v>2</v>
      </c>
      <c r="F55" s="16">
        <f>D55*E55</f>
        <v/>
      </c>
    </row>
    <row r="56">
      <c r="A56" s="13" t="inlineStr">
        <is>
          <t>9999</t>
        </is>
      </c>
      <c r="B56" s="14" t="inlineStr">
        <is>
          <t>Sundries</t>
        </is>
      </c>
      <c r="C56" s="13" t="inlineStr">
        <is>
          <t>L.S.</t>
        </is>
      </c>
      <c r="D56" s="15" t="n">
        <v>38.09</v>
      </c>
      <c r="E56" s="16" t="n">
        <v>2</v>
      </c>
      <c r="F56" s="16">
        <f>D56*E56</f>
        <v/>
      </c>
    </row>
    <row r="57">
      <c r="A57" s="17" t="inlineStr">
        <is>
          <t>Resource Total (Material + Labour + Machinery, as printed)</t>
        </is>
      </c>
      <c r="B57" s="18" t="n"/>
      <c r="C57" s="18" t="n"/>
      <c r="D57" s="18" t="n"/>
      <c r="E57" s="18" t="n"/>
      <c r="F57" s="19">
        <f>SUM(F35:F56)</f>
        <v/>
      </c>
    </row>
    <row r="58">
      <c r="A58" s="20" t="inlineStr">
        <is>
          <t>SAY (Rs.) — final DAR rate</t>
        </is>
      </c>
      <c r="B58" s="21" t="n"/>
      <c r="C58" s="21" t="n"/>
      <c r="D58" s="21" t="n"/>
      <c r="E58" s="21" t="n"/>
      <c r="F58" s="22" t="n">
        <v>1061.8</v>
      </c>
    </row>
    <row r="60" ht="18" customHeight="1">
      <c r="A60" s="9" t="inlineStr">
        <is>
          <t>12.1.3</t>
        </is>
      </c>
      <c r="B60" s="10" t="inlineStr">
        <is>
          <t>0.63 mm thick with zinc coating not less than 275 gm/ m²</t>
        </is>
      </c>
      <c r="C60" s="11" t="n"/>
      <c r="D60" s="11" t="n"/>
      <c r="E60" s="11" t="n"/>
      <c r="F60" s="11" t="n"/>
    </row>
    <row r="61">
      <c r="A61" s="12" t="inlineStr">
        <is>
          <t>Rate basis: per x18  (source: cost for 2 x18)</t>
        </is>
      </c>
    </row>
    <row r="62">
      <c r="A62" s="5" t="inlineStr">
        <is>
          <t>Code</t>
        </is>
      </c>
      <c r="B62" s="5" t="inlineStr">
        <is>
          <t>Description</t>
        </is>
      </c>
      <c r="C62" s="5" t="inlineStr">
        <is>
          <t>Unit</t>
        </is>
      </c>
      <c r="D62" s="5" t="inlineStr">
        <is>
          <t>Quantity</t>
        </is>
      </c>
      <c r="E62" s="5" t="inlineStr">
        <is>
          <t>Rate (Rs.)</t>
        </is>
      </c>
      <c r="F62" s="5" t="inlineStr">
        <is>
          <t>Amount (Rs.)</t>
        </is>
      </c>
    </row>
    <row r="63">
      <c r="A63" s="13" t="inlineStr">
        <is>
          <t>3050</t>
        </is>
      </c>
      <c r="B63" s="14" t="inlineStr">
        <is>
          <t>Galvanised steel corrugated sheets</t>
        </is>
      </c>
      <c r="C63" s="13" t="inlineStr">
        <is>
          <t>quintal</t>
        </is>
      </c>
      <c r="D63" s="15" t="n">
        <v>15.41</v>
      </c>
      <c r="E63" s="16" t="n">
        <v>5600</v>
      </c>
      <c r="F63" s="16">
        <f>D63*E63</f>
        <v/>
      </c>
    </row>
    <row r="64">
      <c r="A64" s="13" t="inlineStr">
        <is>
          <t>2302</t>
        </is>
      </c>
      <c r="B64" s="14" t="inlineStr">
        <is>
          <t>Carriage of G.I. sheet and accessories</t>
        </is>
      </c>
      <c r="C64" s="13" t="inlineStr">
        <is>
          <t>tonne</t>
        </is>
      </c>
      <c r="D64" s="15" t="n">
        <v>1.54</v>
      </c>
      <c r="E64" s="16" t="n">
        <v>92.23999999999999</v>
      </c>
      <c r="F64" s="16">
        <f>D64*E64</f>
        <v/>
      </c>
    </row>
    <row r="65">
      <c r="A65" s="13" t="inlineStr">
        <is>
          <t>1022</t>
        </is>
      </c>
      <c r="B65" s="14" t="inlineStr">
        <is>
          <t>Galvanised steel bolts &amp; nuts 6 mm dia and 25 mm long round head with slots</t>
        </is>
      </c>
      <c r="C65" s="13" t="inlineStr">
        <is>
          <t>10 Nos</t>
        </is>
      </c>
      <c r="D65" s="15" t="n">
        <v>88.40000000000001</v>
      </c>
      <c r="E65" s="16" t="n">
        <v>38</v>
      </c>
      <c r="F65" s="16">
        <f>D65*E65</f>
        <v/>
      </c>
    </row>
    <row r="66">
      <c r="A66" s="13" t="inlineStr">
        <is>
          <t>1023</t>
        </is>
      </c>
      <c r="B66" s="14" t="inlineStr">
        <is>
          <t>Galvanised steel J or L hooks 8 mm dia</t>
        </is>
      </c>
      <c r="C66" s="13" t="inlineStr">
        <is>
          <t>10 Nos</t>
        </is>
      </c>
      <c r="D66" s="15" t="n">
        <v>81</v>
      </c>
      <c r="E66" s="16" t="n">
        <v>120</v>
      </c>
      <c r="F66" s="16">
        <f>D66*E66</f>
        <v/>
      </c>
    </row>
    <row r="67">
      <c r="A67" s="13" t="inlineStr">
        <is>
          <t>1207</t>
        </is>
      </c>
      <c r="B67" s="14" t="inlineStr">
        <is>
          <t>G.I. Limpet washer</t>
        </is>
      </c>
      <c r="C67" s="13" t="inlineStr">
        <is>
          <t>100 Nos</t>
        </is>
      </c>
      <c r="D67" s="15" t="n">
        <v>16.94</v>
      </c>
      <c r="E67" s="16" t="n">
        <v>21</v>
      </c>
      <c r="F67" s="16">
        <f>D67*E67</f>
        <v/>
      </c>
    </row>
    <row r="68">
      <c r="A68" s="13" t="inlineStr">
        <is>
          <t>1208</t>
        </is>
      </c>
      <c r="B68" s="14" t="inlineStr">
        <is>
          <t>Bitumen washer</t>
        </is>
      </c>
      <c r="C68" s="13" t="inlineStr">
        <is>
          <t>100 Nos</t>
        </is>
      </c>
      <c r="D68" s="15" t="n">
        <v>16.94</v>
      </c>
      <c r="E68" s="16" t="n">
        <v>30</v>
      </c>
      <c r="F68" s="16">
        <f>D68*E68</f>
        <v/>
      </c>
    </row>
    <row r="69">
      <c r="A69" s="13" t="inlineStr">
        <is>
          <t>9977</t>
        </is>
      </c>
      <c r="B69" s="14" t="inlineStr">
        <is>
          <t>Carriage of bolts and washers</t>
        </is>
      </c>
      <c r="C69" s="13" t="inlineStr">
        <is>
          <t>L.S.</t>
        </is>
      </c>
      <c r="D69" s="15" t="n">
        <v>26.91</v>
      </c>
      <c r="E69" s="16" t="n">
        <v>2</v>
      </c>
      <c r="F69" s="16">
        <f>D69*E69</f>
        <v/>
      </c>
    </row>
    <row r="70">
      <c r="A70" s="13" t="inlineStr">
        <is>
          <t>9999</t>
        </is>
      </c>
      <c r="B70" s="14" t="inlineStr">
        <is>
          <t>Sundries</t>
        </is>
      </c>
      <c r="C70" s="13" t="inlineStr">
        <is>
          <t>L.S.</t>
        </is>
      </c>
      <c r="D70" s="15" t="n">
        <v>53.82</v>
      </c>
      <c r="E70" s="16" t="n">
        <v>2</v>
      </c>
      <c r="F70" s="16">
        <f>D70*E70</f>
        <v/>
      </c>
    </row>
    <row r="71">
      <c r="A71" s="13" t="inlineStr">
        <is>
          <t>0130</t>
        </is>
      </c>
      <c r="B71" s="14" t="inlineStr">
        <is>
          <t>Mistry</t>
        </is>
      </c>
      <c r="C71" s="13" t="inlineStr">
        <is>
          <t>day</t>
        </is>
      </c>
      <c r="D71" s="15" t="n">
        <v>1.3</v>
      </c>
      <c r="E71" s="16" t="n">
        <v>738</v>
      </c>
      <c r="F71" s="16">
        <f>D71*E71</f>
        <v/>
      </c>
    </row>
    <row r="72">
      <c r="A72" s="13" t="inlineStr">
        <is>
          <t>0112</t>
        </is>
      </c>
      <c r="B72" s="14" t="inlineStr">
        <is>
          <t>Carpenter 2nd class</t>
        </is>
      </c>
      <c r="C72" s="13" t="inlineStr">
        <is>
          <t>day</t>
        </is>
      </c>
      <c r="D72" s="15" t="n">
        <v>15.5</v>
      </c>
      <c r="E72" s="16" t="n">
        <v>679</v>
      </c>
      <c r="F72" s="16">
        <f>D72*E72</f>
        <v/>
      </c>
    </row>
    <row r="73">
      <c r="A73" s="13" t="inlineStr">
        <is>
          <t>0114</t>
        </is>
      </c>
      <c r="B73" s="14" t="inlineStr">
        <is>
          <t>Beldar</t>
        </is>
      </c>
      <c r="C73" s="13" t="inlineStr">
        <is>
          <t>day</t>
        </is>
      </c>
      <c r="D73" s="15" t="n">
        <v>15.5</v>
      </c>
      <c r="E73" s="16" t="n">
        <v>558</v>
      </c>
      <c r="F73" s="16">
        <f>D73*E73</f>
        <v/>
      </c>
    </row>
    <row r="74">
      <c r="A74" s="13" t="inlineStr">
        <is>
          <t>4202</t>
        </is>
      </c>
      <c r="B74" s="14" t="inlineStr">
        <is>
          <t>Red oxide Zinc chromate primer</t>
        </is>
      </c>
      <c r="C74" s="13" t="inlineStr">
        <is>
          <t>litre</t>
        </is>
      </c>
      <c r="D74" s="15" t="n">
        <v>2.53</v>
      </c>
      <c r="E74" s="16" t="n">
        <v>110</v>
      </c>
      <c r="F74" s="16">
        <f>D74*E74</f>
        <v/>
      </c>
    </row>
    <row r="75">
      <c r="A75" s="13" t="inlineStr">
        <is>
          <t>9977</t>
        </is>
      </c>
      <c r="B75" s="14" t="inlineStr">
        <is>
          <t>Carriage of material</t>
        </is>
      </c>
      <c r="C75" s="13" t="inlineStr">
        <is>
          <t>L.S.</t>
        </is>
      </c>
      <c r="D75" s="15" t="n">
        <v>0.52</v>
      </c>
      <c r="E75" s="16" t="n">
        <v>2</v>
      </c>
      <c r="F75" s="16">
        <f>D75*E75</f>
        <v/>
      </c>
    </row>
    <row r="76">
      <c r="A76" s="13" t="inlineStr">
        <is>
          <t>0131</t>
        </is>
      </c>
      <c r="B76" s="14" t="inlineStr">
        <is>
          <t>Painter</t>
        </is>
      </c>
      <c r="C76" s="13" t="inlineStr">
        <is>
          <t>day</t>
        </is>
      </c>
      <c r="D76" s="15" t="n">
        <v>1.13</v>
      </c>
      <c r="E76" s="16" t="n">
        <v>679</v>
      </c>
      <c r="F76" s="16">
        <f>D76*E76</f>
        <v/>
      </c>
    </row>
    <row r="77">
      <c r="A77" s="13" t="inlineStr">
        <is>
          <t>0115</t>
        </is>
      </c>
      <c r="B77" s="14" t="inlineStr">
        <is>
          <t>Coolie</t>
        </is>
      </c>
      <c r="C77" s="13" t="inlineStr">
        <is>
          <t>day</t>
        </is>
      </c>
      <c r="D77" s="15" t="n">
        <v>1.13</v>
      </c>
      <c r="E77" s="16" t="n">
        <v>558</v>
      </c>
      <c r="F77" s="16">
        <f>D77*E77</f>
        <v/>
      </c>
    </row>
    <row r="78">
      <c r="A78" s="13" t="inlineStr">
        <is>
          <t>9999</t>
        </is>
      </c>
      <c r="B78" s="14" t="inlineStr">
        <is>
          <t>Brushes, sand papers i/c sundries</t>
        </is>
      </c>
      <c r="C78" s="13" t="inlineStr">
        <is>
          <t>L.S.</t>
        </is>
      </c>
      <c r="D78" s="15" t="n">
        <v>50.57</v>
      </c>
      <c r="E78" s="16" t="n">
        <v>2</v>
      </c>
      <c r="F78" s="16">
        <f>D78*E78</f>
        <v/>
      </c>
    </row>
    <row r="79">
      <c r="A79" s="13" t="inlineStr">
        <is>
          <t>0845</t>
        </is>
      </c>
      <c r="B79" s="14" t="inlineStr">
        <is>
          <t>Roofing paint for iron sheets in red colour</t>
        </is>
      </c>
      <c r="C79" s="13" t="inlineStr">
        <is>
          <t>litre</t>
        </is>
      </c>
      <c r="D79" s="15" t="n">
        <v>3.75</v>
      </c>
      <c r="E79" s="16" t="n">
        <v>120</v>
      </c>
      <c r="F79" s="16">
        <f>D79*E79</f>
        <v/>
      </c>
    </row>
    <row r="80">
      <c r="A80" s="13" t="inlineStr">
        <is>
          <t>9977</t>
        </is>
      </c>
      <c r="B80" s="14" t="inlineStr">
        <is>
          <t>Carriage of paint</t>
        </is>
      </c>
      <c r="C80" s="13" t="inlineStr">
        <is>
          <t>L.S.</t>
        </is>
      </c>
      <c r="D80" s="15" t="n">
        <v>6.76</v>
      </c>
      <c r="E80" s="16" t="n">
        <v>2</v>
      </c>
      <c r="F80" s="16">
        <f>D80*E80</f>
        <v/>
      </c>
    </row>
    <row r="81">
      <c r="A81" s="13" t="inlineStr">
        <is>
          <t>0131</t>
        </is>
      </c>
      <c r="B81" s="14" t="inlineStr">
        <is>
          <t>Painter</t>
        </is>
      </c>
      <c r="C81" s="13" t="inlineStr">
        <is>
          <t>day</t>
        </is>
      </c>
      <c r="D81" s="15" t="n">
        <v>2.53</v>
      </c>
      <c r="E81" s="16" t="n">
        <v>679</v>
      </c>
      <c r="F81" s="16">
        <f>D81*E81</f>
        <v/>
      </c>
    </row>
    <row r="82">
      <c r="A82" s="13" t="inlineStr">
        <is>
          <t>0115</t>
        </is>
      </c>
      <c r="B82" s="14" t="inlineStr">
        <is>
          <t>Coolie</t>
        </is>
      </c>
      <c r="C82" s="13" t="inlineStr">
        <is>
          <t>day</t>
        </is>
      </c>
      <c r="D82" s="15" t="n">
        <v>2.53</v>
      </c>
      <c r="E82" s="16" t="n">
        <v>558</v>
      </c>
      <c r="F82" s="16">
        <f>D82*E82</f>
        <v/>
      </c>
    </row>
    <row r="83">
      <c r="A83" s="13" t="inlineStr">
        <is>
          <t>9999</t>
        </is>
      </c>
      <c r="B83" s="14" t="inlineStr">
        <is>
          <t>Brushes and Sandpapers</t>
        </is>
      </c>
      <c r="C83" s="13" t="inlineStr">
        <is>
          <t>L.S.</t>
        </is>
      </c>
      <c r="D83" s="15" t="n">
        <v>31.98</v>
      </c>
      <c r="E83" s="16" t="n">
        <v>2</v>
      </c>
      <c r="F83" s="16">
        <f>D83*E83</f>
        <v/>
      </c>
    </row>
    <row r="84">
      <c r="A84" s="13" t="inlineStr">
        <is>
          <t>9999</t>
        </is>
      </c>
      <c r="B84" s="14" t="inlineStr">
        <is>
          <t>Sundries</t>
        </is>
      </c>
      <c r="C84" s="13" t="inlineStr">
        <is>
          <t>L.S.</t>
        </is>
      </c>
      <c r="D84" s="15" t="n">
        <v>38.09</v>
      </c>
      <c r="E84" s="16" t="n">
        <v>2</v>
      </c>
      <c r="F84" s="16">
        <f>D84*E84</f>
        <v/>
      </c>
    </row>
    <row r="85">
      <c r="A85" s="17" t="inlineStr">
        <is>
          <t>Resource Total (Material + Labour + Machinery, as printed)</t>
        </is>
      </c>
      <c r="B85" s="18" t="n"/>
      <c r="C85" s="18" t="n"/>
      <c r="D85" s="18" t="n"/>
      <c r="E85" s="18" t="n"/>
      <c r="F85" s="19">
        <f>SUM(F63:F84)</f>
        <v/>
      </c>
    </row>
    <row r="86">
      <c r="A86" s="20" t="inlineStr">
        <is>
          <t>SAY (Rs.) — final DAR rate</t>
        </is>
      </c>
      <c r="B86" s="21" t="n"/>
      <c r="C86" s="21" t="n"/>
      <c r="D86" s="21" t="n"/>
      <c r="E86" s="21" t="n"/>
      <c r="F86" s="22" t="n">
        <v>915</v>
      </c>
    </row>
    <row r="88" ht="18" customHeight="1">
      <c r="A88" s="9" t="inlineStr">
        <is>
          <t>12.2.1</t>
        </is>
      </c>
      <c r="B88" s="10" t="inlineStr">
        <is>
          <t>1.00 mm thick</t>
        </is>
      </c>
      <c r="C88" s="11" t="n"/>
      <c r="D88" s="11" t="n"/>
      <c r="E88" s="11" t="n"/>
      <c r="F88" s="11" t="n"/>
    </row>
    <row r="89">
      <c r="A89" s="12" t="inlineStr">
        <is>
          <t>Rate basis: per metres  (source: cost for 3 metres)</t>
        </is>
      </c>
    </row>
    <row r="90">
      <c r="A90" s="5" t="inlineStr">
        <is>
          <t>Code</t>
        </is>
      </c>
      <c r="B90" s="5" t="inlineStr">
        <is>
          <t>Description</t>
        </is>
      </c>
      <c r="C90" s="5" t="inlineStr">
        <is>
          <t>Unit</t>
        </is>
      </c>
      <c r="D90" s="5" t="inlineStr">
        <is>
          <t>Quantity</t>
        </is>
      </c>
      <c r="E90" s="5" t="inlineStr">
        <is>
          <t>Rate (Rs.)</t>
        </is>
      </c>
      <c r="F90" s="5" t="inlineStr">
        <is>
          <t>Amount (Rs.)</t>
        </is>
      </c>
    </row>
    <row r="91">
      <c r="A91" s="13" t="inlineStr">
        <is>
          <t>0102</t>
        </is>
      </c>
      <c r="B91" s="14" t="inlineStr">
        <is>
          <t>Blacksmith 1st class</t>
        </is>
      </c>
      <c r="C91" s="13" t="inlineStr">
        <is>
          <t>day</t>
        </is>
      </c>
      <c r="D91" s="15" t="n">
        <v>0.15</v>
      </c>
      <c r="E91" s="16" t="n">
        <v>738</v>
      </c>
      <c r="F91" s="16">
        <f>D91*E91</f>
        <v/>
      </c>
    </row>
    <row r="92">
      <c r="A92" s="13" t="inlineStr">
        <is>
          <t>0114</t>
        </is>
      </c>
      <c r="B92" s="14" t="inlineStr">
        <is>
          <t>Beldar</t>
        </is>
      </c>
      <c r="C92" s="13" t="inlineStr">
        <is>
          <t>day</t>
        </is>
      </c>
      <c r="D92" s="15" t="n">
        <v>0.15</v>
      </c>
      <c r="E92" s="16" t="n">
        <v>558</v>
      </c>
      <c r="F92" s="16">
        <f>D92*E92</f>
        <v/>
      </c>
    </row>
    <row r="93">
      <c r="A93" s="17" t="inlineStr">
        <is>
          <t>Resource Total (Material + Labour + Machinery, as printed)</t>
        </is>
      </c>
      <c r="B93" s="18" t="n"/>
      <c r="C93" s="18" t="n"/>
      <c r="D93" s="18" t="n"/>
      <c r="E93" s="18" t="n"/>
      <c r="F93" s="19">
        <f>SUM(F91:F92)</f>
        <v/>
      </c>
    </row>
    <row r="94">
      <c r="A94" s="20" t="inlineStr">
        <is>
          <t>SAY (Rs.) — final DAR rate</t>
        </is>
      </c>
      <c r="B94" s="21" t="n"/>
      <c r="C94" s="21" t="n"/>
      <c r="D94" s="21" t="n"/>
      <c r="E94" s="21" t="n"/>
      <c r="F94" s="22" t="n">
        <v>86.7</v>
      </c>
    </row>
    <row r="96" ht="18" customHeight="1">
      <c r="A96" s="9" t="inlineStr">
        <is>
          <t>12.2.2</t>
        </is>
      </c>
      <c r="B96" s="10" t="inlineStr">
        <is>
          <t>0.80 mm thick</t>
        </is>
      </c>
      <c r="C96" s="11" t="n"/>
      <c r="D96" s="11" t="n"/>
      <c r="E96" s="11" t="n"/>
      <c r="F96" s="11" t="n"/>
    </row>
    <row r="97">
      <c r="A97" s="12" t="inlineStr">
        <is>
          <t>Rate basis: per metres  (source: cost for 3 metres)</t>
        </is>
      </c>
    </row>
    <row r="98">
      <c r="A98" s="5" t="inlineStr">
        <is>
          <t>Code</t>
        </is>
      </c>
      <c r="B98" s="5" t="inlineStr">
        <is>
          <t>Description</t>
        </is>
      </c>
      <c r="C98" s="5" t="inlineStr">
        <is>
          <t>Unit</t>
        </is>
      </c>
      <c r="D98" s="5" t="inlineStr">
        <is>
          <t>Quantity</t>
        </is>
      </c>
      <c r="E98" s="5" t="inlineStr">
        <is>
          <t>Rate (Rs.)</t>
        </is>
      </c>
      <c r="F98" s="5" t="inlineStr">
        <is>
          <t>Amount (Rs.)</t>
        </is>
      </c>
    </row>
    <row r="99">
      <c r="A99" s="13" t="inlineStr">
        <is>
          <t>0102</t>
        </is>
      </c>
      <c r="B99" s="14" t="inlineStr">
        <is>
          <t>Blacksmith 1st class</t>
        </is>
      </c>
      <c r="C99" s="13" t="inlineStr">
        <is>
          <t>day</t>
        </is>
      </c>
      <c r="D99" s="15" t="n">
        <v>0.12</v>
      </c>
      <c r="E99" s="16" t="n">
        <v>738</v>
      </c>
      <c r="F99" s="16">
        <f>D99*E99</f>
        <v/>
      </c>
    </row>
    <row r="100">
      <c r="A100" s="13" t="inlineStr">
        <is>
          <t>0114</t>
        </is>
      </c>
      <c r="B100" s="14" t="inlineStr">
        <is>
          <t>Beldar</t>
        </is>
      </c>
      <c r="C100" s="13" t="inlineStr">
        <is>
          <t>day</t>
        </is>
      </c>
      <c r="D100" s="15" t="n">
        <v>0.12</v>
      </c>
      <c r="E100" s="16" t="n">
        <v>558</v>
      </c>
      <c r="F100" s="16">
        <f>D100*E100</f>
        <v/>
      </c>
    </row>
    <row r="101">
      <c r="A101" s="17" t="inlineStr">
        <is>
          <t>Resource Total (Material + Labour + Machinery, as printed)</t>
        </is>
      </c>
      <c r="B101" s="18" t="n"/>
      <c r="C101" s="18" t="n"/>
      <c r="D101" s="18" t="n"/>
      <c r="E101" s="18" t="n"/>
      <c r="F101" s="19">
        <f>SUM(F99:F100)</f>
        <v/>
      </c>
    </row>
    <row r="102">
      <c r="A102" s="20" t="inlineStr">
        <is>
          <t>SAY (Rs.) — final DAR rate</t>
        </is>
      </c>
      <c r="B102" s="21" t="n"/>
      <c r="C102" s="21" t="n"/>
      <c r="D102" s="21" t="n"/>
      <c r="E102" s="21" t="n"/>
      <c r="F102" s="22" t="n">
        <v>69.34999999999999</v>
      </c>
    </row>
    <row r="104" ht="18" customHeight="1">
      <c r="A104" s="9" t="inlineStr">
        <is>
          <t>12.2.3</t>
        </is>
      </c>
      <c r="B104" s="10" t="inlineStr">
        <is>
          <t>0.63 mm thick</t>
        </is>
      </c>
      <c r="C104" s="11" t="n"/>
      <c r="D104" s="11" t="n"/>
      <c r="E104" s="11" t="n"/>
      <c r="F104" s="11" t="n"/>
    </row>
    <row r="105">
      <c r="A105" s="12" t="inlineStr">
        <is>
          <t>Rate basis: per metres  (source: cost for 3 metres)</t>
        </is>
      </c>
    </row>
    <row r="106">
      <c r="A106" s="5" t="inlineStr">
        <is>
          <t>Code</t>
        </is>
      </c>
      <c r="B106" s="5" t="inlineStr">
        <is>
          <t>Description</t>
        </is>
      </c>
      <c r="C106" s="5" t="inlineStr">
        <is>
          <t>Unit</t>
        </is>
      </c>
      <c r="D106" s="5" t="inlineStr">
        <is>
          <t>Quantity</t>
        </is>
      </c>
      <c r="E106" s="5" t="inlineStr">
        <is>
          <t>Rate (Rs.)</t>
        </is>
      </c>
      <c r="F106" s="5" t="inlineStr">
        <is>
          <t>Amount (Rs.)</t>
        </is>
      </c>
    </row>
    <row r="107">
      <c r="A107" s="13" t="inlineStr">
        <is>
          <t>0102</t>
        </is>
      </c>
      <c r="B107" s="14" t="inlineStr">
        <is>
          <t>Blacksmith 1st class</t>
        </is>
      </c>
      <c r="C107" s="13" t="inlineStr">
        <is>
          <t>day</t>
        </is>
      </c>
      <c r="D107" s="15" t="n">
        <v>0.12</v>
      </c>
      <c r="E107" s="16" t="n">
        <v>738</v>
      </c>
      <c r="F107" s="16">
        <f>D107*E107</f>
        <v/>
      </c>
    </row>
    <row r="108">
      <c r="A108" s="13" t="inlineStr">
        <is>
          <t>0114</t>
        </is>
      </c>
      <c r="B108" s="14" t="inlineStr">
        <is>
          <t>Beldar</t>
        </is>
      </c>
      <c r="C108" s="13" t="inlineStr">
        <is>
          <t>day</t>
        </is>
      </c>
      <c r="D108" s="15" t="n">
        <v>0.12</v>
      </c>
      <c r="E108" s="16" t="n">
        <v>558</v>
      </c>
      <c r="F108" s="16">
        <f>D108*E108</f>
        <v/>
      </c>
    </row>
    <row r="109">
      <c r="A109" s="17" t="inlineStr">
        <is>
          <t>Resource Total (Material + Labour + Machinery, as printed)</t>
        </is>
      </c>
      <c r="B109" s="18" t="n"/>
      <c r="C109" s="18" t="n"/>
      <c r="D109" s="18" t="n"/>
      <c r="E109" s="18" t="n"/>
      <c r="F109" s="19">
        <f>SUM(F107:F108)</f>
        <v/>
      </c>
    </row>
    <row r="110">
      <c r="A110" s="20" t="inlineStr">
        <is>
          <t>SAY (Rs.) — final DAR rate</t>
        </is>
      </c>
      <c r="B110" s="21" t="n"/>
      <c r="C110" s="21" t="n"/>
      <c r="D110" s="21" t="n"/>
      <c r="E110" s="21" t="n"/>
      <c r="F110" s="22" t="n">
        <v>69.34999999999999</v>
      </c>
    </row>
    <row r="112" ht="18" customHeight="1">
      <c r="A112" s="9" t="inlineStr">
        <is>
          <t>12.3.1</t>
        </is>
      </c>
      <c r="B112" s="10" t="inlineStr">
        <is>
          <t>1.00 mm thick</t>
        </is>
      </c>
      <c r="C112" s="11" t="n"/>
      <c r="D112" s="11" t="n"/>
      <c r="E112" s="11" t="n"/>
      <c r="F112" s="11" t="n"/>
    </row>
    <row r="113">
      <c r="A113" s="12" t="inlineStr">
        <is>
          <t>Rate basis: per holes  (source: cost for 10 holes)</t>
        </is>
      </c>
    </row>
    <row r="114">
      <c r="A114" s="5" t="inlineStr">
        <is>
          <t>Code</t>
        </is>
      </c>
      <c r="B114" s="5" t="inlineStr">
        <is>
          <t>Description</t>
        </is>
      </c>
      <c r="C114" s="5" t="inlineStr">
        <is>
          <t>Unit</t>
        </is>
      </c>
      <c r="D114" s="5" t="inlineStr">
        <is>
          <t>Quantity</t>
        </is>
      </c>
      <c r="E114" s="5" t="inlineStr">
        <is>
          <t>Rate (Rs.)</t>
        </is>
      </c>
      <c r="F114" s="5" t="inlineStr">
        <is>
          <t>Amount (Rs.)</t>
        </is>
      </c>
    </row>
    <row r="115">
      <c r="A115" s="13" t="inlineStr">
        <is>
          <t>0102</t>
        </is>
      </c>
      <c r="B115" s="14" t="inlineStr">
        <is>
          <t>Blacksmith 1st class</t>
        </is>
      </c>
      <c r="C115" s="13" t="inlineStr">
        <is>
          <t>day</t>
        </is>
      </c>
      <c r="D115" s="15" t="n">
        <v>3.13</v>
      </c>
      <c r="E115" s="16" t="n">
        <v>738</v>
      </c>
      <c r="F115" s="16">
        <f>D115*E115</f>
        <v/>
      </c>
    </row>
    <row r="116">
      <c r="A116" s="13" t="inlineStr">
        <is>
          <t>0114</t>
        </is>
      </c>
      <c r="B116" s="14" t="inlineStr">
        <is>
          <t>Beldar</t>
        </is>
      </c>
      <c r="C116" s="13" t="inlineStr">
        <is>
          <t>day</t>
        </is>
      </c>
      <c r="D116" s="15" t="n">
        <v>6.26</v>
      </c>
      <c r="E116" s="16" t="n">
        <v>558</v>
      </c>
      <c r="F116" s="16">
        <f>D116*E116</f>
        <v/>
      </c>
    </row>
    <row r="117">
      <c r="A117" s="17" t="inlineStr">
        <is>
          <t>Resource Total (Material + Labour + Machinery, as printed)</t>
        </is>
      </c>
      <c r="B117" s="18" t="n"/>
      <c r="C117" s="18" t="n"/>
      <c r="D117" s="18" t="n"/>
      <c r="E117" s="18" t="n"/>
      <c r="F117" s="19">
        <f>SUM(F115:F116)</f>
        <v/>
      </c>
    </row>
    <row r="118">
      <c r="A118" s="20" t="inlineStr">
        <is>
          <t>SAY (Rs.) — final DAR rate</t>
        </is>
      </c>
      <c r="B118" s="21" t="n"/>
      <c r="C118" s="21" t="n"/>
      <c r="D118" s="21" t="n"/>
      <c r="E118" s="21" t="n"/>
      <c r="F118" s="22" t="n">
        <v>494.2</v>
      </c>
    </row>
    <row r="120" ht="18" customHeight="1">
      <c r="A120" s="9" t="inlineStr">
        <is>
          <t>12.3.2</t>
        </is>
      </c>
      <c r="B120" s="10" t="inlineStr">
        <is>
          <t>0.80 mm thick</t>
        </is>
      </c>
      <c r="C120" s="11" t="n"/>
      <c r="D120" s="11" t="n"/>
      <c r="E120" s="11" t="n"/>
      <c r="F120" s="11" t="n"/>
    </row>
    <row r="121">
      <c r="A121" s="12" t="inlineStr">
        <is>
          <t>Rate basis: per holes  (source: cost for 10 holes)</t>
        </is>
      </c>
    </row>
    <row r="122">
      <c r="A122" s="5" t="inlineStr">
        <is>
          <t>Code</t>
        </is>
      </c>
      <c r="B122" s="5" t="inlineStr">
        <is>
          <t>Description</t>
        </is>
      </c>
      <c r="C122" s="5" t="inlineStr">
        <is>
          <t>Unit</t>
        </is>
      </c>
      <c r="D122" s="5" t="inlineStr">
        <is>
          <t>Quantity</t>
        </is>
      </c>
      <c r="E122" s="5" t="inlineStr">
        <is>
          <t>Rate (Rs.)</t>
        </is>
      </c>
      <c r="F122" s="5" t="inlineStr">
        <is>
          <t>Amount (Rs.)</t>
        </is>
      </c>
    </row>
    <row r="123">
      <c r="A123" s="13" t="inlineStr">
        <is>
          <t>0102</t>
        </is>
      </c>
      <c r="B123" s="14" t="inlineStr">
        <is>
          <t>Blacksmith 1st class</t>
        </is>
      </c>
      <c r="C123" s="13" t="inlineStr">
        <is>
          <t>day</t>
        </is>
      </c>
      <c r="D123" s="15" t="n">
        <v>2.5</v>
      </c>
      <c r="E123" s="16" t="n">
        <v>738</v>
      </c>
      <c r="F123" s="16">
        <f>D123*E123</f>
        <v/>
      </c>
    </row>
    <row r="124">
      <c r="A124" s="13" t="inlineStr">
        <is>
          <t>0114</t>
        </is>
      </c>
      <c r="B124" s="14" t="inlineStr">
        <is>
          <t>Beldar</t>
        </is>
      </c>
      <c r="C124" s="13" t="inlineStr">
        <is>
          <t>day</t>
        </is>
      </c>
      <c r="D124" s="15" t="n">
        <v>5</v>
      </c>
      <c r="E124" s="16" t="n">
        <v>558</v>
      </c>
      <c r="F124" s="16">
        <f>D124*E124</f>
        <v/>
      </c>
    </row>
    <row r="125">
      <c r="A125" s="17" t="inlineStr">
        <is>
          <t>Resource Total (Material + Labour + Machinery, as printed)</t>
        </is>
      </c>
      <c r="B125" s="18" t="n"/>
      <c r="C125" s="18" t="n"/>
      <c r="D125" s="18" t="n"/>
      <c r="E125" s="18" t="n"/>
      <c r="F125" s="19">
        <f>SUM(F123:F124)</f>
        <v/>
      </c>
    </row>
    <row r="126">
      <c r="A126" s="20" t="inlineStr">
        <is>
          <t>SAY (Rs.) — final DAR rate</t>
        </is>
      </c>
      <c r="B126" s="21" t="n"/>
      <c r="C126" s="21" t="n"/>
      <c r="D126" s="21" t="n"/>
      <c r="E126" s="21" t="n"/>
      <c r="F126" s="22" t="n">
        <v>394.75</v>
      </c>
    </row>
    <row r="128" ht="18" customHeight="1">
      <c r="A128" s="9" t="inlineStr">
        <is>
          <t>12.3.3</t>
        </is>
      </c>
      <c r="B128" s="10" t="inlineStr">
        <is>
          <t>0.63 mm thick</t>
        </is>
      </c>
      <c r="C128" s="11" t="n"/>
      <c r="D128" s="11" t="n"/>
      <c r="E128" s="11" t="n"/>
      <c r="F128" s="11" t="n"/>
    </row>
    <row r="129">
      <c r="A129" s="12" t="inlineStr">
        <is>
          <t>Rate basis: per holes  (source: cost for 10 holes)</t>
        </is>
      </c>
    </row>
    <row r="130">
      <c r="A130" s="5" t="inlineStr">
        <is>
          <t>Code</t>
        </is>
      </c>
      <c r="B130" s="5" t="inlineStr">
        <is>
          <t>Description</t>
        </is>
      </c>
      <c r="C130" s="5" t="inlineStr">
        <is>
          <t>Unit</t>
        </is>
      </c>
      <c r="D130" s="5" t="inlineStr">
        <is>
          <t>Quantity</t>
        </is>
      </c>
      <c r="E130" s="5" t="inlineStr">
        <is>
          <t>Rate (Rs.)</t>
        </is>
      </c>
      <c r="F130" s="5" t="inlineStr">
        <is>
          <t>Amount (Rs.)</t>
        </is>
      </c>
    </row>
    <row r="131">
      <c r="A131" s="13" t="inlineStr">
        <is>
          <t>0102</t>
        </is>
      </c>
      <c r="B131" s="14" t="inlineStr">
        <is>
          <t>Blacksmith 1st class</t>
        </is>
      </c>
      <c r="C131" s="13" t="inlineStr">
        <is>
          <t>day</t>
        </is>
      </c>
      <c r="D131" s="15" t="n">
        <v>2.5</v>
      </c>
      <c r="E131" s="16" t="n">
        <v>738</v>
      </c>
      <c r="F131" s="16">
        <f>D131*E131</f>
        <v/>
      </c>
    </row>
    <row r="132">
      <c r="A132" s="13" t="inlineStr">
        <is>
          <t>0114</t>
        </is>
      </c>
      <c r="B132" s="14" t="inlineStr">
        <is>
          <t>Beldar</t>
        </is>
      </c>
      <c r="C132" s="13" t="inlineStr">
        <is>
          <t>day</t>
        </is>
      </c>
      <c r="D132" s="15" t="n">
        <v>5</v>
      </c>
      <c r="E132" s="16" t="n">
        <v>558</v>
      </c>
      <c r="F132" s="16">
        <f>D132*E132</f>
        <v/>
      </c>
    </row>
    <row r="133">
      <c r="A133" s="17" t="inlineStr">
        <is>
          <t>Resource Total (Material + Labour + Machinery, as printed)</t>
        </is>
      </c>
      <c r="B133" s="18" t="n"/>
      <c r="C133" s="18" t="n"/>
      <c r="D133" s="18" t="n"/>
      <c r="E133" s="18" t="n"/>
      <c r="F133" s="19">
        <f>SUM(F131:F132)</f>
        <v/>
      </c>
    </row>
    <row r="134">
      <c r="A134" s="20" t="inlineStr">
        <is>
          <t>SAY (Rs.) — final DAR rate</t>
        </is>
      </c>
      <c r="B134" s="21" t="n"/>
      <c r="C134" s="21" t="n"/>
      <c r="D134" s="21" t="n"/>
      <c r="E134" s="21" t="n"/>
      <c r="F134" s="22" t="n">
        <v>394.75</v>
      </c>
    </row>
    <row r="136" ht="18" customHeight="1">
      <c r="A136" s="9" t="inlineStr">
        <is>
          <t>12.4.1</t>
        </is>
      </c>
      <c r="B136" s="10" t="inlineStr">
        <is>
          <t>0.80 mm thick with zinc coating not less than 275 gm/m²</t>
        </is>
      </c>
      <c r="C136" s="11" t="n"/>
      <c r="D136" s="11" t="n"/>
      <c r="E136" s="11" t="n"/>
      <c r="F136" s="11" t="n"/>
    </row>
    <row r="137">
      <c r="A137" s="12" t="inlineStr">
        <is>
          <t>Rate basis: per metres  (source: cost for 10.35 metres)</t>
        </is>
      </c>
    </row>
    <row r="138">
      <c r="A138" s="5" t="inlineStr">
        <is>
          <t>Code</t>
        </is>
      </c>
      <c r="B138" s="5" t="inlineStr">
        <is>
          <t>Description</t>
        </is>
      </c>
      <c r="C138" s="5" t="inlineStr">
        <is>
          <t>Unit</t>
        </is>
      </c>
      <c r="D138" s="5" t="inlineStr">
        <is>
          <t>Quantity</t>
        </is>
      </c>
      <c r="E138" s="5" t="inlineStr">
        <is>
          <t>Rate (Rs.)</t>
        </is>
      </c>
      <c r="F138" s="5" t="inlineStr">
        <is>
          <t>Amount (Rs.)</t>
        </is>
      </c>
    </row>
    <row r="139">
      <c r="A139" s="13" t="inlineStr">
        <is>
          <t>0992</t>
        </is>
      </c>
      <c r="B139" s="14" t="inlineStr">
        <is>
          <t>Galvanised steel plain sheets</t>
        </is>
      </c>
      <c r="C139" s="13" t="inlineStr">
        <is>
          <t>quintal</t>
        </is>
      </c>
      <c r="D139" s="15" t="n">
        <v>0.58</v>
      </c>
      <c r="E139" s="16" t="n">
        <v>5000</v>
      </c>
      <c r="F139" s="16">
        <f>D139*E139</f>
        <v/>
      </c>
    </row>
    <row r="140">
      <c r="A140" s="13" t="inlineStr">
        <is>
          <t>2302</t>
        </is>
      </c>
      <c r="B140" s="14" t="inlineStr">
        <is>
          <t>Carriage of G.I. sheet and accessories</t>
        </is>
      </c>
      <c r="C140" s="13" t="inlineStr">
        <is>
          <t>tonne</t>
        </is>
      </c>
      <c r="D140" s="15" t="n">
        <v>0.058</v>
      </c>
      <c r="E140" s="16" t="n">
        <v>92.23999999999999</v>
      </c>
      <c r="F140" s="16">
        <f>D140*E140</f>
        <v/>
      </c>
    </row>
    <row r="141">
      <c r="A141" s="13" t="inlineStr">
        <is>
          <t>0222</t>
        </is>
      </c>
      <c r="B141" s="14" t="inlineStr">
        <is>
          <t>Seam bolts and nuts 6 mm dia and 25 mm long</t>
        </is>
      </c>
      <c r="C141" s="13" t="inlineStr">
        <is>
          <t>10 Nos</t>
        </is>
      </c>
      <c r="D141" s="15" t="n">
        <v>2.8</v>
      </c>
      <c r="E141" s="16" t="n">
        <v>10</v>
      </c>
      <c r="F141" s="16">
        <f>D141*E141</f>
        <v/>
      </c>
    </row>
    <row r="142">
      <c r="A142" s="13" t="inlineStr">
        <is>
          <t>1211</t>
        </is>
      </c>
      <c r="B142" s="14" t="inlineStr">
        <is>
          <t>G.I. plain washer for seam bolts</t>
        </is>
      </c>
      <c r="C142" s="13" t="inlineStr">
        <is>
          <t>100 Nos</t>
        </is>
      </c>
      <c r="D142" s="15" t="n">
        <v>0.28</v>
      </c>
      <c r="E142" s="16" t="n">
        <v>32</v>
      </c>
      <c r="F142" s="16">
        <f>D142*E142</f>
        <v/>
      </c>
    </row>
    <row r="143">
      <c r="A143" s="13" t="inlineStr">
        <is>
          <t>1208</t>
        </is>
      </c>
      <c r="B143" s="14" t="inlineStr">
        <is>
          <t>Bitumen washer</t>
        </is>
      </c>
      <c r="C143" s="13" t="inlineStr">
        <is>
          <t>100 Nos</t>
        </is>
      </c>
      <c r="D143" s="15" t="n">
        <v>0.28</v>
      </c>
      <c r="E143" s="16" t="n">
        <v>30</v>
      </c>
      <c r="F143" s="16">
        <f>D143*E143</f>
        <v/>
      </c>
    </row>
    <row r="144">
      <c r="A144" s="13" t="inlineStr">
        <is>
          <t>9977</t>
        </is>
      </c>
      <c r="B144" s="14" t="inlineStr">
        <is>
          <t>Carriage of seam bolts and washers</t>
        </is>
      </c>
      <c r="C144" s="13" t="inlineStr">
        <is>
          <t>L.S.</t>
        </is>
      </c>
      <c r="D144" s="15" t="n">
        <v>1.82</v>
      </c>
      <c r="E144" s="16" t="n">
        <v>2</v>
      </c>
      <c r="F144" s="16">
        <f>D144*E144</f>
        <v/>
      </c>
    </row>
    <row r="145">
      <c r="A145" s="13" t="inlineStr">
        <is>
          <t>9999</t>
        </is>
      </c>
      <c r="B145" s="14" t="inlineStr">
        <is>
          <t>Sundries</t>
        </is>
      </c>
      <c r="C145" s="13" t="inlineStr">
        <is>
          <t>L.S.</t>
        </is>
      </c>
      <c r="D145" s="15" t="n">
        <v>13.52</v>
      </c>
      <c r="E145" s="16" t="n">
        <v>2</v>
      </c>
      <c r="F145" s="16">
        <f>D145*E145</f>
        <v/>
      </c>
    </row>
    <row r="146">
      <c r="A146" s="13" t="inlineStr">
        <is>
          <t>0130</t>
        </is>
      </c>
      <c r="B146" s="14" t="inlineStr">
        <is>
          <t>Mistry</t>
        </is>
      </c>
      <c r="C146" s="13" t="inlineStr">
        <is>
          <t>day</t>
        </is>
      </c>
      <c r="D146" s="15" t="n">
        <v>0.4</v>
      </c>
      <c r="E146" s="16" t="n">
        <v>738</v>
      </c>
      <c r="F146" s="16">
        <f>D146*E146</f>
        <v/>
      </c>
    </row>
    <row r="147">
      <c r="A147" s="13" t="inlineStr">
        <is>
          <t>0102</t>
        </is>
      </c>
      <c r="B147" s="14" t="inlineStr">
        <is>
          <t>Blacksmith 1st class</t>
        </is>
      </c>
      <c r="C147" s="13" t="inlineStr">
        <is>
          <t>day</t>
        </is>
      </c>
      <c r="D147" s="15" t="n">
        <v>1.2</v>
      </c>
      <c r="E147" s="16" t="n">
        <v>738</v>
      </c>
      <c r="F147" s="16">
        <f>D147*E147</f>
        <v/>
      </c>
    </row>
    <row r="148">
      <c r="A148" s="13" t="inlineStr">
        <is>
          <t>0103</t>
        </is>
      </c>
      <c r="B148" s="14" t="inlineStr">
        <is>
          <t>Blacksmith 2nd class</t>
        </is>
      </c>
      <c r="C148" s="13" t="inlineStr">
        <is>
          <t>day</t>
        </is>
      </c>
      <c r="D148" s="15" t="n">
        <v>0.8</v>
      </c>
      <c r="E148" s="16" t="n">
        <v>679</v>
      </c>
      <c r="F148" s="16">
        <f>D148*E148</f>
        <v/>
      </c>
    </row>
    <row r="149">
      <c r="A149" s="13" t="inlineStr">
        <is>
          <t>0114</t>
        </is>
      </c>
      <c r="B149" s="14" t="inlineStr">
        <is>
          <t>Beldar</t>
        </is>
      </c>
      <c r="C149" s="13" t="inlineStr">
        <is>
          <t>day</t>
        </is>
      </c>
      <c r="D149" s="15" t="n">
        <v>2.4</v>
      </c>
      <c r="E149" s="16" t="n">
        <v>558</v>
      </c>
      <c r="F149" s="16">
        <f>D149*E149</f>
        <v/>
      </c>
    </row>
    <row r="150">
      <c r="A150" s="17" t="inlineStr">
        <is>
          <t>Resource Total (Material + Labour + Machinery, as printed)</t>
        </is>
      </c>
      <c r="B150" s="18" t="n"/>
      <c r="C150" s="18" t="n"/>
      <c r="D150" s="18" t="n"/>
      <c r="E150" s="18" t="n"/>
      <c r="F150" s="19">
        <f>SUM(F139:F149)</f>
        <v/>
      </c>
    </row>
    <row r="151">
      <c r="A151" s="20" t="inlineStr">
        <is>
          <t>SAY (Rs.) — final DAR rate</t>
        </is>
      </c>
      <c r="B151" s="21" t="n"/>
      <c r="C151" s="21" t="n"/>
      <c r="D151" s="21" t="n"/>
      <c r="E151" s="21" t="n"/>
      <c r="F151" s="22" t="n">
        <v>781.4</v>
      </c>
    </row>
    <row r="153" ht="18" customHeight="1">
      <c r="A153" s="9" t="inlineStr">
        <is>
          <t>12.4.2</t>
        </is>
      </c>
      <c r="B153" s="10" t="inlineStr">
        <is>
          <t>0.63 mm thick with zinc coating not less than 275 gm/m²</t>
        </is>
      </c>
      <c r="C153" s="11" t="n"/>
      <c r="D153" s="11" t="n"/>
      <c r="E153" s="11" t="n"/>
      <c r="F153" s="11" t="n"/>
    </row>
    <row r="154">
      <c r="A154" s="12" t="inlineStr">
        <is>
          <t>Rate basis: per metre  (source: cost for 10.35 metre)</t>
        </is>
      </c>
    </row>
    <row r="155">
      <c r="A155" s="5" t="inlineStr">
        <is>
          <t>Code</t>
        </is>
      </c>
      <c r="B155" s="5" t="inlineStr">
        <is>
          <t>Description</t>
        </is>
      </c>
      <c r="C155" s="5" t="inlineStr">
        <is>
          <t>Unit</t>
        </is>
      </c>
      <c r="D155" s="5" t="inlineStr">
        <is>
          <t>Quantity</t>
        </is>
      </c>
      <c r="E155" s="5" t="inlineStr">
        <is>
          <t>Rate (Rs.)</t>
        </is>
      </c>
      <c r="F155" s="5" t="inlineStr">
        <is>
          <t>Amount (Rs.)</t>
        </is>
      </c>
    </row>
    <row r="156">
      <c r="A156" s="13" t="inlineStr">
        <is>
          <t>0992</t>
        </is>
      </c>
      <c r="B156" s="14" t="inlineStr">
        <is>
          <t>Galvanised steel plain sheets</t>
        </is>
      </c>
      <c r="C156" s="13" t="inlineStr">
        <is>
          <t>quintal</t>
        </is>
      </c>
      <c r="D156" s="15" t="n">
        <v>0.47</v>
      </c>
      <c r="E156" s="16" t="n">
        <v>5000</v>
      </c>
      <c r="F156" s="16">
        <f>D156*E156</f>
        <v/>
      </c>
    </row>
    <row r="157">
      <c r="A157" s="13" t="inlineStr">
        <is>
          <t>2302</t>
        </is>
      </c>
      <c r="B157" s="14" t="inlineStr">
        <is>
          <t>Carriage of G.I. sheet and accessories</t>
        </is>
      </c>
      <c r="C157" s="13" t="inlineStr">
        <is>
          <t>tonne</t>
        </is>
      </c>
      <c r="D157" s="15" t="n">
        <v>0.047</v>
      </c>
      <c r="E157" s="16" t="n">
        <v>92.23999999999999</v>
      </c>
      <c r="F157" s="16">
        <f>D157*E157</f>
        <v/>
      </c>
    </row>
    <row r="158">
      <c r="A158" s="13" t="inlineStr">
        <is>
          <t>0222</t>
        </is>
      </c>
      <c r="B158" s="14" t="inlineStr">
        <is>
          <t>Seam bolts and nuts 6 mm dia and 25 mm long</t>
        </is>
      </c>
      <c r="C158" s="13" t="inlineStr">
        <is>
          <t>10 Nos</t>
        </is>
      </c>
      <c r="D158" s="15" t="n">
        <v>2.8</v>
      </c>
      <c r="E158" s="16" t="n">
        <v>10</v>
      </c>
      <c r="F158" s="16">
        <f>D158*E158</f>
        <v/>
      </c>
    </row>
    <row r="159">
      <c r="A159" s="13" t="inlineStr">
        <is>
          <t>1211</t>
        </is>
      </c>
      <c r="B159" s="14" t="inlineStr">
        <is>
          <t>G.I. plain washer for seam bolts</t>
        </is>
      </c>
      <c r="C159" s="13" t="inlineStr">
        <is>
          <t>100 Nos</t>
        </is>
      </c>
      <c r="D159" s="15" t="n">
        <v>0.28</v>
      </c>
      <c r="E159" s="16" t="n">
        <v>32</v>
      </c>
      <c r="F159" s="16">
        <f>D159*E159</f>
        <v/>
      </c>
    </row>
    <row r="160">
      <c r="A160" s="13" t="inlineStr">
        <is>
          <t>1208</t>
        </is>
      </c>
      <c r="B160" s="14" t="inlineStr">
        <is>
          <t>Bitumen washer</t>
        </is>
      </c>
      <c r="C160" s="13" t="inlineStr">
        <is>
          <t>100 Nos</t>
        </is>
      </c>
      <c r="D160" s="15" t="n">
        <v>0.28</v>
      </c>
      <c r="E160" s="16" t="n">
        <v>30</v>
      </c>
      <c r="F160" s="16">
        <f>D160*E160</f>
        <v/>
      </c>
    </row>
    <row r="161">
      <c r="A161" s="13" t="inlineStr">
        <is>
          <t>9977</t>
        </is>
      </c>
      <c r="B161" s="14" t="inlineStr">
        <is>
          <t>Carriage of seam bolts and washers</t>
        </is>
      </c>
      <c r="C161" s="13" t="inlineStr">
        <is>
          <t>L.S.</t>
        </is>
      </c>
      <c r="D161" s="15" t="n">
        <v>1.82</v>
      </c>
      <c r="E161" s="16" t="n">
        <v>2</v>
      </c>
      <c r="F161" s="16">
        <f>D161*E161</f>
        <v/>
      </c>
    </row>
    <row r="162">
      <c r="A162" s="13" t="inlineStr">
        <is>
          <t>9999</t>
        </is>
      </c>
      <c r="B162" s="14" t="inlineStr">
        <is>
          <t>Sundries</t>
        </is>
      </c>
      <c r="C162" s="13" t="inlineStr">
        <is>
          <t>L.S.</t>
        </is>
      </c>
      <c r="D162" s="15" t="n">
        <v>13.52</v>
      </c>
      <c r="E162" s="16" t="n">
        <v>2</v>
      </c>
      <c r="F162" s="16">
        <f>D162*E162</f>
        <v/>
      </c>
    </row>
    <row r="163">
      <c r="A163" s="13" t="inlineStr">
        <is>
          <t>0130</t>
        </is>
      </c>
      <c r="B163" s="14" t="inlineStr">
        <is>
          <t>Mistry</t>
        </is>
      </c>
      <c r="C163" s="13" t="inlineStr">
        <is>
          <t>day</t>
        </is>
      </c>
      <c r="D163" s="15" t="n">
        <v>0.4</v>
      </c>
      <c r="E163" s="16" t="n">
        <v>738</v>
      </c>
      <c r="F163" s="16">
        <f>D163*E163</f>
        <v/>
      </c>
    </row>
    <row r="164">
      <c r="A164" s="13" t="inlineStr">
        <is>
          <t>0102</t>
        </is>
      </c>
      <c r="B164" s="14" t="inlineStr">
        <is>
          <t>Blacksmith 1st class</t>
        </is>
      </c>
      <c r="C164" s="13" t="inlineStr">
        <is>
          <t>day</t>
        </is>
      </c>
      <c r="D164" s="15" t="n">
        <v>1.2</v>
      </c>
      <c r="E164" s="16" t="n">
        <v>738</v>
      </c>
      <c r="F164" s="16">
        <f>D164*E164</f>
        <v/>
      </c>
    </row>
    <row r="165">
      <c r="A165" s="13" t="inlineStr">
        <is>
          <t>0103</t>
        </is>
      </c>
      <c r="B165" s="14" t="inlineStr">
        <is>
          <t>Blacksmith 2nd class</t>
        </is>
      </c>
      <c r="C165" s="13" t="inlineStr">
        <is>
          <t>day</t>
        </is>
      </c>
      <c r="D165" s="15" t="n">
        <v>0.8</v>
      </c>
      <c r="E165" s="16" t="n">
        <v>679</v>
      </c>
      <c r="F165" s="16">
        <f>D165*E165</f>
        <v/>
      </c>
    </row>
    <row r="166">
      <c r="A166" s="13" t="inlineStr">
        <is>
          <t>0114</t>
        </is>
      </c>
      <c r="B166" s="14" t="inlineStr">
        <is>
          <t>Beldar</t>
        </is>
      </c>
      <c r="C166" s="13" t="inlineStr">
        <is>
          <t>day</t>
        </is>
      </c>
      <c r="D166" s="15" t="n">
        <v>2.4</v>
      </c>
      <c r="E166" s="16" t="n">
        <v>558</v>
      </c>
      <c r="F166" s="16">
        <f>D166*E166</f>
        <v/>
      </c>
    </row>
    <row r="167">
      <c r="A167" s="17" t="inlineStr">
        <is>
          <t>Resource Total (Material + Labour + Machinery, as printed)</t>
        </is>
      </c>
      <c r="B167" s="18" t="n"/>
      <c r="C167" s="18" t="n"/>
      <c r="D167" s="18" t="n"/>
      <c r="E167" s="18" t="n"/>
      <c r="F167" s="19">
        <f>SUM(F156:F166)</f>
        <v/>
      </c>
    </row>
    <row r="168">
      <c r="A168" s="20" t="inlineStr">
        <is>
          <t>SAY (Rs.) — final DAR rate</t>
        </is>
      </c>
      <c r="B168" s="21" t="n"/>
      <c r="C168" s="21" t="n"/>
      <c r="D168" s="21" t="n"/>
      <c r="E168" s="21" t="n"/>
      <c r="F168" s="22" t="n">
        <v>710.15</v>
      </c>
    </row>
    <row r="170" ht="18" customHeight="1">
      <c r="A170" s="9" t="inlineStr">
        <is>
          <t>12.5.1</t>
        </is>
      </c>
      <c r="B170" s="10" t="inlineStr">
        <is>
          <t>1.60 mm thick with zinc coating not less than 350 gm/m²</t>
        </is>
      </c>
      <c r="C170" s="11" t="n"/>
      <c r="D170" s="11" t="n"/>
      <c r="E170" s="11" t="n"/>
      <c r="F170" s="11" t="n"/>
    </row>
    <row r="171">
      <c r="A171" s="12" t="inlineStr">
        <is>
          <t>Rate basis: per m  (source: cost for 9.325 m)</t>
        </is>
      </c>
    </row>
    <row r="172">
      <c r="A172" s="5" t="inlineStr">
        <is>
          <t>Code</t>
        </is>
      </c>
      <c r="B172" s="5" t="inlineStr">
        <is>
          <t>Description</t>
        </is>
      </c>
      <c r="C172" s="5" t="inlineStr">
        <is>
          <t>Unit</t>
        </is>
      </c>
      <c r="D172" s="5" t="inlineStr">
        <is>
          <t>Quantity</t>
        </is>
      </c>
      <c r="E172" s="5" t="inlineStr">
        <is>
          <t>Rate (Rs.)</t>
        </is>
      </c>
      <c r="F172" s="5" t="inlineStr">
        <is>
          <t>Amount (Rs.)</t>
        </is>
      </c>
    </row>
    <row r="173">
      <c r="A173" s="13" t="inlineStr">
        <is>
          <t>0992</t>
        </is>
      </c>
      <c r="B173" s="14" t="inlineStr">
        <is>
          <t>Galvanised steel plain sheets</t>
        </is>
      </c>
      <c r="C173" s="13" t="inlineStr">
        <is>
          <t>quintal</t>
        </is>
      </c>
      <c r="D173" s="15" t="n">
        <v>1.222</v>
      </c>
      <c r="E173" s="16" t="n">
        <v>5000</v>
      </c>
      <c r="F173" s="16">
        <f>D173*E173</f>
        <v/>
      </c>
    </row>
    <row r="174">
      <c r="A174" s="13" t="inlineStr">
        <is>
          <t>2302</t>
        </is>
      </c>
      <c r="B174" s="14" t="inlineStr">
        <is>
          <t>Carriage of G.I. sheet and accessories</t>
        </is>
      </c>
      <c r="C174" s="13" t="inlineStr">
        <is>
          <t>tonne</t>
        </is>
      </c>
      <c r="D174" s="15" t="n">
        <v>0.12</v>
      </c>
      <c r="E174" s="16" t="n">
        <v>92.23999999999999</v>
      </c>
      <c r="F174" s="16">
        <f>D174*E174</f>
        <v/>
      </c>
    </row>
    <row r="175">
      <c r="A175" s="13" t="inlineStr">
        <is>
          <t>0222</t>
        </is>
      </c>
      <c r="B175" s="14" t="inlineStr">
        <is>
          <t>Seam bolts and nuts 6 mm dia and 25 mm long</t>
        </is>
      </c>
      <c r="C175" s="13" t="inlineStr">
        <is>
          <t>10 Nos</t>
        </is>
      </c>
      <c r="D175" s="15" t="n">
        <v>1.2</v>
      </c>
      <c r="E175" s="16" t="n">
        <v>10</v>
      </c>
      <c r="F175" s="16">
        <f>D175*E175</f>
        <v/>
      </c>
    </row>
    <row r="176">
      <c r="A176" s="13" t="inlineStr">
        <is>
          <t>1211</t>
        </is>
      </c>
      <c r="B176" s="14" t="inlineStr">
        <is>
          <t>G.I. plain washer for seam bolts</t>
        </is>
      </c>
      <c r="C176" s="13" t="inlineStr">
        <is>
          <t>100 Nos</t>
        </is>
      </c>
      <c r="D176" s="15" t="n">
        <v>0.12</v>
      </c>
      <c r="E176" s="16" t="n">
        <v>32</v>
      </c>
      <c r="F176" s="16">
        <f>D176*E176</f>
        <v/>
      </c>
    </row>
    <row r="177">
      <c r="A177" s="13" t="inlineStr">
        <is>
          <t>1208</t>
        </is>
      </c>
      <c r="B177" s="14" t="inlineStr">
        <is>
          <t>Bitumen washer</t>
        </is>
      </c>
      <c r="C177" s="13" t="inlineStr">
        <is>
          <t>100 Nos</t>
        </is>
      </c>
      <c r="D177" s="15" t="n">
        <v>0.12</v>
      </c>
      <c r="E177" s="16" t="n">
        <v>30</v>
      </c>
      <c r="F177" s="16">
        <f>D177*E177</f>
        <v/>
      </c>
    </row>
    <row r="178">
      <c r="A178" s="13" t="inlineStr">
        <is>
          <t>9977</t>
        </is>
      </c>
      <c r="B178" s="14" t="inlineStr">
        <is>
          <t>Carriage of bolts, nuts and washers</t>
        </is>
      </c>
      <c r="C178" s="13" t="inlineStr">
        <is>
          <t>L.S.</t>
        </is>
      </c>
      <c r="D178" s="15" t="n">
        <v>0.91</v>
      </c>
      <c r="E178" s="16" t="n">
        <v>2</v>
      </c>
      <c r="F178" s="16">
        <f>D178*E178</f>
        <v/>
      </c>
    </row>
    <row r="179">
      <c r="A179" s="13" t="inlineStr">
        <is>
          <t>9999</t>
        </is>
      </c>
      <c r="B179" s="14" t="inlineStr">
        <is>
          <t>Sundries</t>
        </is>
      </c>
      <c r="C179" s="13" t="inlineStr">
        <is>
          <t>L.S.</t>
        </is>
      </c>
      <c r="D179" s="15" t="n">
        <v>13.52</v>
      </c>
      <c r="E179" s="16" t="n">
        <v>2</v>
      </c>
      <c r="F179" s="16">
        <f>D179*E179</f>
        <v/>
      </c>
    </row>
    <row r="180">
      <c r="A180" s="13" t="inlineStr">
        <is>
          <t>0130</t>
        </is>
      </c>
      <c r="B180" s="14" t="inlineStr">
        <is>
          <t>Mistry</t>
        </is>
      </c>
      <c r="C180" s="13" t="inlineStr">
        <is>
          <t>day</t>
        </is>
      </c>
      <c r="D180" s="15" t="n">
        <v>0.4</v>
      </c>
      <c r="E180" s="16" t="n">
        <v>738</v>
      </c>
      <c r="F180" s="16">
        <f>D180*E180</f>
        <v/>
      </c>
    </row>
    <row r="181">
      <c r="A181" s="13" t="inlineStr">
        <is>
          <t>0102</t>
        </is>
      </c>
      <c r="B181" s="14" t="inlineStr">
        <is>
          <t>Blacksmith 1st class</t>
        </is>
      </c>
      <c r="C181" s="13" t="inlineStr">
        <is>
          <t>day</t>
        </is>
      </c>
      <c r="D181" s="15" t="n">
        <v>1.2</v>
      </c>
      <c r="E181" s="16" t="n">
        <v>738</v>
      </c>
      <c r="F181" s="16">
        <f>D181*E181</f>
        <v/>
      </c>
    </row>
    <row r="182">
      <c r="A182" s="13" t="inlineStr">
        <is>
          <t>0103</t>
        </is>
      </c>
      <c r="B182" s="14" t="inlineStr">
        <is>
          <t>Blacksmith 2nd class</t>
        </is>
      </c>
      <c r="C182" s="13" t="inlineStr">
        <is>
          <t>day</t>
        </is>
      </c>
      <c r="D182" s="15" t="n">
        <v>0.8</v>
      </c>
      <c r="E182" s="16" t="n">
        <v>679</v>
      </c>
      <c r="F182" s="16">
        <f>D182*E182</f>
        <v/>
      </c>
    </row>
    <row r="183">
      <c r="A183" s="13" t="inlineStr">
        <is>
          <t>0114</t>
        </is>
      </c>
      <c r="B183" s="14" t="inlineStr">
        <is>
          <t>Beldar</t>
        </is>
      </c>
      <c r="C183" s="13" t="inlineStr">
        <is>
          <t>day</t>
        </is>
      </c>
      <c r="D183" s="15" t="n">
        <v>2.4</v>
      </c>
      <c r="E183" s="16" t="n">
        <v>558</v>
      </c>
      <c r="F183" s="16">
        <f>D183*E183</f>
        <v/>
      </c>
    </row>
    <row r="184">
      <c r="A184" s="17" t="inlineStr">
        <is>
          <t>Resource Total (Material + Labour + Machinery, as printed)</t>
        </is>
      </c>
      <c r="B184" s="18" t="n"/>
      <c r="C184" s="18" t="n"/>
      <c r="D184" s="18" t="n"/>
      <c r="E184" s="18" t="n"/>
      <c r="F184" s="19">
        <f>SUM(F173:F183)</f>
        <v/>
      </c>
    </row>
    <row r="185">
      <c r="A185" s="20" t="inlineStr">
        <is>
          <t>SAY (Rs.) — final DAR rate</t>
        </is>
      </c>
      <c r="B185" s="21" t="n"/>
      <c r="C185" s="21" t="n"/>
      <c r="D185" s="21" t="n"/>
      <c r="E185" s="21" t="n"/>
      <c r="F185" s="22" t="n">
        <v>1324.7</v>
      </c>
    </row>
    <row r="187" ht="18" customHeight="1">
      <c r="A187" s="9" t="inlineStr">
        <is>
          <t>12.6.1</t>
        </is>
      </c>
      <c r="B187" s="10" t="inlineStr">
        <is>
          <t>1.00 mm thick with zinc coating not less than 275 gm/m²</t>
        </is>
      </c>
      <c r="C187" s="11" t="n"/>
      <c r="D187" s="11" t="n"/>
      <c r="E187" s="11" t="n"/>
      <c r="F187" s="11" t="n"/>
    </row>
    <row r="188">
      <c r="A188" s="12" t="inlineStr">
        <is>
          <t>Rate basis: per m  (source: cost for 12.125 m)</t>
        </is>
      </c>
    </row>
    <row r="189">
      <c r="A189" s="5" t="inlineStr">
        <is>
          <t>Code</t>
        </is>
      </c>
      <c r="B189" s="5" t="inlineStr">
        <is>
          <t>Description</t>
        </is>
      </c>
      <c r="C189" s="5" t="inlineStr">
        <is>
          <t>Unit</t>
        </is>
      </c>
      <c r="D189" s="5" t="inlineStr">
        <is>
          <t>Quantity</t>
        </is>
      </c>
      <c r="E189" s="5" t="inlineStr">
        <is>
          <t>Rate (Rs.)</t>
        </is>
      </c>
      <c r="F189" s="5" t="inlineStr">
        <is>
          <t>Amount (Rs.)</t>
        </is>
      </c>
    </row>
    <row r="190">
      <c r="A190" s="13" t="inlineStr">
        <is>
          <t>0992</t>
        </is>
      </c>
      <c r="B190" s="14" t="inlineStr">
        <is>
          <t>Galvanised steel plain sheets</t>
        </is>
      </c>
      <c r="C190" s="13" t="inlineStr">
        <is>
          <t>quintal</t>
        </is>
      </c>
      <c r="D190" s="15" t="n">
        <v>0.4211</v>
      </c>
      <c r="E190" s="16" t="n">
        <v>5000</v>
      </c>
      <c r="F190" s="16">
        <f>D190*E190</f>
        <v/>
      </c>
    </row>
    <row r="191">
      <c r="A191" s="13" t="inlineStr">
        <is>
          <t>2302</t>
        </is>
      </c>
      <c r="B191" s="14" t="inlineStr">
        <is>
          <t>Carriage of G.I. sheet and accessories</t>
        </is>
      </c>
      <c r="C191" s="13" t="inlineStr">
        <is>
          <t>tonne</t>
        </is>
      </c>
      <c r="D191" s="15" t="n">
        <v>0.041</v>
      </c>
      <c r="E191" s="16" t="n">
        <v>92.23999999999999</v>
      </c>
      <c r="F191" s="16">
        <f>D191*E191</f>
        <v/>
      </c>
    </row>
    <row r="192">
      <c r="A192" s="13" t="inlineStr">
        <is>
          <t>0222</t>
        </is>
      </c>
      <c r="B192" s="14" t="inlineStr">
        <is>
          <t>Seam bolts and nuts 6 mm dia and 25 mm long</t>
        </is>
      </c>
      <c r="C192" s="13" t="inlineStr">
        <is>
          <t>10 Nos</t>
        </is>
      </c>
      <c r="D192" s="15" t="n">
        <v>0.6</v>
      </c>
      <c r="E192" s="16" t="n">
        <v>10</v>
      </c>
      <c r="F192" s="16">
        <f>D192*E192</f>
        <v/>
      </c>
    </row>
    <row r="193">
      <c r="A193" s="13" t="inlineStr">
        <is>
          <t>1207</t>
        </is>
      </c>
      <c r="B193" s="14" t="inlineStr">
        <is>
          <t>G.I. Limpet washer</t>
        </is>
      </c>
      <c r="C193" s="13" t="inlineStr">
        <is>
          <t>100 Nos</t>
        </is>
      </c>
      <c r="D193" s="15" t="n">
        <v>0.06</v>
      </c>
      <c r="E193" s="16" t="n">
        <v>21</v>
      </c>
      <c r="F193" s="16">
        <f>D193*E193</f>
        <v/>
      </c>
    </row>
    <row r="194">
      <c r="A194" s="13" t="inlineStr">
        <is>
          <t>1208</t>
        </is>
      </c>
      <c r="B194" s="14" t="inlineStr">
        <is>
          <t>Bitumen washer</t>
        </is>
      </c>
      <c r="C194" s="13" t="inlineStr">
        <is>
          <t>100 Nos</t>
        </is>
      </c>
      <c r="D194" s="15" t="n">
        <v>0.06</v>
      </c>
      <c r="E194" s="16" t="n">
        <v>30</v>
      </c>
      <c r="F194" s="16">
        <f>D194*E194</f>
        <v/>
      </c>
    </row>
    <row r="195">
      <c r="A195" s="13" t="inlineStr">
        <is>
          <t>9977</t>
        </is>
      </c>
      <c r="B195" s="14" t="inlineStr">
        <is>
          <t>Carriage of G.I. seam bolts and washers</t>
        </is>
      </c>
      <c r="C195" s="13" t="inlineStr">
        <is>
          <t>L.S.</t>
        </is>
      </c>
      <c r="D195" s="15" t="n">
        <v>0.39</v>
      </c>
      <c r="E195" s="16" t="n">
        <v>2</v>
      </c>
      <c r="F195" s="16">
        <f>D195*E195</f>
        <v/>
      </c>
    </row>
    <row r="196">
      <c r="A196" s="13" t="inlineStr">
        <is>
          <t>9999</t>
        </is>
      </c>
      <c r="B196" s="14" t="inlineStr">
        <is>
          <t>Sundries</t>
        </is>
      </c>
      <c r="C196" s="13" t="inlineStr">
        <is>
          <t>L.S.</t>
        </is>
      </c>
      <c r="D196" s="15" t="n">
        <v>10.79</v>
      </c>
      <c r="E196" s="16" t="n">
        <v>2</v>
      </c>
      <c r="F196" s="16">
        <f>D196*E196</f>
        <v/>
      </c>
    </row>
    <row r="197">
      <c r="A197" s="13" t="inlineStr">
        <is>
          <t>0130</t>
        </is>
      </c>
      <c r="B197" s="14" t="inlineStr">
        <is>
          <t>Mistry</t>
        </is>
      </c>
      <c r="C197" s="13" t="inlineStr">
        <is>
          <t>day</t>
        </is>
      </c>
      <c r="D197" s="15" t="n">
        <v>0.5</v>
      </c>
      <c r="E197" s="16" t="n">
        <v>738</v>
      </c>
      <c r="F197" s="16">
        <f>D197*E197</f>
        <v/>
      </c>
    </row>
    <row r="198">
      <c r="A198" s="13" t="inlineStr">
        <is>
          <t>0102</t>
        </is>
      </c>
      <c r="B198" s="14" t="inlineStr">
        <is>
          <t>Blacksmith 1st class</t>
        </is>
      </c>
      <c r="C198" s="13" t="inlineStr">
        <is>
          <t>day</t>
        </is>
      </c>
      <c r="D198" s="15" t="n">
        <v>1.48</v>
      </c>
      <c r="E198" s="16" t="n">
        <v>738</v>
      </c>
      <c r="F198" s="16">
        <f>D198*E198</f>
        <v/>
      </c>
    </row>
    <row r="199">
      <c r="A199" s="13" t="inlineStr">
        <is>
          <t>0103</t>
        </is>
      </c>
      <c r="B199" s="14" t="inlineStr">
        <is>
          <t>Blacksmith 2nd class</t>
        </is>
      </c>
      <c r="C199" s="13" t="inlineStr">
        <is>
          <t>day</t>
        </is>
      </c>
      <c r="D199" s="15" t="n">
        <v>1</v>
      </c>
      <c r="E199" s="16" t="n">
        <v>679</v>
      </c>
      <c r="F199" s="16">
        <f>D199*E199</f>
        <v/>
      </c>
    </row>
    <row r="200">
      <c r="A200" s="13" t="inlineStr">
        <is>
          <t>0114</t>
        </is>
      </c>
      <c r="B200" s="14" t="inlineStr">
        <is>
          <t>Beldar</t>
        </is>
      </c>
      <c r="C200" s="13" t="inlineStr">
        <is>
          <t>day</t>
        </is>
      </c>
      <c r="D200" s="15" t="n">
        <v>3</v>
      </c>
      <c r="E200" s="16" t="n">
        <v>558</v>
      </c>
      <c r="F200" s="16">
        <f>D200*E200</f>
        <v/>
      </c>
    </row>
    <row r="201">
      <c r="A201" s="17" t="inlineStr">
        <is>
          <t>Resource Total (Material + Labour + Machinery, as printed)</t>
        </is>
      </c>
      <c r="B201" s="18" t="n"/>
      <c r="C201" s="18" t="n"/>
      <c r="D201" s="18" t="n"/>
      <c r="E201" s="18" t="n"/>
      <c r="F201" s="19">
        <f>SUM(F190:F200)</f>
        <v/>
      </c>
    </row>
    <row r="202">
      <c r="A202" s="20" t="inlineStr">
        <is>
          <t>SAY (Rs.) — final DAR rate</t>
        </is>
      </c>
      <c r="B202" s="21" t="n"/>
      <c r="C202" s="21" t="n"/>
      <c r="D202" s="21" t="n"/>
      <c r="E202" s="21" t="n"/>
      <c r="F202" s="22" t="n">
        <v>657.1</v>
      </c>
    </row>
    <row r="204" ht="18" customHeight="1">
      <c r="A204" s="9" t="inlineStr">
        <is>
          <t>12.7.1</t>
        </is>
      </c>
      <c r="B204" s="10" t="inlineStr">
        <is>
          <t>0.80 mm thick with zinc coating not less than 275 gm/m²</t>
        </is>
      </c>
      <c r="C204" s="11" t="n"/>
      <c r="D204" s="11" t="n"/>
      <c r="E204" s="11" t="n"/>
      <c r="F204" s="11" t="n"/>
    </row>
    <row r="205">
      <c r="A205" s="12" t="inlineStr">
        <is>
          <t>Rate basis: per m  (source: cost for 9.04 m)</t>
        </is>
      </c>
    </row>
    <row r="206">
      <c r="A206" s="5" t="inlineStr">
        <is>
          <t>Code</t>
        </is>
      </c>
      <c r="B206" s="5" t="inlineStr">
        <is>
          <t>Description</t>
        </is>
      </c>
      <c r="C206" s="5" t="inlineStr">
        <is>
          <t>Unit</t>
        </is>
      </c>
      <c r="D206" s="5" t="inlineStr">
        <is>
          <t>Quantity</t>
        </is>
      </c>
      <c r="E206" s="5" t="inlineStr">
        <is>
          <t>Rate (Rs.)</t>
        </is>
      </c>
      <c r="F206" s="5" t="inlineStr">
        <is>
          <t>Amount (Rs.)</t>
        </is>
      </c>
    </row>
    <row r="207">
      <c r="A207" s="13" t="inlineStr">
        <is>
          <t>0992</t>
        </is>
      </c>
      <c r="B207" s="14" t="inlineStr">
        <is>
          <t>Galvanised steel plain sheets</t>
        </is>
      </c>
      <c r="C207" s="13" t="inlineStr">
        <is>
          <t>quintal</t>
        </is>
      </c>
      <c r="D207" s="15" t="n">
        <v>0.3164</v>
      </c>
      <c r="E207" s="16" t="n">
        <v>5000</v>
      </c>
      <c r="F207" s="16">
        <f>D207*E207</f>
        <v/>
      </c>
    </row>
    <row r="208">
      <c r="A208" s="13" t="inlineStr">
        <is>
          <t>2302</t>
        </is>
      </c>
      <c r="B208" s="14" t="inlineStr">
        <is>
          <t>Carriage of G.I. sheet and accessories</t>
        </is>
      </c>
      <c r="C208" s="13" t="inlineStr">
        <is>
          <t>tonne</t>
        </is>
      </c>
      <c r="D208" s="15" t="n">
        <v>0.0316</v>
      </c>
      <c r="E208" s="16" t="n">
        <v>92.23999999999999</v>
      </c>
      <c r="F208" s="16">
        <f>D208*E208</f>
        <v/>
      </c>
    </row>
    <row r="209">
      <c r="A209" s="13" t="inlineStr">
        <is>
          <t>1008</t>
        </is>
      </c>
      <c r="B209" s="14" t="inlineStr">
        <is>
          <t>Flats upto 10 mm in thickness</t>
        </is>
      </c>
      <c r="C209" s="13" t="inlineStr">
        <is>
          <t>quintal</t>
        </is>
      </c>
      <c r="D209" s="15" t="n">
        <v>0.07489999999999999</v>
      </c>
      <c r="E209" s="16" t="n">
        <v>4500</v>
      </c>
      <c r="F209" s="16">
        <f>D209*E209</f>
        <v/>
      </c>
    </row>
    <row r="210">
      <c r="A210" s="13" t="inlineStr">
        <is>
          <t>1022</t>
        </is>
      </c>
      <c r="B210" s="14" t="inlineStr">
        <is>
          <t>Galvanised steel bolts &amp; nuts 6 mm dia and 25 mmlong round head with slots</t>
        </is>
      </c>
      <c r="C210" s="13" t="inlineStr">
        <is>
          <t>10 Nos</t>
        </is>
      </c>
      <c r="D210" s="15" t="n">
        <v>2</v>
      </c>
      <c r="E210" s="16" t="n">
        <v>38</v>
      </c>
      <c r="F210" s="16">
        <f>D210*E210</f>
        <v/>
      </c>
    </row>
    <row r="211">
      <c r="A211" s="13" t="inlineStr">
        <is>
          <t>1024</t>
        </is>
      </c>
      <c r="B211" s="14" t="inlineStr">
        <is>
          <t>Galvanised steel bolts &amp; nuts 10 mm dia and 125 mm long round head with slots</t>
        </is>
      </c>
      <c r="C211" s="13" t="inlineStr">
        <is>
          <t>each</t>
        </is>
      </c>
      <c r="D211" s="15" t="n">
        <v>30</v>
      </c>
      <c r="E211" s="16" t="n">
        <v>9</v>
      </c>
      <c r="F211" s="16">
        <f>D211*E211</f>
        <v/>
      </c>
    </row>
    <row r="212">
      <c r="A212" s="13" t="inlineStr">
        <is>
          <t>1210</t>
        </is>
      </c>
      <c r="B212" s="14" t="inlineStr">
        <is>
          <t>G.I. plain washer thin</t>
        </is>
      </c>
      <c r="C212" s="13" t="inlineStr">
        <is>
          <t>100 Nos</t>
        </is>
      </c>
      <c r="D212" s="15" t="n">
        <v>0.7</v>
      </c>
      <c r="E212" s="16" t="n">
        <v>21</v>
      </c>
      <c r="F212" s="16">
        <f>D212*E212</f>
        <v/>
      </c>
    </row>
    <row r="213">
      <c r="A213" s="13" t="inlineStr">
        <is>
          <t>1208</t>
        </is>
      </c>
      <c r="B213" s="14" t="inlineStr">
        <is>
          <t>Bitumen washer</t>
        </is>
      </c>
      <c r="C213" s="13" t="inlineStr">
        <is>
          <t>100 Nos</t>
        </is>
      </c>
      <c r="D213" s="15" t="n">
        <v>0.4</v>
      </c>
      <c r="E213" s="16" t="n">
        <v>30</v>
      </c>
      <c r="F213" s="16">
        <f>D213*E213</f>
        <v/>
      </c>
    </row>
    <row r="214">
      <c r="A214" s="13" t="inlineStr">
        <is>
          <t>9977</t>
        </is>
      </c>
      <c r="B214" s="14" t="inlineStr">
        <is>
          <t>Carriage of G.I. seam bolts and washers</t>
        </is>
      </c>
      <c r="C214" s="13" t="inlineStr">
        <is>
          <t>L.S.</t>
        </is>
      </c>
      <c r="D214" s="15" t="n">
        <v>2.73</v>
      </c>
      <c r="E214" s="16" t="n">
        <v>2</v>
      </c>
      <c r="F214" s="16">
        <f>D214*E214</f>
        <v/>
      </c>
    </row>
    <row r="215">
      <c r="A215" s="13" t="inlineStr">
        <is>
          <t>9999</t>
        </is>
      </c>
      <c r="B215" s="14" t="inlineStr">
        <is>
          <t>Sundries</t>
        </is>
      </c>
      <c r="C215" s="13" t="inlineStr">
        <is>
          <t>L.S.</t>
        </is>
      </c>
      <c r="D215" s="15" t="n">
        <v>5.33</v>
      </c>
      <c r="E215" s="16" t="n">
        <v>2</v>
      </c>
      <c r="F215" s="16">
        <f>D215*E215</f>
        <v/>
      </c>
    </row>
    <row r="216">
      <c r="A216" s="13" t="inlineStr">
        <is>
          <t>0102</t>
        </is>
      </c>
      <c r="B216" s="14" t="inlineStr">
        <is>
          <t>Blacksmith 1st class</t>
        </is>
      </c>
      <c r="C216" s="13" t="inlineStr">
        <is>
          <t>day</t>
        </is>
      </c>
      <c r="D216" s="15" t="n">
        <v>0.5</v>
      </c>
      <c r="E216" s="16" t="n">
        <v>738</v>
      </c>
      <c r="F216" s="16">
        <f>D216*E216</f>
        <v/>
      </c>
    </row>
    <row r="217">
      <c r="A217" s="13" t="inlineStr">
        <is>
          <t>0114</t>
        </is>
      </c>
      <c r="B217" s="14" t="inlineStr">
        <is>
          <t>Beldar</t>
        </is>
      </c>
      <c r="C217" s="13" t="inlineStr">
        <is>
          <t>day</t>
        </is>
      </c>
      <c r="D217" s="15" t="n">
        <v>0.5</v>
      </c>
      <c r="E217" s="16" t="n">
        <v>558</v>
      </c>
      <c r="F217" s="16">
        <f>D217*E217</f>
        <v/>
      </c>
    </row>
    <row r="218">
      <c r="A218" s="13" t="inlineStr">
        <is>
          <t>9999</t>
        </is>
      </c>
      <c r="B218" s="14" t="inlineStr">
        <is>
          <t>Sundries</t>
        </is>
      </c>
      <c r="C218" s="13" t="inlineStr">
        <is>
          <t>L.S.</t>
        </is>
      </c>
      <c r="D218" s="15" t="n">
        <v>12.61</v>
      </c>
      <c r="E218" s="16" t="n">
        <v>2</v>
      </c>
      <c r="F218" s="16">
        <f>D218*E218</f>
        <v/>
      </c>
    </row>
    <row r="219">
      <c r="A219" s="13" t="inlineStr">
        <is>
          <t>0130</t>
        </is>
      </c>
      <c r="B219" s="14" t="inlineStr">
        <is>
          <t>Mistry</t>
        </is>
      </c>
      <c r="C219" s="13" t="inlineStr">
        <is>
          <t>day</t>
        </is>
      </c>
      <c r="D219" s="15" t="n">
        <v>0.28</v>
      </c>
      <c r="E219" s="16" t="n">
        <v>738</v>
      </c>
      <c r="F219" s="16">
        <f>D219*E219</f>
        <v/>
      </c>
    </row>
    <row r="220">
      <c r="A220" s="13" t="inlineStr">
        <is>
          <t>0102</t>
        </is>
      </c>
      <c r="B220" s="14" t="inlineStr">
        <is>
          <t>Blacksmith 1st class</t>
        </is>
      </c>
      <c r="C220" s="13" t="inlineStr">
        <is>
          <t>day</t>
        </is>
      </c>
      <c r="D220" s="15" t="n">
        <v>0.84</v>
      </c>
      <c r="E220" s="16" t="n">
        <v>738</v>
      </c>
      <c r="F220" s="16">
        <f>D220*E220</f>
        <v/>
      </c>
    </row>
    <row r="221">
      <c r="A221" s="13" t="inlineStr">
        <is>
          <t>0112</t>
        </is>
      </c>
      <c r="B221" s="14" t="inlineStr">
        <is>
          <t>Carpenter 2nd class</t>
        </is>
      </c>
      <c r="C221" s="13" t="inlineStr">
        <is>
          <t>day</t>
        </is>
      </c>
      <c r="D221" s="15" t="n">
        <v>0.62</v>
      </c>
      <c r="E221" s="16" t="n">
        <v>679</v>
      </c>
      <c r="F221" s="16">
        <f>D221*E221</f>
        <v/>
      </c>
    </row>
    <row r="222">
      <c r="A222" s="13" t="inlineStr">
        <is>
          <t>0114</t>
        </is>
      </c>
      <c r="B222" s="14" t="inlineStr">
        <is>
          <t>Beldar</t>
        </is>
      </c>
      <c r="C222" s="13" t="inlineStr">
        <is>
          <t>day</t>
        </is>
      </c>
      <c r="D222" s="15" t="n">
        <v>1.68</v>
      </c>
      <c r="E222" s="16" t="n">
        <v>558</v>
      </c>
      <c r="F222" s="16">
        <f>D222*E222</f>
        <v/>
      </c>
    </row>
    <row r="223">
      <c r="A223" s="17" t="inlineStr">
        <is>
          <t>Resource Total (Material + Labour + Machinery, as printed)</t>
        </is>
      </c>
      <c r="B223" s="18" t="n"/>
      <c r="C223" s="18" t="n"/>
      <c r="D223" s="18" t="n"/>
      <c r="E223" s="18" t="n"/>
      <c r="F223" s="19">
        <f>SUM(F207:F222)</f>
        <v/>
      </c>
    </row>
    <row r="224">
      <c r="A224" s="20" t="inlineStr">
        <is>
          <t>SAY (Rs.) — final DAR rate</t>
        </is>
      </c>
      <c r="B224" s="21" t="n"/>
      <c r="C224" s="21" t="n"/>
      <c r="D224" s="21" t="n"/>
      <c r="E224" s="21" t="n"/>
      <c r="F224" s="22" t="n">
        <v>765</v>
      </c>
    </row>
    <row r="226" ht="18" customHeight="1">
      <c r="A226" s="9" t="inlineStr">
        <is>
          <t>12.7.2</t>
        </is>
      </c>
      <c r="B226" s="10" t="inlineStr">
        <is>
          <t>0.63 mm thick with zinc coating not less than 275 gm/m²</t>
        </is>
      </c>
      <c r="C226" s="11" t="n"/>
      <c r="D226" s="11" t="n"/>
      <c r="E226" s="11" t="n"/>
      <c r="F226" s="11" t="n"/>
    </row>
    <row r="227">
      <c r="A227" s="12" t="inlineStr">
        <is>
          <t>Rate basis: per m  (source: cost for 9.04 m)</t>
        </is>
      </c>
    </row>
    <row r="228">
      <c r="A228" s="5" t="inlineStr">
        <is>
          <t>Code</t>
        </is>
      </c>
      <c r="B228" s="5" t="inlineStr">
        <is>
          <t>Description</t>
        </is>
      </c>
      <c r="C228" s="5" t="inlineStr">
        <is>
          <t>Unit</t>
        </is>
      </c>
      <c r="D228" s="5" t="inlineStr">
        <is>
          <t>Quantity</t>
        </is>
      </c>
      <c r="E228" s="5" t="inlineStr">
        <is>
          <t>Rate (Rs.)</t>
        </is>
      </c>
      <c r="F228" s="5" t="inlineStr">
        <is>
          <t>Amount (Rs.)</t>
        </is>
      </c>
    </row>
    <row r="229">
      <c r="A229" s="13" t="inlineStr">
        <is>
          <t>0992</t>
        </is>
      </c>
      <c r="B229" s="14" t="inlineStr">
        <is>
          <t>Galvanised steel plain sheets</t>
        </is>
      </c>
      <c r="C229" s="13" t="inlineStr">
        <is>
          <t>quintal</t>
        </is>
      </c>
      <c r="D229" s="15" t="n">
        <v>0.2364</v>
      </c>
      <c r="E229" s="16" t="n">
        <v>5000</v>
      </c>
      <c r="F229" s="16">
        <f>D229*E229</f>
        <v/>
      </c>
    </row>
    <row r="230">
      <c r="A230" s="13" t="inlineStr">
        <is>
          <t>2302</t>
        </is>
      </c>
      <c r="B230" s="14" t="inlineStr">
        <is>
          <t>Carriage of G.I. sheet and accessories</t>
        </is>
      </c>
      <c r="C230" s="13" t="inlineStr">
        <is>
          <t>tonne</t>
        </is>
      </c>
      <c r="D230" s="15" t="n">
        <v>0.0236</v>
      </c>
      <c r="E230" s="16" t="n">
        <v>92.23999999999999</v>
      </c>
      <c r="F230" s="16">
        <f>D230*E230</f>
        <v/>
      </c>
    </row>
    <row r="231">
      <c r="A231" s="13" t="inlineStr">
        <is>
          <t>1008</t>
        </is>
      </c>
      <c r="B231" s="14" t="inlineStr">
        <is>
          <t>Flats upto 10 mm in thickness</t>
        </is>
      </c>
      <c r="C231" s="13" t="inlineStr">
        <is>
          <t>quintal</t>
        </is>
      </c>
      <c r="D231" s="15" t="n">
        <v>0.07489999999999999</v>
      </c>
      <c r="E231" s="16" t="n">
        <v>4500</v>
      </c>
      <c r="F231" s="16">
        <f>D231*E231</f>
        <v/>
      </c>
    </row>
    <row r="232">
      <c r="A232" s="13" t="inlineStr">
        <is>
          <t>1022</t>
        </is>
      </c>
      <c r="B232" s="14" t="inlineStr">
        <is>
          <t>Galvanised steel bolts &amp; nuts 6 mm dia and 25 mmlong round head with slots</t>
        </is>
      </c>
      <c r="C232" s="13" t="inlineStr">
        <is>
          <t>10 Nos</t>
        </is>
      </c>
      <c r="D232" s="15" t="n">
        <v>2</v>
      </c>
      <c r="E232" s="16" t="n">
        <v>38</v>
      </c>
      <c r="F232" s="16">
        <f>D232*E232</f>
        <v/>
      </c>
    </row>
    <row r="233">
      <c r="A233" s="13" t="inlineStr">
        <is>
          <t>1024</t>
        </is>
      </c>
      <c r="B233" s="14" t="inlineStr">
        <is>
          <t>Galvanised steel bolts &amp; nuts 10 mm dia and 125 mm long round head with slots</t>
        </is>
      </c>
      <c r="C233" s="13" t="inlineStr">
        <is>
          <t>each</t>
        </is>
      </c>
      <c r="D233" s="15" t="n">
        <v>30</v>
      </c>
      <c r="E233" s="16" t="n">
        <v>9</v>
      </c>
      <c r="F233" s="16">
        <f>D233*E233</f>
        <v/>
      </c>
    </row>
    <row r="234">
      <c r="A234" s="13" t="inlineStr">
        <is>
          <t>1210</t>
        </is>
      </c>
      <c r="B234" s="14" t="inlineStr">
        <is>
          <t>G.I. plain washer thin</t>
        </is>
      </c>
      <c r="C234" s="13" t="inlineStr">
        <is>
          <t>100 Nos</t>
        </is>
      </c>
      <c r="D234" s="15" t="n">
        <v>0.7</v>
      </c>
      <c r="E234" s="16" t="n">
        <v>21</v>
      </c>
      <c r="F234" s="16">
        <f>D234*E234</f>
        <v/>
      </c>
    </row>
    <row r="235">
      <c r="A235" s="13" t="inlineStr">
        <is>
          <t>1208</t>
        </is>
      </c>
      <c r="B235" s="14" t="inlineStr">
        <is>
          <t>Bitumen washer</t>
        </is>
      </c>
      <c r="C235" s="13" t="inlineStr">
        <is>
          <t>100 Nos</t>
        </is>
      </c>
      <c r="D235" s="15" t="n">
        <v>0.4</v>
      </c>
      <c r="E235" s="16" t="n">
        <v>30</v>
      </c>
      <c r="F235" s="16">
        <f>D235*E235</f>
        <v/>
      </c>
    </row>
    <row r="236">
      <c r="A236" s="13" t="inlineStr">
        <is>
          <t>9977</t>
        </is>
      </c>
      <c r="B236" s="14" t="inlineStr">
        <is>
          <t>Carriage of G.I. seam bolts and washers</t>
        </is>
      </c>
      <c r="C236" s="13" t="inlineStr">
        <is>
          <t>L.S.</t>
        </is>
      </c>
      <c r="D236" s="15" t="n">
        <v>2.73</v>
      </c>
      <c r="E236" s="16" t="n">
        <v>2</v>
      </c>
      <c r="F236" s="16">
        <f>D236*E236</f>
        <v/>
      </c>
    </row>
    <row r="237">
      <c r="A237" s="13" t="inlineStr">
        <is>
          <t>9999</t>
        </is>
      </c>
      <c r="B237" s="14" t="inlineStr">
        <is>
          <t>Sundries</t>
        </is>
      </c>
      <c r="C237" s="13" t="inlineStr">
        <is>
          <t>L.S.</t>
        </is>
      </c>
      <c r="D237" s="15" t="n">
        <v>5.33</v>
      </c>
      <c r="E237" s="16" t="n">
        <v>2</v>
      </c>
      <c r="F237" s="16">
        <f>D237*E237</f>
        <v/>
      </c>
    </row>
    <row r="238">
      <c r="A238" s="13" t="inlineStr">
        <is>
          <t>0102</t>
        </is>
      </c>
      <c r="B238" s="14" t="inlineStr">
        <is>
          <t>Blacksmith 1st class</t>
        </is>
      </c>
      <c r="C238" s="13" t="inlineStr">
        <is>
          <t>day</t>
        </is>
      </c>
      <c r="D238" s="15" t="n">
        <v>0.5</v>
      </c>
      <c r="E238" s="16" t="n">
        <v>738</v>
      </c>
      <c r="F238" s="16">
        <f>D238*E238</f>
        <v/>
      </c>
    </row>
    <row r="239">
      <c r="A239" s="13" t="inlineStr">
        <is>
          <t>0114</t>
        </is>
      </c>
      <c r="B239" s="14" t="inlineStr">
        <is>
          <t>Beldar</t>
        </is>
      </c>
      <c r="C239" s="13" t="inlineStr">
        <is>
          <t>day</t>
        </is>
      </c>
      <c r="D239" s="15" t="n">
        <v>0.5</v>
      </c>
      <c r="E239" s="16" t="n">
        <v>558</v>
      </c>
      <c r="F239" s="16">
        <f>D239*E239</f>
        <v/>
      </c>
    </row>
    <row r="240">
      <c r="A240" s="13" t="inlineStr">
        <is>
          <t>9999</t>
        </is>
      </c>
      <c r="B240" s="14" t="inlineStr">
        <is>
          <t>Sundries</t>
        </is>
      </c>
      <c r="C240" s="13" t="inlineStr">
        <is>
          <t>L.S.</t>
        </is>
      </c>
      <c r="D240" s="15" t="n">
        <v>12.61</v>
      </c>
      <c r="E240" s="16" t="n">
        <v>2</v>
      </c>
      <c r="F240" s="16">
        <f>D240*E240</f>
        <v/>
      </c>
    </row>
    <row r="241">
      <c r="A241" s="13" t="inlineStr">
        <is>
          <t>0130</t>
        </is>
      </c>
      <c r="B241" s="14" t="inlineStr">
        <is>
          <t>Mistry</t>
        </is>
      </c>
      <c r="C241" s="13" t="inlineStr">
        <is>
          <t>day</t>
        </is>
      </c>
      <c r="D241" s="15" t="n">
        <v>0.28</v>
      </c>
      <c r="E241" s="16" t="n">
        <v>738</v>
      </c>
      <c r="F241" s="16">
        <f>D241*E241</f>
        <v/>
      </c>
    </row>
    <row r="242">
      <c r="A242" s="13" t="inlineStr">
        <is>
          <t>0102</t>
        </is>
      </c>
      <c r="B242" s="14" t="inlineStr">
        <is>
          <t>Blacksmith 1st class</t>
        </is>
      </c>
      <c r="C242" s="13" t="inlineStr">
        <is>
          <t>day</t>
        </is>
      </c>
      <c r="D242" s="15" t="n">
        <v>0.84</v>
      </c>
      <c r="E242" s="16" t="n">
        <v>738</v>
      </c>
      <c r="F242" s="16">
        <f>D242*E242</f>
        <v/>
      </c>
    </row>
    <row r="243">
      <c r="A243" s="13" t="inlineStr">
        <is>
          <t>0112</t>
        </is>
      </c>
      <c r="B243" s="14" t="inlineStr">
        <is>
          <t>Carpenter 2nd class</t>
        </is>
      </c>
      <c r="C243" s="13" t="inlineStr">
        <is>
          <t>day</t>
        </is>
      </c>
      <c r="D243" s="15" t="n">
        <v>0.62</v>
      </c>
      <c r="E243" s="16" t="n">
        <v>679</v>
      </c>
      <c r="F243" s="16">
        <f>D243*E243</f>
        <v/>
      </c>
    </row>
    <row r="244">
      <c r="A244" s="13" t="inlineStr">
        <is>
          <t>0114</t>
        </is>
      </c>
      <c r="B244" s="14" t="inlineStr">
        <is>
          <t>Beldar</t>
        </is>
      </c>
      <c r="C244" s="13" t="inlineStr">
        <is>
          <t>day</t>
        </is>
      </c>
      <c r="D244" s="15" t="n">
        <v>1.68</v>
      </c>
      <c r="E244" s="16" t="n">
        <v>558</v>
      </c>
      <c r="F244" s="16">
        <f>D244*E244</f>
        <v/>
      </c>
    </row>
    <row r="245">
      <c r="A245" s="17" t="inlineStr">
        <is>
          <t>Resource Total (Material + Labour + Machinery, as printed)</t>
        </is>
      </c>
      <c r="B245" s="18" t="n"/>
      <c r="C245" s="18" t="n"/>
      <c r="D245" s="18" t="n"/>
      <c r="E245" s="18" t="n"/>
      <c r="F245" s="19">
        <f>SUM(F229:F244)</f>
        <v/>
      </c>
    </row>
    <row r="246">
      <c r="A246" s="20" t="inlineStr">
        <is>
          <t>SAY (Rs.) — final DAR rate</t>
        </is>
      </c>
      <c r="B246" s="21" t="n"/>
      <c r="C246" s="21" t="n"/>
      <c r="D246" s="21" t="n"/>
      <c r="E246" s="21" t="n"/>
      <c r="F246" s="22" t="n">
        <v>705.7</v>
      </c>
    </row>
    <row r="248" ht="28" customHeight="1">
      <c r="A248" s="9" t="inlineStr">
        <is>
          <t>12.8</t>
        </is>
      </c>
      <c r="B248" s="10" t="inlineStr">
        <is>
          <t>Providing reinforced by organic fibres and/or inorganic synthetic fibres cement 6 mm thick corrugated sheets (as per IS: 14871) roofing up t</t>
        </is>
      </c>
      <c r="C248" s="11" t="n"/>
      <c r="D248" s="11" t="n"/>
      <c r="E248" s="11" t="n"/>
      <c r="F248" s="11" t="n"/>
    </row>
    <row r="249">
      <c r="A249" s="12" t="inlineStr">
        <is>
          <t>Rate basis: per sqm  (source: cost for 216.14 sqm)</t>
        </is>
      </c>
    </row>
    <row r="250">
      <c r="A250" s="5" t="inlineStr">
        <is>
          <t>Code</t>
        </is>
      </c>
      <c r="B250" s="5" t="inlineStr">
        <is>
          <t>Description</t>
        </is>
      </c>
      <c r="C250" s="5" t="inlineStr">
        <is>
          <t>Unit</t>
        </is>
      </c>
      <c r="D250" s="5" t="inlineStr">
        <is>
          <t>Quantity</t>
        </is>
      </c>
      <c r="E250" s="5" t="inlineStr">
        <is>
          <t>Rate (Rs.)</t>
        </is>
      </c>
      <c r="F250" s="5" t="inlineStr">
        <is>
          <t>Amount (Rs.)</t>
        </is>
      </c>
    </row>
    <row r="251">
      <c r="A251" s="13" t="inlineStr">
        <is>
          <t>0223</t>
        </is>
      </c>
      <c r="B251" s="14" t="inlineStr">
        <is>
          <t>Fibre reinforced by organic fibres and / or inorganic synthetic fibres cement corrugated sheet 6 mm thick</t>
        </is>
      </c>
      <c r="C251" s="13" t="inlineStr">
        <is>
          <t>sqm</t>
        </is>
      </c>
      <c r="D251" s="15" t="n">
        <v>237.93</v>
      </c>
      <c r="E251" s="16" t="n">
        <v>225</v>
      </c>
      <c r="F251" s="16">
        <f>D251*E251</f>
        <v/>
      </c>
    </row>
    <row r="252">
      <c r="A252" s="13" t="inlineStr">
        <is>
          <t>2273</t>
        </is>
      </c>
      <c r="B252" s="14" t="inlineStr">
        <is>
          <t>Carriage of A.C.sheet and accessories</t>
        </is>
      </c>
      <c r="C252" s="13" t="inlineStr">
        <is>
          <t>tonne</t>
        </is>
      </c>
      <c r="D252" s="15" t="n">
        <v>3.184</v>
      </c>
      <c r="E252" s="16" t="n">
        <v>92.23999999999999</v>
      </c>
      <c r="F252" s="16">
        <f>D252*E252</f>
        <v/>
      </c>
    </row>
    <row r="253">
      <c r="A253" s="13" t="inlineStr">
        <is>
          <t>1023</t>
        </is>
      </c>
      <c r="B253" s="14" t="inlineStr">
        <is>
          <t>Galvanised steel J or L hooks 8 mm dia</t>
        </is>
      </c>
      <c r="C253" s="13" t="inlineStr">
        <is>
          <t>10 Nos</t>
        </is>
      </c>
      <c r="D253" s="15" t="n">
        <v>47.6</v>
      </c>
      <c r="E253" s="16" t="n">
        <v>120</v>
      </c>
      <c r="F253" s="16">
        <f>D253*E253</f>
        <v/>
      </c>
    </row>
    <row r="254">
      <c r="A254" s="13" t="inlineStr">
        <is>
          <t>1208</t>
        </is>
      </c>
      <c r="B254" s="14" t="inlineStr">
        <is>
          <t>Bitumen washer</t>
        </is>
      </c>
      <c r="C254" s="13" t="inlineStr">
        <is>
          <t>100 Nos</t>
        </is>
      </c>
      <c r="D254" s="15" t="n">
        <v>4.76</v>
      </c>
      <c r="E254" s="16" t="n">
        <v>30</v>
      </c>
      <c r="F254" s="16">
        <f>D254*E254</f>
        <v/>
      </c>
    </row>
    <row r="255">
      <c r="A255" s="13" t="inlineStr">
        <is>
          <t>1209</t>
        </is>
      </c>
      <c r="B255" s="14" t="inlineStr">
        <is>
          <t>G.I. plain washer thick</t>
        </is>
      </c>
      <c r="C255" s="13" t="inlineStr">
        <is>
          <t>100 Nos</t>
        </is>
      </c>
      <c r="D255" s="15" t="n">
        <v>4.76</v>
      </c>
      <c r="E255" s="16" t="n">
        <v>35</v>
      </c>
      <c r="F255" s="16">
        <f>D255*E255</f>
        <v/>
      </c>
    </row>
    <row r="256">
      <c r="A256" s="13" t="inlineStr">
        <is>
          <t>9977</t>
        </is>
      </c>
      <c r="B256" s="14" t="inlineStr">
        <is>
          <t>Carriage of bolts and nuts, washers etc.</t>
        </is>
      </c>
      <c r="C256" s="13" t="inlineStr">
        <is>
          <t>L.S.</t>
        </is>
      </c>
      <c r="D256" s="15" t="n">
        <v>8.06</v>
      </c>
      <c r="E256" s="16" t="n">
        <v>2</v>
      </c>
      <c r="F256" s="16">
        <f>D256*E256</f>
        <v/>
      </c>
    </row>
    <row r="257">
      <c r="A257" s="13" t="inlineStr">
        <is>
          <t>9999</t>
        </is>
      </c>
      <c r="B257" s="14" t="inlineStr">
        <is>
          <t>Sundries</t>
        </is>
      </c>
      <c r="C257" s="13" t="inlineStr">
        <is>
          <t>L.S.</t>
        </is>
      </c>
      <c r="D257" s="15" t="n">
        <v>39.52</v>
      </c>
      <c r="E257" s="16" t="n">
        <v>2</v>
      </c>
      <c r="F257" s="16">
        <f>D257*E257</f>
        <v/>
      </c>
    </row>
    <row r="258">
      <c r="A258" s="13" t="inlineStr">
        <is>
          <t>0130</t>
        </is>
      </c>
      <c r="B258" s="14" t="inlineStr">
        <is>
          <t>Mistry</t>
        </is>
      </c>
      <c r="C258" s="13" t="inlineStr">
        <is>
          <t>day</t>
        </is>
      </c>
      <c r="D258" s="15" t="n">
        <v>2.34</v>
      </c>
      <c r="E258" s="16" t="n">
        <v>738</v>
      </c>
      <c r="F258" s="16">
        <f>D258*E258</f>
        <v/>
      </c>
    </row>
    <row r="259">
      <c r="A259" s="13" t="inlineStr">
        <is>
          <t>0112</t>
        </is>
      </c>
      <c r="B259" s="14" t="inlineStr">
        <is>
          <t>Carpenter 2nd class</t>
        </is>
      </c>
      <c r="C259" s="13" t="inlineStr">
        <is>
          <t>day</t>
        </is>
      </c>
      <c r="D259" s="15" t="n">
        <v>9.34</v>
      </c>
      <c r="E259" s="16" t="n">
        <v>679</v>
      </c>
      <c r="F259" s="16">
        <f>D259*E259</f>
        <v/>
      </c>
    </row>
    <row r="260">
      <c r="A260" s="13" t="inlineStr">
        <is>
          <t>0114</t>
        </is>
      </c>
      <c r="B260" s="14" t="inlineStr">
        <is>
          <t>Beldar</t>
        </is>
      </c>
      <c r="C260" s="13" t="inlineStr">
        <is>
          <t>day</t>
        </is>
      </c>
      <c r="D260" s="15" t="n">
        <v>9.34</v>
      </c>
      <c r="E260" s="16" t="n">
        <v>558</v>
      </c>
      <c r="F260" s="16">
        <f>D260*E260</f>
        <v/>
      </c>
    </row>
    <row r="261">
      <c r="A261" s="17" t="inlineStr">
        <is>
          <t>Resource Total (Material + Labour + Machinery, as printed)</t>
        </is>
      </c>
      <c r="B261" s="18" t="n"/>
      <c r="C261" s="18" t="n"/>
      <c r="D261" s="18" t="n"/>
      <c r="E261" s="18" t="n"/>
      <c r="F261" s="19">
        <f>SUM(F251:F260)</f>
        <v/>
      </c>
    </row>
    <row r="262">
      <c r="A262" s="20" t="inlineStr">
        <is>
          <t>SAY (Rs.) — final DAR rate</t>
        </is>
      </c>
      <c r="B262" s="21" t="n"/>
      <c r="C262" s="21" t="n"/>
      <c r="D262" s="21" t="n"/>
      <c r="E262" s="21" t="n"/>
      <c r="F262" s="22" t="n">
        <v>453.25</v>
      </c>
    </row>
    <row r="264" ht="28" customHeight="1">
      <c r="A264" s="9" t="inlineStr">
        <is>
          <t>12.9</t>
        </is>
      </c>
      <c r="B264" s="10" t="inlineStr">
        <is>
          <t>Extra for straight cutting in reinforced by organic fibres and/or inorganic synthetic fibres cement corrugated, semi corrugated 6 mm thick s</t>
        </is>
      </c>
      <c r="C264" s="11" t="n"/>
      <c r="D264" s="11" t="n"/>
      <c r="E264" s="11" t="n"/>
      <c r="F264" s="11" t="n"/>
    </row>
    <row r="265">
      <c r="A265" s="12" t="inlineStr">
        <is>
          <t>Rate basis: per metres  (source: cost for 3 metres)</t>
        </is>
      </c>
    </row>
    <row r="266">
      <c r="A266" s="5" t="inlineStr">
        <is>
          <t>Code</t>
        </is>
      </c>
      <c r="B266" s="5" t="inlineStr">
        <is>
          <t>Description</t>
        </is>
      </c>
      <c r="C266" s="5" t="inlineStr">
        <is>
          <t>Unit</t>
        </is>
      </c>
      <c r="D266" s="5" t="inlineStr">
        <is>
          <t>Quantity</t>
        </is>
      </c>
      <c r="E266" s="5" t="inlineStr">
        <is>
          <t>Rate (Rs.)</t>
        </is>
      </c>
      <c r="F266" s="5" t="inlineStr">
        <is>
          <t>Amount (Rs.)</t>
        </is>
      </c>
    </row>
    <row r="267">
      <c r="A267" s="13" t="inlineStr">
        <is>
          <t>0111</t>
        </is>
      </c>
      <c r="B267" s="14" t="inlineStr">
        <is>
          <t>Carpenter 1st class</t>
        </is>
      </c>
      <c r="C267" s="13" t="inlineStr">
        <is>
          <t>day</t>
        </is>
      </c>
      <c r="D267" s="15" t="n">
        <v>0.12</v>
      </c>
      <c r="E267" s="16" t="n">
        <v>738</v>
      </c>
      <c r="F267" s="16">
        <f>D267*E267</f>
        <v/>
      </c>
    </row>
    <row r="268">
      <c r="A268" s="13" t="inlineStr">
        <is>
          <t>0114</t>
        </is>
      </c>
      <c r="B268" s="14" t="inlineStr">
        <is>
          <t>Beldar</t>
        </is>
      </c>
      <c r="C268" s="13" t="inlineStr">
        <is>
          <t>day</t>
        </is>
      </c>
      <c r="D268" s="15" t="n">
        <v>0.12</v>
      </c>
      <c r="E268" s="16" t="n">
        <v>558</v>
      </c>
      <c r="F268" s="16">
        <f>D268*E268</f>
        <v/>
      </c>
    </row>
    <row r="269">
      <c r="A269" s="17" t="inlineStr">
        <is>
          <t>Resource Total (Material + Labour + Machinery, as printed)</t>
        </is>
      </c>
      <c r="B269" s="18" t="n"/>
      <c r="C269" s="18" t="n"/>
      <c r="D269" s="18" t="n"/>
      <c r="E269" s="18" t="n"/>
      <c r="F269" s="19">
        <f>SUM(F267:F268)</f>
        <v/>
      </c>
    </row>
    <row r="270">
      <c r="A270" s="20" t="inlineStr">
        <is>
          <t>SAY (Rs.) — final DAR rate</t>
        </is>
      </c>
      <c r="B270" s="21" t="n"/>
      <c r="C270" s="21" t="n"/>
      <c r="D270" s="21" t="n"/>
      <c r="E270" s="21" t="n"/>
      <c r="F270" s="22" t="n">
        <v>69.34999999999999</v>
      </c>
    </row>
    <row r="272" ht="28" customHeight="1">
      <c r="A272" s="9" t="inlineStr">
        <is>
          <t>12.10</t>
        </is>
      </c>
      <c r="B272" s="10" t="inlineStr">
        <is>
          <t>Extra for circular cutting in reinforced by organic fibres and/or inorganic synthetic fibres cement corrugated/ semi corrugated 6 mm thick s</t>
        </is>
      </c>
      <c r="C272" s="11" t="n"/>
      <c r="D272" s="11" t="n"/>
      <c r="E272" s="11" t="n"/>
      <c r="F272" s="11" t="n"/>
    </row>
    <row r="273">
      <c r="A273" s="12" t="inlineStr">
        <is>
          <t>Rate basis: per holes  (source: cost for 4 holes)</t>
        </is>
      </c>
    </row>
    <row r="274">
      <c r="A274" s="5" t="inlineStr">
        <is>
          <t>Code</t>
        </is>
      </c>
      <c r="B274" s="5" t="inlineStr">
        <is>
          <t>Description</t>
        </is>
      </c>
      <c r="C274" s="5" t="inlineStr">
        <is>
          <t>Unit</t>
        </is>
      </c>
      <c r="D274" s="5" t="inlineStr">
        <is>
          <t>Quantity</t>
        </is>
      </c>
      <c r="E274" s="5" t="inlineStr">
        <is>
          <t>Rate (Rs.)</t>
        </is>
      </c>
      <c r="F274" s="5" t="inlineStr">
        <is>
          <t>Amount (Rs.)</t>
        </is>
      </c>
    </row>
    <row r="275">
      <c r="A275" s="13" t="inlineStr">
        <is>
          <t>0111</t>
        </is>
      </c>
      <c r="B275" s="14" t="inlineStr">
        <is>
          <t>Carpenter 1st class</t>
        </is>
      </c>
      <c r="C275" s="13" t="inlineStr">
        <is>
          <t>day</t>
        </is>
      </c>
      <c r="D275" s="15" t="n">
        <v>1</v>
      </c>
      <c r="E275" s="16" t="n">
        <v>738</v>
      </c>
      <c r="F275" s="16">
        <f>D275*E275</f>
        <v/>
      </c>
    </row>
    <row r="276">
      <c r="A276" s="13" t="inlineStr">
        <is>
          <t>0114</t>
        </is>
      </c>
      <c r="B276" s="14" t="inlineStr">
        <is>
          <t>Beldar</t>
        </is>
      </c>
      <c r="C276" s="13" t="inlineStr">
        <is>
          <t>day</t>
        </is>
      </c>
      <c r="D276" s="15" t="n">
        <v>1</v>
      </c>
      <c r="E276" s="16" t="n">
        <v>558</v>
      </c>
      <c r="F276" s="16">
        <f>D276*E276</f>
        <v/>
      </c>
    </row>
    <row r="277">
      <c r="A277" s="17" t="inlineStr">
        <is>
          <t>Resource Total (Material + Labour + Machinery, as printed)</t>
        </is>
      </c>
      <c r="B277" s="18" t="n"/>
      <c r="C277" s="18" t="n"/>
      <c r="D277" s="18" t="n"/>
      <c r="E277" s="18" t="n"/>
      <c r="F277" s="19">
        <f>SUM(F275:F276)</f>
        <v/>
      </c>
    </row>
    <row r="278">
      <c r="A278" s="20" t="inlineStr">
        <is>
          <t>SAY (Rs.) — final DAR rate</t>
        </is>
      </c>
      <c r="B278" s="21" t="n"/>
      <c r="C278" s="21" t="n"/>
      <c r="D278" s="21" t="n"/>
      <c r="E278" s="21" t="n"/>
      <c r="F278" s="22" t="n">
        <v>191.6</v>
      </c>
    </row>
    <row r="280" ht="18" customHeight="1">
      <c r="A280" s="9" t="inlineStr">
        <is>
          <t>12.11</t>
        </is>
      </c>
      <c r="B280" s="10" t="inlineStr">
        <is>
          <t>Extra for providing and fixing wind ties of 40x 6 mm flat iron section.</t>
        </is>
      </c>
      <c r="C280" s="11" t="n"/>
      <c r="D280" s="11" t="n"/>
      <c r="E280" s="11" t="n"/>
      <c r="F280" s="11" t="n"/>
    </row>
    <row r="281">
      <c r="A281" s="12" t="inlineStr">
        <is>
          <t>Rate basis: per metres  (source: cost for 30 metres)</t>
        </is>
      </c>
    </row>
    <row r="282">
      <c r="A282" s="5" t="inlineStr">
        <is>
          <t>Code</t>
        </is>
      </c>
      <c r="B282" s="5" t="inlineStr">
        <is>
          <t>Description</t>
        </is>
      </c>
      <c r="C282" s="5" t="inlineStr">
        <is>
          <t>Unit</t>
        </is>
      </c>
      <c r="D282" s="5" t="inlineStr">
        <is>
          <t>Quantity</t>
        </is>
      </c>
      <c r="E282" s="5" t="inlineStr">
        <is>
          <t>Rate (Rs.)</t>
        </is>
      </c>
      <c r="F282" s="5" t="inlineStr">
        <is>
          <t>Amount (Rs.)</t>
        </is>
      </c>
    </row>
    <row r="283">
      <c r="A283" s="13" t="inlineStr">
        <is>
          <t>1008</t>
        </is>
      </c>
      <c r="B283" s="14" t="inlineStr">
        <is>
          <t>Flats upto 10 mm in thickness</t>
        </is>
      </c>
      <c r="C283" s="13" t="inlineStr">
        <is>
          <t>quintal</t>
        </is>
      </c>
      <c r="D283" s="15" t="n">
        <v>0.5985</v>
      </c>
      <c r="E283" s="16" t="n">
        <v>4500</v>
      </c>
      <c r="F283" s="16">
        <f>D283*E283</f>
        <v/>
      </c>
    </row>
    <row r="284">
      <c r="A284" s="13" t="inlineStr">
        <is>
          <t>2205</t>
        </is>
      </c>
      <c r="B284" s="14" t="inlineStr">
        <is>
          <t>Carriage of Steel</t>
        </is>
      </c>
      <c r="C284" s="13" t="inlineStr">
        <is>
          <t>tonne</t>
        </is>
      </c>
      <c r="D284" s="15" t="n">
        <v>0.06</v>
      </c>
      <c r="E284" s="16" t="n">
        <v>92.23999999999999</v>
      </c>
      <c r="F284" s="16">
        <f>D284*E284</f>
        <v/>
      </c>
    </row>
    <row r="285">
      <c r="A285" s="13" t="inlineStr">
        <is>
          <t>9999</t>
        </is>
      </c>
      <c r="B285" s="14" t="inlineStr">
        <is>
          <t>Sundries</t>
        </is>
      </c>
      <c r="C285" s="13" t="inlineStr">
        <is>
          <t>L.S.</t>
        </is>
      </c>
      <c r="D285" s="15" t="n">
        <v>20.67</v>
      </c>
      <c r="E285" s="16" t="n">
        <v>2</v>
      </c>
      <c r="F285" s="16">
        <f>D285*E285</f>
        <v/>
      </c>
    </row>
    <row r="286">
      <c r="A286" s="13" t="inlineStr">
        <is>
          <t>0102</t>
        </is>
      </c>
      <c r="B286" s="14" t="inlineStr">
        <is>
          <t>Blacksmith 1st class</t>
        </is>
      </c>
      <c r="C286" s="13" t="inlineStr">
        <is>
          <t>day</t>
        </is>
      </c>
      <c r="D286" s="15" t="n">
        <v>0.5</v>
      </c>
      <c r="E286" s="16" t="n">
        <v>738</v>
      </c>
      <c r="F286" s="16">
        <f>D286*E286</f>
        <v/>
      </c>
    </row>
    <row r="287">
      <c r="A287" s="13" t="inlineStr">
        <is>
          <t>0114</t>
        </is>
      </c>
      <c r="B287" s="14" t="inlineStr">
        <is>
          <t>Beldar</t>
        </is>
      </c>
      <c r="C287" s="13" t="inlineStr">
        <is>
          <t>day</t>
        </is>
      </c>
      <c r="D287" s="15" t="n">
        <v>0.5</v>
      </c>
      <c r="E287" s="16" t="n">
        <v>558</v>
      </c>
      <c r="F287" s="16">
        <f>D287*E287</f>
        <v/>
      </c>
    </row>
    <row r="288">
      <c r="A288" s="17" t="inlineStr">
        <is>
          <t>Resource Total (Material + Labour + Machinery, as printed)</t>
        </is>
      </c>
      <c r="B288" s="18" t="n"/>
      <c r="C288" s="18" t="n"/>
      <c r="D288" s="18" t="n"/>
      <c r="E288" s="18" t="n"/>
      <c r="F288" s="19">
        <f>SUM(F283:F287)</f>
        <v/>
      </c>
    </row>
    <row r="289">
      <c r="A289" s="20" t="inlineStr">
        <is>
          <t>SAY (Rs.) — final DAR rate</t>
        </is>
      </c>
      <c r="B289" s="21" t="n"/>
      <c r="C289" s="21" t="n"/>
      <c r="D289" s="21" t="n"/>
      <c r="E289" s="21" t="n"/>
      <c r="F289" s="22" t="n">
        <v>151.1</v>
      </c>
    </row>
    <row r="291" ht="18" customHeight="1">
      <c r="A291" s="9" t="inlineStr">
        <is>
          <t>12.12.1</t>
        </is>
      </c>
      <c r="B291" s="10" t="inlineStr">
        <is>
          <t>Corrugated serrated adjustable ridges</t>
        </is>
      </c>
      <c r="C291" s="11" t="n"/>
      <c r="D291" s="11" t="n"/>
      <c r="E291" s="11" t="n"/>
      <c r="F291" s="11" t="n"/>
    </row>
    <row r="292">
      <c r="A292" s="12" t="inlineStr">
        <is>
          <t>Rate basis: per nos  (source: cost for 1 nos)</t>
        </is>
      </c>
    </row>
    <row r="293">
      <c r="A293" s="5" t="inlineStr">
        <is>
          <t>Code</t>
        </is>
      </c>
      <c r="B293" s="5" t="inlineStr">
        <is>
          <t>Description</t>
        </is>
      </c>
      <c r="C293" s="5" t="inlineStr">
        <is>
          <t>Unit</t>
        </is>
      </c>
      <c r="D293" s="5" t="inlineStr">
        <is>
          <t>Quantity</t>
        </is>
      </c>
      <c r="E293" s="5" t="inlineStr">
        <is>
          <t>Rate (Rs.)</t>
        </is>
      </c>
      <c r="F293" s="5" t="inlineStr">
        <is>
          <t>Amount (Rs.)</t>
        </is>
      </c>
    </row>
    <row r="294">
      <c r="A294" s="13" t="inlineStr">
        <is>
          <t>0225</t>
        </is>
      </c>
      <c r="B294" s="14" t="inlineStr">
        <is>
          <t>Fibre reinforced by organic fibres and/ or inorganic synthetic fibres cement conjugated serrated adjustable ridge.</t>
        </is>
      </c>
      <c r="C294" s="13" t="inlineStr">
        <is>
          <t>metre</t>
        </is>
      </c>
      <c r="D294" s="15" t="n">
        <v>24.339</v>
      </c>
      <c r="E294" s="16" t="n">
        <v>210</v>
      </c>
      <c r="F294" s="16">
        <f>D294*E294</f>
        <v/>
      </c>
    </row>
    <row r="295">
      <c r="A295" s="13" t="inlineStr">
        <is>
          <t>9977</t>
        </is>
      </c>
      <c r="B295" s="14" t="inlineStr">
        <is>
          <t>Carriage (The ridge is to be fixed with the same hooks as the Sheets)</t>
        </is>
      </c>
      <c r="C295" s="13" t="inlineStr">
        <is>
          <t>L.S.</t>
        </is>
      </c>
      <c r="D295" s="15" t="n">
        <v>13.52</v>
      </c>
      <c r="E295" s="16" t="n">
        <v>2</v>
      </c>
      <c r="F295" s="16">
        <f>D295*E295</f>
        <v/>
      </c>
    </row>
    <row r="296">
      <c r="A296" s="13" t="inlineStr">
        <is>
          <t>9999</t>
        </is>
      </c>
      <c r="B296" s="14" t="inlineStr">
        <is>
          <t>Sundries</t>
        </is>
      </c>
      <c r="C296" s="13" t="inlineStr">
        <is>
          <t>L.S.</t>
        </is>
      </c>
      <c r="D296" s="15" t="n">
        <v>6.76</v>
      </c>
      <c r="E296" s="16" t="n">
        <v>2</v>
      </c>
      <c r="F296" s="16">
        <f>D296*E296</f>
        <v/>
      </c>
    </row>
    <row r="297">
      <c r="A297" s="13" t="inlineStr">
        <is>
          <t>0130</t>
        </is>
      </c>
      <c r="B297" s="14" t="inlineStr">
        <is>
          <t>Mistry</t>
        </is>
      </c>
      <c r="C297" s="13" t="inlineStr">
        <is>
          <t>day</t>
        </is>
      </c>
      <c r="D297" s="15" t="n">
        <v>0.14</v>
      </c>
      <c r="E297" s="16" t="n">
        <v>738</v>
      </c>
      <c r="F297" s="16">
        <f>D297*E297</f>
        <v/>
      </c>
    </row>
    <row r="298">
      <c r="A298" s="13" t="inlineStr">
        <is>
          <t>0112</t>
        </is>
      </c>
      <c r="B298" s="14" t="inlineStr">
        <is>
          <t>Carpenter 2nd class</t>
        </is>
      </c>
      <c r="C298" s="13" t="inlineStr">
        <is>
          <t>day</t>
        </is>
      </c>
      <c r="D298" s="15" t="n">
        <v>0.55</v>
      </c>
      <c r="E298" s="16" t="n">
        <v>679</v>
      </c>
      <c r="F298" s="16">
        <f>D298*E298</f>
        <v/>
      </c>
    </row>
    <row r="299">
      <c r="A299" s="13" t="inlineStr">
        <is>
          <t>0114</t>
        </is>
      </c>
      <c r="B299" s="14" t="inlineStr">
        <is>
          <t>Beldar</t>
        </is>
      </c>
      <c r="C299" s="13" t="inlineStr">
        <is>
          <t>day</t>
        </is>
      </c>
      <c r="D299" s="15" t="n">
        <v>1.64</v>
      </c>
      <c r="E299" s="16" t="n">
        <v>558</v>
      </c>
      <c r="F299" s="16">
        <f>D299*E299</f>
        <v/>
      </c>
    </row>
    <row r="300">
      <c r="A300" s="17" t="inlineStr">
        <is>
          <t>Resource Total (Material + Labour + Machinery, as printed)</t>
        </is>
      </c>
      <c r="B300" s="18" t="n"/>
      <c r="C300" s="18" t="n"/>
      <c r="D300" s="18" t="n"/>
      <c r="E300" s="18" t="n"/>
      <c r="F300" s="19">
        <f>SUM(F294:F299)</f>
        <v/>
      </c>
    </row>
    <row r="301">
      <c r="A301" s="20" t="inlineStr">
        <is>
          <t>SAY (Rs.) — final DAR rate</t>
        </is>
      </c>
      <c r="B301" s="21" t="n"/>
      <c r="C301" s="21" t="n"/>
      <c r="D301" s="21" t="n"/>
      <c r="E301" s="21" t="n"/>
      <c r="F301" s="22" t="n">
        <v>433.4</v>
      </c>
    </row>
    <row r="303" ht="18" customHeight="1">
      <c r="A303" s="9" t="inlineStr">
        <is>
          <t>12.12.2</t>
        </is>
      </c>
      <c r="B303" s="10" t="inlineStr">
        <is>
          <t>Plain wing adjustable ridges</t>
        </is>
      </c>
      <c r="C303" s="11" t="n"/>
      <c r="D303" s="11" t="n"/>
      <c r="E303" s="11" t="n"/>
      <c r="F303" s="11" t="n"/>
    </row>
    <row r="304">
      <c r="A304" s="12" t="inlineStr">
        <is>
          <t>Rate basis: per nos  (source: cost for 1 nos)</t>
        </is>
      </c>
    </row>
    <row r="305">
      <c r="A305" s="5" t="inlineStr">
        <is>
          <t>Code</t>
        </is>
      </c>
      <c r="B305" s="5" t="inlineStr">
        <is>
          <t>Description</t>
        </is>
      </c>
      <c r="C305" s="5" t="inlineStr">
        <is>
          <t>Unit</t>
        </is>
      </c>
      <c r="D305" s="5" t="inlineStr">
        <is>
          <t>Quantity</t>
        </is>
      </c>
      <c r="E305" s="5" t="inlineStr">
        <is>
          <t>Rate (Rs.)</t>
        </is>
      </c>
      <c r="F305" s="5" t="inlineStr">
        <is>
          <t>Amount (Rs.)</t>
        </is>
      </c>
    </row>
    <row r="306">
      <c r="A306" s="13" t="inlineStr">
        <is>
          <t>0226</t>
        </is>
      </c>
      <c r="B306" s="14" t="inlineStr">
        <is>
          <t>Fibre reinforced by organic fibres and/ or inorganic synthetic fibres cement plain wing adjustable ridge.</t>
        </is>
      </c>
      <c r="C306" s="13" t="inlineStr">
        <is>
          <t>metre</t>
        </is>
      </c>
      <c r="D306" s="15" t="n">
        <v>24.339</v>
      </c>
      <c r="E306" s="16" t="n">
        <v>210</v>
      </c>
      <c r="F306" s="16">
        <f>D306*E306</f>
        <v/>
      </c>
    </row>
    <row r="307">
      <c r="A307" s="13" t="inlineStr">
        <is>
          <t>9977</t>
        </is>
      </c>
      <c r="B307" s="14" t="inlineStr">
        <is>
          <t>Carriage (The ridge is to be fixed with the same hooks as the Sheets)</t>
        </is>
      </c>
      <c r="C307" s="13" t="inlineStr">
        <is>
          <t>L.S.</t>
        </is>
      </c>
      <c r="D307" s="15" t="n">
        <v>13.52</v>
      </c>
      <c r="E307" s="16" t="n">
        <v>2</v>
      </c>
      <c r="F307" s="16">
        <f>D307*E307</f>
        <v/>
      </c>
    </row>
    <row r="308">
      <c r="A308" s="13" t="inlineStr">
        <is>
          <t>9999</t>
        </is>
      </c>
      <c r="B308" s="14" t="inlineStr">
        <is>
          <t>Sundries</t>
        </is>
      </c>
      <c r="C308" s="13" t="inlineStr">
        <is>
          <t>L.S.</t>
        </is>
      </c>
      <c r="D308" s="15" t="n">
        <v>6.76</v>
      </c>
      <c r="E308" s="16" t="n">
        <v>2</v>
      </c>
      <c r="F308" s="16">
        <f>D308*E308</f>
        <v/>
      </c>
    </row>
    <row r="309">
      <c r="A309" s="13" t="inlineStr">
        <is>
          <t>0130</t>
        </is>
      </c>
      <c r="B309" s="14" t="inlineStr">
        <is>
          <t>Mistry</t>
        </is>
      </c>
      <c r="C309" s="13" t="inlineStr">
        <is>
          <t>day</t>
        </is>
      </c>
      <c r="D309" s="15" t="n">
        <v>0.14</v>
      </c>
      <c r="E309" s="16" t="n">
        <v>738</v>
      </c>
      <c r="F309" s="16">
        <f>D309*E309</f>
        <v/>
      </c>
    </row>
    <row r="310">
      <c r="A310" s="13" t="inlineStr">
        <is>
          <t>0112</t>
        </is>
      </c>
      <c r="B310" s="14" t="inlineStr">
        <is>
          <t>Carpenter 2nd class</t>
        </is>
      </c>
      <c r="C310" s="13" t="inlineStr">
        <is>
          <t>day</t>
        </is>
      </c>
      <c r="D310" s="15" t="n">
        <v>0.55</v>
      </c>
      <c r="E310" s="16" t="n">
        <v>679</v>
      </c>
      <c r="F310" s="16">
        <f>D310*E310</f>
        <v/>
      </c>
    </row>
    <row r="311">
      <c r="A311" s="13" t="inlineStr">
        <is>
          <t>0114</t>
        </is>
      </c>
      <c r="B311" s="14" t="inlineStr">
        <is>
          <t>Beldar</t>
        </is>
      </c>
      <c r="C311" s="13" t="inlineStr">
        <is>
          <t>day</t>
        </is>
      </c>
      <c r="D311" s="15" t="n">
        <v>1.64</v>
      </c>
      <c r="E311" s="16" t="n">
        <v>558</v>
      </c>
      <c r="F311" s="16">
        <f>D311*E311</f>
        <v/>
      </c>
    </row>
    <row r="312">
      <c r="A312" s="17" t="inlineStr">
        <is>
          <t>Resource Total (Material + Labour + Machinery, as printed)</t>
        </is>
      </c>
      <c r="B312" s="18" t="n"/>
      <c r="C312" s="18" t="n"/>
      <c r="D312" s="18" t="n"/>
      <c r="E312" s="18" t="n"/>
      <c r="F312" s="19">
        <f>SUM(F306:F311)</f>
        <v/>
      </c>
    </row>
    <row r="313">
      <c r="A313" s="20" t="inlineStr">
        <is>
          <t>SAY (Rs.) — final DAR rate</t>
        </is>
      </c>
      <c r="B313" s="21" t="n"/>
      <c r="C313" s="21" t="n"/>
      <c r="D313" s="21" t="n"/>
      <c r="E313" s="21" t="n"/>
      <c r="F313" s="22" t="n">
        <v>433.4</v>
      </c>
    </row>
    <row r="315" ht="18" customHeight="1">
      <c r="A315" s="9" t="inlineStr">
        <is>
          <t>12.12.3</t>
        </is>
      </c>
      <c r="B315" s="10" t="inlineStr">
        <is>
          <t>Close fitting adjustable ridges</t>
        </is>
      </c>
      <c r="C315" s="11" t="n"/>
      <c r="D315" s="11" t="n"/>
      <c r="E315" s="11" t="n"/>
      <c r="F315" s="11" t="n"/>
    </row>
    <row r="316">
      <c r="A316" s="12" t="inlineStr">
        <is>
          <t>Rate basis: per nos  (source: cost for 1 nos)</t>
        </is>
      </c>
    </row>
    <row r="317">
      <c r="A317" s="5" t="inlineStr">
        <is>
          <t>Code</t>
        </is>
      </c>
      <c r="B317" s="5" t="inlineStr">
        <is>
          <t>Description</t>
        </is>
      </c>
      <c r="C317" s="5" t="inlineStr">
        <is>
          <t>Unit</t>
        </is>
      </c>
      <c r="D317" s="5" t="inlineStr">
        <is>
          <t>Quantity</t>
        </is>
      </c>
      <c r="E317" s="5" t="inlineStr">
        <is>
          <t>Rate (Rs.)</t>
        </is>
      </c>
      <c r="F317" s="5" t="inlineStr">
        <is>
          <t>Amount (Rs.)</t>
        </is>
      </c>
    </row>
    <row r="318">
      <c r="A318" s="13" t="inlineStr">
        <is>
          <t>0224</t>
        </is>
      </c>
      <c r="B318" s="14" t="inlineStr">
        <is>
          <t>Fibre reinforced by organic fibres and/ or inorganic synthetic fibres cement close fitting adjustable ridge.</t>
        </is>
      </c>
      <c r="C318" s="13" t="inlineStr">
        <is>
          <t>metre</t>
        </is>
      </c>
      <c r="D318" s="15" t="n">
        <v>28.182</v>
      </c>
      <c r="E318" s="16" t="n">
        <v>210</v>
      </c>
      <c r="F318" s="16">
        <f>D318*E318</f>
        <v/>
      </c>
    </row>
    <row r="319">
      <c r="A319" s="13" t="inlineStr">
        <is>
          <t>9977</t>
        </is>
      </c>
      <c r="B319" s="14" t="inlineStr">
        <is>
          <t>Carriage</t>
        </is>
      </c>
      <c r="C319" s="13" t="inlineStr">
        <is>
          <t>L.S.</t>
        </is>
      </c>
      <c r="D319" s="15" t="n">
        <v>16.12</v>
      </c>
      <c r="E319" s="16" t="n">
        <v>2</v>
      </c>
      <c r="F319" s="16">
        <f>D319*E319</f>
        <v/>
      </c>
    </row>
    <row r="320">
      <c r="A320" s="13" t="inlineStr">
        <is>
          <t>9999</t>
        </is>
      </c>
      <c r="B320" s="14" t="inlineStr">
        <is>
          <t>Sundries</t>
        </is>
      </c>
      <c r="C320" s="13" t="inlineStr">
        <is>
          <t>L.S.</t>
        </is>
      </c>
      <c r="D320" s="15" t="n">
        <v>7.15</v>
      </c>
      <c r="E320" s="16" t="n">
        <v>2</v>
      </c>
      <c r="F320" s="16">
        <f>D320*E320</f>
        <v/>
      </c>
    </row>
    <row r="321">
      <c r="A321" s="13" t="inlineStr">
        <is>
          <t>0130</t>
        </is>
      </c>
      <c r="B321" s="14" t="inlineStr">
        <is>
          <t>Mistry</t>
        </is>
      </c>
      <c r="C321" s="13" t="inlineStr">
        <is>
          <t>day</t>
        </is>
      </c>
      <c r="D321" s="15" t="n">
        <v>0.14</v>
      </c>
      <c r="E321" s="16" t="n">
        <v>738</v>
      </c>
      <c r="F321" s="16">
        <f>D321*E321</f>
        <v/>
      </c>
    </row>
    <row r="322">
      <c r="A322" s="13" t="inlineStr">
        <is>
          <t>0112</t>
        </is>
      </c>
      <c r="B322" s="14" t="inlineStr">
        <is>
          <t>Carpenter 2nd class</t>
        </is>
      </c>
      <c r="C322" s="13" t="inlineStr">
        <is>
          <t>day</t>
        </is>
      </c>
      <c r="D322" s="15" t="n">
        <v>0.55</v>
      </c>
      <c r="E322" s="16" t="n">
        <v>679</v>
      </c>
      <c r="F322" s="16">
        <f>D322*E322</f>
        <v/>
      </c>
    </row>
    <row r="323">
      <c r="A323" s="13" t="inlineStr">
        <is>
          <t>0114</t>
        </is>
      </c>
      <c r="B323" s="14" t="inlineStr">
        <is>
          <t>Beldar</t>
        </is>
      </c>
      <c r="C323" s="13" t="inlineStr">
        <is>
          <t>day</t>
        </is>
      </c>
      <c r="D323" s="15" t="n">
        <v>1.64</v>
      </c>
      <c r="E323" s="16" t="n">
        <v>558</v>
      </c>
      <c r="F323" s="16">
        <f>D323*E323</f>
        <v/>
      </c>
    </row>
    <row r="324">
      <c r="A324" s="17" t="inlineStr">
        <is>
          <t>Resource Total (Material + Labour + Machinery, as printed)</t>
        </is>
      </c>
      <c r="B324" s="18" t="n"/>
      <c r="C324" s="18" t="n"/>
      <c r="D324" s="18" t="n"/>
      <c r="E324" s="18" t="n"/>
      <c r="F324" s="19">
        <f>SUM(F318:F323)</f>
        <v/>
      </c>
    </row>
    <row r="325">
      <c r="A325" s="20" t="inlineStr">
        <is>
          <t>SAY (Rs.) — final DAR rate</t>
        </is>
      </c>
      <c r="B325" s="21" t="n"/>
      <c r="C325" s="21" t="n"/>
      <c r="D325" s="21" t="n"/>
      <c r="E325" s="21" t="n"/>
      <c r="F325" s="22" t="n">
        <v>487.25</v>
      </c>
    </row>
    <row r="327" ht="18" customHeight="1">
      <c r="A327" s="9" t="inlineStr">
        <is>
          <t>12.12.4</t>
        </is>
      </c>
      <c r="B327" s="10" t="inlineStr">
        <is>
          <t>Unserrated adjustable hips</t>
        </is>
      </c>
      <c r="C327" s="11" t="n"/>
      <c r="D327" s="11" t="n"/>
      <c r="E327" s="11" t="n"/>
      <c r="F327" s="11" t="n"/>
    </row>
    <row r="328">
      <c r="A328" s="12" t="inlineStr">
        <is>
          <t>Rate basis: per pairs  (source: cost for 19 pairs)</t>
        </is>
      </c>
    </row>
    <row r="329">
      <c r="A329" s="5" t="inlineStr">
        <is>
          <t>Code</t>
        </is>
      </c>
      <c r="B329" s="5" t="inlineStr">
        <is>
          <t>Description</t>
        </is>
      </c>
      <c r="C329" s="5" t="inlineStr">
        <is>
          <t>Unit</t>
        </is>
      </c>
      <c r="D329" s="5" t="inlineStr">
        <is>
          <t>Quantity</t>
        </is>
      </c>
      <c r="E329" s="5" t="inlineStr">
        <is>
          <t>Rate (Rs.)</t>
        </is>
      </c>
      <c r="F329" s="5" t="inlineStr">
        <is>
          <t>Amount (Rs.)</t>
        </is>
      </c>
    </row>
    <row r="330">
      <c r="A330" s="13" t="inlineStr">
        <is>
          <t>0227</t>
        </is>
      </c>
      <c r="B330" s="14" t="inlineStr">
        <is>
          <t>Fibre reinforced by organic fibres and/ or inorganic synthetic fibres cement unserrated adjustable adjustable ridge for hips.</t>
        </is>
      </c>
      <c r="C330" s="13" t="inlineStr">
        <is>
          <t>metre</t>
        </is>
      </c>
      <c r="D330" s="15" t="n">
        <v>24.339</v>
      </c>
      <c r="E330" s="16" t="n">
        <v>210</v>
      </c>
      <c r="F330" s="16">
        <f>D330*E330</f>
        <v/>
      </c>
    </row>
    <row r="331">
      <c r="A331" s="13" t="inlineStr">
        <is>
          <t>9977</t>
        </is>
      </c>
      <c r="B331" s="14" t="inlineStr">
        <is>
          <t>Carriage</t>
        </is>
      </c>
      <c r="C331" s="13" t="inlineStr">
        <is>
          <t>L.S.</t>
        </is>
      </c>
      <c r="D331" s="15" t="n">
        <v>6.76</v>
      </c>
      <c r="E331" s="16" t="n">
        <v>2</v>
      </c>
      <c r="F331" s="16">
        <f>D331*E331</f>
        <v/>
      </c>
    </row>
    <row r="332">
      <c r="A332" s="13" t="inlineStr">
        <is>
          <t>9999</t>
        </is>
      </c>
      <c r="B332" s="14" t="inlineStr">
        <is>
          <t>Sundries</t>
        </is>
      </c>
      <c r="C332" s="13" t="inlineStr">
        <is>
          <t>L.S.</t>
        </is>
      </c>
      <c r="D332" s="15" t="n">
        <v>6.63</v>
      </c>
      <c r="E332" s="16" t="n">
        <v>2</v>
      </c>
      <c r="F332" s="16">
        <f>D332*E332</f>
        <v/>
      </c>
    </row>
    <row r="333">
      <c r="A333" s="13" t="inlineStr">
        <is>
          <t>0130</t>
        </is>
      </c>
      <c r="B333" s="14" t="inlineStr">
        <is>
          <t>Mistry</t>
        </is>
      </c>
      <c r="C333" s="13" t="inlineStr">
        <is>
          <t>day</t>
        </is>
      </c>
      <c r="D333" s="15" t="n">
        <v>0.14</v>
      </c>
      <c r="E333" s="16" t="n">
        <v>738</v>
      </c>
      <c r="F333" s="16">
        <f>D333*E333</f>
        <v/>
      </c>
    </row>
    <row r="334">
      <c r="A334" s="13" t="inlineStr">
        <is>
          <t>0112</t>
        </is>
      </c>
      <c r="B334" s="14" t="inlineStr">
        <is>
          <t>Carpenter 2nd class</t>
        </is>
      </c>
      <c r="C334" s="13" t="inlineStr">
        <is>
          <t>day</t>
        </is>
      </c>
      <c r="D334" s="15" t="n">
        <v>0.55</v>
      </c>
      <c r="E334" s="16" t="n">
        <v>679</v>
      </c>
      <c r="F334" s="16">
        <f>D334*E334</f>
        <v/>
      </c>
    </row>
    <row r="335">
      <c r="A335" s="13" t="inlineStr">
        <is>
          <t>0114</t>
        </is>
      </c>
      <c r="B335" s="14" t="inlineStr">
        <is>
          <t>Beldar</t>
        </is>
      </c>
      <c r="C335" s="13" t="inlineStr">
        <is>
          <t>day</t>
        </is>
      </c>
      <c r="D335" s="15" t="n">
        <v>1.64</v>
      </c>
      <c r="E335" s="16" t="n">
        <v>558</v>
      </c>
      <c r="F335" s="16">
        <f>D335*E335</f>
        <v/>
      </c>
    </row>
    <row r="336">
      <c r="A336" s="17" t="inlineStr">
        <is>
          <t>Resource Total (Material + Labour + Machinery, as printed)</t>
        </is>
      </c>
      <c r="B336" s="18" t="n"/>
      <c r="C336" s="18" t="n"/>
      <c r="D336" s="18" t="n"/>
      <c r="E336" s="18" t="n"/>
      <c r="F336" s="19">
        <f>SUM(F330:F335)</f>
        <v/>
      </c>
    </row>
    <row r="337">
      <c r="A337" s="20" t="inlineStr">
        <is>
          <t>SAY (Rs.) — final DAR rate</t>
        </is>
      </c>
      <c r="B337" s="21" t="n"/>
      <c r="C337" s="21" t="n"/>
      <c r="D337" s="21" t="n"/>
      <c r="E337" s="21" t="n"/>
      <c r="F337" s="22" t="n">
        <v>432.5</v>
      </c>
    </row>
    <row r="339" ht="18" customHeight="1">
      <c r="A339" s="9" t="inlineStr">
        <is>
          <t>12.13.1</t>
        </is>
      </c>
      <c r="B339" s="10" t="inlineStr">
        <is>
          <t>Corrugated apron pieces</t>
        </is>
      </c>
      <c r="C339" s="11" t="n"/>
      <c r="D339" s="11" t="n"/>
      <c r="E339" s="11" t="n"/>
      <c r="F339" s="11" t="n"/>
    </row>
    <row r="340">
      <c r="A340" s="12" t="inlineStr">
        <is>
          <t>Rate basis: per nos  (source: cost for 1 nos)</t>
        </is>
      </c>
    </row>
    <row r="341">
      <c r="A341" s="5" t="inlineStr">
        <is>
          <t>Code</t>
        </is>
      </c>
      <c r="B341" s="5" t="inlineStr">
        <is>
          <t>Description</t>
        </is>
      </c>
      <c r="C341" s="5" t="inlineStr">
        <is>
          <t>Unit</t>
        </is>
      </c>
      <c r="D341" s="5" t="inlineStr">
        <is>
          <t>Quantity</t>
        </is>
      </c>
      <c r="E341" s="5" t="inlineStr">
        <is>
          <t>Rate (Rs.)</t>
        </is>
      </c>
      <c r="F341" s="5" t="inlineStr">
        <is>
          <t>Amount (Rs.)</t>
        </is>
      </c>
    </row>
    <row r="342">
      <c r="A342" s="13" t="inlineStr">
        <is>
          <t>0228</t>
        </is>
      </c>
      <c r="B342" s="14" t="inlineStr">
        <is>
          <t>Fibre reinforced by organic fibres and/ or inorganic synthetic fibres cement corrugated appron piece.</t>
        </is>
      </c>
      <c r="C342" s="13" t="inlineStr">
        <is>
          <t>metre</t>
        </is>
      </c>
      <c r="D342" s="15" t="n">
        <v>23.52</v>
      </c>
      <c r="E342" s="16" t="n">
        <v>200</v>
      </c>
      <c r="F342" s="16">
        <f>D342*E342</f>
        <v/>
      </c>
    </row>
    <row r="343">
      <c r="A343" s="13" t="inlineStr">
        <is>
          <t>9977</t>
        </is>
      </c>
      <c r="B343" s="14" t="inlineStr">
        <is>
          <t>Carriage of appron pieces. (The appron pieces are to be fixed with the same hooks as the sheets)</t>
        </is>
      </c>
      <c r="C343" s="13" t="inlineStr">
        <is>
          <t>L.S.</t>
        </is>
      </c>
      <c r="D343" s="15" t="n">
        <v>3.25</v>
      </c>
      <c r="E343" s="16" t="n">
        <v>2</v>
      </c>
      <c r="F343" s="16">
        <f>D343*E343</f>
        <v/>
      </c>
    </row>
    <row r="344">
      <c r="A344" s="13" t="inlineStr">
        <is>
          <t>9999</t>
        </is>
      </c>
      <c r="B344" s="14" t="inlineStr">
        <is>
          <t>Sundries</t>
        </is>
      </c>
      <c r="C344" s="13" t="inlineStr">
        <is>
          <t>L.S.</t>
        </is>
      </c>
      <c r="D344" s="15" t="n">
        <v>3.25</v>
      </c>
      <c r="E344" s="16" t="n">
        <v>2</v>
      </c>
      <c r="F344" s="16">
        <f>D344*E344</f>
        <v/>
      </c>
    </row>
    <row r="345">
      <c r="A345" s="13" t="inlineStr">
        <is>
          <t>0130</t>
        </is>
      </c>
      <c r="B345" s="14" t="inlineStr">
        <is>
          <t>Mistry</t>
        </is>
      </c>
      <c r="C345" s="13" t="inlineStr">
        <is>
          <t>day</t>
        </is>
      </c>
      <c r="D345" s="15" t="n">
        <v>0.07000000000000001</v>
      </c>
      <c r="E345" s="16" t="n">
        <v>738</v>
      </c>
      <c r="F345" s="16">
        <f>D345*E345</f>
        <v/>
      </c>
    </row>
    <row r="346">
      <c r="A346" s="13" t="inlineStr">
        <is>
          <t>0112</t>
        </is>
      </c>
      <c r="B346" s="14" t="inlineStr">
        <is>
          <t>Carpenter 2nd class</t>
        </is>
      </c>
      <c r="C346" s="13" t="inlineStr">
        <is>
          <t>day</t>
        </is>
      </c>
      <c r="D346" s="15" t="n">
        <v>0.28</v>
      </c>
      <c r="E346" s="16" t="n">
        <v>679</v>
      </c>
      <c r="F346" s="16">
        <f>D346*E346</f>
        <v/>
      </c>
    </row>
    <row r="347">
      <c r="A347" s="13" t="inlineStr">
        <is>
          <t>0114</t>
        </is>
      </c>
      <c r="B347" s="14" t="inlineStr">
        <is>
          <t>Beldar</t>
        </is>
      </c>
      <c r="C347" s="13" t="inlineStr">
        <is>
          <t>day</t>
        </is>
      </c>
      <c r="D347" s="15" t="n">
        <v>0.82</v>
      </c>
      <c r="E347" s="16" t="n">
        <v>558</v>
      </c>
      <c r="F347" s="16">
        <f>D347*E347</f>
        <v/>
      </c>
    </row>
    <row r="348">
      <c r="A348" s="17" t="inlineStr">
        <is>
          <t>Resource Total (Material + Labour + Machinery, as printed)</t>
        </is>
      </c>
      <c r="B348" s="18" t="n"/>
      <c r="C348" s="18" t="n"/>
      <c r="D348" s="18" t="n"/>
      <c r="E348" s="18" t="n"/>
      <c r="F348" s="19">
        <f>SUM(F342:F347)</f>
        <v/>
      </c>
    </row>
    <row r="349">
      <c r="A349" s="20" t="inlineStr">
        <is>
          <t>SAY (Rs.) — final DAR rate</t>
        </is>
      </c>
      <c r="B349" s="21" t="n"/>
      <c r="C349" s="21" t="n"/>
      <c r="D349" s="21" t="n"/>
      <c r="E349" s="21" t="n"/>
      <c r="F349" s="22" t="n">
        <v>358.75</v>
      </c>
    </row>
    <row r="351" ht="18" customHeight="1">
      <c r="A351" s="9" t="inlineStr">
        <is>
          <t>12.13.2</t>
        </is>
      </c>
      <c r="B351" s="10" t="inlineStr">
        <is>
          <t>Eave's filler pieces</t>
        </is>
      </c>
      <c r="C351" s="11" t="n"/>
      <c r="D351" s="11" t="n"/>
      <c r="E351" s="11" t="n"/>
      <c r="F351" s="11" t="n"/>
    </row>
    <row r="352">
      <c r="A352" s="12" t="inlineStr">
        <is>
          <t>Rate basis: per nos  (source: cost for 1 nos)</t>
        </is>
      </c>
    </row>
    <row r="353">
      <c r="A353" s="5" t="inlineStr">
        <is>
          <t>Code</t>
        </is>
      </c>
      <c r="B353" s="5" t="inlineStr">
        <is>
          <t>Description</t>
        </is>
      </c>
      <c r="C353" s="5" t="inlineStr">
        <is>
          <t>Unit</t>
        </is>
      </c>
      <c r="D353" s="5" t="inlineStr">
        <is>
          <t>Quantity</t>
        </is>
      </c>
      <c r="E353" s="5" t="inlineStr">
        <is>
          <t>Rate (Rs.)</t>
        </is>
      </c>
      <c r="F353" s="5" t="inlineStr">
        <is>
          <t>Amount (Rs.)</t>
        </is>
      </c>
    </row>
    <row r="354">
      <c r="A354" s="13" t="inlineStr">
        <is>
          <t>0229</t>
        </is>
      </c>
      <c r="B354" s="14" t="inlineStr">
        <is>
          <t>Fibre reinforced by organic fibres and/ or inorganic synthetic fibres cement eaves filler piece.</t>
        </is>
      </c>
      <c r="C354" s="13" t="inlineStr">
        <is>
          <t>each</t>
        </is>
      </c>
      <c r="D354" s="15" t="n">
        <v>21</v>
      </c>
      <c r="E354" s="16" t="n">
        <v>175</v>
      </c>
      <c r="F354" s="16">
        <f>D354*E354</f>
        <v/>
      </c>
    </row>
    <row r="355">
      <c r="A355" s="13" t="inlineStr">
        <is>
          <t>9999</t>
        </is>
      </c>
      <c r="B355" s="14" t="inlineStr">
        <is>
          <t>The eaves filler pieces are to be fixed with the same hooks as the sheets</t>
        </is>
      </c>
      <c r="C355" s="13" t="inlineStr">
        <is>
          <t>L.S.</t>
        </is>
      </c>
      <c r="D355" s="15" t="n">
        <v>3.25</v>
      </c>
      <c r="E355" s="16" t="n">
        <v>2</v>
      </c>
      <c r="F355" s="16">
        <f>D355*E355</f>
        <v/>
      </c>
    </row>
    <row r="356">
      <c r="A356" s="13" t="inlineStr">
        <is>
          <t>9999</t>
        </is>
      </c>
      <c r="B356" s="14" t="inlineStr">
        <is>
          <t>Sundries</t>
        </is>
      </c>
      <c r="C356" s="13" t="inlineStr">
        <is>
          <t>L.S.</t>
        </is>
      </c>
      <c r="D356" s="15" t="n">
        <v>3.25</v>
      </c>
      <c r="E356" s="16" t="n">
        <v>2</v>
      </c>
      <c r="F356" s="16">
        <f>D356*E356</f>
        <v/>
      </c>
    </row>
    <row r="357">
      <c r="A357" s="13" t="inlineStr">
        <is>
          <t>0130</t>
        </is>
      </c>
      <c r="B357" s="14" t="inlineStr">
        <is>
          <t>Mistry</t>
        </is>
      </c>
      <c r="C357" s="13" t="inlineStr">
        <is>
          <t>day</t>
        </is>
      </c>
      <c r="D357" s="15" t="n">
        <v>0.07000000000000001</v>
      </c>
      <c r="E357" s="16" t="n">
        <v>738</v>
      </c>
      <c r="F357" s="16">
        <f>D357*E357</f>
        <v/>
      </c>
    </row>
    <row r="358">
      <c r="A358" s="13" t="inlineStr">
        <is>
          <t>0112</t>
        </is>
      </c>
      <c r="B358" s="14" t="inlineStr">
        <is>
          <t>Carpenter 2nd class</t>
        </is>
      </c>
      <c r="C358" s="13" t="inlineStr">
        <is>
          <t>day</t>
        </is>
      </c>
      <c r="D358" s="15" t="n">
        <v>0.28</v>
      </c>
      <c r="E358" s="16" t="n">
        <v>679</v>
      </c>
      <c r="F358" s="16">
        <f>D358*E358</f>
        <v/>
      </c>
    </row>
    <row r="359">
      <c r="A359" s="13" t="inlineStr">
        <is>
          <t>0114</t>
        </is>
      </c>
      <c r="B359" s="14" t="inlineStr">
        <is>
          <t>Beldar</t>
        </is>
      </c>
      <c r="C359" s="13" t="inlineStr">
        <is>
          <t>day</t>
        </is>
      </c>
      <c r="D359" s="15" t="n">
        <v>0.82</v>
      </c>
      <c r="E359" s="16" t="n">
        <v>558</v>
      </c>
      <c r="F359" s="16">
        <f>D359*E359</f>
        <v/>
      </c>
    </row>
    <row r="360">
      <c r="A360" s="17" t="inlineStr">
        <is>
          <t>Resource Total (Material + Labour + Machinery, as printed)</t>
        </is>
      </c>
      <c r="B360" s="18" t="n"/>
      <c r="C360" s="18" t="n"/>
      <c r="D360" s="18" t="n"/>
      <c r="E360" s="18" t="n"/>
      <c r="F360" s="19">
        <f>SUM(F354:F359)</f>
        <v/>
      </c>
    </row>
    <row r="361">
      <c r="A361" s="20" t="inlineStr">
        <is>
          <t>SAY (Rs.) — final DAR rate</t>
        </is>
      </c>
      <c r="B361" s="21" t="n"/>
      <c r="C361" s="21" t="n"/>
      <c r="D361" s="21" t="n"/>
      <c r="E361" s="21" t="n"/>
      <c r="F361" s="22" t="n">
        <v>290.6</v>
      </c>
    </row>
    <row r="363" ht="18" customHeight="1">
      <c r="A363" s="9" t="inlineStr">
        <is>
          <t>12.13.3</t>
        </is>
      </c>
      <c r="B363" s="10" t="inlineStr">
        <is>
          <t>North light curves</t>
        </is>
      </c>
      <c r="C363" s="11" t="n"/>
      <c r="D363" s="11" t="n"/>
      <c r="E363" s="11" t="n"/>
      <c r="F363" s="11" t="n"/>
    </row>
    <row r="364">
      <c r="A364" s="12" t="inlineStr">
        <is>
          <t>Rate basis: per nos  (source: cost for 1 nos)</t>
        </is>
      </c>
    </row>
    <row r="365">
      <c r="A365" s="5" t="inlineStr">
        <is>
          <t>Code</t>
        </is>
      </c>
      <c r="B365" s="5" t="inlineStr">
        <is>
          <t>Description</t>
        </is>
      </c>
      <c r="C365" s="5" t="inlineStr">
        <is>
          <t>Unit</t>
        </is>
      </c>
      <c r="D365" s="5" t="inlineStr">
        <is>
          <t>Quantity</t>
        </is>
      </c>
      <c r="E365" s="5" t="inlineStr">
        <is>
          <t>Rate (Rs.)</t>
        </is>
      </c>
      <c r="F365" s="5" t="inlineStr">
        <is>
          <t>Amount (Rs.)</t>
        </is>
      </c>
    </row>
    <row r="366">
      <c r="A366" s="13" t="inlineStr">
        <is>
          <t>0230</t>
        </is>
      </c>
      <c r="B366" s="14" t="inlineStr">
        <is>
          <t>Fibre reinforced by organic fibres and/ or inorganic synthetic fibres cement north light curves.</t>
        </is>
      </c>
      <c r="C366" s="13" t="inlineStr">
        <is>
          <t>metre</t>
        </is>
      </c>
      <c r="D366" s="15" t="n">
        <v>21.336</v>
      </c>
      <c r="E366" s="16" t="n">
        <v>280</v>
      </c>
      <c r="F366" s="16">
        <f>D366*E366</f>
        <v/>
      </c>
    </row>
    <row r="367">
      <c r="A367" s="13" t="inlineStr">
        <is>
          <t>1023</t>
        </is>
      </c>
      <c r="B367" s="14" t="inlineStr">
        <is>
          <t>Galvanised steel J or L hooks 8 mm dia</t>
        </is>
      </c>
      <c r="C367" s="13" t="inlineStr">
        <is>
          <t>10 Nos</t>
        </is>
      </c>
      <c r="D367" s="15" t="n">
        <v>4</v>
      </c>
      <c r="E367" s="16" t="n">
        <v>120</v>
      </c>
      <c r="F367" s="16">
        <f>D367*E367</f>
        <v/>
      </c>
    </row>
    <row r="368">
      <c r="A368" s="13" t="inlineStr">
        <is>
          <t>1209</t>
        </is>
      </c>
      <c r="B368" s="14" t="inlineStr">
        <is>
          <t>G.I. plain washer thick</t>
        </is>
      </c>
      <c r="C368" s="13" t="inlineStr">
        <is>
          <t>100 Nos</t>
        </is>
      </c>
      <c r="D368" s="15" t="n">
        <v>0.4</v>
      </c>
      <c r="E368" s="16" t="n">
        <v>35</v>
      </c>
      <c r="F368" s="16">
        <f>D368*E368</f>
        <v/>
      </c>
    </row>
    <row r="369">
      <c r="A369" s="13" t="inlineStr">
        <is>
          <t>1208</t>
        </is>
      </c>
      <c r="B369" s="14" t="inlineStr">
        <is>
          <t>Bitumen washer</t>
        </is>
      </c>
      <c r="C369" s="13" t="inlineStr">
        <is>
          <t>100 Nos</t>
        </is>
      </c>
      <c r="D369" s="15" t="n">
        <v>0.4</v>
      </c>
      <c r="E369" s="16" t="n">
        <v>30</v>
      </c>
      <c r="F369" s="16">
        <f>D369*E369</f>
        <v/>
      </c>
    </row>
    <row r="370">
      <c r="A370" s="13" t="inlineStr">
        <is>
          <t>9977</t>
        </is>
      </c>
      <c r="B370" s="14" t="inlineStr">
        <is>
          <t>Carriage of hooks, nuts, washers and curves</t>
        </is>
      </c>
      <c r="C370" s="13" t="inlineStr">
        <is>
          <t>L.S.</t>
        </is>
      </c>
      <c r="D370" s="15" t="n">
        <v>9.880000000000001</v>
      </c>
      <c r="E370" s="16" t="n">
        <v>2</v>
      </c>
      <c r="F370" s="16">
        <f>D370*E370</f>
        <v/>
      </c>
    </row>
    <row r="371">
      <c r="A371" s="13" t="inlineStr">
        <is>
          <t>9999</t>
        </is>
      </c>
      <c r="B371" s="14" t="inlineStr">
        <is>
          <t>Sundries</t>
        </is>
      </c>
      <c r="C371" s="13" t="inlineStr">
        <is>
          <t>L.S.</t>
        </is>
      </c>
      <c r="D371" s="15" t="n">
        <v>6.24</v>
      </c>
      <c r="E371" s="16" t="n">
        <v>2</v>
      </c>
      <c r="F371" s="16">
        <f>D371*E371</f>
        <v/>
      </c>
    </row>
    <row r="372">
      <c r="A372" s="13" t="inlineStr">
        <is>
          <t>0130</t>
        </is>
      </c>
      <c r="B372" s="14" t="inlineStr">
        <is>
          <t>Mistry</t>
        </is>
      </c>
      <c r="C372" s="13" t="inlineStr">
        <is>
          <t>day</t>
        </is>
      </c>
      <c r="D372" s="15" t="n">
        <v>0.1</v>
      </c>
      <c r="E372" s="16" t="n">
        <v>738</v>
      </c>
      <c r="F372" s="16">
        <f>D372*E372</f>
        <v/>
      </c>
    </row>
    <row r="373">
      <c r="A373" s="13" t="inlineStr">
        <is>
          <t>0112</t>
        </is>
      </c>
      <c r="B373" s="14" t="inlineStr">
        <is>
          <t>Carpenter 2nd class</t>
        </is>
      </c>
      <c r="C373" s="13" t="inlineStr">
        <is>
          <t>day</t>
        </is>
      </c>
      <c r="D373" s="15" t="n">
        <v>0.3</v>
      </c>
      <c r="E373" s="16" t="n">
        <v>679</v>
      </c>
      <c r="F373" s="16">
        <f>D373*E373</f>
        <v/>
      </c>
    </row>
    <row r="374">
      <c r="A374" s="13" t="inlineStr">
        <is>
          <t>0114</t>
        </is>
      </c>
      <c r="B374" s="14" t="inlineStr">
        <is>
          <t>Beldar</t>
        </is>
      </c>
      <c r="C374" s="13" t="inlineStr">
        <is>
          <t>day</t>
        </is>
      </c>
      <c r="D374" s="15" t="n">
        <v>1</v>
      </c>
      <c r="E374" s="16" t="n">
        <v>558</v>
      </c>
      <c r="F374" s="16">
        <f>D374*E374</f>
        <v/>
      </c>
    </row>
    <row r="375">
      <c r="A375" s="17" t="inlineStr">
        <is>
          <t>Resource Total (Material + Labour + Machinery, as printed)</t>
        </is>
      </c>
      <c r="B375" s="18" t="n"/>
      <c r="C375" s="18" t="n"/>
      <c r="D375" s="18" t="n"/>
      <c r="E375" s="18" t="n"/>
      <c r="F375" s="19">
        <f>SUM(F366:F374)</f>
        <v/>
      </c>
    </row>
    <row r="376">
      <c r="A376" s="20" t="inlineStr">
        <is>
          <t>SAY (Rs.) — final DAR rate</t>
        </is>
      </c>
      <c r="B376" s="21" t="n"/>
      <c r="C376" s="21" t="n"/>
      <c r="D376" s="21" t="n"/>
      <c r="E376" s="21" t="n"/>
      <c r="F376" s="22" t="n">
        <v>486.7</v>
      </c>
    </row>
    <row r="378" ht="18" customHeight="1">
      <c r="A378" s="9" t="inlineStr">
        <is>
          <t>12.13.4</t>
        </is>
      </c>
      <c r="B378" s="10" t="inlineStr">
        <is>
          <t>Ventilator curves</t>
        </is>
      </c>
      <c r="C378" s="11" t="n"/>
      <c r="D378" s="11" t="n"/>
      <c r="E378" s="11" t="n"/>
      <c r="F378" s="11" t="n"/>
    </row>
    <row r="379">
      <c r="A379" s="12" t="inlineStr">
        <is>
          <t>Rate basis: per nos  (source: cost for 1 nos)</t>
        </is>
      </c>
    </row>
    <row r="380">
      <c r="A380" s="5" t="inlineStr">
        <is>
          <t>Code</t>
        </is>
      </c>
      <c r="B380" s="5" t="inlineStr">
        <is>
          <t>Description</t>
        </is>
      </c>
      <c r="C380" s="5" t="inlineStr">
        <is>
          <t>Unit</t>
        </is>
      </c>
      <c r="D380" s="5" t="inlineStr">
        <is>
          <t>Quantity</t>
        </is>
      </c>
      <c r="E380" s="5" t="inlineStr">
        <is>
          <t>Rate (Rs.)</t>
        </is>
      </c>
      <c r="F380" s="5" t="inlineStr">
        <is>
          <t>Amount (Rs.)</t>
        </is>
      </c>
    </row>
    <row r="381">
      <c r="A381" s="13" t="inlineStr">
        <is>
          <t>0231</t>
        </is>
      </c>
      <c r="B381" s="14" t="inlineStr">
        <is>
          <t>Fibre reinforced by organic fibres and/ or inorganic synthetic fibres cement ventilator curves</t>
        </is>
      </c>
      <c r="C381" s="13" t="inlineStr">
        <is>
          <t>each</t>
        </is>
      </c>
      <c r="D381" s="15" t="n">
        <v>21.336</v>
      </c>
      <c r="E381" s="16" t="n">
        <v>310</v>
      </c>
      <c r="F381" s="16">
        <f>D381*E381</f>
        <v/>
      </c>
    </row>
    <row r="382">
      <c r="A382" s="13" t="inlineStr">
        <is>
          <t>1023</t>
        </is>
      </c>
      <c r="B382" s="14" t="inlineStr">
        <is>
          <t>Galvanised steel J or L hooks 8 mm dia</t>
        </is>
      </c>
      <c r="C382" s="13" t="inlineStr">
        <is>
          <t>10 Nos</t>
        </is>
      </c>
      <c r="D382" s="15" t="n">
        <v>4</v>
      </c>
      <c r="E382" s="16" t="n">
        <v>120</v>
      </c>
      <c r="F382" s="16">
        <f>D382*E382</f>
        <v/>
      </c>
    </row>
    <row r="383">
      <c r="A383" s="13" t="inlineStr">
        <is>
          <t>1209</t>
        </is>
      </c>
      <c r="B383" s="14" t="inlineStr">
        <is>
          <t>G.I. plain washer thick</t>
        </is>
      </c>
      <c r="C383" s="13" t="inlineStr">
        <is>
          <t>100 Nos</t>
        </is>
      </c>
      <c r="D383" s="15" t="n">
        <v>0.4</v>
      </c>
      <c r="E383" s="16" t="n">
        <v>35</v>
      </c>
      <c r="F383" s="16">
        <f>D383*E383</f>
        <v/>
      </c>
    </row>
    <row r="384">
      <c r="A384" s="13" t="inlineStr">
        <is>
          <t>1208</t>
        </is>
      </c>
      <c r="B384" s="14" t="inlineStr">
        <is>
          <t>Bitumen washer</t>
        </is>
      </c>
      <c r="C384" s="13" t="inlineStr">
        <is>
          <t>100 Nos</t>
        </is>
      </c>
      <c r="D384" s="15" t="n">
        <v>0.4</v>
      </c>
      <c r="E384" s="16" t="n">
        <v>30</v>
      </c>
      <c r="F384" s="16">
        <f>D384*E384</f>
        <v/>
      </c>
    </row>
    <row r="385">
      <c r="A385" s="13" t="inlineStr">
        <is>
          <t>9977</t>
        </is>
      </c>
      <c r="B385" s="14" t="inlineStr">
        <is>
          <t>Carriage of hooks, nuts, washers and curves</t>
        </is>
      </c>
      <c r="C385" s="13" t="inlineStr">
        <is>
          <t>L.S.</t>
        </is>
      </c>
      <c r="D385" s="15" t="n">
        <v>9.880000000000001</v>
      </c>
      <c r="E385" s="16" t="n">
        <v>2</v>
      </c>
      <c r="F385" s="16">
        <f>D385*E385</f>
        <v/>
      </c>
    </row>
    <row r="386">
      <c r="A386" s="13" t="inlineStr">
        <is>
          <t>9999</t>
        </is>
      </c>
      <c r="B386" s="14" t="inlineStr">
        <is>
          <t>Sundries</t>
        </is>
      </c>
      <c r="C386" s="13" t="inlineStr">
        <is>
          <t>L.S.</t>
        </is>
      </c>
      <c r="D386" s="15" t="n">
        <v>6.24</v>
      </c>
      <c r="E386" s="16" t="n">
        <v>2</v>
      </c>
      <c r="F386" s="16">
        <f>D386*E386</f>
        <v/>
      </c>
    </row>
    <row r="387">
      <c r="A387" s="13" t="inlineStr">
        <is>
          <t>0130</t>
        </is>
      </c>
      <c r="B387" s="14" t="inlineStr">
        <is>
          <t>Mistry</t>
        </is>
      </c>
      <c r="C387" s="13" t="inlineStr">
        <is>
          <t>day</t>
        </is>
      </c>
      <c r="D387" s="15" t="n">
        <v>0.1</v>
      </c>
      <c r="E387" s="16" t="n">
        <v>738</v>
      </c>
      <c r="F387" s="16">
        <f>D387*E387</f>
        <v/>
      </c>
    </row>
    <row r="388">
      <c r="A388" s="13" t="inlineStr">
        <is>
          <t>0112</t>
        </is>
      </c>
      <c r="B388" s="14" t="inlineStr">
        <is>
          <t>Carpenter 2nd class</t>
        </is>
      </c>
      <c r="C388" s="13" t="inlineStr">
        <is>
          <t>day</t>
        </is>
      </c>
      <c r="D388" s="15" t="n">
        <v>0.3</v>
      </c>
      <c r="E388" s="16" t="n">
        <v>679</v>
      </c>
      <c r="F388" s="16">
        <f>D388*E388</f>
        <v/>
      </c>
    </row>
    <row r="389">
      <c r="A389" s="13" t="inlineStr">
        <is>
          <t>0114</t>
        </is>
      </c>
      <c r="B389" s="14" t="inlineStr">
        <is>
          <t>Beldar</t>
        </is>
      </c>
      <c r="C389" s="13" t="inlineStr">
        <is>
          <t>day</t>
        </is>
      </c>
      <c r="D389" s="15" t="n">
        <v>1</v>
      </c>
      <c r="E389" s="16" t="n">
        <v>558</v>
      </c>
      <c r="F389" s="16">
        <f>D389*E389</f>
        <v/>
      </c>
    </row>
    <row r="390">
      <c r="A390" s="17" t="inlineStr">
        <is>
          <t>Resource Total (Material + Labour + Machinery, as printed)</t>
        </is>
      </c>
      <c r="B390" s="18" t="n"/>
      <c r="C390" s="18" t="n"/>
      <c r="D390" s="18" t="n"/>
      <c r="E390" s="18" t="n"/>
      <c r="F390" s="19">
        <f>SUM(F381:F389)</f>
        <v/>
      </c>
    </row>
    <row r="391">
      <c r="A391" s="20" t="inlineStr">
        <is>
          <t>SAY (Rs.) — final DAR rate</t>
        </is>
      </c>
      <c r="B391" s="21" t="n"/>
      <c r="C391" s="21" t="n"/>
      <c r="D391" s="21" t="n"/>
      <c r="E391" s="21" t="n"/>
      <c r="F391" s="22" t="n">
        <v>529.05</v>
      </c>
    </row>
    <row r="393" ht="18" customHeight="1">
      <c r="A393" s="9" t="inlineStr">
        <is>
          <t>12.13.5</t>
        </is>
      </c>
      <c r="B393" s="10" t="inlineStr">
        <is>
          <t>Barge boards</t>
        </is>
      </c>
      <c r="C393" s="11" t="n"/>
      <c r="D393" s="11" t="n"/>
      <c r="E393" s="11" t="n"/>
      <c r="F393" s="11" t="n"/>
    </row>
    <row r="394">
      <c r="A394" s="12" t="inlineStr">
        <is>
          <t>Rate basis: per metres  (source: cost for 9.7 metres)</t>
        </is>
      </c>
    </row>
    <row r="395">
      <c r="A395" s="5" t="inlineStr">
        <is>
          <t>Code</t>
        </is>
      </c>
      <c r="B395" s="5" t="inlineStr">
        <is>
          <t>Description</t>
        </is>
      </c>
      <c r="C395" s="5" t="inlineStr">
        <is>
          <t>Unit</t>
        </is>
      </c>
      <c r="D395" s="5" t="inlineStr">
        <is>
          <t>Quantity</t>
        </is>
      </c>
      <c r="E395" s="5" t="inlineStr">
        <is>
          <t>Rate (Rs.)</t>
        </is>
      </c>
      <c r="F395" s="5" t="inlineStr">
        <is>
          <t>Amount (Rs.)</t>
        </is>
      </c>
    </row>
    <row r="396">
      <c r="A396" s="13" t="inlineStr">
        <is>
          <t>0232</t>
        </is>
      </c>
      <c r="B396" s="14" t="inlineStr">
        <is>
          <t>Fibre reinforced by organic and/ or inorganic synthetic fibres cement barge boards 6 mm thick.</t>
        </is>
      </c>
      <c r="C396" s="13" t="inlineStr">
        <is>
          <t>metre</t>
        </is>
      </c>
      <c r="D396" s="15" t="n">
        <v>10.5</v>
      </c>
      <c r="E396" s="16" t="n">
        <v>400</v>
      </c>
      <c r="F396" s="16">
        <f>D396*E396</f>
        <v/>
      </c>
    </row>
    <row r="397">
      <c r="A397" s="13" t="inlineStr">
        <is>
          <t>0222</t>
        </is>
      </c>
      <c r="B397" s="14" t="inlineStr">
        <is>
          <t>Seam bolts and nuts 6 mm dia and 25 mm long</t>
        </is>
      </c>
      <c r="C397" s="13" t="inlineStr">
        <is>
          <t>10 Nos</t>
        </is>
      </c>
      <c r="D397" s="15" t="n">
        <v>0.5</v>
      </c>
      <c r="E397" s="16" t="n">
        <v>10</v>
      </c>
      <c r="F397" s="16">
        <f>D397*E397</f>
        <v/>
      </c>
    </row>
    <row r="398">
      <c r="A398" s="13" t="inlineStr">
        <is>
          <t>1211</t>
        </is>
      </c>
      <c r="B398" s="14" t="inlineStr">
        <is>
          <t>G.I. plain washer for seam bolts</t>
        </is>
      </c>
      <c r="C398" s="13" t="inlineStr">
        <is>
          <t>100 Nos</t>
        </is>
      </c>
      <c r="D398" s="15" t="n">
        <v>0.1</v>
      </c>
      <c r="E398" s="16" t="n">
        <v>32</v>
      </c>
      <c r="F398" s="16">
        <f>D398*E398</f>
        <v/>
      </c>
    </row>
    <row r="399">
      <c r="A399" s="13" t="inlineStr">
        <is>
          <t>1208</t>
        </is>
      </c>
      <c r="B399" s="14" t="inlineStr">
        <is>
          <t>Bitumen washer</t>
        </is>
      </c>
      <c r="C399" s="13" t="inlineStr">
        <is>
          <t>100 Nos</t>
        </is>
      </c>
      <c r="D399" s="15" t="n">
        <v>0.05</v>
      </c>
      <c r="E399" s="16" t="n">
        <v>30</v>
      </c>
      <c r="F399" s="16">
        <f>D399*E399</f>
        <v/>
      </c>
    </row>
    <row r="400">
      <c r="A400" s="13" t="inlineStr">
        <is>
          <t>9977</t>
        </is>
      </c>
      <c r="B400" s="14" t="inlineStr">
        <is>
          <t>Carriage of barge boards, bolts, nuts and washers</t>
        </is>
      </c>
      <c r="C400" s="13" t="inlineStr">
        <is>
          <t>L.S.</t>
        </is>
      </c>
      <c r="D400" s="15" t="n">
        <v>9.359999999999999</v>
      </c>
      <c r="E400" s="16" t="n">
        <v>2</v>
      </c>
      <c r="F400" s="16">
        <f>D400*E400</f>
        <v/>
      </c>
    </row>
    <row r="401">
      <c r="A401" s="13" t="inlineStr">
        <is>
          <t>9999</t>
        </is>
      </c>
      <c r="B401" s="14" t="inlineStr">
        <is>
          <t>Sundries</t>
        </is>
      </c>
      <c r="C401" s="13" t="inlineStr">
        <is>
          <t>L.S.</t>
        </is>
      </c>
      <c r="D401" s="15" t="n">
        <v>6.76</v>
      </c>
      <c r="E401" s="16" t="n">
        <v>2</v>
      </c>
      <c r="F401" s="16">
        <f>D401*E401</f>
        <v/>
      </c>
    </row>
    <row r="402">
      <c r="A402" s="13" t="inlineStr">
        <is>
          <t>0130</t>
        </is>
      </c>
      <c r="B402" s="14" t="inlineStr">
        <is>
          <t>Mistry</t>
        </is>
      </c>
      <c r="C402" s="13" t="inlineStr">
        <is>
          <t>day</t>
        </is>
      </c>
      <c r="D402" s="15" t="n">
        <v>0.04</v>
      </c>
      <c r="E402" s="16" t="n">
        <v>738</v>
      </c>
      <c r="F402" s="16">
        <f>D402*E402</f>
        <v/>
      </c>
    </row>
    <row r="403">
      <c r="A403" s="13" t="inlineStr">
        <is>
          <t>0112</t>
        </is>
      </c>
      <c r="B403" s="14" t="inlineStr">
        <is>
          <t>Carpenter 2nd class</t>
        </is>
      </c>
      <c r="C403" s="13" t="inlineStr">
        <is>
          <t>day</t>
        </is>
      </c>
      <c r="D403" s="15" t="n">
        <v>0.06</v>
      </c>
      <c r="E403" s="16" t="n">
        <v>679</v>
      </c>
      <c r="F403" s="16">
        <f>D403*E403</f>
        <v/>
      </c>
    </row>
    <row r="404">
      <c r="A404" s="13" t="inlineStr">
        <is>
          <t>0114</t>
        </is>
      </c>
      <c r="B404" s="14" t="inlineStr">
        <is>
          <t>Beldar</t>
        </is>
      </c>
      <c r="C404" s="13" t="inlineStr">
        <is>
          <t>day</t>
        </is>
      </c>
      <c r="D404" s="15" t="n">
        <v>0.4</v>
      </c>
      <c r="E404" s="16" t="n">
        <v>558</v>
      </c>
      <c r="F404" s="16">
        <f>D404*E404</f>
        <v/>
      </c>
    </row>
    <row r="405">
      <c r="A405" s="17" t="inlineStr">
        <is>
          <t>Resource Total (Material + Labour + Machinery, as printed)</t>
        </is>
      </c>
      <c r="B405" s="18" t="n"/>
      <c r="C405" s="18" t="n"/>
      <c r="D405" s="18" t="n"/>
      <c r="E405" s="18" t="n"/>
      <c r="F405" s="19">
        <f>SUM(F396:F404)</f>
        <v/>
      </c>
    </row>
    <row r="406">
      <c r="A406" s="20" t="inlineStr">
        <is>
          <t>SAY (Rs.) — final DAR rate</t>
        </is>
      </c>
      <c r="B406" s="21" t="n"/>
      <c r="C406" s="21" t="n"/>
      <c r="D406" s="21" t="n"/>
      <c r="E406" s="21" t="n"/>
      <c r="F406" s="22" t="n">
        <v>625.6</v>
      </c>
    </row>
    <row r="408" ht="18" customHeight="1">
      <c r="A408" s="9" t="inlineStr">
        <is>
          <t>12.13.6</t>
        </is>
      </c>
      <c r="B408" s="10" t="inlineStr">
        <is>
          <t>Ridge finials</t>
        </is>
      </c>
      <c r="C408" s="11" t="n"/>
      <c r="D408" s="11" t="n"/>
      <c r="E408" s="11" t="n"/>
      <c r="F408" s="11" t="n"/>
    </row>
    <row r="409">
      <c r="A409" s="12" t="inlineStr">
        <is>
          <t>Rate basis: per nos  (source: cost for 1 nos)</t>
        </is>
      </c>
    </row>
    <row r="410">
      <c r="A410" s="5" t="inlineStr">
        <is>
          <t>Code</t>
        </is>
      </c>
      <c r="B410" s="5" t="inlineStr">
        <is>
          <t>Description</t>
        </is>
      </c>
      <c r="C410" s="5" t="inlineStr">
        <is>
          <t>Unit</t>
        </is>
      </c>
      <c r="D410" s="5" t="inlineStr">
        <is>
          <t>Quantity</t>
        </is>
      </c>
      <c r="E410" s="5" t="inlineStr">
        <is>
          <t>Rate (Rs.)</t>
        </is>
      </c>
      <c r="F410" s="5" t="inlineStr">
        <is>
          <t>Amount (Rs.)</t>
        </is>
      </c>
    </row>
    <row r="411">
      <c r="A411" s="13" t="inlineStr">
        <is>
          <t>0233</t>
        </is>
      </c>
      <c r="B411" s="14" t="inlineStr">
        <is>
          <t>Fibre reinforced by organic fibres and/ or inorganic synthetic fibres cement ridge finial.</t>
        </is>
      </c>
      <c r="C411" s="13" t="inlineStr">
        <is>
          <t>pair</t>
        </is>
      </c>
      <c r="D411" s="15" t="n">
        <v>1.05</v>
      </c>
      <c r="E411" s="16" t="n">
        <v>165</v>
      </c>
      <c r="F411" s="16">
        <f>D411*E411</f>
        <v/>
      </c>
    </row>
    <row r="412">
      <c r="A412" s="13" t="inlineStr">
        <is>
          <t>9988</t>
        </is>
      </c>
      <c r="B412" s="14" t="inlineStr">
        <is>
          <t>Carriage, sundries, fixing charges including providing and fixing, seam bolts and nuts, with G.I. and bitumen washers</t>
        </is>
      </c>
      <c r="C412" s="13" t="inlineStr">
        <is>
          <t>L.S.</t>
        </is>
      </c>
      <c r="D412" s="15" t="n">
        <v>10.79</v>
      </c>
      <c r="E412" s="16" t="n">
        <v>2</v>
      </c>
      <c r="F412" s="16">
        <f>D412*E412</f>
        <v/>
      </c>
    </row>
    <row r="413">
      <c r="A413" s="17" t="inlineStr">
        <is>
          <t>Resource Total (Material + Labour + Machinery, as printed)</t>
        </is>
      </c>
      <c r="B413" s="18" t="n"/>
      <c r="C413" s="18" t="n"/>
      <c r="D413" s="18" t="n"/>
      <c r="E413" s="18" t="n"/>
      <c r="F413" s="19">
        <f>SUM(F411:F412)</f>
        <v/>
      </c>
    </row>
    <row r="414">
      <c r="A414" s="20" t="inlineStr">
        <is>
          <t>SAY (Rs.) — final DAR rate</t>
        </is>
      </c>
      <c r="B414" s="21" t="n"/>
      <c r="C414" s="21" t="n"/>
      <c r="D414" s="21" t="n"/>
      <c r="E414" s="21" t="n"/>
      <c r="F414" s="22" t="n">
        <v>260.65</v>
      </c>
    </row>
    <row r="416" ht="18" customHeight="1">
      <c r="A416" s="9" t="inlineStr">
        <is>
          <t>12.13.7</t>
        </is>
      </c>
      <c r="B416" s="10" t="inlineStr">
        <is>
          <t>Special north light curves</t>
        </is>
      </c>
      <c r="C416" s="11" t="n"/>
      <c r="D416" s="11" t="n"/>
      <c r="E416" s="11" t="n"/>
      <c r="F416" s="11" t="n"/>
    </row>
    <row r="417">
      <c r="A417" s="12" t="inlineStr">
        <is>
          <t>Rate basis: per Nos  (source: cost for 20 Nos)</t>
        </is>
      </c>
    </row>
    <row r="418">
      <c r="A418" s="5" t="inlineStr">
        <is>
          <t>Code</t>
        </is>
      </c>
      <c r="B418" s="5" t="inlineStr">
        <is>
          <t>Description</t>
        </is>
      </c>
      <c r="C418" s="5" t="inlineStr">
        <is>
          <t>Unit</t>
        </is>
      </c>
      <c r="D418" s="5" t="inlineStr">
        <is>
          <t>Quantity</t>
        </is>
      </c>
      <c r="E418" s="5" t="inlineStr">
        <is>
          <t>Rate (Rs.)</t>
        </is>
      </c>
      <c r="F418" s="5" t="inlineStr">
        <is>
          <t>Amount (Rs.)</t>
        </is>
      </c>
    </row>
    <row r="419">
      <c r="A419" s="13" t="inlineStr">
        <is>
          <t>0234</t>
        </is>
      </c>
      <c r="B419" s="14" t="inlineStr">
        <is>
          <t>Fibre reinforced by organic fibres and/ or inorganic synthetic fibres cement special north light curves.</t>
        </is>
      </c>
      <c r="C419" s="13" t="inlineStr">
        <is>
          <t>each</t>
        </is>
      </c>
      <c r="D419" s="15" t="n">
        <v>21</v>
      </c>
      <c r="E419" s="16" t="n">
        <v>555</v>
      </c>
      <c r="F419" s="16">
        <f>D419*E419</f>
        <v/>
      </c>
    </row>
    <row r="420">
      <c r="A420" s="13" t="inlineStr">
        <is>
          <t>1023</t>
        </is>
      </c>
      <c r="B420" s="14" t="inlineStr">
        <is>
          <t>Galvanised steel J or L hooks 8 mm dia</t>
        </is>
      </c>
      <c r="C420" s="13" t="inlineStr">
        <is>
          <t>10 Nos</t>
        </is>
      </c>
      <c r="D420" s="15" t="n">
        <v>4</v>
      </c>
      <c r="E420" s="16" t="n">
        <v>120</v>
      </c>
      <c r="F420" s="16">
        <f>D420*E420</f>
        <v/>
      </c>
    </row>
    <row r="421">
      <c r="A421" s="13" t="inlineStr">
        <is>
          <t>1209</t>
        </is>
      </c>
      <c r="B421" s="14" t="inlineStr">
        <is>
          <t>G.I. plain washer thick</t>
        </is>
      </c>
      <c r="C421" s="13" t="inlineStr">
        <is>
          <t>100 Nos</t>
        </is>
      </c>
      <c r="D421" s="15" t="n">
        <v>0.4</v>
      </c>
      <c r="E421" s="16" t="n">
        <v>35</v>
      </c>
      <c r="F421" s="16">
        <f>D421*E421</f>
        <v/>
      </c>
    </row>
    <row r="422">
      <c r="A422" s="13" t="inlineStr">
        <is>
          <t>1208</t>
        </is>
      </c>
      <c r="B422" s="14" t="inlineStr">
        <is>
          <t>Bitumen washer</t>
        </is>
      </c>
      <c r="C422" s="13" t="inlineStr">
        <is>
          <t>100 Nos</t>
        </is>
      </c>
      <c r="D422" s="15" t="n">
        <v>0.4</v>
      </c>
      <c r="E422" s="16" t="n">
        <v>30</v>
      </c>
      <c r="F422" s="16">
        <f>D422*E422</f>
        <v/>
      </c>
    </row>
    <row r="423">
      <c r="A423" s="13" t="inlineStr">
        <is>
          <t>9977</t>
        </is>
      </c>
      <c r="B423" s="14" t="inlineStr">
        <is>
          <t>Carriage of hooks, nuts, washers and curves</t>
        </is>
      </c>
      <c r="C423" s="13" t="inlineStr">
        <is>
          <t>L.S.</t>
        </is>
      </c>
      <c r="D423" s="15" t="n">
        <v>9.880000000000001</v>
      </c>
      <c r="E423" s="16" t="n">
        <v>2</v>
      </c>
      <c r="F423" s="16">
        <f>D423*E423</f>
        <v/>
      </c>
    </row>
    <row r="424">
      <c r="A424" s="13" t="inlineStr">
        <is>
          <t>9999</t>
        </is>
      </c>
      <c r="B424" s="14" t="inlineStr">
        <is>
          <t>Sundries</t>
        </is>
      </c>
      <c r="C424" s="13" t="inlineStr">
        <is>
          <t>L.S.</t>
        </is>
      </c>
      <c r="D424" s="15" t="n">
        <v>6.24</v>
      </c>
      <c r="E424" s="16" t="n">
        <v>2</v>
      </c>
      <c r="F424" s="16">
        <f>D424*E424</f>
        <v/>
      </c>
    </row>
    <row r="425">
      <c r="A425" s="13" t="inlineStr">
        <is>
          <t>0130</t>
        </is>
      </c>
      <c r="B425" s="14" t="inlineStr">
        <is>
          <t>Mistry</t>
        </is>
      </c>
      <c r="C425" s="13" t="inlineStr">
        <is>
          <t>day</t>
        </is>
      </c>
      <c r="D425" s="15" t="n">
        <v>0.1</v>
      </c>
      <c r="E425" s="16" t="n">
        <v>738</v>
      </c>
      <c r="F425" s="16">
        <f>D425*E425</f>
        <v/>
      </c>
    </row>
    <row r="426">
      <c r="A426" s="13" t="inlineStr">
        <is>
          <t>0112</t>
        </is>
      </c>
      <c r="B426" s="14" t="inlineStr">
        <is>
          <t>Carpenter 2nd class</t>
        </is>
      </c>
      <c r="C426" s="13" t="inlineStr">
        <is>
          <t>day</t>
        </is>
      </c>
      <c r="D426" s="15" t="n">
        <v>0.3</v>
      </c>
      <c r="E426" s="16" t="n">
        <v>679</v>
      </c>
      <c r="F426" s="16">
        <f>D426*E426</f>
        <v/>
      </c>
    </row>
    <row r="427">
      <c r="A427" s="13" t="inlineStr">
        <is>
          <t>0114</t>
        </is>
      </c>
      <c r="B427" s="14" t="inlineStr">
        <is>
          <t>Beldar</t>
        </is>
      </c>
      <c r="C427" s="13" t="inlineStr">
        <is>
          <t>day</t>
        </is>
      </c>
      <c r="D427" s="15" t="n">
        <v>1</v>
      </c>
      <c r="E427" s="16" t="n">
        <v>558</v>
      </c>
      <c r="F427" s="16">
        <f>D427*E427</f>
        <v/>
      </c>
    </row>
    <row r="428">
      <c r="A428" s="17" t="inlineStr">
        <is>
          <t>Resource Total (Material + Labour + Machinery, as printed)</t>
        </is>
      </c>
      <c r="B428" s="18" t="n"/>
      <c r="C428" s="18" t="n"/>
      <c r="D428" s="18" t="n"/>
      <c r="E428" s="18" t="n"/>
      <c r="F428" s="19">
        <f>SUM(F419:F427)</f>
        <v/>
      </c>
    </row>
    <row r="429">
      <c r="A429" s="20" t="inlineStr">
        <is>
          <t>SAY (Rs.) — final DAR rate</t>
        </is>
      </c>
      <c r="B429" s="21" t="n"/>
      <c r="C429" s="21" t="n"/>
      <c r="D429" s="21" t="n"/>
      <c r="E429" s="21" t="n"/>
      <c r="F429" s="22" t="n">
        <v>871.6</v>
      </c>
    </row>
    <row r="431" ht="18" customHeight="1">
      <c r="A431" s="9" t="inlineStr">
        <is>
          <t>12.13.8</t>
        </is>
      </c>
      <c r="B431" s="10" t="inlineStr">
        <is>
          <t>S type louvers</t>
        </is>
      </c>
      <c r="C431" s="11" t="n"/>
      <c r="D431" s="11" t="n"/>
      <c r="E431" s="11" t="n"/>
      <c r="F431" s="11" t="n"/>
    </row>
    <row r="432">
      <c r="A432" s="12" t="inlineStr">
        <is>
          <t>Rate basis: per metres  (source: cost for 8.74 metres)</t>
        </is>
      </c>
    </row>
    <row r="433">
      <c r="A433" s="5" t="inlineStr">
        <is>
          <t>Code</t>
        </is>
      </c>
      <c r="B433" s="5" t="inlineStr">
        <is>
          <t>Description</t>
        </is>
      </c>
      <c r="C433" s="5" t="inlineStr">
        <is>
          <t>Unit</t>
        </is>
      </c>
      <c r="D433" s="5" t="inlineStr">
        <is>
          <t>Quantity</t>
        </is>
      </c>
      <c r="E433" s="5" t="inlineStr">
        <is>
          <t>Rate (Rs.)</t>
        </is>
      </c>
      <c r="F433" s="5" t="inlineStr">
        <is>
          <t>Amount (Rs.)</t>
        </is>
      </c>
    </row>
    <row r="434">
      <c r="A434" s="13" t="inlineStr">
        <is>
          <t>0235</t>
        </is>
      </c>
      <c r="B434" s="14" t="inlineStr">
        <is>
          <t>Fibre reinforced by organic fibres and/ or inorganic synthetic fibres cement S type louvers.</t>
        </is>
      </c>
      <c r="C434" s="13" t="inlineStr">
        <is>
          <t>each</t>
        </is>
      </c>
      <c r="D434" s="15" t="n">
        <v>5.25</v>
      </c>
      <c r="E434" s="16" t="n">
        <v>260</v>
      </c>
      <c r="F434" s="16">
        <f>D434*E434</f>
        <v/>
      </c>
    </row>
    <row r="435">
      <c r="A435" s="13" t="inlineStr">
        <is>
          <t>9977</t>
        </is>
      </c>
      <c r="B435" s="14" t="inlineStr">
        <is>
          <t>Carriage</t>
        </is>
      </c>
      <c r="C435" s="13" t="inlineStr">
        <is>
          <t>L.S.</t>
        </is>
      </c>
      <c r="D435" s="15" t="n">
        <v>10.79</v>
      </c>
      <c r="E435" s="16" t="n">
        <v>2</v>
      </c>
      <c r="F435" s="16">
        <f>D435*E435</f>
        <v/>
      </c>
    </row>
    <row r="436">
      <c r="A436" s="13" t="inlineStr">
        <is>
          <t>1031</t>
        </is>
      </c>
      <c r="B436" s="14" t="inlineStr">
        <is>
          <t>Galvanised steel bolts &amp; nuts 10 mm dia and 27 cm long both sides threaded with 4 galvanised steel nuts</t>
        </is>
      </c>
      <c r="C436" s="13" t="inlineStr">
        <is>
          <t>each</t>
        </is>
      </c>
      <c r="D436" s="15" t="n">
        <v>6</v>
      </c>
      <c r="E436" s="16" t="n">
        <v>20</v>
      </c>
      <c r="F436" s="16">
        <f>D436*E436</f>
        <v/>
      </c>
    </row>
    <row r="437">
      <c r="A437" s="13" t="inlineStr">
        <is>
          <t>1032</t>
        </is>
      </c>
      <c r="B437" s="14" t="inlineStr">
        <is>
          <t>Galvanised steel bolts 10 mm dia and 7 cm long with nuts</t>
        </is>
      </c>
      <c r="C437" s="13" t="inlineStr">
        <is>
          <t>each</t>
        </is>
      </c>
      <c r="D437" s="15" t="n">
        <v>6</v>
      </c>
      <c r="E437" s="16" t="n">
        <v>6</v>
      </c>
      <c r="F437" s="16">
        <f>D437*E437</f>
        <v/>
      </c>
    </row>
    <row r="438">
      <c r="A438" s="13" t="inlineStr">
        <is>
          <t>1208</t>
        </is>
      </c>
      <c r="B438" s="14" t="inlineStr">
        <is>
          <t>Bitumen washer</t>
        </is>
      </c>
      <c r="C438" s="13" t="inlineStr">
        <is>
          <t>100 Nos</t>
        </is>
      </c>
      <c r="D438" s="15" t="n">
        <v>0.18</v>
      </c>
      <c r="E438" s="16" t="n">
        <v>30</v>
      </c>
      <c r="F438" s="16">
        <f>D438*E438</f>
        <v/>
      </c>
    </row>
    <row r="439">
      <c r="A439" s="13" t="inlineStr">
        <is>
          <t>1210</t>
        </is>
      </c>
      <c r="B439" s="14" t="inlineStr">
        <is>
          <t>G.I. plain washer thin</t>
        </is>
      </c>
      <c r="C439" s="13" t="inlineStr">
        <is>
          <t>100 Nos</t>
        </is>
      </c>
      <c r="D439" s="15" t="n">
        <v>0.36</v>
      </c>
      <c r="E439" s="16" t="n">
        <v>21</v>
      </c>
      <c r="F439" s="16">
        <f>D439*E439</f>
        <v/>
      </c>
    </row>
    <row r="440">
      <c r="A440" s="13" t="inlineStr">
        <is>
          <t>9977</t>
        </is>
      </c>
      <c r="B440" s="14" t="inlineStr">
        <is>
          <t>Carriage of bolts and nuts and washers</t>
        </is>
      </c>
      <c r="C440" s="13" t="inlineStr">
        <is>
          <t>L.S.</t>
        </is>
      </c>
      <c r="D440" s="15" t="n">
        <v>2.73</v>
      </c>
      <c r="E440" s="16" t="n">
        <v>2</v>
      </c>
      <c r="F440" s="16">
        <f>D440*E440</f>
        <v/>
      </c>
    </row>
    <row r="441">
      <c r="A441" s="13" t="inlineStr">
        <is>
          <t>9999</t>
        </is>
      </c>
      <c r="B441" s="14" t="inlineStr">
        <is>
          <t>Sundries</t>
        </is>
      </c>
      <c r="C441" s="13" t="inlineStr">
        <is>
          <t>L.S.</t>
        </is>
      </c>
      <c r="D441" s="15" t="n">
        <v>13.39</v>
      </c>
      <c r="E441" s="16" t="n">
        <v>2</v>
      </c>
      <c r="F441" s="16">
        <f>D441*E441</f>
        <v/>
      </c>
    </row>
    <row r="442">
      <c r="A442" s="13" t="inlineStr">
        <is>
          <t>0111</t>
        </is>
      </c>
      <c r="B442" s="14" t="inlineStr">
        <is>
          <t>Carpenter 1st class</t>
        </is>
      </c>
      <c r="C442" s="13" t="inlineStr">
        <is>
          <t>day</t>
        </is>
      </c>
      <c r="D442" s="15" t="n">
        <v>1</v>
      </c>
      <c r="E442" s="16" t="n">
        <v>738</v>
      </c>
      <c r="F442" s="16">
        <f>D442*E442</f>
        <v/>
      </c>
    </row>
    <row r="443">
      <c r="A443" s="13" t="inlineStr">
        <is>
          <t>0114</t>
        </is>
      </c>
      <c r="B443" s="14" t="inlineStr">
        <is>
          <t>Beldar</t>
        </is>
      </c>
      <c r="C443" s="13" t="inlineStr">
        <is>
          <t>day</t>
        </is>
      </c>
      <c r="D443" s="15" t="n">
        <v>1</v>
      </c>
      <c r="E443" s="16" t="n">
        <v>558</v>
      </c>
      <c r="F443" s="16">
        <f>D443*E443</f>
        <v/>
      </c>
    </row>
    <row r="444">
      <c r="A444" s="13" t="inlineStr">
        <is>
          <t>0102</t>
        </is>
      </c>
      <c r="B444" s="14" t="inlineStr">
        <is>
          <t>Blacksmith 1st class</t>
        </is>
      </c>
      <c r="C444" s="13" t="inlineStr">
        <is>
          <t>day</t>
        </is>
      </c>
      <c r="D444" s="15" t="n">
        <v>0.12</v>
      </c>
      <c r="E444" s="16" t="n">
        <v>738</v>
      </c>
      <c r="F444" s="16">
        <f>D444*E444</f>
        <v/>
      </c>
    </row>
    <row r="445">
      <c r="A445" s="17" t="inlineStr">
        <is>
          <t>Resource Total (Material + Labour + Machinery, as printed)</t>
        </is>
      </c>
      <c r="B445" s="18" t="n"/>
      <c r="C445" s="18" t="n"/>
      <c r="D445" s="18" t="n"/>
      <c r="E445" s="18" t="n"/>
      <c r="F445" s="19">
        <f>SUM(F434:F444)</f>
        <v/>
      </c>
    </row>
    <row r="446">
      <c r="A446" s="20" t="inlineStr">
        <is>
          <t>SAY (Rs.) — final DAR rate</t>
        </is>
      </c>
      <c r="B446" s="21" t="n"/>
      <c r="C446" s="21" t="n"/>
      <c r="D446" s="21" t="n"/>
      <c r="E446" s="21" t="n"/>
      <c r="F446" s="22" t="n">
        <v>455</v>
      </c>
    </row>
    <row r="448" ht="28" customHeight="1">
      <c r="A448" s="9" t="inlineStr">
        <is>
          <t>12.14</t>
        </is>
      </c>
      <c r="B448" s="10" t="inlineStr">
        <is>
          <t>Providing flat iron brackets 50x3 mm size with necessary bolts, nuts and washers etc. for fixing G.S. sheets gutters with purlins.</t>
        </is>
      </c>
      <c r="C448" s="11" t="n"/>
      <c r="D448" s="11" t="n"/>
      <c r="E448" s="11" t="n"/>
      <c r="F448" s="11" t="n"/>
    </row>
    <row r="449">
      <c r="A449" s="12" t="inlineStr">
        <is>
          <t>Rate basis: per metres  (source: cost for 20 metres)</t>
        </is>
      </c>
    </row>
    <row r="450">
      <c r="A450" s="5" t="inlineStr">
        <is>
          <t>Code</t>
        </is>
      </c>
      <c r="B450" s="5" t="inlineStr">
        <is>
          <t>Description</t>
        </is>
      </c>
      <c r="C450" s="5" t="inlineStr">
        <is>
          <t>Unit</t>
        </is>
      </c>
      <c r="D450" s="5" t="inlineStr">
        <is>
          <t>Quantity</t>
        </is>
      </c>
      <c r="E450" s="5" t="inlineStr">
        <is>
          <t>Rate (Rs.)</t>
        </is>
      </c>
      <c r="F450" s="5" t="inlineStr">
        <is>
          <t>Amount (Rs.)</t>
        </is>
      </c>
    </row>
    <row r="451">
      <c r="A451" s="13" t="inlineStr">
        <is>
          <t>1008</t>
        </is>
      </c>
      <c r="B451" s="14" t="inlineStr">
        <is>
          <t>Flats upto 10 mm in thickness</t>
        </is>
      </c>
      <c r="C451" s="13" t="inlineStr">
        <is>
          <t>quintal</t>
        </is>
      </c>
      <c r="D451" s="15" t="n">
        <v>0.1163</v>
      </c>
      <c r="E451" s="16" t="n">
        <v>4500</v>
      </c>
      <c r="F451" s="16">
        <f>D451*E451</f>
        <v/>
      </c>
    </row>
    <row r="452">
      <c r="A452" s="13" t="inlineStr">
        <is>
          <t>1025</t>
        </is>
      </c>
      <c r="B452" s="14" t="inlineStr">
        <is>
          <t>Mild stel bolts 6 mm dia and 25 mm long with hexagonal head</t>
        </is>
      </c>
      <c r="C452" s="13" t="inlineStr">
        <is>
          <t>10 Nos</t>
        </is>
      </c>
      <c r="D452" s="15" t="n">
        <v>3.8</v>
      </c>
      <c r="E452" s="16" t="n">
        <v>10</v>
      </c>
      <c r="F452" s="16">
        <f>D452*E452</f>
        <v/>
      </c>
    </row>
    <row r="453">
      <c r="A453" s="13" t="inlineStr">
        <is>
          <t>1210</t>
        </is>
      </c>
      <c r="B453" s="14" t="inlineStr">
        <is>
          <t>G.I. plain washer thin</t>
        </is>
      </c>
      <c r="C453" s="13" t="inlineStr">
        <is>
          <t>100 Nos</t>
        </is>
      </c>
      <c r="D453" s="15" t="n">
        <v>0.19</v>
      </c>
      <c r="E453" s="16" t="n">
        <v>21</v>
      </c>
      <c r="F453" s="16">
        <f>D453*E453</f>
        <v/>
      </c>
    </row>
    <row r="454">
      <c r="A454" s="13" t="inlineStr">
        <is>
          <t>9999</t>
        </is>
      </c>
      <c r="B454" s="14" t="inlineStr">
        <is>
          <t>Sundries</t>
        </is>
      </c>
      <c r="C454" s="13" t="inlineStr">
        <is>
          <t>L.S.</t>
        </is>
      </c>
      <c r="D454" s="15" t="n">
        <v>1.04</v>
      </c>
      <c r="E454" s="16" t="n">
        <v>2</v>
      </c>
      <c r="F454" s="16">
        <f>D454*E454</f>
        <v/>
      </c>
    </row>
    <row r="455">
      <c r="A455" s="13" t="inlineStr">
        <is>
          <t>0102</t>
        </is>
      </c>
      <c r="B455" s="14" t="inlineStr">
        <is>
          <t>Blacksmith 1st class</t>
        </is>
      </c>
      <c r="C455" s="13" t="inlineStr">
        <is>
          <t>day</t>
        </is>
      </c>
      <c r="D455" s="15" t="n">
        <v>0.38</v>
      </c>
      <c r="E455" s="16" t="n">
        <v>738</v>
      </c>
      <c r="F455" s="16">
        <f>D455*E455</f>
        <v/>
      </c>
    </row>
    <row r="456">
      <c r="A456" s="13" t="inlineStr">
        <is>
          <t>0114</t>
        </is>
      </c>
      <c r="B456" s="14" t="inlineStr">
        <is>
          <t>Beldar</t>
        </is>
      </c>
      <c r="C456" s="13" t="inlineStr">
        <is>
          <t>day</t>
        </is>
      </c>
      <c r="D456" s="15" t="n">
        <v>0.38</v>
      </c>
      <c r="E456" s="16" t="n">
        <v>558</v>
      </c>
      <c r="F456" s="16">
        <f>D456*E456</f>
        <v/>
      </c>
    </row>
    <row r="457">
      <c r="A457" s="17" t="inlineStr">
        <is>
          <t>Resource Total (Material + Labour + Machinery, as printed)</t>
        </is>
      </c>
      <c r="B457" s="18" t="n"/>
      <c r="C457" s="18" t="n"/>
      <c r="D457" s="18" t="n"/>
      <c r="E457" s="18" t="n"/>
      <c r="F457" s="19">
        <f>SUM(F451:F456)</f>
        <v/>
      </c>
    </row>
    <row r="458">
      <c r="A458" s="20" t="inlineStr">
        <is>
          <t>SAY (Rs.) — final DAR rate</t>
        </is>
      </c>
      <c r="B458" s="21" t="n"/>
      <c r="C458" s="21" t="n"/>
      <c r="D458" s="21" t="n"/>
      <c r="E458" s="21" t="n"/>
      <c r="F458" s="22" t="n">
        <v>70.90000000000001</v>
      </c>
    </row>
    <row r="460" ht="18" customHeight="1">
      <c r="A460" s="9" t="inlineStr">
        <is>
          <t>12.15.1</t>
        </is>
      </c>
      <c r="B460" s="10" t="inlineStr">
        <is>
          <t>With residual type petroleum bitumen of grade VG -10</t>
        </is>
      </c>
      <c r="C460" s="11" t="n"/>
      <c r="D460" s="11" t="n"/>
      <c r="E460" s="11" t="n"/>
      <c r="F460" s="11" t="n"/>
    </row>
    <row r="461">
      <c r="A461" s="12" t="inlineStr">
        <is>
          <t>Rate basis: per Sqm  (source: cost for 10 Sqm)</t>
        </is>
      </c>
    </row>
    <row r="462">
      <c r="A462" s="5" t="inlineStr">
        <is>
          <t>Code</t>
        </is>
      </c>
      <c r="B462" s="5" t="inlineStr">
        <is>
          <t>Description</t>
        </is>
      </c>
      <c r="C462" s="5" t="inlineStr">
        <is>
          <t>Unit</t>
        </is>
      </c>
      <c r="D462" s="5" t="inlineStr">
        <is>
          <t>Quantity</t>
        </is>
      </c>
      <c r="E462" s="5" t="inlineStr">
        <is>
          <t>Rate (Rs.)</t>
        </is>
      </c>
      <c r="F462" s="5" t="inlineStr">
        <is>
          <t>Amount (Rs.)</t>
        </is>
      </c>
    </row>
    <row r="463">
      <c r="A463" s="13" t="inlineStr">
        <is>
          <t>0309</t>
        </is>
      </c>
      <c r="B463" s="14" t="inlineStr">
        <is>
          <t>Paving bitumen VG-10 of approved quality</t>
        </is>
      </c>
      <c r="C463" s="13" t="inlineStr">
        <is>
          <t>tonne</t>
        </is>
      </c>
      <c r="D463" s="15" t="n">
        <v>0.017</v>
      </c>
      <c r="E463" s="16" t="n">
        <v>25614</v>
      </c>
      <c r="F463" s="16">
        <f>D463*E463</f>
        <v/>
      </c>
    </row>
    <row r="464">
      <c r="A464" s="13" t="inlineStr">
        <is>
          <t>0771</t>
        </is>
      </c>
      <c r="B464" s="14" t="inlineStr">
        <is>
          <t>Kerosene oil</t>
        </is>
      </c>
      <c r="C464" s="13" t="inlineStr">
        <is>
          <t>litre</t>
        </is>
      </c>
      <c r="D464" s="15" t="n">
        <v>1.22</v>
      </c>
      <c r="E464" s="16" t="n">
        <v>50</v>
      </c>
      <c r="F464" s="16">
        <f>D464*E464</f>
        <v/>
      </c>
    </row>
    <row r="465">
      <c r="A465" s="13" t="inlineStr">
        <is>
          <t>0370</t>
        </is>
      </c>
      <c r="B465" s="14" t="inlineStr">
        <is>
          <t>Coal (steam)</t>
        </is>
      </c>
      <c r="C465" s="13" t="inlineStr">
        <is>
          <t>quintal</t>
        </is>
      </c>
      <c r="D465" s="15" t="n">
        <v>0.035</v>
      </c>
      <c r="E465" s="16" t="n">
        <v>440</v>
      </c>
      <c r="F465" s="16">
        <f>D465*E465</f>
        <v/>
      </c>
    </row>
    <row r="466">
      <c r="A466" s="13" t="inlineStr">
        <is>
          <t>2211</t>
        </is>
      </c>
      <c r="B466" s="14" t="inlineStr">
        <is>
          <t>Carriage of Tar bitumen</t>
        </is>
      </c>
      <c r="C466" s="13" t="inlineStr">
        <is>
          <t>tonne</t>
        </is>
      </c>
      <c r="D466" s="15" t="n">
        <v>0.017</v>
      </c>
      <c r="E466" s="16" t="n">
        <v>103.77</v>
      </c>
      <c r="F466" s="16">
        <f>D466*E466</f>
        <v/>
      </c>
    </row>
    <row r="467">
      <c r="A467" s="13" t="inlineStr">
        <is>
          <t>0982</t>
        </is>
      </c>
      <c r="B467" s="14" t="inlineStr">
        <is>
          <t>Coarse sand (zone III)</t>
        </is>
      </c>
      <c r="C467" s="13" t="inlineStr">
        <is>
          <t>cum</t>
        </is>
      </c>
      <c r="D467" s="15" t="n">
        <v>0.06</v>
      </c>
      <c r="E467" s="16" t="n">
        <v>1350</v>
      </c>
      <c r="F467" s="16">
        <f>D467*E467</f>
        <v/>
      </c>
    </row>
    <row r="468">
      <c r="A468" s="13" t="inlineStr">
        <is>
          <t>2203</t>
        </is>
      </c>
      <c r="B468" s="14" t="inlineStr">
        <is>
          <t>Carriage of Coarse sand</t>
        </is>
      </c>
      <c r="C468" s="13" t="inlineStr">
        <is>
          <t>cum</t>
        </is>
      </c>
      <c r="D468" s="15" t="n">
        <v>0.06</v>
      </c>
      <c r="E468" s="16" t="n">
        <v>103.77</v>
      </c>
      <c r="F468" s="16">
        <f>D468*E468</f>
        <v/>
      </c>
    </row>
    <row r="469">
      <c r="A469" s="13" t="inlineStr">
        <is>
          <t>0114</t>
        </is>
      </c>
      <c r="B469" s="14" t="inlineStr">
        <is>
          <t>Beldar</t>
        </is>
      </c>
      <c r="C469" s="13" t="inlineStr">
        <is>
          <t>day</t>
        </is>
      </c>
      <c r="D469" s="15" t="n">
        <v>0.38</v>
      </c>
      <c r="E469" s="16" t="n">
        <v>558</v>
      </c>
      <c r="F469" s="16">
        <f>D469*E469</f>
        <v/>
      </c>
    </row>
    <row r="470">
      <c r="A470" s="13" t="inlineStr">
        <is>
          <t>0131</t>
        </is>
      </c>
      <c r="B470" s="14" t="inlineStr">
        <is>
          <t>Painter</t>
        </is>
      </c>
      <c r="C470" s="13" t="inlineStr">
        <is>
          <t>day</t>
        </is>
      </c>
      <c r="D470" s="15" t="n">
        <v>0.15</v>
      </c>
      <c r="E470" s="16" t="n">
        <v>679</v>
      </c>
      <c r="F470" s="16">
        <f>D470*E470</f>
        <v/>
      </c>
    </row>
    <row r="471">
      <c r="A471" s="13" t="inlineStr">
        <is>
          <t>9999</t>
        </is>
      </c>
      <c r="B471" s="14" t="inlineStr">
        <is>
          <t>Sundries (Brushes and T and P)</t>
        </is>
      </c>
      <c r="C471" s="13" t="inlineStr">
        <is>
          <t>L.S.</t>
        </is>
      </c>
      <c r="D471" s="15" t="n">
        <v>13.52</v>
      </c>
      <c r="E471" s="16" t="n">
        <v>2</v>
      </c>
      <c r="F471" s="16">
        <f>D471*E471</f>
        <v/>
      </c>
    </row>
    <row r="472">
      <c r="A472" s="17" t="inlineStr">
        <is>
          <t>Resource Total (Material + Labour + Machinery, as printed)</t>
        </is>
      </c>
      <c r="B472" s="18" t="n"/>
      <c r="C472" s="18" t="n"/>
      <c r="D472" s="18" t="n"/>
      <c r="E472" s="18" t="n"/>
      <c r="F472" s="19">
        <f>SUM(F463:F471)</f>
        <v/>
      </c>
    </row>
    <row r="473">
      <c r="A473" s="20" t="inlineStr">
        <is>
          <t>SAY (Rs.) — final DAR rate</t>
        </is>
      </c>
      <c r="B473" s="21" t="n"/>
      <c r="C473" s="21" t="n"/>
      <c r="D473" s="21" t="n"/>
      <c r="E473" s="21" t="n"/>
      <c r="F473" s="22" t="n">
        <v>126</v>
      </c>
    </row>
    <row r="475" ht="18" customHeight="1">
      <c r="A475" s="9" t="inlineStr">
        <is>
          <t>12.16.1</t>
        </is>
      </c>
      <c r="B475" s="10" t="inlineStr">
        <is>
          <t>With common burnt clay F.P.S.(non modular) brick tile of class designation 10</t>
        </is>
      </c>
      <c r="C475" s="11" t="n"/>
      <c r="D475" s="11" t="n"/>
      <c r="E475" s="11" t="n"/>
      <c r="F475" s="11" t="n"/>
    </row>
    <row r="476">
      <c r="A476" s="12" t="inlineStr">
        <is>
          <t>Rate basis: per cum  (source: cost for 1.048 cum)</t>
        </is>
      </c>
    </row>
    <row r="477">
      <c r="A477" s="5" t="inlineStr">
        <is>
          <t>Code</t>
        </is>
      </c>
      <c r="B477" s="5" t="inlineStr">
        <is>
          <t>Description</t>
        </is>
      </c>
      <c r="C477" s="5" t="inlineStr">
        <is>
          <t>Unit</t>
        </is>
      </c>
      <c r="D477" s="5" t="inlineStr">
        <is>
          <t>Quantity</t>
        </is>
      </c>
      <c r="E477" s="5" t="inlineStr">
        <is>
          <t>Rate (Rs.)</t>
        </is>
      </c>
      <c r="F477" s="5" t="inlineStr">
        <is>
          <t>Amount (Rs.)</t>
        </is>
      </c>
    </row>
    <row r="478">
      <c r="A478" s="13" t="inlineStr">
        <is>
          <t>3.18</t>
        </is>
      </c>
      <c r="B478" s="14" t="inlineStr">
        <is>
          <t>Rate as per SH: 3.18</t>
        </is>
      </c>
      <c r="C478" s="13" t="inlineStr">
        <is>
          <t>cum</t>
        </is>
      </c>
      <c r="D478" s="15" t="n">
        <v>0.263</v>
      </c>
      <c r="E478" s="16" t="n">
        <v>737</v>
      </c>
      <c r="F478" s="16">
        <f>D478*E478</f>
        <v/>
      </c>
    </row>
    <row r="479">
      <c r="A479" s="13" t="inlineStr">
        <is>
          <t>3.3</t>
        </is>
      </c>
      <c r="B479" s="14" t="inlineStr">
        <is>
          <t>Rate as per SH: 3.3</t>
        </is>
      </c>
      <c r="C479" s="13" t="inlineStr">
        <is>
          <t>cum</t>
        </is>
      </c>
      <c r="D479" s="15" t="n">
        <v>0.061</v>
      </c>
      <c r="E479" s="16" t="n">
        <v>4183.05</v>
      </c>
      <c r="F479" s="16">
        <f>D479*E479</f>
        <v/>
      </c>
    </row>
    <row r="480">
      <c r="A480" s="13" t="inlineStr">
        <is>
          <t>0811</t>
        </is>
      </c>
      <c r="B480" s="14" t="inlineStr">
        <is>
          <t>Mud (dry)</t>
        </is>
      </c>
      <c r="C480" s="13" t="inlineStr">
        <is>
          <t>cum</t>
        </is>
      </c>
      <c r="D480" s="15" t="n">
        <v>1.257</v>
      </c>
      <c r="E480" s="16" t="n">
        <v>165</v>
      </c>
      <c r="F480" s="16">
        <f>D480*E480</f>
        <v/>
      </c>
    </row>
    <row r="481">
      <c r="A481" s="13" t="inlineStr">
        <is>
          <t>0308</t>
        </is>
      </c>
      <c r="B481" s="14" t="inlineStr">
        <is>
          <t>Bhusa</t>
        </is>
      </c>
      <c r="C481" s="13" t="inlineStr">
        <is>
          <t>quintal</t>
        </is>
      </c>
      <c r="D481" s="15" t="n">
        <v>0.1</v>
      </c>
      <c r="E481" s="16" t="n">
        <v>500</v>
      </c>
      <c r="F481" s="16">
        <f>D481*E481</f>
        <v/>
      </c>
    </row>
    <row r="482">
      <c r="A482" s="13" t="inlineStr">
        <is>
          <t>9999</t>
        </is>
      </c>
      <c r="B482" s="14" t="inlineStr">
        <is>
          <t>Cowdung</t>
        </is>
      </c>
      <c r="C482" s="13" t="inlineStr">
        <is>
          <t>L.S.</t>
        </is>
      </c>
      <c r="D482" s="15" t="n">
        <v>5.33</v>
      </c>
      <c r="E482" s="16" t="n">
        <v>2</v>
      </c>
      <c r="F482" s="16">
        <f>D482*E482</f>
        <v/>
      </c>
    </row>
    <row r="483">
      <c r="A483" s="13" t="inlineStr">
        <is>
          <t>9999</t>
        </is>
      </c>
      <c r="B483" s="14" t="inlineStr">
        <is>
          <t>Mud mortar for gobri leaping</t>
        </is>
      </c>
      <c r="C483" s="13" t="inlineStr">
        <is>
          <t>L.S.</t>
        </is>
      </c>
      <c r="D483" s="15" t="n">
        <v>8.06</v>
      </c>
      <c r="E483" s="16" t="n">
        <v>2</v>
      </c>
      <c r="F483" s="16">
        <f>D483*E483</f>
        <v/>
      </c>
    </row>
    <row r="484">
      <c r="A484" s="13" t="inlineStr">
        <is>
          <t>9977</t>
        </is>
      </c>
      <c r="B484" s="14" t="inlineStr">
        <is>
          <t>Carriage of bhusa and cowdung</t>
        </is>
      </c>
      <c r="C484" s="13" t="inlineStr">
        <is>
          <t>L.S.</t>
        </is>
      </c>
      <c r="D484" s="15" t="n">
        <v>2.73</v>
      </c>
      <c r="E484" s="16" t="n">
        <v>2</v>
      </c>
      <c r="F484" s="16">
        <f>D484*E484</f>
        <v/>
      </c>
    </row>
    <row r="485">
      <c r="A485" s="13" t="inlineStr">
        <is>
          <t>1984</t>
        </is>
      </c>
      <c r="B485" s="14" t="inlineStr">
        <is>
          <t>Common burnt clay F.P.S. (non modular) bricks tile class designation 10</t>
        </is>
      </c>
      <c r="C485" s="13" t="inlineStr">
        <is>
          <t>1000 Nos</t>
        </is>
      </c>
      <c r="D485" s="15" t="n">
        <v>0.38</v>
      </c>
      <c r="E485" s="16" t="n">
        <v>4500</v>
      </c>
      <c r="F485" s="16">
        <f>D485*E485</f>
        <v/>
      </c>
    </row>
    <row r="486">
      <c r="A486" s="13" t="inlineStr">
        <is>
          <t>2207</t>
        </is>
      </c>
      <c r="B486" s="14" t="inlineStr">
        <is>
          <t>Carriage of Brick tiles</t>
        </is>
      </c>
      <c r="C486" s="13" t="inlineStr">
        <is>
          <t>1000 Nos</t>
        </is>
      </c>
      <c r="D486" s="15" t="n">
        <v>0.38</v>
      </c>
      <c r="E486" s="16" t="n">
        <v>166.03</v>
      </c>
      <c r="F486" s="16">
        <f>D486*E486</f>
        <v/>
      </c>
    </row>
    <row r="487">
      <c r="A487" s="13" t="inlineStr">
        <is>
          <t>1213</t>
        </is>
      </c>
      <c r="B487" s="14" t="inlineStr">
        <is>
          <t>Water proofing materials</t>
        </is>
      </c>
      <c r="C487" s="13" t="inlineStr">
        <is>
          <t>kilogram</t>
        </is>
      </c>
      <c r="D487" s="15" t="n">
        <v>0.006</v>
      </c>
      <c r="E487" s="16" t="n">
        <v>35</v>
      </c>
      <c r="F487" s="16">
        <f>D487*E487</f>
        <v/>
      </c>
    </row>
    <row r="488">
      <c r="A488" s="13" t="inlineStr">
        <is>
          <t>9999</t>
        </is>
      </c>
      <c r="B488" s="14" t="inlineStr">
        <is>
          <t>Sundries</t>
        </is>
      </c>
      <c r="C488" s="13" t="inlineStr">
        <is>
          <t>L.S.</t>
        </is>
      </c>
      <c r="D488" s="15" t="n">
        <v>6.76</v>
      </c>
      <c r="E488" s="16" t="n">
        <v>2</v>
      </c>
      <c r="F488" s="16">
        <f>D488*E488</f>
        <v/>
      </c>
    </row>
    <row r="489">
      <c r="A489" s="13" t="inlineStr">
        <is>
          <t>0124</t>
        </is>
      </c>
      <c r="B489" s="14" t="inlineStr">
        <is>
          <t>Mason (brick layer) 2nd class</t>
        </is>
      </c>
      <c r="C489" s="13" t="inlineStr">
        <is>
          <t>day</t>
        </is>
      </c>
      <c r="D489" s="15" t="n">
        <v>1.3</v>
      </c>
      <c r="E489" s="16" t="n">
        <v>679</v>
      </c>
      <c r="F489" s="16">
        <f>D489*E489</f>
        <v/>
      </c>
    </row>
    <row r="490">
      <c r="A490" s="13" t="inlineStr">
        <is>
          <t>0114</t>
        </is>
      </c>
      <c r="B490" s="14" t="inlineStr">
        <is>
          <t>Beldar</t>
        </is>
      </c>
      <c r="C490" s="13" t="inlineStr">
        <is>
          <t>day</t>
        </is>
      </c>
      <c r="D490" s="15" t="n">
        <v>3.75</v>
      </c>
      <c r="E490" s="16" t="n">
        <v>558</v>
      </c>
      <c r="F490" s="16">
        <f>D490*E490</f>
        <v/>
      </c>
    </row>
    <row r="491">
      <c r="A491" s="13" t="inlineStr">
        <is>
          <t>0101</t>
        </is>
      </c>
      <c r="B491" s="14" t="inlineStr">
        <is>
          <t>Bhisti</t>
        </is>
      </c>
      <c r="C491" s="13" t="inlineStr">
        <is>
          <t>day</t>
        </is>
      </c>
      <c r="D491" s="15" t="n">
        <v>1.1</v>
      </c>
      <c r="E491" s="16" t="n">
        <v>617</v>
      </c>
      <c r="F491" s="16">
        <f>D491*E491</f>
        <v/>
      </c>
    </row>
    <row r="492">
      <c r="A492" s="17" t="inlineStr">
        <is>
          <t>Resource Total (Material + Labour + Machinery, as printed)</t>
        </is>
      </c>
      <c r="B492" s="18" t="n"/>
      <c r="C492" s="18" t="n"/>
      <c r="D492" s="18" t="n"/>
      <c r="E492" s="18" t="n"/>
      <c r="F492" s="19">
        <f>SUM(F478:F491)</f>
        <v/>
      </c>
    </row>
    <row r="493">
      <c r="A493" s="20" t="inlineStr">
        <is>
          <t>SAY (Rs.) — final DAR rate</t>
        </is>
      </c>
      <c r="B493" s="21" t="n"/>
      <c r="C493" s="21" t="n"/>
      <c r="D493" s="21" t="n"/>
      <c r="E493" s="21" t="n"/>
      <c r="F493" s="22" t="n">
        <v>826.75</v>
      </c>
    </row>
    <row r="495" ht="28" customHeight="1">
      <c r="A495" s="9" t="inlineStr">
        <is>
          <t>12.17.1</t>
        </is>
      </c>
      <c r="B495" s="10" t="inlineStr">
        <is>
          <t>With machine moulded common burnt clay F.P.S. (non modular) brick tiles of class designation 12.5, conforming to IS 2690</t>
        </is>
      </c>
      <c r="C495" s="11" t="n"/>
      <c r="D495" s="11" t="n"/>
      <c r="E495" s="11" t="n"/>
      <c r="F495" s="11" t="n"/>
    </row>
    <row r="496">
      <c r="A496" s="12" t="inlineStr">
        <is>
          <t>Rate basis: per cum  (source: cost for 1.048 cum)</t>
        </is>
      </c>
    </row>
    <row r="497">
      <c r="A497" s="5" t="inlineStr">
        <is>
          <t>Code</t>
        </is>
      </c>
      <c r="B497" s="5" t="inlineStr">
        <is>
          <t>Description</t>
        </is>
      </c>
      <c r="C497" s="5" t="inlineStr">
        <is>
          <t>Unit</t>
        </is>
      </c>
      <c r="D497" s="5" t="inlineStr">
        <is>
          <t>Quantity</t>
        </is>
      </c>
      <c r="E497" s="5" t="inlineStr">
        <is>
          <t>Rate (Rs.)</t>
        </is>
      </c>
      <c r="F497" s="5" t="inlineStr">
        <is>
          <t>Amount (Rs.)</t>
        </is>
      </c>
    </row>
    <row r="498">
      <c r="A498" s="13" t="inlineStr">
        <is>
          <t>3.18</t>
        </is>
      </c>
      <c r="B498" s="14" t="inlineStr">
        <is>
          <t>Rate as per SH: 3.18</t>
        </is>
      </c>
      <c r="C498" s="13" t="inlineStr">
        <is>
          <t>cum</t>
        </is>
      </c>
      <c r="D498" s="15" t="n">
        <v>0.263</v>
      </c>
      <c r="E498" s="16" t="n">
        <v>737</v>
      </c>
      <c r="F498" s="16">
        <f>D498*E498</f>
        <v/>
      </c>
    </row>
    <row r="499">
      <c r="A499" s="13" t="inlineStr">
        <is>
          <t>3.3</t>
        </is>
      </c>
      <c r="B499" s="14" t="inlineStr">
        <is>
          <t>Rate as per SH: 3.3</t>
        </is>
      </c>
      <c r="C499" s="13" t="inlineStr">
        <is>
          <t>cum</t>
        </is>
      </c>
      <c r="D499" s="15" t="n">
        <v>0.061</v>
      </c>
      <c r="E499" s="16" t="n">
        <v>4183.05</v>
      </c>
      <c r="F499" s="16">
        <f>D499*E499</f>
        <v/>
      </c>
    </row>
    <row r="500">
      <c r="A500" s="13" t="inlineStr">
        <is>
          <t>0811</t>
        </is>
      </c>
      <c r="B500" s="14" t="inlineStr">
        <is>
          <t>Mud (dry)</t>
        </is>
      </c>
      <c r="C500" s="13" t="inlineStr">
        <is>
          <t>cum</t>
        </is>
      </c>
      <c r="D500" s="15" t="n">
        <v>1.257</v>
      </c>
      <c r="E500" s="16" t="n">
        <v>165</v>
      </c>
      <c r="F500" s="16">
        <f>D500*E500</f>
        <v/>
      </c>
    </row>
    <row r="501">
      <c r="A501" s="13" t="inlineStr">
        <is>
          <t>0308</t>
        </is>
      </c>
      <c r="B501" s="14" t="inlineStr">
        <is>
          <t>Bhusa</t>
        </is>
      </c>
      <c r="C501" s="13" t="inlineStr">
        <is>
          <t>quintal</t>
        </is>
      </c>
      <c r="D501" s="15" t="n">
        <v>0.1</v>
      </c>
      <c r="E501" s="16" t="n">
        <v>500</v>
      </c>
      <c r="F501" s="16">
        <f>D501*E501</f>
        <v/>
      </c>
    </row>
    <row r="502">
      <c r="A502" s="13" t="inlineStr">
        <is>
          <t>9999</t>
        </is>
      </c>
      <c r="B502" s="14" t="inlineStr">
        <is>
          <t>Cowdung</t>
        </is>
      </c>
      <c r="C502" s="13" t="inlineStr">
        <is>
          <t>L.S.</t>
        </is>
      </c>
      <c r="D502" s="15" t="n">
        <v>5.33</v>
      </c>
      <c r="E502" s="16" t="n">
        <v>2</v>
      </c>
      <c r="F502" s="16">
        <f>D502*E502</f>
        <v/>
      </c>
    </row>
    <row r="503">
      <c r="A503" s="13" t="inlineStr">
        <is>
          <t>9999</t>
        </is>
      </c>
      <c r="B503" s="14" t="inlineStr">
        <is>
          <t>Mud mortar for gobri leaping</t>
        </is>
      </c>
      <c r="C503" s="13" t="inlineStr">
        <is>
          <t>L.S.</t>
        </is>
      </c>
      <c r="D503" s="15" t="n">
        <v>8.06</v>
      </c>
      <c r="E503" s="16" t="n">
        <v>2</v>
      </c>
      <c r="F503" s="16">
        <f>D503*E503</f>
        <v/>
      </c>
    </row>
    <row r="504">
      <c r="A504" s="13" t="inlineStr">
        <is>
          <t>9977</t>
        </is>
      </c>
      <c r="B504" s="14" t="inlineStr">
        <is>
          <t>Carriage of bhusa and cowdung</t>
        </is>
      </c>
      <c r="C504" s="13" t="inlineStr">
        <is>
          <t>L.S.</t>
        </is>
      </c>
      <c r="D504" s="15" t="n">
        <v>2.73</v>
      </c>
      <c r="E504" s="16" t="n">
        <v>2</v>
      </c>
      <c r="F504" s="16">
        <f>D504*E504</f>
        <v/>
      </c>
    </row>
    <row r="505">
      <c r="A505" s="13" t="inlineStr">
        <is>
          <t>7904</t>
        </is>
      </c>
      <c r="B505" s="14" t="inlineStr">
        <is>
          <t>Machine moulded common burnt clay tile bricks of class designation 12.5</t>
        </is>
      </c>
      <c r="C505" s="13" t="inlineStr">
        <is>
          <t>1000 Nos</t>
        </is>
      </c>
      <c r="D505" s="15" t="n">
        <v>0.38</v>
      </c>
      <c r="E505" s="16" t="n">
        <v>4900</v>
      </c>
      <c r="F505" s="16">
        <f>D505*E505</f>
        <v/>
      </c>
    </row>
    <row r="506">
      <c r="A506" s="13" t="inlineStr">
        <is>
          <t>2207</t>
        </is>
      </c>
      <c r="B506" s="14" t="inlineStr">
        <is>
          <t>Carriage of Brick tiles</t>
        </is>
      </c>
      <c r="C506" s="13" t="inlineStr">
        <is>
          <t>1000 Nos</t>
        </is>
      </c>
      <c r="D506" s="15" t="n">
        <v>0.38</v>
      </c>
      <c r="E506" s="16" t="n">
        <v>166.03</v>
      </c>
      <c r="F506" s="16">
        <f>D506*E506</f>
        <v/>
      </c>
    </row>
    <row r="507">
      <c r="A507" s="13" t="inlineStr">
        <is>
          <t>1213</t>
        </is>
      </c>
      <c r="B507" s="14" t="inlineStr">
        <is>
          <t>Water proofing materials</t>
        </is>
      </c>
      <c r="C507" s="13" t="inlineStr">
        <is>
          <t>kilogram</t>
        </is>
      </c>
      <c r="D507" s="15" t="n">
        <v>0.006</v>
      </c>
      <c r="E507" s="16" t="n">
        <v>35</v>
      </c>
      <c r="F507" s="16">
        <f>D507*E507</f>
        <v/>
      </c>
    </row>
    <row r="508">
      <c r="A508" s="13" t="inlineStr">
        <is>
          <t>9999</t>
        </is>
      </c>
      <c r="B508" s="14" t="inlineStr">
        <is>
          <t>Sundries</t>
        </is>
      </c>
      <c r="C508" s="13" t="inlineStr">
        <is>
          <t>L.S.</t>
        </is>
      </c>
      <c r="D508" s="15" t="n">
        <v>6.76</v>
      </c>
      <c r="E508" s="16" t="n">
        <v>2</v>
      </c>
      <c r="F508" s="16">
        <f>D508*E508</f>
        <v/>
      </c>
    </row>
    <row r="509">
      <c r="A509" s="13" t="inlineStr">
        <is>
          <t>0124</t>
        </is>
      </c>
      <c r="B509" s="14" t="inlineStr">
        <is>
          <t>Mason (brick layer) 2nd class</t>
        </is>
      </c>
      <c r="C509" s="13" t="inlineStr">
        <is>
          <t>day</t>
        </is>
      </c>
      <c r="D509" s="15" t="n">
        <v>1.3</v>
      </c>
      <c r="E509" s="16" t="n">
        <v>679</v>
      </c>
      <c r="F509" s="16">
        <f>D509*E509</f>
        <v/>
      </c>
    </row>
    <row r="510">
      <c r="A510" s="13" t="inlineStr">
        <is>
          <t>0114</t>
        </is>
      </c>
      <c r="B510" s="14" t="inlineStr">
        <is>
          <t>Beldar</t>
        </is>
      </c>
      <c r="C510" s="13" t="inlineStr">
        <is>
          <t>day</t>
        </is>
      </c>
      <c r="D510" s="15" t="n">
        <v>3.75</v>
      </c>
      <c r="E510" s="16" t="n">
        <v>558</v>
      </c>
      <c r="F510" s="16">
        <f>D510*E510</f>
        <v/>
      </c>
    </row>
    <row r="511">
      <c r="A511" s="13" t="inlineStr">
        <is>
          <t>0101</t>
        </is>
      </c>
      <c r="B511" s="14" t="inlineStr">
        <is>
          <t>Bhisti</t>
        </is>
      </c>
      <c r="C511" s="13" t="inlineStr">
        <is>
          <t>day</t>
        </is>
      </c>
      <c r="D511" s="15" t="n">
        <v>1.1</v>
      </c>
      <c r="E511" s="16" t="n">
        <v>617</v>
      </c>
      <c r="F511" s="16">
        <f>D511*E511</f>
        <v/>
      </c>
    </row>
    <row r="512">
      <c r="A512" s="17" t="inlineStr">
        <is>
          <t>Resource Total (Material + Labour + Machinery, as printed)</t>
        </is>
      </c>
      <c r="B512" s="18" t="n"/>
      <c r="C512" s="18" t="n"/>
      <c r="D512" s="18" t="n"/>
      <c r="E512" s="18" t="n"/>
      <c r="F512" s="19">
        <f>SUM(F498:F511)</f>
        <v/>
      </c>
    </row>
    <row r="513">
      <c r="A513" s="20" t="inlineStr">
        <is>
          <t>SAY (Rs.) — final DAR rate</t>
        </is>
      </c>
      <c r="B513" s="21" t="n"/>
      <c r="C513" s="21" t="n"/>
      <c r="D513" s="21" t="n"/>
      <c r="E513" s="21" t="n"/>
      <c r="F513" s="22" t="n">
        <v>847.1</v>
      </c>
    </row>
    <row r="515" ht="18" customHeight="1">
      <c r="A515" s="9" t="inlineStr">
        <is>
          <t>12.18</t>
        </is>
      </c>
      <c r="B515" s="10" t="inlineStr">
        <is>
          <t>Extra for every additional 1 cm thickness of mud phaska.</t>
        </is>
      </c>
      <c r="C515" s="11" t="n"/>
      <c r="D515" s="11" t="n"/>
      <c r="E515" s="11" t="n"/>
      <c r="F515" s="11" t="n"/>
    </row>
    <row r="516">
      <c r="A516" s="12" t="inlineStr">
        <is>
          <t>Rate basis: per sqm  (source: cost for 10 sqm)</t>
        </is>
      </c>
    </row>
    <row r="517">
      <c r="A517" s="5" t="inlineStr">
        <is>
          <t>Code</t>
        </is>
      </c>
      <c r="B517" s="5" t="inlineStr">
        <is>
          <t>Description</t>
        </is>
      </c>
      <c r="C517" s="5" t="inlineStr">
        <is>
          <t>Unit</t>
        </is>
      </c>
      <c r="D517" s="5" t="inlineStr">
        <is>
          <t>Quantity</t>
        </is>
      </c>
      <c r="E517" s="5" t="inlineStr">
        <is>
          <t>Rate (Rs.)</t>
        </is>
      </c>
      <c r="F517" s="5" t="inlineStr">
        <is>
          <t>Amount (Rs.)</t>
        </is>
      </c>
    </row>
    <row r="518">
      <c r="A518" s="13" t="inlineStr">
        <is>
          <t>0811</t>
        </is>
      </c>
      <c r="B518" s="14" t="inlineStr">
        <is>
          <t>Mud (dry)</t>
        </is>
      </c>
      <c r="C518" s="13" t="inlineStr">
        <is>
          <t>cum</t>
        </is>
      </c>
      <c r="D518" s="15" t="n">
        <v>0.13</v>
      </c>
      <c r="E518" s="16" t="n">
        <v>165</v>
      </c>
      <c r="F518" s="16">
        <f>D518*E518</f>
        <v/>
      </c>
    </row>
    <row r="519">
      <c r="A519" s="13" t="inlineStr">
        <is>
          <t>0114</t>
        </is>
      </c>
      <c r="B519" s="14" t="inlineStr">
        <is>
          <t>Beldar</t>
        </is>
      </c>
      <c r="C519" s="13" t="inlineStr">
        <is>
          <t>day</t>
        </is>
      </c>
      <c r="D519" s="15" t="n">
        <v>0.07000000000000001</v>
      </c>
      <c r="E519" s="16" t="n">
        <v>558</v>
      </c>
      <c r="F519" s="16">
        <f>D519*E519</f>
        <v/>
      </c>
    </row>
    <row r="520">
      <c r="A520" s="13" t="inlineStr">
        <is>
          <t>0101</t>
        </is>
      </c>
      <c r="B520" s="14" t="inlineStr">
        <is>
          <t>Bhisti</t>
        </is>
      </c>
      <c r="C520" s="13" t="inlineStr">
        <is>
          <t>day</t>
        </is>
      </c>
      <c r="D520" s="15" t="n">
        <v>0.04</v>
      </c>
      <c r="E520" s="16" t="n">
        <v>617</v>
      </c>
      <c r="F520" s="16">
        <f>D520*E520</f>
        <v/>
      </c>
    </row>
    <row r="521">
      <c r="A521" s="13" t="inlineStr">
        <is>
          <t>9999</t>
        </is>
      </c>
      <c r="B521" s="14" t="inlineStr">
        <is>
          <t>Labour for leaping and carring to roof</t>
        </is>
      </c>
      <c r="C521" s="13" t="inlineStr">
        <is>
          <t>L.S.</t>
        </is>
      </c>
      <c r="D521" s="15" t="n">
        <v>26.91</v>
      </c>
      <c r="E521" s="16" t="n">
        <v>2</v>
      </c>
      <c r="F521" s="16">
        <f>D521*E521</f>
        <v/>
      </c>
    </row>
    <row r="522">
      <c r="A522" s="17" t="inlineStr">
        <is>
          <t>Resource Total (Material + Labour + Machinery, as printed)</t>
        </is>
      </c>
      <c r="B522" s="18" t="n"/>
      <c r="C522" s="18" t="n"/>
      <c r="D522" s="18" t="n"/>
      <c r="E522" s="18" t="n"/>
      <c r="F522" s="19">
        <f>SUM(F518:F521)</f>
        <v/>
      </c>
    </row>
    <row r="523">
      <c r="A523" s="20" t="inlineStr">
        <is>
          <t>SAY (Rs.) — final DAR rate</t>
        </is>
      </c>
      <c r="B523" s="21" t="n"/>
      <c r="C523" s="21" t="n"/>
      <c r="D523" s="21" t="n"/>
      <c r="E523" s="21" t="n"/>
      <c r="F523" s="22" t="n">
        <v>18.6</v>
      </c>
    </row>
    <row r="525" ht="18" customHeight="1">
      <c r="A525" s="9" t="inlineStr">
        <is>
          <t>12.19.1</t>
        </is>
      </c>
      <c r="B525" s="10" t="inlineStr">
        <is>
          <t>With common burnt clay F.P.S. (non modular) brick tiles of class designation 10</t>
        </is>
      </c>
      <c r="C525" s="11" t="n"/>
      <c r="D525" s="11" t="n"/>
      <c r="E525" s="11" t="n"/>
      <c r="F525" s="11" t="n"/>
    </row>
    <row r="526">
      <c r="A526" s="12" t="inlineStr">
        <is>
          <t>Rate basis: per sqm  (source: cost for 10 sqm)</t>
        </is>
      </c>
    </row>
    <row r="527">
      <c r="A527" s="5" t="inlineStr">
        <is>
          <t>Code</t>
        </is>
      </c>
      <c r="B527" s="5" t="inlineStr">
        <is>
          <t>Description</t>
        </is>
      </c>
      <c r="C527" s="5" t="inlineStr">
        <is>
          <t>Unit</t>
        </is>
      </c>
      <c r="D527" s="5" t="inlineStr">
        <is>
          <t>Quantity</t>
        </is>
      </c>
      <c r="E527" s="5" t="inlineStr">
        <is>
          <t>Rate (Rs.)</t>
        </is>
      </c>
      <c r="F527" s="5" t="inlineStr">
        <is>
          <t>Amount (Rs.)</t>
        </is>
      </c>
    </row>
    <row r="528">
      <c r="A528" s="13" t="inlineStr">
        <is>
          <t>3.3</t>
        </is>
      </c>
      <c r="B528" s="14" t="inlineStr">
        <is>
          <t>Rate as per SH: 3.3</t>
        </is>
      </c>
      <c r="C528" s="13" t="inlineStr">
        <is>
          <t>cum</t>
        </is>
      </c>
      <c r="D528" s="15" t="n">
        <v>0.179</v>
      </c>
      <c r="E528" s="16" t="n">
        <v>4183.05</v>
      </c>
      <c r="F528" s="16">
        <f>D528*E528</f>
        <v/>
      </c>
    </row>
    <row r="529">
      <c r="A529" s="13" t="inlineStr">
        <is>
          <t>1984</t>
        </is>
      </c>
      <c r="B529" s="14" t="inlineStr">
        <is>
          <t>Common burnt clay F.P.S. (non modular) bricks tile class designation 10</t>
        </is>
      </c>
      <c r="C529" s="13" t="inlineStr">
        <is>
          <t>1000 Nos</t>
        </is>
      </c>
      <c r="D529" s="15" t="n">
        <v>0.38</v>
      </c>
      <c r="E529" s="16" t="n">
        <v>4500</v>
      </c>
      <c r="F529" s="16">
        <f>D529*E529</f>
        <v/>
      </c>
    </row>
    <row r="530">
      <c r="A530" s="13" t="inlineStr">
        <is>
          <t>2207</t>
        </is>
      </c>
      <c r="B530" s="14" t="inlineStr">
        <is>
          <t>Carriage of Brick tiles</t>
        </is>
      </c>
      <c r="C530" s="13" t="inlineStr">
        <is>
          <t>1000 Nos</t>
        </is>
      </c>
      <c r="D530" s="15" t="n">
        <v>0.38</v>
      </c>
      <c r="E530" s="16" t="n">
        <v>166.03</v>
      </c>
      <c r="F530" s="16">
        <f>D530*E530</f>
        <v/>
      </c>
    </row>
    <row r="531">
      <c r="A531" s="13" t="inlineStr">
        <is>
          <t>1213</t>
        </is>
      </c>
      <c r="B531" s="14" t="inlineStr">
        <is>
          <t>Water proofing materials</t>
        </is>
      </c>
      <c r="C531" s="13" t="inlineStr">
        <is>
          <t>kilogram</t>
        </is>
      </c>
      <c r="D531" s="15" t="n">
        <v>0.005</v>
      </c>
      <c r="E531" s="16" t="n">
        <v>35</v>
      </c>
      <c r="F531" s="16">
        <f>D531*E531</f>
        <v/>
      </c>
    </row>
    <row r="532">
      <c r="A532" s="13" t="inlineStr">
        <is>
          <t>0124</t>
        </is>
      </c>
      <c r="B532" s="14" t="inlineStr">
        <is>
          <t>Mason (brick layer) 2nd class</t>
        </is>
      </c>
      <c r="C532" s="13" t="inlineStr">
        <is>
          <t>day</t>
        </is>
      </c>
      <c r="D532" s="15" t="n">
        <v>0.8100000000000001</v>
      </c>
      <c r="E532" s="16" t="n">
        <v>679</v>
      </c>
      <c r="F532" s="16">
        <f>D532*E532</f>
        <v/>
      </c>
    </row>
    <row r="533">
      <c r="A533" s="13" t="inlineStr">
        <is>
          <t>0115</t>
        </is>
      </c>
      <c r="B533" s="14" t="inlineStr">
        <is>
          <t>Coolie</t>
        </is>
      </c>
      <c r="C533" s="13" t="inlineStr">
        <is>
          <t>day</t>
        </is>
      </c>
      <c r="D533" s="15" t="n">
        <v>1.08</v>
      </c>
      <c r="E533" s="16" t="n">
        <v>558</v>
      </c>
      <c r="F533" s="16">
        <f>D533*E533</f>
        <v/>
      </c>
    </row>
    <row r="534">
      <c r="A534" s="13" t="inlineStr">
        <is>
          <t>0101</t>
        </is>
      </c>
      <c r="B534" s="14" t="inlineStr">
        <is>
          <t>Bhisti</t>
        </is>
      </c>
      <c r="C534" s="13" t="inlineStr">
        <is>
          <t>day</t>
        </is>
      </c>
      <c r="D534" s="15" t="n">
        <v>0.27</v>
      </c>
      <c r="E534" s="16" t="n">
        <v>617</v>
      </c>
      <c r="F534" s="16">
        <f>D534*E534</f>
        <v/>
      </c>
    </row>
    <row r="535">
      <c r="A535" s="13" t="inlineStr">
        <is>
          <t>9999</t>
        </is>
      </c>
      <c r="B535" s="14" t="inlineStr">
        <is>
          <t>Sundries</t>
        </is>
      </c>
      <c r="C535" s="13" t="inlineStr">
        <is>
          <t>L.S.</t>
        </is>
      </c>
      <c r="D535" s="15" t="n">
        <v>1.82</v>
      </c>
      <c r="E535" s="16" t="n">
        <v>2</v>
      </c>
      <c r="F535" s="16">
        <f>D535*E535</f>
        <v/>
      </c>
    </row>
    <row r="536">
      <c r="A536" s="17" t="inlineStr">
        <is>
          <t>Resource Total (Material + Labour + Machinery, as printed)</t>
        </is>
      </c>
      <c r="B536" s="18" t="n"/>
      <c r="C536" s="18" t="n"/>
      <c r="D536" s="18" t="n"/>
      <c r="E536" s="18" t="n"/>
      <c r="F536" s="19">
        <f>SUM(F528:F535)</f>
        <v/>
      </c>
    </row>
    <row r="537">
      <c r="A537" s="20" t="inlineStr">
        <is>
          <t>SAY (Rs.) — final DAR rate</t>
        </is>
      </c>
      <c r="B537" s="21" t="n"/>
      <c r="C537" s="21" t="n"/>
      <c r="D537" s="21" t="n"/>
      <c r="E537" s="21" t="n"/>
      <c r="F537" s="22" t="n">
        <v>514.4</v>
      </c>
    </row>
    <row r="539" ht="28" customHeight="1">
      <c r="A539" s="9" t="inlineStr">
        <is>
          <t>12.20</t>
        </is>
      </c>
      <c r="B539" s="10" t="inlineStr">
        <is>
          <t>Providing and laying pressed clay tiles (as per approved pattern 20 mm nominal thickness of approved size) on roofs jointed with cement mort</t>
        </is>
      </c>
      <c r="C539" s="11" t="n"/>
      <c r="D539" s="11" t="n"/>
      <c r="E539" s="11" t="n"/>
      <c r="F539" s="11" t="n"/>
    </row>
    <row r="540">
      <c r="A540" s="12" t="inlineStr">
        <is>
          <t>Rate basis: per sqm  (source: cost for 10 sqm)</t>
        </is>
      </c>
    </row>
    <row r="541">
      <c r="A541" s="5" t="inlineStr">
        <is>
          <t>Code</t>
        </is>
      </c>
      <c r="B541" s="5" t="inlineStr">
        <is>
          <t>Description</t>
        </is>
      </c>
      <c r="C541" s="5" t="inlineStr">
        <is>
          <t>Unit</t>
        </is>
      </c>
      <c r="D541" s="5" t="inlineStr">
        <is>
          <t>Quantity</t>
        </is>
      </c>
      <c r="E541" s="5" t="inlineStr">
        <is>
          <t>Rate (Rs.)</t>
        </is>
      </c>
      <c r="F541" s="5" t="inlineStr">
        <is>
          <t>Amount (Rs.)</t>
        </is>
      </c>
    </row>
    <row r="542">
      <c r="A542" s="13" t="inlineStr">
        <is>
          <t>3.9</t>
        </is>
      </c>
      <c r="B542" s="14" t="inlineStr">
        <is>
          <t>Rate as per SH: 3.9</t>
        </is>
      </c>
      <c r="C542" s="13" t="inlineStr">
        <is>
          <t>cum</t>
        </is>
      </c>
      <c r="D542" s="15" t="n">
        <v>0.037</v>
      </c>
      <c r="E542" s="16" t="n">
        <v>4010.35</v>
      </c>
      <c r="F542" s="16">
        <f>D542*E542</f>
        <v/>
      </c>
    </row>
    <row r="543">
      <c r="A543" s="13" t="inlineStr">
        <is>
          <t>3.9</t>
        </is>
      </c>
      <c r="B543" s="14" t="inlineStr">
        <is>
          <t>Rate as per SH: 3.9</t>
        </is>
      </c>
      <c r="C543" s="13" t="inlineStr">
        <is>
          <t>cum</t>
        </is>
      </c>
      <c r="D543" s="15" t="n">
        <v>0.224</v>
      </c>
      <c r="E543" s="16" t="n">
        <v>4010.35</v>
      </c>
      <c r="F543" s="16">
        <f>D543*E543</f>
        <v/>
      </c>
    </row>
    <row r="544">
      <c r="A544" s="13" t="inlineStr">
        <is>
          <t>7266</t>
        </is>
      </c>
      <c r="B544" s="14" t="inlineStr">
        <is>
          <t>Pressed clay tiles 20 mm thick 250 x 250 mm size</t>
        </is>
      </c>
      <c r="C544" s="13" t="inlineStr">
        <is>
          <t>1000 Nos</t>
        </is>
      </c>
      <c r="D544" s="15" t="n">
        <v>0.16</v>
      </c>
      <c r="E544" s="16" t="n">
        <v>8600</v>
      </c>
      <c r="F544" s="16">
        <f>D544*E544</f>
        <v/>
      </c>
    </row>
    <row r="545">
      <c r="A545" s="13" t="inlineStr">
        <is>
          <t>2207</t>
        </is>
      </c>
      <c r="B545" s="14" t="inlineStr">
        <is>
          <t>Carriage of Brick tiles</t>
        </is>
      </c>
      <c r="C545" s="13" t="inlineStr">
        <is>
          <t>1000 Nos</t>
        </is>
      </c>
      <c r="D545" s="15" t="n">
        <v>0.16</v>
      </c>
      <c r="E545" s="16" t="n">
        <v>166.03</v>
      </c>
      <c r="F545" s="16">
        <f>D545*E545</f>
        <v/>
      </c>
    </row>
    <row r="546">
      <c r="A546" s="13" t="inlineStr">
        <is>
          <t>1213</t>
        </is>
      </c>
      <c r="B546" s="14" t="inlineStr">
        <is>
          <t>Water proofing materials</t>
        </is>
      </c>
      <c r="C546" s="13" t="inlineStr">
        <is>
          <t>kilogram</t>
        </is>
      </c>
      <c r="D546" s="15" t="n">
        <v>0.01</v>
      </c>
      <c r="E546" s="16" t="n">
        <v>35</v>
      </c>
      <c r="F546" s="16">
        <f>D546*E546</f>
        <v/>
      </c>
    </row>
    <row r="547">
      <c r="A547" s="13" t="inlineStr">
        <is>
          <t>0123</t>
        </is>
      </c>
      <c r="B547" s="14" t="inlineStr">
        <is>
          <t>Mason (brick layer) 1st class</t>
        </is>
      </c>
      <c r="C547" s="13" t="inlineStr">
        <is>
          <t>day</t>
        </is>
      </c>
      <c r="D547" s="15" t="n">
        <v>0.6</v>
      </c>
      <c r="E547" s="16" t="n">
        <v>738</v>
      </c>
      <c r="F547" s="16">
        <f>D547*E547</f>
        <v/>
      </c>
    </row>
    <row r="548">
      <c r="A548" s="13" t="inlineStr">
        <is>
          <t>0114</t>
        </is>
      </c>
      <c r="B548" s="14" t="inlineStr">
        <is>
          <t>Beldar</t>
        </is>
      </c>
      <c r="C548" s="13" t="inlineStr">
        <is>
          <t>day</t>
        </is>
      </c>
      <c r="D548" s="15" t="n">
        <v>2.6</v>
      </c>
      <c r="E548" s="16" t="n">
        <v>558</v>
      </c>
      <c r="F548" s="16">
        <f>D548*E548</f>
        <v/>
      </c>
    </row>
    <row r="549">
      <c r="A549" s="13" t="inlineStr">
        <is>
          <t>9999</t>
        </is>
      </c>
      <c r="B549" s="14" t="inlineStr">
        <is>
          <t>Sundries</t>
        </is>
      </c>
      <c r="C549" s="13" t="inlineStr">
        <is>
          <t>L.S.</t>
        </is>
      </c>
      <c r="D549" s="15" t="n">
        <v>13</v>
      </c>
      <c r="E549" s="16" t="n">
        <v>2</v>
      </c>
      <c r="F549" s="16">
        <f>D549*E549</f>
        <v/>
      </c>
    </row>
    <row r="550">
      <c r="A550" s="17" t="inlineStr">
        <is>
          <t>Resource Total (Material + Labour + Machinery, as printed)</t>
        </is>
      </c>
      <c r="B550" s="18" t="n"/>
      <c r="C550" s="18" t="n"/>
      <c r="D550" s="18" t="n"/>
      <c r="E550" s="18" t="n"/>
      <c r="F550" s="19">
        <f>SUM(F542:F549)</f>
        <v/>
      </c>
    </row>
    <row r="551">
      <c r="A551" s="20" t="inlineStr">
        <is>
          <t>SAY (Rs.) — final DAR rate</t>
        </is>
      </c>
      <c r="B551" s="21" t="n"/>
      <c r="C551" s="21" t="n"/>
      <c r="D551" s="21" t="n"/>
      <c r="E551" s="21" t="n"/>
      <c r="F551" s="22" t="n">
        <v>584.55</v>
      </c>
    </row>
    <row r="553" ht="18" customHeight="1">
      <c r="A553" s="9" t="inlineStr">
        <is>
          <t>12.21.1</t>
        </is>
      </c>
      <c r="B553" s="10" t="inlineStr">
        <is>
          <t>In 75x75 mm deep chase</t>
        </is>
      </c>
      <c r="C553" s="11" t="n"/>
      <c r="D553" s="11" t="n"/>
      <c r="E553" s="11" t="n"/>
      <c r="F553" s="11" t="n"/>
    </row>
    <row r="554">
      <c r="A554" s="12" t="inlineStr">
        <is>
          <t>Rate basis: per metres  (source: cost for 10 metres)</t>
        </is>
      </c>
    </row>
    <row r="555">
      <c r="A555" s="5" t="inlineStr">
        <is>
          <t>Code</t>
        </is>
      </c>
      <c r="B555" s="5" t="inlineStr">
        <is>
          <t>Description</t>
        </is>
      </c>
      <c r="C555" s="5" t="inlineStr">
        <is>
          <t>Unit</t>
        </is>
      </c>
      <c r="D555" s="5" t="inlineStr">
        <is>
          <t>Quantity</t>
        </is>
      </c>
      <c r="E555" s="5" t="inlineStr">
        <is>
          <t>Rate (Rs.)</t>
        </is>
      </c>
      <c r="F555" s="5" t="inlineStr">
        <is>
          <t>Amount (Rs.)</t>
        </is>
      </c>
    </row>
    <row r="556">
      <c r="A556" s="13" t="inlineStr">
        <is>
          <t>3.3</t>
        </is>
      </c>
      <c r="B556" s="14" t="inlineStr">
        <is>
          <t>Rate as per SH: 3.3</t>
        </is>
      </c>
      <c r="C556" s="13" t="inlineStr">
        <is>
          <t>cum</t>
        </is>
      </c>
      <c r="D556" s="15" t="n">
        <v>0.008999999999999999</v>
      </c>
      <c r="E556" s="16" t="n">
        <v>4183.05</v>
      </c>
      <c r="F556" s="16">
        <f>D556*E556</f>
        <v/>
      </c>
    </row>
    <row r="557">
      <c r="A557" s="13" t="inlineStr">
        <is>
          <t>0297</t>
        </is>
      </c>
      <c r="B557" s="14" t="inlineStr">
        <is>
          <t>Stone Aggregate (Single size) : 10 mm nominal size</t>
        </is>
      </c>
      <c r="C557" s="13" t="inlineStr">
        <is>
          <t>cum</t>
        </is>
      </c>
      <c r="D557" s="15" t="n">
        <v>0.08359999999999999</v>
      </c>
      <c r="E557" s="16" t="n">
        <v>1350</v>
      </c>
      <c r="F557" s="16">
        <f>D557*E557</f>
        <v/>
      </c>
    </row>
    <row r="558">
      <c r="A558" s="13" t="inlineStr">
        <is>
          <t>2202</t>
        </is>
      </c>
      <c r="B558" s="14" t="inlineStr">
        <is>
          <t>Carriage of Stone aggregate below 40 mm nominal size</t>
        </is>
      </c>
      <c r="C558" s="13" t="inlineStr">
        <is>
          <t>cum</t>
        </is>
      </c>
      <c r="D558" s="15" t="n">
        <v>0.08359999999999999</v>
      </c>
      <c r="E558" s="16" t="n">
        <v>103.77</v>
      </c>
      <c r="F558" s="16">
        <f>D558*E558</f>
        <v/>
      </c>
    </row>
    <row r="559">
      <c r="A559" s="13" t="inlineStr">
        <is>
          <t>0982</t>
        </is>
      </c>
      <c r="B559" s="14" t="inlineStr">
        <is>
          <t>Coarse sand (zone III)</t>
        </is>
      </c>
      <c r="C559" s="13" t="inlineStr">
        <is>
          <t>cum</t>
        </is>
      </c>
      <c r="D559" s="15" t="n">
        <v>0.0418</v>
      </c>
      <c r="E559" s="16" t="n">
        <v>1350</v>
      </c>
      <c r="F559" s="16">
        <f>D559*E559</f>
        <v/>
      </c>
    </row>
    <row r="560">
      <c r="A560" s="13" t="inlineStr">
        <is>
          <t>2203</t>
        </is>
      </c>
      <c r="B560" s="14" t="inlineStr">
        <is>
          <t>Carriage of Coarse sand</t>
        </is>
      </c>
      <c r="C560" s="13" t="inlineStr">
        <is>
          <t>cum</t>
        </is>
      </c>
      <c r="D560" s="15" t="n">
        <v>0.0418</v>
      </c>
      <c r="E560" s="16" t="n">
        <v>103.77</v>
      </c>
      <c r="F560" s="16">
        <f>D560*E560</f>
        <v/>
      </c>
    </row>
    <row r="561">
      <c r="A561" s="13" t="inlineStr">
        <is>
          <t>0367</t>
        </is>
      </c>
      <c r="B561" s="14" t="inlineStr">
        <is>
          <t>Portland Cement (OPC-43 grade)</t>
        </is>
      </c>
      <c r="C561" s="13" t="inlineStr">
        <is>
          <t>tonne</t>
        </is>
      </c>
      <c r="D561" s="15" t="n">
        <v>0.03</v>
      </c>
      <c r="E561" s="16" t="n">
        <v>4940</v>
      </c>
      <c r="F561" s="16">
        <f>D561*E561</f>
        <v/>
      </c>
    </row>
    <row r="562">
      <c r="A562" s="13" t="inlineStr">
        <is>
          <t>2209</t>
        </is>
      </c>
      <c r="B562" s="14" t="inlineStr">
        <is>
          <t>Carriage of Cement</t>
        </is>
      </c>
      <c r="C562" s="13" t="inlineStr">
        <is>
          <t>tonne</t>
        </is>
      </c>
      <c r="D562" s="15" t="n">
        <v>0.03</v>
      </c>
      <c r="E562" s="16" t="n">
        <v>92.23999999999999</v>
      </c>
      <c r="F562" s="16">
        <f>D562*E562</f>
        <v/>
      </c>
    </row>
    <row r="563">
      <c r="A563" s="13" t="inlineStr">
        <is>
          <t>0114</t>
        </is>
      </c>
      <c r="B563" s="14" t="inlineStr">
        <is>
          <t>Beldar</t>
        </is>
      </c>
      <c r="C563" s="13" t="inlineStr">
        <is>
          <t>day</t>
        </is>
      </c>
      <c r="D563" s="15" t="n">
        <v>0.08500000000000001</v>
      </c>
      <c r="E563" s="16" t="n">
        <v>558</v>
      </c>
      <c r="F563" s="16">
        <f>D563*E563</f>
        <v/>
      </c>
    </row>
    <row r="564">
      <c r="A564" s="13" t="inlineStr">
        <is>
          <t>0115</t>
        </is>
      </c>
      <c r="B564" s="14" t="inlineStr">
        <is>
          <t>Coolie</t>
        </is>
      </c>
      <c r="C564" s="13" t="inlineStr">
        <is>
          <t>day</t>
        </is>
      </c>
      <c r="D564" s="15" t="n">
        <v>0.056</v>
      </c>
      <c r="E564" s="16" t="n">
        <v>558</v>
      </c>
      <c r="F564" s="16">
        <f>D564*E564</f>
        <v/>
      </c>
    </row>
    <row r="565">
      <c r="A565" s="13" t="inlineStr">
        <is>
          <t>0101</t>
        </is>
      </c>
      <c r="B565" s="14" t="inlineStr">
        <is>
          <t>Bhisti</t>
        </is>
      </c>
      <c r="C565" s="13" t="inlineStr">
        <is>
          <t>day</t>
        </is>
      </c>
      <c r="D565" s="15" t="n">
        <v>0.025</v>
      </c>
      <c r="E565" s="16" t="n">
        <v>617</v>
      </c>
      <c r="F565" s="16">
        <f>D565*E565</f>
        <v/>
      </c>
    </row>
    <row r="566">
      <c r="A566" s="13" t="inlineStr">
        <is>
          <t>0123</t>
        </is>
      </c>
      <c r="B566" s="14" t="inlineStr">
        <is>
          <t>Mason (brick layer) 1st class</t>
        </is>
      </c>
      <c r="C566" s="13" t="inlineStr">
        <is>
          <t>day</t>
        </is>
      </c>
      <c r="D566" s="15" t="n">
        <v>0.005</v>
      </c>
      <c r="E566" s="16" t="n">
        <v>738</v>
      </c>
      <c r="F566" s="16">
        <f>D566*E566</f>
        <v/>
      </c>
    </row>
    <row r="567">
      <c r="A567" s="13" t="inlineStr">
        <is>
          <t>0124</t>
        </is>
      </c>
      <c r="B567" s="14" t="inlineStr">
        <is>
          <t>Mason (brick layer) 2nd class</t>
        </is>
      </c>
      <c r="C567" s="13" t="inlineStr">
        <is>
          <t>day</t>
        </is>
      </c>
      <c r="D567" s="15" t="n">
        <v>0.005</v>
      </c>
      <c r="E567" s="16" t="n">
        <v>679</v>
      </c>
      <c r="F567" s="16">
        <f>D567*E567</f>
        <v/>
      </c>
    </row>
    <row r="568">
      <c r="A568" s="13" t="inlineStr">
        <is>
          <t>0128</t>
        </is>
      </c>
      <c r="B568" s="14" t="inlineStr">
        <is>
          <t>Mate</t>
        </is>
      </c>
      <c r="C568" s="13" t="inlineStr">
        <is>
          <t>day</t>
        </is>
      </c>
      <c r="D568" s="15" t="n">
        <v>0.0037</v>
      </c>
      <c r="E568" s="16" t="n">
        <v>617</v>
      </c>
      <c r="F568" s="16">
        <f>D568*E568</f>
        <v/>
      </c>
    </row>
    <row r="569">
      <c r="A569" s="13" t="inlineStr">
        <is>
          <t>9999</t>
        </is>
      </c>
      <c r="B569" s="14" t="inlineStr">
        <is>
          <t>Hire and running charge of mechanical mixer</t>
        </is>
      </c>
      <c r="C569" s="13" t="inlineStr">
        <is>
          <t>L.S.</t>
        </is>
      </c>
      <c r="D569" s="15" t="n">
        <v>2.47</v>
      </c>
      <c r="E569" s="16" t="n">
        <v>2</v>
      </c>
      <c r="F569" s="16">
        <f>D569*E569</f>
        <v/>
      </c>
    </row>
    <row r="570">
      <c r="A570" s="13" t="inlineStr">
        <is>
          <t>9999</t>
        </is>
      </c>
      <c r="B570" s="14" t="inlineStr">
        <is>
          <t>Sundries</t>
        </is>
      </c>
      <c r="C570" s="13" t="inlineStr">
        <is>
          <t>L.S.</t>
        </is>
      </c>
      <c r="D570" s="15" t="n">
        <v>1.3</v>
      </c>
      <c r="E570" s="16" t="n">
        <v>2</v>
      </c>
      <c r="F570" s="16">
        <f>D570*E570</f>
        <v/>
      </c>
    </row>
    <row r="571">
      <c r="A571" s="13" t="inlineStr">
        <is>
          <t>0123</t>
        </is>
      </c>
      <c r="B571" s="14" t="inlineStr">
        <is>
          <t>Mason (brick layer) 1st class</t>
        </is>
      </c>
      <c r="C571" s="13" t="inlineStr">
        <is>
          <t>day</t>
        </is>
      </c>
      <c r="D571" s="15" t="n">
        <v>0.15</v>
      </c>
      <c r="E571" s="16" t="n">
        <v>738</v>
      </c>
      <c r="F571" s="16">
        <f>D571*E571</f>
        <v/>
      </c>
    </row>
    <row r="572">
      <c r="A572" s="13" t="inlineStr">
        <is>
          <t>0124</t>
        </is>
      </c>
      <c r="B572" s="14" t="inlineStr">
        <is>
          <t>Mason (brick layer) 2nd class</t>
        </is>
      </c>
      <c r="C572" s="13" t="inlineStr">
        <is>
          <t>day</t>
        </is>
      </c>
      <c r="D572" s="15" t="n">
        <v>0.15</v>
      </c>
      <c r="E572" s="16" t="n">
        <v>679</v>
      </c>
      <c r="F572" s="16">
        <f>D572*E572</f>
        <v/>
      </c>
    </row>
    <row r="573">
      <c r="A573" s="13" t="inlineStr">
        <is>
          <t>9999</t>
        </is>
      </c>
      <c r="B573" s="14" t="inlineStr">
        <is>
          <t>Sundries</t>
        </is>
      </c>
      <c r="C573" s="13" t="inlineStr">
        <is>
          <t>L.S.</t>
        </is>
      </c>
      <c r="D573" s="15" t="n">
        <v>5.07</v>
      </c>
      <c r="E573" s="16" t="n">
        <v>2</v>
      </c>
      <c r="F573" s="16">
        <f>D573*E573</f>
        <v/>
      </c>
    </row>
    <row r="574">
      <c r="A574" s="13" t="inlineStr">
        <is>
          <t>0123</t>
        </is>
      </c>
      <c r="B574" s="14" t="inlineStr">
        <is>
          <t>Mason (brick layer) 1st class</t>
        </is>
      </c>
      <c r="C574" s="13" t="inlineStr">
        <is>
          <t>day</t>
        </is>
      </c>
      <c r="D574" s="15" t="n">
        <v>0.25</v>
      </c>
      <c r="E574" s="16" t="n">
        <v>738</v>
      </c>
      <c r="F574" s="16">
        <f>D574*E574</f>
        <v/>
      </c>
    </row>
    <row r="575">
      <c r="A575" s="13" t="inlineStr">
        <is>
          <t>0124</t>
        </is>
      </c>
      <c r="B575" s="14" t="inlineStr">
        <is>
          <t>Mason (brick layer) 2nd class</t>
        </is>
      </c>
      <c r="C575" s="13" t="inlineStr">
        <is>
          <t>day</t>
        </is>
      </c>
      <c r="D575" s="15" t="n">
        <v>0.25</v>
      </c>
      <c r="E575" s="16" t="n">
        <v>679</v>
      </c>
      <c r="F575" s="16">
        <f>D575*E575</f>
        <v/>
      </c>
    </row>
    <row r="576">
      <c r="A576" s="13" t="inlineStr">
        <is>
          <t>0114</t>
        </is>
      </c>
      <c r="B576" s="14" t="inlineStr">
        <is>
          <t>Beldar</t>
        </is>
      </c>
      <c r="C576" s="13" t="inlineStr">
        <is>
          <t>day</t>
        </is>
      </c>
      <c r="D576" s="15" t="n">
        <v>1</v>
      </c>
      <c r="E576" s="16" t="n">
        <v>558</v>
      </c>
      <c r="F576" s="16">
        <f>D576*E576</f>
        <v/>
      </c>
    </row>
    <row r="577">
      <c r="A577" s="13" t="inlineStr">
        <is>
          <t>9977</t>
        </is>
      </c>
      <c r="B577" s="14" t="inlineStr">
        <is>
          <t>Carriage</t>
        </is>
      </c>
      <c r="C577" s="13" t="inlineStr">
        <is>
          <t>L.S.</t>
        </is>
      </c>
      <c r="D577" s="15" t="n">
        <v>8.06</v>
      </c>
      <c r="E577" s="16" t="n">
        <v>2</v>
      </c>
      <c r="F577" s="16">
        <f>D577*E577</f>
        <v/>
      </c>
    </row>
    <row r="578">
      <c r="A578" s="13" t="inlineStr">
        <is>
          <t>0155</t>
        </is>
      </c>
      <c r="B578" s="14" t="inlineStr">
        <is>
          <t>Mason (average)</t>
        </is>
      </c>
      <c r="C578" s="13" t="inlineStr">
        <is>
          <t>day</t>
        </is>
      </c>
      <c r="D578" s="15" t="n">
        <v>0.081</v>
      </c>
      <c r="E578" s="16" t="n">
        <v>709</v>
      </c>
      <c r="F578" s="16">
        <f>D578*E578</f>
        <v/>
      </c>
    </row>
    <row r="579">
      <c r="A579" s="13" t="inlineStr">
        <is>
          <t>0115</t>
        </is>
      </c>
      <c r="B579" s="14" t="inlineStr">
        <is>
          <t>Coolie</t>
        </is>
      </c>
      <c r="C579" s="13" t="inlineStr">
        <is>
          <t>day</t>
        </is>
      </c>
      <c r="D579" s="15" t="n">
        <v>0.101</v>
      </c>
      <c r="E579" s="16" t="n">
        <v>558</v>
      </c>
      <c r="F579" s="16">
        <f>D579*E579</f>
        <v/>
      </c>
    </row>
    <row r="580">
      <c r="A580" s="13" t="inlineStr">
        <is>
          <t>0101</t>
        </is>
      </c>
      <c r="B580" s="14" t="inlineStr">
        <is>
          <t>Bhisti</t>
        </is>
      </c>
      <c r="C580" s="13" t="inlineStr">
        <is>
          <t>day</t>
        </is>
      </c>
      <c r="D580" s="15" t="n">
        <v>0.033</v>
      </c>
      <c r="E580" s="16" t="n">
        <v>617</v>
      </c>
      <c r="F580" s="16">
        <f>D580*E580</f>
        <v/>
      </c>
    </row>
    <row r="581">
      <c r="A581" s="13" t="inlineStr">
        <is>
          <t>9999</t>
        </is>
      </c>
      <c r="B581" s="14" t="inlineStr">
        <is>
          <t>Hire and running charges of mechanical mixer</t>
        </is>
      </c>
      <c r="C581" s="13" t="inlineStr">
        <is>
          <t>L.S.</t>
        </is>
      </c>
      <c r="D581" s="15" t="n">
        <v>1.69</v>
      </c>
      <c r="E581" s="16" t="n">
        <v>2</v>
      </c>
      <c r="F581" s="16">
        <f>D581*E581</f>
        <v/>
      </c>
    </row>
    <row r="582">
      <c r="A582" s="13" t="inlineStr">
        <is>
          <t>9999</t>
        </is>
      </c>
      <c r="B582" s="14" t="inlineStr">
        <is>
          <t>Sundries</t>
        </is>
      </c>
      <c r="C582" s="13" t="inlineStr">
        <is>
          <t>L.S.</t>
        </is>
      </c>
      <c r="D582" s="15" t="n">
        <v>1.43</v>
      </c>
      <c r="E582" s="16" t="n">
        <v>2</v>
      </c>
      <c r="F582" s="16">
        <f>D582*E582</f>
        <v/>
      </c>
    </row>
    <row r="583">
      <c r="A583" s="17" t="inlineStr">
        <is>
          <t>Resource Total (Material + Labour + Machinery, as printed)</t>
        </is>
      </c>
      <c r="B583" s="18" t="n"/>
      <c r="C583" s="18" t="n"/>
      <c r="D583" s="18" t="n"/>
      <c r="E583" s="18" t="n"/>
      <c r="F583" s="19">
        <f>SUM(F556:F582)</f>
        <v/>
      </c>
    </row>
    <row r="584">
      <c r="A584" s="20" t="inlineStr">
        <is>
          <t>SAY (Rs.) — final DAR rate</t>
        </is>
      </c>
      <c r="B584" s="21" t="n"/>
      <c r="C584" s="21" t="n"/>
      <c r="D584" s="21" t="n"/>
      <c r="E584" s="21" t="n"/>
      <c r="F584" s="22" t="n">
        <v>237.25</v>
      </c>
    </row>
    <row r="586" ht="28" customHeight="1">
      <c r="A586" s="9" t="inlineStr">
        <is>
          <t>12.22</t>
        </is>
      </c>
      <c r="B586" s="10" t="inlineStr">
        <is>
          <t>Making khurras 45x45 cm with average minimum thickness of 5 cm cement concrete 1:2:4 (1 cement : 2 coarse sand : 4 graded stone aggregate of</t>
        </is>
      </c>
      <c r="C586" s="11" t="n"/>
      <c r="D586" s="11" t="n"/>
      <c r="E586" s="11" t="n"/>
      <c r="F586" s="11" t="n"/>
    </row>
    <row r="587">
      <c r="A587" s="12" t="inlineStr">
        <is>
          <t>Rate basis: per no  (source: cost for 1 no)</t>
        </is>
      </c>
    </row>
    <row r="588">
      <c r="A588" s="5" t="inlineStr">
        <is>
          <t>Code</t>
        </is>
      </c>
      <c r="B588" s="5" t="inlineStr">
        <is>
          <t>Description</t>
        </is>
      </c>
      <c r="C588" s="5" t="inlineStr">
        <is>
          <t>Unit</t>
        </is>
      </c>
      <c r="D588" s="5" t="inlineStr">
        <is>
          <t>Quantity</t>
        </is>
      </c>
      <c r="E588" s="5" t="inlineStr">
        <is>
          <t>Rate (Rs.)</t>
        </is>
      </c>
      <c r="F588" s="5" t="inlineStr">
        <is>
          <t>Amount (Rs.)</t>
        </is>
      </c>
    </row>
    <row r="589">
      <c r="A589" s="13" t="inlineStr">
        <is>
          <t>3.8</t>
        </is>
      </c>
      <c r="B589" s="14" t="inlineStr">
        <is>
          <t>Rate as per SH: 3.8</t>
        </is>
      </c>
      <c r="C589" s="13" t="inlineStr">
        <is>
          <t>cum</t>
        </is>
      </c>
      <c r="D589" s="15" t="n">
        <v>0.0041</v>
      </c>
      <c r="E589" s="16" t="n">
        <v>4664.55</v>
      </c>
      <c r="F589" s="16">
        <f>D589*E589</f>
        <v/>
      </c>
    </row>
    <row r="590">
      <c r="A590" s="13" t="inlineStr">
        <is>
          <t>0295</t>
        </is>
      </c>
      <c r="B590" s="14" t="inlineStr">
        <is>
          <t>Stone Aggregate (Single size) : 20 mm nominal size</t>
        </is>
      </c>
      <c r="C590" s="13" t="inlineStr">
        <is>
          <t>cum</t>
        </is>
      </c>
      <c r="D590" s="15" t="n">
        <v>0.0067</v>
      </c>
      <c r="E590" s="16" t="n">
        <v>1350</v>
      </c>
      <c r="F590" s="16">
        <f>D590*E590</f>
        <v/>
      </c>
    </row>
    <row r="591">
      <c r="A591" s="13" t="inlineStr">
        <is>
          <t>0297</t>
        </is>
      </c>
      <c r="B591" s="14" t="inlineStr">
        <is>
          <t>Stone Aggregate (Single size) : 10 mm nominal size</t>
        </is>
      </c>
      <c r="C591" s="13" t="inlineStr">
        <is>
          <t>cum</t>
        </is>
      </c>
      <c r="D591" s="15" t="n">
        <v>0.0022</v>
      </c>
      <c r="E591" s="16" t="n">
        <v>1350</v>
      </c>
      <c r="F591" s="16">
        <f>D591*E591</f>
        <v/>
      </c>
    </row>
    <row r="592">
      <c r="A592" s="13" t="inlineStr">
        <is>
          <t>2202</t>
        </is>
      </c>
      <c r="B592" s="14" t="inlineStr">
        <is>
          <t>Carriage of Stone aggregate below 40 mm nominal size</t>
        </is>
      </c>
      <c r="C592" s="13" t="inlineStr">
        <is>
          <t>cum</t>
        </is>
      </c>
      <c r="D592" s="15" t="n">
        <v>0.0089</v>
      </c>
      <c r="E592" s="16" t="n">
        <v>103.77</v>
      </c>
      <c r="F592" s="16">
        <f>D592*E592</f>
        <v/>
      </c>
    </row>
    <row r="593">
      <c r="A593" s="13" t="inlineStr">
        <is>
          <t>0982</t>
        </is>
      </c>
      <c r="B593" s="14" t="inlineStr">
        <is>
          <t>Coarse sand (zone III)</t>
        </is>
      </c>
      <c r="C593" s="13" t="inlineStr">
        <is>
          <t>cum</t>
        </is>
      </c>
      <c r="D593" s="15" t="n">
        <v>0.0044</v>
      </c>
      <c r="E593" s="16" t="n">
        <v>1350</v>
      </c>
      <c r="F593" s="16">
        <f>D593*E593</f>
        <v/>
      </c>
    </row>
    <row r="594">
      <c r="A594" s="13" t="inlineStr">
        <is>
          <t>2203</t>
        </is>
      </c>
      <c r="B594" s="14" t="inlineStr">
        <is>
          <t>Carriage of Coarse sand</t>
        </is>
      </c>
      <c r="C594" s="13" t="inlineStr">
        <is>
          <t>cum</t>
        </is>
      </c>
      <c r="D594" s="15" t="n">
        <v>0.0044</v>
      </c>
      <c r="E594" s="16" t="n">
        <v>103.77</v>
      </c>
      <c r="F594" s="16">
        <f>D594*E594</f>
        <v/>
      </c>
    </row>
    <row r="595">
      <c r="A595" s="13" t="inlineStr">
        <is>
          <t>0367</t>
        </is>
      </c>
      <c r="B595" s="14" t="inlineStr">
        <is>
          <t>Portland Cement (OPC-43 grade)</t>
        </is>
      </c>
      <c r="C595" s="13" t="inlineStr">
        <is>
          <t>tonne</t>
        </is>
      </c>
      <c r="D595" s="15" t="n">
        <v>0.0032</v>
      </c>
      <c r="E595" s="16" t="n">
        <v>4940</v>
      </c>
      <c r="F595" s="16">
        <f>D595*E595</f>
        <v/>
      </c>
    </row>
    <row r="596">
      <c r="A596" s="13" t="inlineStr">
        <is>
          <t>2209</t>
        </is>
      </c>
      <c r="B596" s="14" t="inlineStr">
        <is>
          <t>Carriage of Cement</t>
        </is>
      </c>
      <c r="C596" s="13" t="inlineStr">
        <is>
          <t>tonne</t>
        </is>
      </c>
      <c r="D596" s="15" t="n">
        <v>0.0032</v>
      </c>
      <c r="E596" s="16" t="n">
        <v>92.23999999999999</v>
      </c>
      <c r="F596" s="16">
        <f>D596*E596</f>
        <v/>
      </c>
    </row>
    <row r="597">
      <c r="A597" s="13" t="inlineStr">
        <is>
          <t>0114</t>
        </is>
      </c>
      <c r="B597" s="14" t="inlineStr">
        <is>
          <t>Beldar</t>
        </is>
      </c>
      <c r="C597" s="13" t="inlineStr">
        <is>
          <t>day</t>
        </is>
      </c>
      <c r="D597" s="15" t="n">
        <v>0.008999999999999999</v>
      </c>
      <c r="E597" s="16" t="n">
        <v>558</v>
      </c>
      <c r="F597" s="16">
        <f>D597*E597</f>
        <v/>
      </c>
    </row>
    <row r="598">
      <c r="A598" s="13" t="inlineStr">
        <is>
          <t>0115</t>
        </is>
      </c>
      <c r="B598" s="14" t="inlineStr">
        <is>
          <t>Coolie</t>
        </is>
      </c>
      <c r="C598" s="13" t="inlineStr">
        <is>
          <t>day</t>
        </is>
      </c>
      <c r="D598" s="15" t="n">
        <v>0.006</v>
      </c>
      <c r="E598" s="16" t="n">
        <v>558</v>
      </c>
      <c r="F598" s="16">
        <f>D598*E598</f>
        <v/>
      </c>
    </row>
    <row r="599">
      <c r="A599" s="13" t="inlineStr">
        <is>
          <t>0101</t>
        </is>
      </c>
      <c r="B599" s="14" t="inlineStr">
        <is>
          <t>Bhisti</t>
        </is>
      </c>
      <c r="C599" s="13" t="inlineStr">
        <is>
          <t>day</t>
        </is>
      </c>
      <c r="D599" s="15" t="n">
        <v>0.0027</v>
      </c>
      <c r="E599" s="16" t="n">
        <v>617</v>
      </c>
      <c r="F599" s="16">
        <f>D599*E599</f>
        <v/>
      </c>
    </row>
    <row r="600">
      <c r="A600" s="13" t="inlineStr">
        <is>
          <t>0123</t>
        </is>
      </c>
      <c r="B600" s="14" t="inlineStr">
        <is>
          <t>Mason (brick layer) 1st class</t>
        </is>
      </c>
      <c r="C600" s="13" t="inlineStr">
        <is>
          <t>day</t>
        </is>
      </c>
      <c r="D600" s="15" t="n">
        <v>0.0005</v>
      </c>
      <c r="E600" s="16" t="n">
        <v>738</v>
      </c>
      <c r="F600" s="16">
        <f>D600*E600</f>
        <v/>
      </c>
    </row>
    <row r="601">
      <c r="A601" s="13" t="inlineStr">
        <is>
          <t>0124</t>
        </is>
      </c>
      <c r="B601" s="14" t="inlineStr">
        <is>
          <t>Mason (brick layer) 2nd class</t>
        </is>
      </c>
      <c r="C601" s="13" t="inlineStr">
        <is>
          <t>day</t>
        </is>
      </c>
      <c r="D601" s="15" t="n">
        <v>0.0005</v>
      </c>
      <c r="E601" s="16" t="n">
        <v>679</v>
      </c>
      <c r="F601" s="16">
        <f>D601*E601</f>
        <v/>
      </c>
    </row>
    <row r="602">
      <c r="A602" s="13" t="inlineStr">
        <is>
          <t>0128</t>
        </is>
      </c>
      <c r="B602" s="14" t="inlineStr">
        <is>
          <t>Mate</t>
        </is>
      </c>
      <c r="C602" s="13" t="inlineStr">
        <is>
          <t>day</t>
        </is>
      </c>
      <c r="D602" s="15" t="n">
        <v>0.0004</v>
      </c>
      <c r="E602" s="16" t="n">
        <v>617</v>
      </c>
      <c r="F602" s="16">
        <f>D602*E602</f>
        <v/>
      </c>
    </row>
    <row r="603">
      <c r="A603" s="13" t="inlineStr">
        <is>
          <t>9999</t>
        </is>
      </c>
      <c r="B603" s="14" t="inlineStr">
        <is>
          <t>Hire and running charge of mechanical mixer</t>
        </is>
      </c>
      <c r="C603" s="13" t="inlineStr">
        <is>
          <t>L.S.</t>
        </is>
      </c>
      <c r="D603" s="15" t="n">
        <v>0.26</v>
      </c>
      <c r="E603" s="16" t="n">
        <v>2</v>
      </c>
      <c r="F603" s="16">
        <f>D603*E603</f>
        <v/>
      </c>
    </row>
    <row r="604">
      <c r="A604" s="13" t="inlineStr">
        <is>
          <t>9999</t>
        </is>
      </c>
      <c r="B604" s="14" t="inlineStr">
        <is>
          <t>Sundries</t>
        </is>
      </c>
      <c r="C604" s="13" t="inlineStr">
        <is>
          <t>L.S.</t>
        </is>
      </c>
      <c r="D604" s="15" t="n">
        <v>0.13</v>
      </c>
      <c r="E604" s="16" t="n">
        <v>2</v>
      </c>
      <c r="F604" s="16">
        <f>D604*E604</f>
        <v/>
      </c>
    </row>
    <row r="605">
      <c r="A605" s="13" t="inlineStr">
        <is>
          <t>3002</t>
        </is>
      </c>
      <c r="B605" s="14" t="inlineStr">
        <is>
          <t>Polyvinyle chloride sheet 400 micron thick</t>
        </is>
      </c>
      <c r="C605" s="13" t="inlineStr">
        <is>
          <t>sqm</t>
        </is>
      </c>
      <c r="D605" s="15" t="n">
        <v>1</v>
      </c>
      <c r="E605" s="16" t="n">
        <v>40</v>
      </c>
      <c r="F605" s="16">
        <f>D605*E605</f>
        <v/>
      </c>
    </row>
    <row r="606">
      <c r="A606" s="13" t="inlineStr">
        <is>
          <t>0155</t>
        </is>
      </c>
      <c r="B606" s="14" t="inlineStr">
        <is>
          <t>Mason (average)</t>
        </is>
      </c>
      <c r="C606" s="13" t="inlineStr">
        <is>
          <t>day</t>
        </is>
      </c>
      <c r="D606" s="15" t="n">
        <v>0.0235</v>
      </c>
      <c r="E606" s="16" t="n">
        <v>709</v>
      </c>
      <c r="F606" s="16">
        <f>D606*E606</f>
        <v/>
      </c>
    </row>
    <row r="607">
      <c r="A607" s="13" t="inlineStr">
        <is>
          <t>0115</t>
        </is>
      </c>
      <c r="B607" s="14" t="inlineStr">
        <is>
          <t>Coolie</t>
        </is>
      </c>
      <c r="C607" s="13" t="inlineStr">
        <is>
          <t>day</t>
        </is>
      </c>
      <c r="D607" s="15" t="n">
        <v>0.0235</v>
      </c>
      <c r="E607" s="16" t="n">
        <v>558</v>
      </c>
      <c r="F607" s="16">
        <f>D607*E607</f>
        <v/>
      </c>
    </row>
    <row r="608">
      <c r="A608" s="13" t="inlineStr">
        <is>
          <t>0101</t>
        </is>
      </c>
      <c r="B608" s="14" t="inlineStr">
        <is>
          <t>Bhisti</t>
        </is>
      </c>
      <c r="C608" s="13" t="inlineStr">
        <is>
          <t>day</t>
        </is>
      </c>
      <c r="D608" s="15" t="n">
        <v>0.0078</v>
      </c>
      <c r="E608" s="16" t="n">
        <v>617</v>
      </c>
      <c r="F608" s="16">
        <f>D608*E608</f>
        <v/>
      </c>
    </row>
    <row r="609">
      <c r="A609" s="13" t="inlineStr">
        <is>
          <t>9999</t>
        </is>
      </c>
      <c r="B609" s="14" t="inlineStr">
        <is>
          <t>Sundries</t>
        </is>
      </c>
      <c r="C609" s="13" t="inlineStr">
        <is>
          <t>L.S.</t>
        </is>
      </c>
      <c r="D609" s="15" t="n">
        <v>0.39</v>
      </c>
      <c r="E609" s="16" t="n">
        <v>2</v>
      </c>
      <c r="F609" s="16">
        <f>D609*E609</f>
        <v/>
      </c>
    </row>
    <row r="610">
      <c r="A610" s="13" t="inlineStr">
        <is>
          <t>0367</t>
        </is>
      </c>
      <c r="B610" s="14" t="inlineStr">
        <is>
          <t>Portland Cement (OPC-43 grade)</t>
        </is>
      </c>
      <c r="C610" s="13" t="inlineStr">
        <is>
          <t>tonne</t>
        </is>
      </c>
      <c r="D610" s="15" t="n">
        <v>0.0005999999999999999</v>
      </c>
      <c r="E610" s="16" t="n">
        <v>4940</v>
      </c>
      <c r="F610" s="16">
        <f>D610*E610</f>
        <v/>
      </c>
    </row>
    <row r="611">
      <c r="A611" s="13" t="inlineStr">
        <is>
          <t>2209</t>
        </is>
      </c>
      <c r="B611" s="14" t="inlineStr">
        <is>
          <t>Carriage of Cement</t>
        </is>
      </c>
      <c r="C611" s="13" t="inlineStr">
        <is>
          <t>tonne</t>
        </is>
      </c>
      <c r="D611" s="15" t="n">
        <v>0.0005999999999999999</v>
      </c>
      <c r="E611" s="16" t="n">
        <v>92.23999999999999</v>
      </c>
      <c r="F611" s="16">
        <f>D611*E611</f>
        <v/>
      </c>
    </row>
    <row r="612">
      <c r="A612" s="13" t="inlineStr">
        <is>
          <t>0155</t>
        </is>
      </c>
      <c r="B612" s="14" t="inlineStr">
        <is>
          <t>Mason (average)</t>
        </is>
      </c>
      <c r="C612" s="13" t="inlineStr">
        <is>
          <t>day</t>
        </is>
      </c>
      <c r="D612" s="15" t="n">
        <v>0.008</v>
      </c>
      <c r="E612" s="16" t="n">
        <v>709</v>
      </c>
      <c r="F612" s="16">
        <f>D612*E612</f>
        <v/>
      </c>
    </row>
    <row r="613">
      <c r="A613" s="13" t="inlineStr">
        <is>
          <t>0115</t>
        </is>
      </c>
      <c r="B613" s="14" t="inlineStr">
        <is>
          <t>Coolie</t>
        </is>
      </c>
      <c r="C613" s="13" t="inlineStr">
        <is>
          <t>day</t>
        </is>
      </c>
      <c r="D613" s="15" t="n">
        <v>0.008</v>
      </c>
      <c r="E613" s="16" t="n">
        <v>558</v>
      </c>
      <c r="F613" s="16">
        <f>D613*E613</f>
        <v/>
      </c>
    </row>
    <row r="614">
      <c r="A614" s="13" t="inlineStr">
        <is>
          <t>9999</t>
        </is>
      </c>
      <c r="B614" s="14" t="inlineStr">
        <is>
          <t>Rounding of edges and making outlet</t>
        </is>
      </c>
      <c r="C614" s="13" t="inlineStr">
        <is>
          <t>L.S.</t>
        </is>
      </c>
      <c r="D614" s="15" t="n">
        <v>0.26</v>
      </c>
      <c r="E614" s="16" t="n">
        <v>2</v>
      </c>
      <c r="F614" s="16">
        <f>D614*E614</f>
        <v/>
      </c>
    </row>
    <row r="615">
      <c r="A615" s="13" t="inlineStr">
        <is>
          <t>9999</t>
        </is>
      </c>
      <c r="B615" s="14" t="inlineStr">
        <is>
          <t>Sundries</t>
        </is>
      </c>
      <c r="C615" s="13" t="inlineStr">
        <is>
          <t>L.S.</t>
        </is>
      </c>
      <c r="D615" s="15" t="n">
        <v>13.52</v>
      </c>
      <c r="E615" s="16" t="n">
        <v>2</v>
      </c>
      <c r="F615" s="16">
        <f>D615*E615</f>
        <v/>
      </c>
    </row>
    <row r="616">
      <c r="A616" s="17" t="inlineStr">
        <is>
          <t>Resource Total (Material + Labour + Machinery, as printed)</t>
        </is>
      </c>
      <c r="B616" s="18" t="n"/>
      <c r="C616" s="18" t="n"/>
      <c r="D616" s="18" t="n"/>
      <c r="E616" s="18" t="n"/>
      <c r="F616" s="19">
        <f>SUM(F589:F615)</f>
        <v/>
      </c>
    </row>
    <row r="617">
      <c r="A617" s="20" t="inlineStr">
        <is>
          <t>SAY (Rs.) — final DAR rate</t>
        </is>
      </c>
      <c r="B617" s="21" t="n"/>
      <c r="C617" s="21" t="n"/>
      <c r="D617" s="21" t="n"/>
      <c r="E617" s="21" t="n"/>
      <c r="F617" s="22" t="n">
        <v>244.05</v>
      </c>
    </row>
    <row r="619" ht="18" customHeight="1">
      <c r="A619" s="9" t="inlineStr">
        <is>
          <t>12.23.1.1</t>
        </is>
      </c>
      <c r="B619" s="10" t="inlineStr">
        <is>
          <t>40 to 50 mm thick</t>
        </is>
      </c>
      <c r="C619" s="11" t="n"/>
      <c r="D619" s="11" t="n"/>
      <c r="E619" s="11" t="n"/>
      <c r="F619" s="11" t="n"/>
    </row>
    <row r="620">
      <c r="A620" s="12" t="inlineStr">
        <is>
          <t>Rate basis: per sqm  (source: cost for 10 sqm)</t>
        </is>
      </c>
    </row>
    <row r="621">
      <c r="A621" s="5" t="inlineStr">
        <is>
          <t>Code</t>
        </is>
      </c>
      <c r="B621" s="5" t="inlineStr">
        <is>
          <t>Description</t>
        </is>
      </c>
      <c r="C621" s="5" t="inlineStr">
        <is>
          <t>Unit</t>
        </is>
      </c>
      <c r="D621" s="5" t="inlineStr">
        <is>
          <t>Quantity</t>
        </is>
      </c>
      <c r="E621" s="5" t="inlineStr">
        <is>
          <t>Rate (Rs.)</t>
        </is>
      </c>
      <c r="F621" s="5" t="inlineStr">
        <is>
          <t>Amount (Rs.)</t>
        </is>
      </c>
    </row>
    <row r="622">
      <c r="A622" s="13" t="inlineStr">
        <is>
          <t>3.9</t>
        </is>
      </c>
      <c r="B622" s="14" t="inlineStr">
        <is>
          <t>Rate as per SH: 3.9</t>
        </is>
      </c>
      <c r="C622" s="13" t="inlineStr">
        <is>
          <t>cum</t>
        </is>
      </c>
      <c r="D622" s="15" t="n">
        <v>0.0095</v>
      </c>
      <c r="E622" s="16" t="n">
        <v>4010.35</v>
      </c>
      <c r="F622" s="16">
        <f>D622*E622</f>
        <v/>
      </c>
    </row>
    <row r="623">
      <c r="A623" s="13" t="inlineStr">
        <is>
          <t>3.3</t>
        </is>
      </c>
      <c r="B623" s="14" t="inlineStr">
        <is>
          <t>Rate as per SH: 3.3</t>
        </is>
      </c>
      <c r="C623" s="13" t="inlineStr">
        <is>
          <t>cum</t>
        </is>
      </c>
      <c r="D623" s="15" t="n">
        <v>0.0075</v>
      </c>
      <c r="E623" s="16" t="n">
        <v>4183.05</v>
      </c>
      <c r="F623" s="16">
        <f>D623*E623</f>
        <v/>
      </c>
    </row>
    <row r="624">
      <c r="A624" s="13" t="inlineStr">
        <is>
          <t>1174</t>
        </is>
      </c>
      <c r="B624" s="14" t="inlineStr">
        <is>
          <t>Red sand stone slab 45 mm and 50 mm thick (un-dressed)</t>
        </is>
      </c>
      <c r="C624" s="13" t="inlineStr">
        <is>
          <t>sqm</t>
        </is>
      </c>
      <c r="D624" s="15" t="n">
        <v>11</v>
      </c>
      <c r="E624" s="16" t="n">
        <v>225</v>
      </c>
      <c r="F624" s="16">
        <f>D624*E624</f>
        <v/>
      </c>
    </row>
    <row r="625">
      <c r="A625" s="13" t="inlineStr">
        <is>
          <t>2216</t>
        </is>
      </c>
      <c r="B625" s="14" t="inlineStr">
        <is>
          <t>Carriage of Stone blocks white &amp; red sand stone &amp; kota stone slab</t>
        </is>
      </c>
      <c r="C625" s="13" t="inlineStr">
        <is>
          <t>tonne</t>
        </is>
      </c>
      <c r="D625" s="15" t="n">
        <v>1.27</v>
      </c>
      <c r="E625" s="16" t="n">
        <v>92.23999999999999</v>
      </c>
      <c r="F625" s="16">
        <f>D625*E625</f>
        <v/>
      </c>
    </row>
    <row r="626">
      <c r="A626" s="13" t="inlineStr">
        <is>
          <t>0155</t>
        </is>
      </c>
      <c r="B626" s="14" t="inlineStr">
        <is>
          <t>Mason (average)</t>
        </is>
      </c>
      <c r="C626" s="13" t="inlineStr">
        <is>
          <t>day</t>
        </is>
      </c>
      <c r="D626" s="15" t="n">
        <v>1.52</v>
      </c>
      <c r="E626" s="16" t="n">
        <v>709</v>
      </c>
      <c r="F626" s="16">
        <f>D626*E626</f>
        <v/>
      </c>
    </row>
    <row r="627">
      <c r="A627" s="13" t="inlineStr">
        <is>
          <t>0100</t>
        </is>
      </c>
      <c r="B627" s="14" t="inlineStr">
        <is>
          <t>Bandhani</t>
        </is>
      </c>
      <c r="C627" s="13" t="inlineStr">
        <is>
          <t>day</t>
        </is>
      </c>
      <c r="D627" s="15" t="n">
        <v>1.82</v>
      </c>
      <c r="E627" s="16" t="n">
        <v>617</v>
      </c>
      <c r="F627" s="16">
        <f>D627*E627</f>
        <v/>
      </c>
    </row>
    <row r="628">
      <c r="A628" s="13" t="inlineStr">
        <is>
          <t>0115</t>
        </is>
      </c>
      <c r="B628" s="14" t="inlineStr">
        <is>
          <t>Coolie</t>
        </is>
      </c>
      <c r="C628" s="13" t="inlineStr">
        <is>
          <t>day</t>
        </is>
      </c>
      <c r="D628" s="15" t="n">
        <v>1.52</v>
      </c>
      <c r="E628" s="16" t="n">
        <v>558</v>
      </c>
      <c r="F628" s="16">
        <f>D628*E628</f>
        <v/>
      </c>
    </row>
    <row r="629">
      <c r="A629" s="13" t="inlineStr">
        <is>
          <t>0101</t>
        </is>
      </c>
      <c r="B629" s="14" t="inlineStr">
        <is>
          <t>Bhisti</t>
        </is>
      </c>
      <c r="C629" s="13" t="inlineStr">
        <is>
          <t>day</t>
        </is>
      </c>
      <c r="D629" s="15" t="n">
        <v>0.3</v>
      </c>
      <c r="E629" s="16" t="n">
        <v>617</v>
      </c>
      <c r="F629" s="16">
        <f>D629*E629</f>
        <v/>
      </c>
    </row>
    <row r="630">
      <c r="A630" s="13" t="inlineStr">
        <is>
          <t>9999</t>
        </is>
      </c>
      <c r="B630" s="14" t="inlineStr">
        <is>
          <t>Sundries</t>
        </is>
      </c>
      <c r="C630" s="13" t="inlineStr">
        <is>
          <t>L.S.</t>
        </is>
      </c>
      <c r="D630" s="15" t="n">
        <v>16.12</v>
      </c>
      <c r="E630" s="16" t="n">
        <v>2</v>
      </c>
      <c r="F630" s="16">
        <f>D630*E630</f>
        <v/>
      </c>
    </row>
    <row r="631">
      <c r="A631" s="17" t="inlineStr">
        <is>
          <t>Resource Total (Material + Labour + Machinery, as printed)</t>
        </is>
      </c>
      <c r="B631" s="18" t="n"/>
      <c r="C631" s="18" t="n"/>
      <c r="D631" s="18" t="n"/>
      <c r="E631" s="18" t="n"/>
      <c r="F631" s="19">
        <f>SUM(F622:F630)</f>
        <v/>
      </c>
    </row>
    <row r="632">
      <c r="A632" s="20" t="inlineStr">
        <is>
          <t>SAY (Rs.) — final DAR rate</t>
        </is>
      </c>
      <c r="B632" s="21" t="n"/>
      <c r="C632" s="21" t="n"/>
      <c r="D632" s="21" t="n"/>
      <c r="E632" s="21" t="n"/>
      <c r="F632" s="22" t="n">
        <v>793.1</v>
      </c>
    </row>
    <row r="634" ht="18" customHeight="1">
      <c r="A634" s="9" t="inlineStr">
        <is>
          <t>12.23.2.1</t>
        </is>
      </c>
      <c r="B634" s="10" t="inlineStr">
        <is>
          <t>40 to 50 mm thick</t>
        </is>
      </c>
      <c r="C634" s="11" t="n"/>
      <c r="D634" s="11" t="n"/>
      <c r="E634" s="11" t="n"/>
      <c r="F634" s="11" t="n"/>
    </row>
    <row r="635">
      <c r="A635" s="12" t="inlineStr">
        <is>
          <t>Rate basis: per sqm  (source: cost for 10 sqm)</t>
        </is>
      </c>
    </row>
    <row r="636">
      <c r="A636" s="5" t="inlineStr">
        <is>
          <t>Code</t>
        </is>
      </c>
      <c r="B636" s="5" t="inlineStr">
        <is>
          <t>Description</t>
        </is>
      </c>
      <c r="C636" s="5" t="inlineStr">
        <is>
          <t>Unit</t>
        </is>
      </c>
      <c r="D636" s="5" t="inlineStr">
        <is>
          <t>Quantity</t>
        </is>
      </c>
      <c r="E636" s="5" t="inlineStr">
        <is>
          <t>Rate (Rs.)</t>
        </is>
      </c>
      <c r="F636" s="5" t="inlineStr">
        <is>
          <t>Amount (Rs.)</t>
        </is>
      </c>
    </row>
    <row r="637">
      <c r="A637" s="13" t="inlineStr">
        <is>
          <t>3.9</t>
        </is>
      </c>
      <c r="B637" s="14" t="inlineStr">
        <is>
          <t>Rate as per SH: 3.9</t>
        </is>
      </c>
      <c r="C637" s="13" t="inlineStr">
        <is>
          <t>cum</t>
        </is>
      </c>
      <c r="D637" s="15" t="n">
        <v>0.0095</v>
      </c>
      <c r="E637" s="16" t="n">
        <v>4010.35</v>
      </c>
      <c r="F637" s="16">
        <f>D637*E637</f>
        <v/>
      </c>
    </row>
    <row r="638">
      <c r="A638" s="13" t="inlineStr">
        <is>
          <t>3.3</t>
        </is>
      </c>
      <c r="B638" s="14" t="inlineStr">
        <is>
          <t>Rate as per SH: 3.3</t>
        </is>
      </c>
      <c r="C638" s="13" t="inlineStr">
        <is>
          <t>cum</t>
        </is>
      </c>
      <c r="D638" s="15" t="n">
        <v>0.0075</v>
      </c>
      <c r="E638" s="16" t="n">
        <v>4183.05</v>
      </c>
      <c r="F638" s="16">
        <f>D638*E638</f>
        <v/>
      </c>
    </row>
    <row r="639">
      <c r="A639" s="13" t="inlineStr">
        <is>
          <t>1175</t>
        </is>
      </c>
      <c r="B639" s="14" t="inlineStr">
        <is>
          <t>White sand stone slab 45 mm and 50 mm thick (un-dressed)</t>
        </is>
      </c>
      <c r="C639" s="13" t="inlineStr">
        <is>
          <t>sqm</t>
        </is>
      </c>
      <c r="D639" s="15" t="n">
        <v>11</v>
      </c>
      <c r="E639" s="16" t="n">
        <v>240</v>
      </c>
      <c r="F639" s="16">
        <f>D639*E639</f>
        <v/>
      </c>
    </row>
    <row r="640">
      <c r="A640" s="13" t="inlineStr">
        <is>
          <t>2216</t>
        </is>
      </c>
      <c r="B640" s="14" t="inlineStr">
        <is>
          <t>Carriage of Stone blocks white &amp; red sand stone &amp; kota stone slab</t>
        </is>
      </c>
      <c r="C640" s="13" t="inlineStr">
        <is>
          <t>tonne</t>
        </is>
      </c>
      <c r="D640" s="15" t="n">
        <v>1.27</v>
      </c>
      <c r="E640" s="16" t="n">
        <v>92.23999999999999</v>
      </c>
      <c r="F640" s="16">
        <f>D640*E640</f>
        <v/>
      </c>
    </row>
    <row r="641">
      <c r="A641" s="13" t="inlineStr">
        <is>
          <t>0155</t>
        </is>
      </c>
      <c r="B641" s="14" t="inlineStr">
        <is>
          <t>Mason (average)</t>
        </is>
      </c>
      <c r="C641" s="13" t="inlineStr">
        <is>
          <t>day</t>
        </is>
      </c>
      <c r="D641" s="15" t="n">
        <v>1.52</v>
      </c>
      <c r="E641" s="16" t="n">
        <v>709</v>
      </c>
      <c r="F641" s="16">
        <f>D641*E641</f>
        <v/>
      </c>
    </row>
    <row r="642">
      <c r="A642" s="13" t="inlineStr">
        <is>
          <t>0100</t>
        </is>
      </c>
      <c r="B642" s="14" t="inlineStr">
        <is>
          <t>Bandhani</t>
        </is>
      </c>
      <c r="C642" s="13" t="inlineStr">
        <is>
          <t>day</t>
        </is>
      </c>
      <c r="D642" s="15" t="n">
        <v>1.82</v>
      </c>
      <c r="E642" s="16" t="n">
        <v>617</v>
      </c>
      <c r="F642" s="16">
        <f>D642*E642</f>
        <v/>
      </c>
    </row>
    <row r="643">
      <c r="A643" s="13" t="inlineStr">
        <is>
          <t>0115</t>
        </is>
      </c>
      <c r="B643" s="14" t="inlineStr">
        <is>
          <t>Coolie</t>
        </is>
      </c>
      <c r="C643" s="13" t="inlineStr">
        <is>
          <t>day</t>
        </is>
      </c>
      <c r="D643" s="15" t="n">
        <v>1.52</v>
      </c>
      <c r="E643" s="16" t="n">
        <v>558</v>
      </c>
      <c r="F643" s="16">
        <f>D643*E643</f>
        <v/>
      </c>
    </row>
    <row r="644">
      <c r="A644" s="13" t="inlineStr">
        <is>
          <t>0101</t>
        </is>
      </c>
      <c r="B644" s="14" t="inlineStr">
        <is>
          <t>Bhisti</t>
        </is>
      </c>
      <c r="C644" s="13" t="inlineStr">
        <is>
          <t>day</t>
        </is>
      </c>
      <c r="D644" s="15" t="n">
        <v>0.3</v>
      </c>
      <c r="E644" s="16" t="n">
        <v>617</v>
      </c>
      <c r="F644" s="16">
        <f>D644*E644</f>
        <v/>
      </c>
    </row>
    <row r="645">
      <c r="A645" s="13" t="inlineStr">
        <is>
          <t>9999</t>
        </is>
      </c>
      <c r="B645" s="14" t="inlineStr">
        <is>
          <t>Sundries</t>
        </is>
      </c>
      <c r="C645" s="13" t="inlineStr">
        <is>
          <t>L.S.</t>
        </is>
      </c>
      <c r="D645" s="15" t="n">
        <v>16.12</v>
      </c>
      <c r="E645" s="16" t="n">
        <v>2</v>
      </c>
      <c r="F645" s="16">
        <f>D645*E645</f>
        <v/>
      </c>
    </row>
    <row r="646">
      <c r="A646" s="17" t="inlineStr">
        <is>
          <t>Resource Total (Material + Labour + Machinery, as printed)</t>
        </is>
      </c>
      <c r="B646" s="18" t="n"/>
      <c r="C646" s="18" t="n"/>
      <c r="D646" s="18" t="n"/>
      <c r="E646" s="18" t="n"/>
      <c r="F646" s="19">
        <f>SUM(F637:F645)</f>
        <v/>
      </c>
    </row>
    <row r="647">
      <c r="A647" s="20" t="inlineStr">
        <is>
          <t>SAY (Rs.) — final DAR rate</t>
        </is>
      </c>
      <c r="B647" s="21" t="n"/>
      <c r="C647" s="21" t="n"/>
      <c r="D647" s="21" t="n"/>
      <c r="E647" s="21" t="n"/>
      <c r="F647" s="22" t="n">
        <v>815.15</v>
      </c>
    </row>
    <row r="649" ht="18" customHeight="1">
      <c r="A649" s="9" t="inlineStr">
        <is>
          <t>12.24.1.1</t>
        </is>
      </c>
      <c r="B649" s="10" t="inlineStr">
        <is>
          <t>12 mm thick</t>
        </is>
      </c>
      <c r="C649" s="11" t="n"/>
      <c r="D649" s="11" t="n"/>
      <c r="E649" s="11" t="n"/>
      <c r="F649" s="11" t="n"/>
    </row>
    <row r="650">
      <c r="A650" s="12" t="inlineStr">
        <is>
          <t>Rate basis: per sqm  (source: cost for 10 sqm)</t>
        </is>
      </c>
    </row>
    <row r="651">
      <c r="A651" s="5" t="inlineStr">
        <is>
          <t>Code</t>
        </is>
      </c>
      <c r="B651" s="5" t="inlineStr">
        <is>
          <t>Description</t>
        </is>
      </c>
      <c r="C651" s="5" t="inlineStr">
        <is>
          <t>Unit</t>
        </is>
      </c>
      <c r="D651" s="5" t="inlineStr">
        <is>
          <t>Quantity</t>
        </is>
      </c>
      <c r="E651" s="5" t="inlineStr">
        <is>
          <t>Rate (Rs.)</t>
        </is>
      </c>
      <c r="F651" s="5" t="inlineStr">
        <is>
          <t>Amount (Rs.)</t>
        </is>
      </c>
    </row>
    <row r="652">
      <c r="A652" s="13" t="inlineStr">
        <is>
          <t>0332</t>
        </is>
      </c>
      <c r="B652" s="14" t="inlineStr">
        <is>
          <t>Natural colour insulating board: 12 mm thick</t>
        </is>
      </c>
      <c r="C652" s="13" t="inlineStr">
        <is>
          <t>sqm</t>
        </is>
      </c>
      <c r="D652" s="15" t="n">
        <v>11</v>
      </c>
      <c r="E652" s="16" t="n">
        <v>210</v>
      </c>
      <c r="F652" s="16">
        <f>D652*E652</f>
        <v/>
      </c>
    </row>
    <row r="653">
      <c r="A653" s="13" t="inlineStr">
        <is>
          <t>9977</t>
        </is>
      </c>
      <c r="B653" s="14" t="inlineStr">
        <is>
          <t>Carriage of material</t>
        </is>
      </c>
      <c r="C653" s="13" t="inlineStr">
        <is>
          <t>L.S.</t>
        </is>
      </c>
      <c r="D653" s="15" t="n">
        <v>17.55</v>
      </c>
      <c r="E653" s="16" t="n">
        <v>2</v>
      </c>
      <c r="F653" s="16">
        <f>D653*E653</f>
        <v/>
      </c>
    </row>
    <row r="654">
      <c r="A654" s="13" t="inlineStr">
        <is>
          <t>9999</t>
        </is>
      </c>
      <c r="B654" s="14" t="inlineStr">
        <is>
          <t>Nails</t>
        </is>
      </c>
      <c r="C654" s="13" t="inlineStr">
        <is>
          <t>L.S.</t>
        </is>
      </c>
      <c r="D654" s="15" t="n">
        <v>26.91</v>
      </c>
      <c r="E654" s="16" t="n">
        <v>2</v>
      </c>
      <c r="F654" s="16">
        <f>D654*E654</f>
        <v/>
      </c>
    </row>
    <row r="655">
      <c r="A655" s="13" t="inlineStr">
        <is>
          <t>0111</t>
        </is>
      </c>
      <c r="B655" s="14" t="inlineStr">
        <is>
          <t>Carpenter 1st class</t>
        </is>
      </c>
      <c r="C655" s="13" t="inlineStr">
        <is>
          <t>day</t>
        </is>
      </c>
      <c r="D655" s="15" t="n">
        <v>2.5</v>
      </c>
      <c r="E655" s="16" t="n">
        <v>738</v>
      </c>
      <c r="F655" s="16">
        <f>D655*E655</f>
        <v/>
      </c>
    </row>
    <row r="656">
      <c r="A656" s="13" t="inlineStr">
        <is>
          <t>0114</t>
        </is>
      </c>
      <c r="B656" s="14" t="inlineStr">
        <is>
          <t>Beldar</t>
        </is>
      </c>
      <c r="C656" s="13" t="inlineStr">
        <is>
          <t>day</t>
        </is>
      </c>
      <c r="D656" s="15" t="n">
        <v>2</v>
      </c>
      <c r="E656" s="16" t="n">
        <v>558</v>
      </c>
      <c r="F656" s="16">
        <f>D656*E656</f>
        <v/>
      </c>
    </row>
    <row r="657">
      <c r="A657" s="13" t="inlineStr">
        <is>
          <t>9999</t>
        </is>
      </c>
      <c r="B657" s="14" t="inlineStr">
        <is>
          <t>Scaffolding</t>
        </is>
      </c>
      <c r="C657" s="13" t="inlineStr">
        <is>
          <t>L.S.</t>
        </is>
      </c>
      <c r="D657" s="15" t="n">
        <v>31.07</v>
      </c>
      <c r="E657" s="16" t="n">
        <v>2</v>
      </c>
      <c r="F657" s="16">
        <f>D657*E657</f>
        <v/>
      </c>
    </row>
    <row r="658">
      <c r="A658" s="13" t="inlineStr">
        <is>
          <t>9999</t>
        </is>
      </c>
      <c r="B658" s="14" t="inlineStr">
        <is>
          <t>Sundries</t>
        </is>
      </c>
      <c r="C658" s="13" t="inlineStr">
        <is>
          <t>L.S.</t>
        </is>
      </c>
      <c r="D658" s="15" t="n">
        <v>31.07</v>
      </c>
      <c r="E658" s="16" t="n">
        <v>2</v>
      </c>
      <c r="F658" s="16">
        <f>D658*E658</f>
        <v/>
      </c>
    </row>
    <row r="659">
      <c r="A659" s="17" t="inlineStr">
        <is>
          <t>Resource Total (Material + Labour + Machinery, as printed)</t>
        </is>
      </c>
      <c r="B659" s="18" t="n"/>
      <c r="C659" s="18" t="n"/>
      <c r="D659" s="18" t="n"/>
      <c r="E659" s="18" t="n"/>
      <c r="F659" s="19">
        <f>SUM(F652:F658)</f>
        <v/>
      </c>
    </row>
    <row r="660">
      <c r="A660" s="20" t="inlineStr">
        <is>
          <t>SAY (Rs.) — final DAR rate</t>
        </is>
      </c>
      <c r="B660" s="21" t="n"/>
      <c r="C660" s="21" t="n"/>
      <c r="D660" s="21" t="n"/>
      <c r="E660" s="21" t="n"/>
      <c r="F660" s="22" t="n">
        <v>733.75</v>
      </c>
    </row>
    <row r="662" ht="18" customHeight="1">
      <c r="A662" s="9" t="inlineStr">
        <is>
          <t>12.24.2.1</t>
        </is>
      </c>
      <c r="B662" s="10" t="inlineStr">
        <is>
          <t>12 mm thick</t>
        </is>
      </c>
      <c r="C662" s="11" t="n"/>
      <c r="D662" s="11" t="n"/>
      <c r="E662" s="11" t="n"/>
      <c r="F662" s="11" t="n"/>
    </row>
    <row r="663">
      <c r="A663" s="12" t="inlineStr">
        <is>
          <t>Rate basis: per sqm  (source: cost for 10 sqm)</t>
        </is>
      </c>
    </row>
    <row r="664">
      <c r="A664" s="5" t="inlineStr">
        <is>
          <t>Code</t>
        </is>
      </c>
      <c r="B664" s="5" t="inlineStr">
        <is>
          <t>Description</t>
        </is>
      </c>
      <c r="C664" s="5" t="inlineStr">
        <is>
          <t>Unit</t>
        </is>
      </c>
      <c r="D664" s="5" t="inlineStr">
        <is>
          <t>Quantity</t>
        </is>
      </c>
      <c r="E664" s="5" t="inlineStr">
        <is>
          <t>Rate (Rs.)</t>
        </is>
      </c>
      <c r="F664" s="5" t="inlineStr">
        <is>
          <t>Amount (Rs.)</t>
        </is>
      </c>
    </row>
    <row r="665">
      <c r="A665" s="13" t="inlineStr">
        <is>
          <t>0328</t>
        </is>
      </c>
      <c r="B665" s="14" t="inlineStr">
        <is>
          <t>White face insulating board:12 mm thick</t>
        </is>
      </c>
      <c r="C665" s="13" t="inlineStr">
        <is>
          <t>sqm</t>
        </is>
      </c>
      <c r="D665" s="15" t="n">
        <v>11</v>
      </c>
      <c r="E665" s="16" t="n">
        <v>235</v>
      </c>
      <c r="F665" s="16">
        <f>D665*E665</f>
        <v/>
      </c>
    </row>
    <row r="666">
      <c r="A666" s="13" t="inlineStr">
        <is>
          <t>9977</t>
        </is>
      </c>
      <c r="B666" s="14" t="inlineStr">
        <is>
          <t>Carriage of material</t>
        </is>
      </c>
      <c r="C666" s="13" t="inlineStr">
        <is>
          <t>L.S.</t>
        </is>
      </c>
      <c r="D666" s="15" t="n">
        <v>17.55</v>
      </c>
      <c r="E666" s="16" t="n">
        <v>2</v>
      </c>
      <c r="F666" s="16">
        <f>D666*E666</f>
        <v/>
      </c>
    </row>
    <row r="667">
      <c r="A667" s="13" t="inlineStr">
        <is>
          <t>9999</t>
        </is>
      </c>
      <c r="B667" s="14" t="inlineStr">
        <is>
          <t>Nails</t>
        </is>
      </c>
      <c r="C667" s="13" t="inlineStr">
        <is>
          <t>L.S.</t>
        </is>
      </c>
      <c r="D667" s="15" t="n">
        <v>26.91</v>
      </c>
      <c r="E667" s="16" t="n">
        <v>2</v>
      </c>
      <c r="F667" s="16">
        <f>D667*E667</f>
        <v/>
      </c>
    </row>
    <row r="668">
      <c r="A668" s="13" t="inlineStr">
        <is>
          <t>0111</t>
        </is>
      </c>
      <c r="B668" s="14" t="inlineStr">
        <is>
          <t>Carpenter 1st class</t>
        </is>
      </c>
      <c r="C668" s="13" t="inlineStr">
        <is>
          <t>day</t>
        </is>
      </c>
      <c r="D668" s="15" t="n">
        <v>2.5</v>
      </c>
      <c r="E668" s="16" t="n">
        <v>738</v>
      </c>
      <c r="F668" s="16">
        <f>D668*E668</f>
        <v/>
      </c>
    </row>
    <row r="669">
      <c r="A669" s="13" t="inlineStr">
        <is>
          <t>0114</t>
        </is>
      </c>
      <c r="B669" s="14" t="inlineStr">
        <is>
          <t>Beldar</t>
        </is>
      </c>
      <c r="C669" s="13" t="inlineStr">
        <is>
          <t>day</t>
        </is>
      </c>
      <c r="D669" s="15" t="n">
        <v>2</v>
      </c>
      <c r="E669" s="16" t="n">
        <v>558</v>
      </c>
      <c r="F669" s="16">
        <f>D669*E669</f>
        <v/>
      </c>
    </row>
    <row r="670">
      <c r="A670" s="13" t="inlineStr">
        <is>
          <t>9999</t>
        </is>
      </c>
      <c r="B670" s="14" t="inlineStr">
        <is>
          <t>Scaffolding</t>
        </is>
      </c>
      <c r="C670" s="13" t="inlineStr">
        <is>
          <t>L.S.</t>
        </is>
      </c>
      <c r="D670" s="15" t="n">
        <v>31.07</v>
      </c>
      <c r="E670" s="16" t="n">
        <v>2</v>
      </c>
      <c r="F670" s="16">
        <f>D670*E670</f>
        <v/>
      </c>
    </row>
    <row r="671">
      <c r="A671" s="13" t="inlineStr">
        <is>
          <t>9999</t>
        </is>
      </c>
      <c r="B671" s="14" t="inlineStr">
        <is>
          <t>Sundries</t>
        </is>
      </c>
      <c r="C671" s="13" t="inlineStr">
        <is>
          <t>L.S.</t>
        </is>
      </c>
      <c r="D671" s="15" t="n">
        <v>31.07</v>
      </c>
      <c r="E671" s="16" t="n">
        <v>2</v>
      </c>
      <c r="F671" s="16">
        <f>D671*E671</f>
        <v/>
      </c>
    </row>
    <row r="672">
      <c r="A672" s="17" t="inlineStr">
        <is>
          <t>Resource Total (Material + Labour + Machinery, as printed)</t>
        </is>
      </c>
      <c r="B672" s="18" t="n"/>
      <c r="C672" s="18" t="n"/>
      <c r="D672" s="18" t="n"/>
      <c r="E672" s="18" t="n"/>
      <c r="F672" s="19">
        <f>SUM(F665:F671)</f>
        <v/>
      </c>
    </row>
    <row r="673">
      <c r="A673" s="20" t="inlineStr">
        <is>
          <t>SAY (Rs.) — final DAR rate</t>
        </is>
      </c>
      <c r="B673" s="21" t="n"/>
      <c r="C673" s="21" t="n"/>
      <c r="D673" s="21" t="n"/>
      <c r="E673" s="21" t="n"/>
      <c r="F673" s="22" t="n">
        <v>770.55</v>
      </c>
    </row>
    <row r="675" ht="18" customHeight="1">
      <c r="A675" s="9" t="inlineStr">
        <is>
          <t>12.24.3.1</t>
        </is>
      </c>
      <c r="B675" s="10" t="inlineStr">
        <is>
          <t>12 mm thick</t>
        </is>
      </c>
      <c r="C675" s="11" t="n"/>
      <c r="D675" s="11" t="n"/>
      <c r="E675" s="11" t="n"/>
      <c r="F675" s="11" t="n"/>
    </row>
    <row r="676">
      <c r="A676" s="12" t="inlineStr">
        <is>
          <t>Rate basis: per sqm  (source: cost for 10 sqm)</t>
        </is>
      </c>
    </row>
    <row r="677">
      <c r="A677" s="5" t="inlineStr">
        <is>
          <t>Code</t>
        </is>
      </c>
      <c r="B677" s="5" t="inlineStr">
        <is>
          <t>Description</t>
        </is>
      </c>
      <c r="C677" s="5" t="inlineStr">
        <is>
          <t>Unit</t>
        </is>
      </c>
      <c r="D677" s="5" t="inlineStr">
        <is>
          <t>Quantity</t>
        </is>
      </c>
      <c r="E677" s="5" t="inlineStr">
        <is>
          <t>Rate (Rs.)</t>
        </is>
      </c>
      <c r="F677" s="5" t="inlineStr">
        <is>
          <t>Amount (Rs.)</t>
        </is>
      </c>
    </row>
    <row r="678">
      <c r="A678" s="13" t="inlineStr">
        <is>
          <t>0336</t>
        </is>
      </c>
      <c r="B678" s="14" t="inlineStr">
        <is>
          <t>Flame retardent face insulating board: 12 mm thick</t>
        </is>
      </c>
      <c r="C678" s="13" t="inlineStr">
        <is>
          <t>sqm</t>
        </is>
      </c>
      <c r="D678" s="15" t="n">
        <v>11</v>
      </c>
      <c r="E678" s="16" t="n">
        <v>320</v>
      </c>
      <c r="F678" s="16">
        <f>D678*E678</f>
        <v/>
      </c>
    </row>
    <row r="679">
      <c r="A679" s="13" t="inlineStr">
        <is>
          <t>9977</t>
        </is>
      </c>
      <c r="B679" s="14" t="inlineStr">
        <is>
          <t>Carriage of material</t>
        </is>
      </c>
      <c r="C679" s="13" t="inlineStr">
        <is>
          <t>L.S.</t>
        </is>
      </c>
      <c r="D679" s="15" t="n">
        <v>17.55</v>
      </c>
      <c r="E679" s="16" t="n">
        <v>2</v>
      </c>
      <c r="F679" s="16">
        <f>D679*E679</f>
        <v/>
      </c>
    </row>
    <row r="680">
      <c r="A680" s="13" t="inlineStr">
        <is>
          <t>9999</t>
        </is>
      </c>
      <c r="B680" s="14" t="inlineStr">
        <is>
          <t>Nails</t>
        </is>
      </c>
      <c r="C680" s="13" t="inlineStr">
        <is>
          <t>L.S.</t>
        </is>
      </c>
      <c r="D680" s="15" t="n">
        <v>26.91</v>
      </c>
      <c r="E680" s="16" t="n">
        <v>2</v>
      </c>
      <c r="F680" s="16">
        <f>D680*E680</f>
        <v/>
      </c>
    </row>
    <row r="681">
      <c r="A681" s="13" t="inlineStr">
        <is>
          <t>0111</t>
        </is>
      </c>
      <c r="B681" s="14" t="inlineStr">
        <is>
          <t>Carpenter 1st class</t>
        </is>
      </c>
      <c r="C681" s="13" t="inlineStr">
        <is>
          <t>day</t>
        </is>
      </c>
      <c r="D681" s="15" t="n">
        <v>2.5</v>
      </c>
      <c r="E681" s="16" t="n">
        <v>738</v>
      </c>
      <c r="F681" s="16">
        <f>D681*E681</f>
        <v/>
      </c>
    </row>
    <row r="682">
      <c r="A682" s="13" t="inlineStr">
        <is>
          <t>0114</t>
        </is>
      </c>
      <c r="B682" s="14" t="inlineStr">
        <is>
          <t>Beldar</t>
        </is>
      </c>
      <c r="C682" s="13" t="inlineStr">
        <is>
          <t>day</t>
        </is>
      </c>
      <c r="D682" s="15" t="n">
        <v>2</v>
      </c>
      <c r="E682" s="16" t="n">
        <v>558</v>
      </c>
      <c r="F682" s="16">
        <f>D682*E682</f>
        <v/>
      </c>
    </row>
    <row r="683">
      <c r="A683" s="13" t="inlineStr">
        <is>
          <t>9999</t>
        </is>
      </c>
      <c r="B683" s="14" t="inlineStr">
        <is>
          <t>Scaffolding</t>
        </is>
      </c>
      <c r="C683" s="13" t="inlineStr">
        <is>
          <t>L.S.</t>
        </is>
      </c>
      <c r="D683" s="15" t="n">
        <v>31.07</v>
      </c>
      <c r="E683" s="16" t="n">
        <v>2</v>
      </c>
      <c r="F683" s="16">
        <f>D683*E683</f>
        <v/>
      </c>
    </row>
    <row r="684">
      <c r="A684" s="13" t="inlineStr">
        <is>
          <t>9999</t>
        </is>
      </c>
      <c r="B684" s="14" t="inlineStr">
        <is>
          <t>Sundries</t>
        </is>
      </c>
      <c r="C684" s="13" t="inlineStr">
        <is>
          <t>L.S.</t>
        </is>
      </c>
      <c r="D684" s="15" t="n">
        <v>31.07</v>
      </c>
      <c r="E684" s="16" t="n">
        <v>2</v>
      </c>
      <c r="F684" s="16">
        <f>D684*E684</f>
        <v/>
      </c>
    </row>
    <row r="685">
      <c r="A685" s="17" t="inlineStr">
        <is>
          <t>Resource Total (Material + Labour + Machinery, as printed)</t>
        </is>
      </c>
      <c r="B685" s="18" t="n"/>
      <c r="C685" s="18" t="n"/>
      <c r="D685" s="18" t="n"/>
      <c r="E685" s="18" t="n"/>
      <c r="F685" s="19">
        <f>SUM(F678:F684)</f>
        <v/>
      </c>
    </row>
    <row r="686">
      <c r="A686" s="20" t="inlineStr">
        <is>
          <t>SAY (Rs.) — final DAR rate</t>
        </is>
      </c>
      <c r="B686" s="21" t="n"/>
      <c r="C686" s="21" t="n"/>
      <c r="D686" s="21" t="n"/>
      <c r="E686" s="21" t="n"/>
      <c r="F686" s="22" t="n">
        <v>895.65</v>
      </c>
    </row>
    <row r="688" ht="18" customHeight="1">
      <c r="A688" s="9" t="inlineStr">
        <is>
          <t>12.25.1</t>
        </is>
      </c>
      <c r="B688" s="10" t="inlineStr">
        <is>
          <t>12 mm thick</t>
        </is>
      </c>
      <c r="C688" s="11" t="n"/>
      <c r="D688" s="11" t="n"/>
      <c r="E688" s="11" t="n"/>
      <c r="F688" s="11" t="n"/>
    </row>
    <row r="689">
      <c r="A689" s="12" t="inlineStr">
        <is>
          <t>Rate basis: per sqm  (source: cost for 10 sqm)</t>
        </is>
      </c>
    </row>
    <row r="690">
      <c r="A690" s="5" t="inlineStr">
        <is>
          <t>Code</t>
        </is>
      </c>
      <c r="B690" s="5" t="inlineStr">
        <is>
          <t>Description</t>
        </is>
      </c>
      <c r="C690" s="5" t="inlineStr">
        <is>
          <t>Unit</t>
        </is>
      </c>
      <c r="D690" s="5" t="inlineStr">
        <is>
          <t>Quantity</t>
        </is>
      </c>
      <c r="E690" s="5" t="inlineStr">
        <is>
          <t>Rate (Rs.)</t>
        </is>
      </c>
      <c r="F690" s="5" t="inlineStr">
        <is>
          <t>Amount (Rs.)</t>
        </is>
      </c>
    </row>
    <row r="691">
      <c r="A691" s="13" t="inlineStr">
        <is>
          <t>0341</t>
        </is>
      </c>
      <c r="B691" s="14" t="inlineStr">
        <is>
          <t>Flat pressed 3 layer particle board (medium density) Grade I :12 mm thick</t>
        </is>
      </c>
      <c r="C691" s="13" t="inlineStr">
        <is>
          <t>sqm</t>
        </is>
      </c>
      <c r="D691" s="15" t="n">
        <v>11</v>
      </c>
      <c r="E691" s="16" t="n">
        <v>288</v>
      </c>
      <c r="F691" s="16">
        <f>D691*E691</f>
        <v/>
      </c>
    </row>
    <row r="692">
      <c r="A692" s="13" t="inlineStr">
        <is>
          <t>9977</t>
        </is>
      </c>
      <c r="B692" s="14" t="inlineStr">
        <is>
          <t>Carriage</t>
        </is>
      </c>
      <c r="C692" s="13" t="inlineStr">
        <is>
          <t>L.S.</t>
        </is>
      </c>
      <c r="D692" s="15" t="n">
        <v>14.95</v>
      </c>
      <c r="E692" s="16" t="n">
        <v>2</v>
      </c>
      <c r="F692" s="16">
        <f>D692*E692</f>
        <v/>
      </c>
    </row>
    <row r="693">
      <c r="A693" s="13" t="inlineStr">
        <is>
          <t>9999</t>
        </is>
      </c>
      <c r="B693" s="14" t="inlineStr">
        <is>
          <t>Nails</t>
        </is>
      </c>
      <c r="C693" s="13" t="inlineStr">
        <is>
          <t>L.S.</t>
        </is>
      </c>
      <c r="D693" s="15" t="n">
        <v>26.91</v>
      </c>
      <c r="E693" s="16" t="n">
        <v>2</v>
      </c>
      <c r="F693" s="16">
        <f>D693*E693</f>
        <v/>
      </c>
    </row>
    <row r="694">
      <c r="A694" s="13" t="inlineStr">
        <is>
          <t>0111</t>
        </is>
      </c>
      <c r="B694" s="14" t="inlineStr">
        <is>
          <t>Carpenter 1st class</t>
        </is>
      </c>
      <c r="C694" s="13" t="inlineStr">
        <is>
          <t>day</t>
        </is>
      </c>
      <c r="D694" s="15" t="n">
        <v>2.5</v>
      </c>
      <c r="E694" s="16" t="n">
        <v>738</v>
      </c>
      <c r="F694" s="16">
        <f>D694*E694</f>
        <v/>
      </c>
    </row>
    <row r="695">
      <c r="A695" s="13" t="inlineStr">
        <is>
          <t>0114</t>
        </is>
      </c>
      <c r="B695" s="14" t="inlineStr">
        <is>
          <t>Beldar</t>
        </is>
      </c>
      <c r="C695" s="13" t="inlineStr">
        <is>
          <t>day</t>
        </is>
      </c>
      <c r="D695" s="15" t="n">
        <v>2</v>
      </c>
      <c r="E695" s="16" t="n">
        <v>558</v>
      </c>
      <c r="F695" s="16">
        <f>D695*E695</f>
        <v/>
      </c>
    </row>
    <row r="696">
      <c r="A696" s="13" t="inlineStr">
        <is>
          <t>9999</t>
        </is>
      </c>
      <c r="B696" s="14" t="inlineStr">
        <is>
          <t>Scaffolding</t>
        </is>
      </c>
      <c r="C696" s="13" t="inlineStr">
        <is>
          <t>L.S.</t>
        </is>
      </c>
      <c r="D696" s="15" t="n">
        <v>31.07</v>
      </c>
      <c r="E696" s="16" t="n">
        <v>2</v>
      </c>
      <c r="F696" s="16">
        <f>D696*E696</f>
        <v/>
      </c>
    </row>
    <row r="697">
      <c r="A697" s="13" t="inlineStr">
        <is>
          <t>9999</t>
        </is>
      </c>
      <c r="B697" s="14" t="inlineStr">
        <is>
          <t>Sundries</t>
        </is>
      </c>
      <c r="C697" s="13" t="inlineStr">
        <is>
          <t>L.S.</t>
        </is>
      </c>
      <c r="D697" s="15" t="n">
        <v>31.07</v>
      </c>
      <c r="E697" s="16" t="n">
        <v>2</v>
      </c>
      <c r="F697" s="16">
        <f>D697*E697</f>
        <v/>
      </c>
    </row>
    <row r="698">
      <c r="A698" s="17" t="inlineStr">
        <is>
          <t>Resource Total (Material + Labour + Machinery, as printed)</t>
        </is>
      </c>
      <c r="B698" s="18" t="n"/>
      <c r="C698" s="18" t="n"/>
      <c r="D698" s="18" t="n"/>
      <c r="E698" s="18" t="n"/>
      <c r="F698" s="19">
        <f>SUM(F691:F697)</f>
        <v/>
      </c>
    </row>
    <row r="699">
      <c r="A699" s="20" t="inlineStr">
        <is>
          <t>SAY (Rs.) — final DAR rate</t>
        </is>
      </c>
      <c r="B699" s="21" t="n"/>
      <c r="C699" s="21" t="n"/>
      <c r="D699" s="21" t="n"/>
      <c r="E699" s="21" t="n"/>
      <c r="F699" s="22" t="n">
        <v>847.85</v>
      </c>
    </row>
    <row r="701" ht="18" customHeight="1">
      <c r="A701" s="9" t="inlineStr">
        <is>
          <t>12.26.1</t>
        </is>
      </c>
      <c r="B701" s="10" t="inlineStr">
        <is>
          <t>6 mm thick Cement fiber board as per IS: 14862</t>
        </is>
      </c>
      <c r="C701" s="11" t="n"/>
      <c r="D701" s="11" t="n"/>
      <c r="E701" s="11" t="n"/>
      <c r="F701" s="11" t="n"/>
    </row>
    <row r="702">
      <c r="A702" s="12" t="inlineStr">
        <is>
          <t>Rate basis: per sqm  (source: cost for 10 sqm)</t>
        </is>
      </c>
    </row>
    <row r="703">
      <c r="A703" s="5" t="inlineStr">
        <is>
          <t>Code</t>
        </is>
      </c>
      <c r="B703" s="5" t="inlineStr">
        <is>
          <t>Description</t>
        </is>
      </c>
      <c r="C703" s="5" t="inlineStr">
        <is>
          <t>Unit</t>
        </is>
      </c>
      <c r="D703" s="5" t="inlineStr">
        <is>
          <t>Quantity</t>
        </is>
      </c>
      <c r="E703" s="5" t="inlineStr">
        <is>
          <t>Rate (Rs.)</t>
        </is>
      </c>
      <c r="F703" s="5" t="inlineStr">
        <is>
          <t>Amount (Rs.)</t>
        </is>
      </c>
    </row>
    <row r="704">
      <c r="A704" s="13" t="inlineStr">
        <is>
          <t>0236</t>
        </is>
      </c>
      <c r="B704" s="14" t="inlineStr">
        <is>
          <t>Multipurpose fibre reinforced by organic and / or inorganic synthetic fibres cement board 6 mm thick</t>
        </is>
      </c>
      <c r="C704" s="13" t="inlineStr">
        <is>
          <t>sqm</t>
        </is>
      </c>
      <c r="D704" s="15" t="n">
        <v>11</v>
      </c>
      <c r="E704" s="16" t="n">
        <v>210</v>
      </c>
      <c r="F704" s="16">
        <f>D704*E704</f>
        <v/>
      </c>
    </row>
    <row r="705">
      <c r="A705" s="13" t="inlineStr">
        <is>
          <t>9977</t>
        </is>
      </c>
      <c r="B705" s="14" t="inlineStr">
        <is>
          <t>Carriage</t>
        </is>
      </c>
      <c r="C705" s="13" t="inlineStr">
        <is>
          <t>L.S.</t>
        </is>
      </c>
      <c r="D705" s="15" t="n">
        <v>14.95</v>
      </c>
      <c r="E705" s="16" t="n">
        <v>2</v>
      </c>
      <c r="F705" s="16">
        <f>D705*E705</f>
        <v/>
      </c>
    </row>
    <row r="706">
      <c r="A706" s="13" t="inlineStr">
        <is>
          <t>9999</t>
        </is>
      </c>
      <c r="B706" s="14" t="inlineStr">
        <is>
          <t>Nails</t>
        </is>
      </c>
      <c r="C706" s="13" t="inlineStr">
        <is>
          <t>L.S.</t>
        </is>
      </c>
      <c r="D706" s="15" t="n">
        <v>26.91</v>
      </c>
      <c r="E706" s="16" t="n">
        <v>2</v>
      </c>
      <c r="F706" s="16">
        <f>D706*E706</f>
        <v/>
      </c>
    </row>
    <row r="707">
      <c r="A707" s="13" t="inlineStr">
        <is>
          <t>0111</t>
        </is>
      </c>
      <c r="B707" s="14" t="inlineStr">
        <is>
          <t>Carpenter 1st class</t>
        </is>
      </c>
      <c r="C707" s="13" t="inlineStr">
        <is>
          <t>day</t>
        </is>
      </c>
      <c r="D707" s="15" t="n">
        <v>2.5</v>
      </c>
      <c r="E707" s="16" t="n">
        <v>738</v>
      </c>
      <c r="F707" s="16">
        <f>D707*E707</f>
        <v/>
      </c>
    </row>
    <row r="708">
      <c r="A708" s="13" t="inlineStr">
        <is>
          <t>0114</t>
        </is>
      </c>
      <c r="B708" s="14" t="inlineStr">
        <is>
          <t>Beldar</t>
        </is>
      </c>
      <c r="C708" s="13" t="inlineStr">
        <is>
          <t>day</t>
        </is>
      </c>
      <c r="D708" s="15" t="n">
        <v>2</v>
      </c>
      <c r="E708" s="16" t="n">
        <v>558</v>
      </c>
      <c r="F708" s="16">
        <f>D708*E708</f>
        <v/>
      </c>
    </row>
    <row r="709">
      <c r="A709" s="13" t="inlineStr">
        <is>
          <t>9999</t>
        </is>
      </c>
      <c r="B709" s="14" t="inlineStr">
        <is>
          <t>Scaffolding</t>
        </is>
      </c>
      <c r="C709" s="13" t="inlineStr">
        <is>
          <t>L.S.</t>
        </is>
      </c>
      <c r="D709" s="15" t="n">
        <v>31.07</v>
      </c>
      <c r="E709" s="16" t="n">
        <v>2</v>
      </c>
      <c r="F709" s="16">
        <f>D709*E709</f>
        <v/>
      </c>
    </row>
    <row r="710">
      <c r="A710" s="13" t="inlineStr">
        <is>
          <t>9999</t>
        </is>
      </c>
      <c r="B710" s="14" t="inlineStr">
        <is>
          <t>Sundries</t>
        </is>
      </c>
      <c r="C710" s="13" t="inlineStr">
        <is>
          <t>L.S.</t>
        </is>
      </c>
      <c r="D710" s="15" t="n">
        <v>31.07</v>
      </c>
      <c r="E710" s="16" t="n">
        <v>2</v>
      </c>
      <c r="F710" s="16">
        <f>D710*E710</f>
        <v/>
      </c>
    </row>
    <row r="711">
      <c r="A711" s="17" t="inlineStr">
        <is>
          <t>Resource Total (Material + Labour + Machinery, as printed)</t>
        </is>
      </c>
      <c r="B711" s="18" t="n"/>
      <c r="C711" s="18" t="n"/>
      <c r="D711" s="18" t="n"/>
      <c r="E711" s="18" t="n"/>
      <c r="F711" s="19">
        <f>SUM(F704:F710)</f>
        <v/>
      </c>
    </row>
    <row r="712">
      <c r="A712" s="20" t="inlineStr">
        <is>
          <t>SAY (Rs.) — final DAR rate</t>
        </is>
      </c>
      <c r="B712" s="21" t="n"/>
      <c r="C712" s="21" t="n"/>
      <c r="D712" s="21" t="n"/>
      <c r="E712" s="21" t="n"/>
      <c r="F712" s="22" t="n">
        <v>733.05</v>
      </c>
    </row>
    <row r="714" ht="18" customHeight="1">
      <c r="A714" s="9" t="inlineStr">
        <is>
          <t>12.26.2</t>
        </is>
      </c>
      <c r="B714" s="10" t="inlineStr">
        <is>
          <t>6 mm thick Cement bonded wood particle board as per IS:14276</t>
        </is>
      </c>
      <c r="C714" s="11" t="n"/>
      <c r="D714" s="11" t="n"/>
      <c r="E714" s="11" t="n"/>
      <c r="F714" s="11" t="n"/>
    </row>
    <row r="715">
      <c r="A715" s="12" t="inlineStr">
        <is>
          <t>Rate basis: per sqm  (source: cost for 10 sqm)</t>
        </is>
      </c>
    </row>
    <row r="716">
      <c r="A716" s="5" t="inlineStr">
        <is>
          <t>Code</t>
        </is>
      </c>
      <c r="B716" s="5" t="inlineStr">
        <is>
          <t>Description</t>
        </is>
      </c>
      <c r="C716" s="5" t="inlineStr">
        <is>
          <t>Unit</t>
        </is>
      </c>
      <c r="D716" s="5" t="inlineStr">
        <is>
          <t>Quantity</t>
        </is>
      </c>
      <c r="E716" s="5" t="inlineStr">
        <is>
          <t>Rate (Rs.)</t>
        </is>
      </c>
      <c r="F716" s="5" t="inlineStr">
        <is>
          <t>Amount (Rs.)</t>
        </is>
      </c>
    </row>
    <row r="717">
      <c r="A717" s="13" t="inlineStr">
        <is>
          <t>0242</t>
        </is>
      </c>
      <c r="B717" s="14" t="inlineStr">
        <is>
          <t>6 mm thick multi purpose cement bonded wood particle board</t>
        </is>
      </c>
      <c r="C717" s="13" t="inlineStr">
        <is>
          <t>sqm</t>
        </is>
      </c>
      <c r="D717" s="15" t="n">
        <v>11</v>
      </c>
      <c r="E717" s="16" t="n">
        <v>195</v>
      </c>
      <c r="F717" s="16">
        <f>D717*E717</f>
        <v/>
      </c>
    </row>
    <row r="718">
      <c r="A718" s="13" t="inlineStr">
        <is>
          <t>9977</t>
        </is>
      </c>
      <c r="B718" s="14" t="inlineStr">
        <is>
          <t>Carriage</t>
        </is>
      </c>
      <c r="C718" s="13" t="inlineStr">
        <is>
          <t>L.S.</t>
        </is>
      </c>
      <c r="D718" s="15" t="n">
        <v>14.95</v>
      </c>
      <c r="E718" s="16" t="n">
        <v>2</v>
      </c>
      <c r="F718" s="16">
        <f>D718*E718</f>
        <v/>
      </c>
    </row>
    <row r="719">
      <c r="A719" s="13" t="inlineStr">
        <is>
          <t>9999</t>
        </is>
      </c>
      <c r="B719" s="14" t="inlineStr">
        <is>
          <t>Nails</t>
        </is>
      </c>
      <c r="C719" s="13" t="inlineStr">
        <is>
          <t>L.S.</t>
        </is>
      </c>
      <c r="D719" s="15" t="n">
        <v>26.91</v>
      </c>
      <c r="E719" s="16" t="n">
        <v>2</v>
      </c>
      <c r="F719" s="16">
        <f>D719*E719</f>
        <v/>
      </c>
    </row>
    <row r="720">
      <c r="A720" s="13" t="inlineStr">
        <is>
          <t>0111</t>
        </is>
      </c>
      <c r="B720" s="14" t="inlineStr">
        <is>
          <t>Carpenter 1st class</t>
        </is>
      </c>
      <c r="C720" s="13" t="inlineStr">
        <is>
          <t>day</t>
        </is>
      </c>
      <c r="D720" s="15" t="n">
        <v>2.5</v>
      </c>
      <c r="E720" s="16" t="n">
        <v>738</v>
      </c>
      <c r="F720" s="16">
        <f>D720*E720</f>
        <v/>
      </c>
    </row>
    <row r="721">
      <c r="A721" s="13" t="inlineStr">
        <is>
          <t>0114</t>
        </is>
      </c>
      <c r="B721" s="14" t="inlineStr">
        <is>
          <t>Beldar</t>
        </is>
      </c>
      <c r="C721" s="13" t="inlineStr">
        <is>
          <t>day</t>
        </is>
      </c>
      <c r="D721" s="15" t="n">
        <v>2</v>
      </c>
      <c r="E721" s="16" t="n">
        <v>558</v>
      </c>
      <c r="F721" s="16">
        <f>D721*E721</f>
        <v/>
      </c>
    </row>
    <row r="722">
      <c r="A722" s="13" t="inlineStr">
        <is>
          <t>9999</t>
        </is>
      </c>
      <c r="B722" s="14" t="inlineStr">
        <is>
          <t>Scaffolding</t>
        </is>
      </c>
      <c r="C722" s="13" t="inlineStr">
        <is>
          <t>L.S.</t>
        </is>
      </c>
      <c r="D722" s="15" t="n">
        <v>31.07</v>
      </c>
      <c r="E722" s="16" t="n">
        <v>2</v>
      </c>
      <c r="F722" s="16">
        <f>D722*E722</f>
        <v/>
      </c>
    </row>
    <row r="723">
      <c r="A723" s="13" t="inlineStr">
        <is>
          <t>9999</t>
        </is>
      </c>
      <c r="B723" s="14" t="inlineStr">
        <is>
          <t>Sundries</t>
        </is>
      </c>
      <c r="C723" s="13" t="inlineStr">
        <is>
          <t>L.S.</t>
        </is>
      </c>
      <c r="D723" s="15" t="n">
        <v>31.07</v>
      </c>
      <c r="E723" s="16" t="n">
        <v>2</v>
      </c>
      <c r="F723" s="16">
        <f>D723*E723</f>
        <v/>
      </c>
    </row>
    <row r="724">
      <c r="A724" s="17" t="inlineStr">
        <is>
          <t>Resource Total (Material + Labour + Machinery, as printed)</t>
        </is>
      </c>
      <c r="B724" s="18" t="n"/>
      <c r="C724" s="18" t="n"/>
      <c r="D724" s="18" t="n"/>
      <c r="E724" s="18" t="n"/>
      <c r="F724" s="19">
        <f>SUM(F717:F723)</f>
        <v/>
      </c>
    </row>
    <row r="725">
      <c r="A725" s="20" t="inlineStr">
        <is>
          <t>SAY (Rs.) — final DAR rate</t>
        </is>
      </c>
      <c r="B725" s="21" t="n"/>
      <c r="C725" s="21" t="n"/>
      <c r="D725" s="21" t="n"/>
      <c r="E725" s="21" t="n"/>
      <c r="F725" s="22" t="n">
        <v>711</v>
      </c>
    </row>
    <row r="727" ht="18" customHeight="1">
      <c r="A727" s="9" t="inlineStr">
        <is>
          <t>12.27.1</t>
        </is>
      </c>
      <c r="B727" s="10" t="inlineStr">
        <is>
          <t>2nd class teak wood planks 20 mm thick</t>
        </is>
      </c>
      <c r="C727" s="11" t="n"/>
      <c r="D727" s="11" t="n"/>
      <c r="E727" s="11" t="n"/>
      <c r="F727" s="11" t="n"/>
    </row>
    <row r="728">
      <c r="A728" s="12" t="inlineStr">
        <is>
          <t>Rate basis: per holes  (source: cost for 10 holes)</t>
        </is>
      </c>
    </row>
    <row r="729">
      <c r="A729" s="5" t="inlineStr">
        <is>
          <t>Code</t>
        </is>
      </c>
      <c r="B729" s="5" t="inlineStr">
        <is>
          <t>Description</t>
        </is>
      </c>
      <c r="C729" s="5" t="inlineStr">
        <is>
          <t>Unit</t>
        </is>
      </c>
      <c r="D729" s="5" t="inlineStr">
        <is>
          <t>Quantity</t>
        </is>
      </c>
      <c r="E729" s="5" t="inlineStr">
        <is>
          <t>Rate (Rs.)</t>
        </is>
      </c>
      <c r="F729" s="5" t="inlineStr">
        <is>
          <t>Amount (Rs.)</t>
        </is>
      </c>
    </row>
    <row r="730">
      <c r="A730" s="13" t="inlineStr">
        <is>
          <t>2204</t>
        </is>
      </c>
      <c r="B730" s="14" t="inlineStr">
        <is>
          <t>Carriage of Timber</t>
        </is>
      </c>
      <c r="C730" s="13" t="inlineStr">
        <is>
          <t>cum</t>
        </is>
      </c>
      <c r="D730" s="15" t="n">
        <v>0.041</v>
      </c>
      <c r="E730" s="16" t="n">
        <v>118.59</v>
      </c>
      <c r="F730" s="16">
        <f>D730*E730</f>
        <v/>
      </c>
    </row>
    <row r="731">
      <c r="A731" s="13" t="inlineStr">
        <is>
          <t>0637</t>
        </is>
      </c>
      <c r="B731" s="14" t="inlineStr">
        <is>
          <t>Bright finished or black enamelled mild steel screws 40 mm</t>
        </is>
      </c>
      <c r="C731" s="13" t="inlineStr">
        <is>
          <t>100 Nos</t>
        </is>
      </c>
      <c r="D731" s="15" t="n">
        <v>0.31</v>
      </c>
      <c r="E731" s="16" t="n">
        <v>60</v>
      </c>
      <c r="F731" s="16">
        <f>D731*E731</f>
        <v/>
      </c>
    </row>
    <row r="732">
      <c r="A732" s="13" t="inlineStr">
        <is>
          <t>0111</t>
        </is>
      </c>
      <c r="B732" s="14" t="inlineStr">
        <is>
          <t>Carpenter 1st class</t>
        </is>
      </c>
      <c r="C732" s="13" t="inlineStr">
        <is>
          <t>day</t>
        </is>
      </c>
      <c r="D732" s="15" t="n">
        <v>2.65</v>
      </c>
      <c r="E732" s="16" t="n">
        <v>738</v>
      </c>
      <c r="F732" s="16">
        <f>D732*E732</f>
        <v/>
      </c>
    </row>
    <row r="733">
      <c r="A733" s="13" t="inlineStr">
        <is>
          <t>0112</t>
        </is>
      </c>
      <c r="B733" s="14" t="inlineStr">
        <is>
          <t>Carpenter 2nd class</t>
        </is>
      </c>
      <c r="C733" s="13" t="inlineStr">
        <is>
          <t>day</t>
        </is>
      </c>
      <c r="D733" s="15" t="n">
        <v>0.145</v>
      </c>
      <c r="E733" s="16" t="n">
        <v>679</v>
      </c>
      <c r="F733" s="16">
        <f>D733*E733</f>
        <v/>
      </c>
    </row>
    <row r="734">
      <c r="A734" s="13" t="inlineStr">
        <is>
          <t>0114</t>
        </is>
      </c>
      <c r="B734" s="14" t="inlineStr">
        <is>
          <t>Beldar</t>
        </is>
      </c>
      <c r="C734" s="13" t="inlineStr">
        <is>
          <t>day</t>
        </is>
      </c>
      <c r="D734" s="15" t="n">
        <v>2.79</v>
      </c>
      <c r="E734" s="16" t="n">
        <v>558</v>
      </c>
      <c r="F734" s="16">
        <f>D734*E734</f>
        <v/>
      </c>
    </row>
    <row r="735">
      <c r="A735" s="13" t="inlineStr">
        <is>
          <t>9999</t>
        </is>
      </c>
      <c r="B735" s="14" t="inlineStr">
        <is>
          <t>Scaffolding</t>
        </is>
      </c>
      <c r="C735" s="13" t="inlineStr">
        <is>
          <t>L.S.</t>
        </is>
      </c>
      <c r="D735" s="15" t="n">
        <v>7.8</v>
      </c>
      <c r="E735" s="16" t="n">
        <v>2</v>
      </c>
      <c r="F735" s="16">
        <f>D735*E735</f>
        <v/>
      </c>
    </row>
    <row r="736">
      <c r="A736" s="13" t="inlineStr">
        <is>
          <t>9999</t>
        </is>
      </c>
      <c r="B736" s="14" t="inlineStr">
        <is>
          <t>Sundries</t>
        </is>
      </c>
      <c r="C736" s="13" t="inlineStr">
        <is>
          <t>L.S.</t>
        </is>
      </c>
      <c r="D736" s="15" t="n">
        <v>14.69</v>
      </c>
      <c r="E736" s="16" t="n">
        <v>2</v>
      </c>
      <c r="F736" s="16">
        <f>D736*E736</f>
        <v/>
      </c>
    </row>
    <row r="737">
      <c r="A737" s="17" t="inlineStr">
        <is>
          <t>Resource Total (Material + Labour + Machinery, as printed)</t>
        </is>
      </c>
      <c r="B737" s="18" t="n"/>
      <c r="C737" s="18" t="n"/>
      <c r="D737" s="18" t="n"/>
      <c r="E737" s="18" t="n"/>
      <c r="F737" s="19">
        <f>SUM(F730:F736)</f>
        <v/>
      </c>
    </row>
    <row r="738">
      <c r="A738" s="20" t="inlineStr">
        <is>
          <t>SAY (Rs.) — final DAR rate</t>
        </is>
      </c>
      <c r="B738" s="21" t="n"/>
      <c r="C738" s="21" t="n"/>
      <c r="D738" s="21" t="n"/>
      <c r="E738" s="21" t="n"/>
      <c r="F738" s="22" t="n">
        <v>603.05</v>
      </c>
    </row>
    <row r="740" ht="18" customHeight="1">
      <c r="A740" s="9" t="inlineStr">
        <is>
          <t>12.27.2.1</t>
        </is>
      </c>
      <c r="B740" s="10" t="inlineStr">
        <is>
          <t>12 mm thick</t>
        </is>
      </c>
      <c r="C740" s="11" t="n"/>
      <c r="D740" s="11" t="n"/>
      <c r="E740" s="11" t="n"/>
      <c r="F740" s="11" t="n"/>
    </row>
    <row r="741">
      <c r="A741" s="12" t="inlineStr">
        <is>
          <t>Rate basis: per holes  (source: cost for 10 holes)</t>
        </is>
      </c>
    </row>
    <row r="742">
      <c r="A742" s="5" t="inlineStr">
        <is>
          <t>Code</t>
        </is>
      </c>
      <c r="B742" s="5" t="inlineStr">
        <is>
          <t>Description</t>
        </is>
      </c>
      <c r="C742" s="5" t="inlineStr">
        <is>
          <t>Unit</t>
        </is>
      </c>
      <c r="D742" s="5" t="inlineStr">
        <is>
          <t>Quantity</t>
        </is>
      </c>
      <c r="E742" s="5" t="inlineStr">
        <is>
          <t>Rate (Rs.)</t>
        </is>
      </c>
      <c r="F742" s="5" t="inlineStr">
        <is>
          <t>Amount (Rs.)</t>
        </is>
      </c>
    </row>
    <row r="743">
      <c r="A743" s="13" t="inlineStr">
        <is>
          <t>0332</t>
        </is>
      </c>
      <c r="B743" s="14" t="inlineStr">
        <is>
          <t>Natural colour insulating board: 12 mm thick</t>
        </is>
      </c>
      <c r="C743" s="13" t="inlineStr">
        <is>
          <t>sqm</t>
        </is>
      </c>
      <c r="D743" s="15" t="n">
        <v>2.15</v>
      </c>
      <c r="E743" s="16" t="n">
        <v>210</v>
      </c>
      <c r="F743" s="16">
        <f>D743*E743</f>
        <v/>
      </c>
    </row>
    <row r="744">
      <c r="A744" s="13" t="inlineStr">
        <is>
          <t>9977</t>
        </is>
      </c>
      <c r="B744" s="14" t="inlineStr">
        <is>
          <t>Carriage</t>
        </is>
      </c>
      <c r="C744" s="13" t="inlineStr">
        <is>
          <t>L.S.</t>
        </is>
      </c>
      <c r="D744" s="15" t="n">
        <v>3.38</v>
      </c>
      <c r="E744" s="16" t="n">
        <v>2</v>
      </c>
      <c r="F744" s="16">
        <f>D744*E744</f>
        <v/>
      </c>
    </row>
    <row r="745">
      <c r="A745" s="13" t="inlineStr">
        <is>
          <t>9999</t>
        </is>
      </c>
      <c r="B745" s="14" t="inlineStr">
        <is>
          <t>Nails</t>
        </is>
      </c>
      <c r="C745" s="13" t="inlineStr">
        <is>
          <t>L.S.</t>
        </is>
      </c>
      <c r="D745" s="15" t="n">
        <v>5.33</v>
      </c>
      <c r="E745" s="16" t="n">
        <v>2</v>
      </c>
      <c r="F745" s="16">
        <f>D745*E745</f>
        <v/>
      </c>
    </row>
    <row r="746">
      <c r="A746" s="13" t="inlineStr">
        <is>
          <t>0111</t>
        </is>
      </c>
      <c r="B746" s="14" t="inlineStr">
        <is>
          <t>Carpenter 1st class</t>
        </is>
      </c>
      <c r="C746" s="13" t="inlineStr">
        <is>
          <t>day</t>
        </is>
      </c>
      <c r="D746" s="15" t="n">
        <v>0.49</v>
      </c>
      <c r="E746" s="16" t="n">
        <v>738</v>
      </c>
      <c r="F746" s="16">
        <f>D746*E746</f>
        <v/>
      </c>
    </row>
    <row r="747">
      <c r="A747" s="13" t="inlineStr">
        <is>
          <t>0114</t>
        </is>
      </c>
      <c r="B747" s="14" t="inlineStr">
        <is>
          <t>Beldar</t>
        </is>
      </c>
      <c r="C747" s="13" t="inlineStr">
        <is>
          <t>day</t>
        </is>
      </c>
      <c r="D747" s="15" t="n">
        <v>0.39</v>
      </c>
      <c r="E747" s="16" t="n">
        <v>558</v>
      </c>
      <c r="F747" s="16">
        <f>D747*E747</f>
        <v/>
      </c>
    </row>
    <row r="748">
      <c r="A748" s="13" t="inlineStr">
        <is>
          <t>9999</t>
        </is>
      </c>
      <c r="B748" s="14" t="inlineStr">
        <is>
          <t>Scaffolding</t>
        </is>
      </c>
      <c r="C748" s="13" t="inlineStr">
        <is>
          <t>L.S.</t>
        </is>
      </c>
      <c r="D748" s="15" t="n">
        <v>6.11</v>
      </c>
      <c r="E748" s="16" t="n">
        <v>2</v>
      </c>
      <c r="F748" s="16">
        <f>D748*E748</f>
        <v/>
      </c>
    </row>
    <row r="749">
      <c r="A749" s="13" t="inlineStr">
        <is>
          <t>9999</t>
        </is>
      </c>
      <c r="B749" s="14" t="inlineStr">
        <is>
          <t>Sundries</t>
        </is>
      </c>
      <c r="C749" s="13" t="inlineStr">
        <is>
          <t>L.S.</t>
        </is>
      </c>
      <c r="D749" s="15" t="n">
        <v>6.11</v>
      </c>
      <c r="E749" s="16" t="n">
        <v>2</v>
      </c>
      <c r="F749" s="16">
        <f>D749*E749</f>
        <v/>
      </c>
    </row>
    <row r="750">
      <c r="A750" s="13" t="inlineStr">
        <is>
          <t>0111</t>
        </is>
      </c>
      <c r="B750" s="14" t="inlineStr">
        <is>
          <t>Carpenter 1st class</t>
        </is>
      </c>
      <c r="C750" s="13" t="inlineStr">
        <is>
          <t>day</t>
        </is>
      </c>
      <c r="D750" s="15" t="n">
        <v>2.5</v>
      </c>
      <c r="E750" s="16" t="n">
        <v>738</v>
      </c>
      <c r="F750" s="16">
        <f>D750*E750</f>
        <v/>
      </c>
    </row>
    <row r="751">
      <c r="A751" s="13" t="inlineStr">
        <is>
          <t>0114</t>
        </is>
      </c>
      <c r="B751" s="14" t="inlineStr">
        <is>
          <t>Beldar</t>
        </is>
      </c>
      <c r="C751" s="13" t="inlineStr">
        <is>
          <t>day</t>
        </is>
      </c>
      <c r="D751" s="15" t="n">
        <v>2.5</v>
      </c>
      <c r="E751" s="16" t="n">
        <v>558</v>
      </c>
      <c r="F751" s="16">
        <f>D751*E751</f>
        <v/>
      </c>
    </row>
    <row r="752">
      <c r="A752" s="13" t="inlineStr">
        <is>
          <t>9999</t>
        </is>
      </c>
      <c r="B752" s="14" t="inlineStr">
        <is>
          <t>Scaffolding</t>
        </is>
      </c>
      <c r="C752" s="13" t="inlineStr">
        <is>
          <t>L.S.</t>
        </is>
      </c>
      <c r="D752" s="15" t="n">
        <v>10.79</v>
      </c>
      <c r="E752" s="16" t="n">
        <v>2</v>
      </c>
      <c r="F752" s="16">
        <f>D752*E752</f>
        <v/>
      </c>
    </row>
    <row r="753">
      <c r="A753" s="17" t="inlineStr">
        <is>
          <t>Resource Total (Material + Labour + Machinery, as printed)</t>
        </is>
      </c>
      <c r="B753" s="18" t="n"/>
      <c r="C753" s="18" t="n"/>
      <c r="D753" s="18" t="n"/>
      <c r="E753" s="18" t="n"/>
      <c r="F753" s="19">
        <f>SUM(F743:F752)</f>
        <v/>
      </c>
    </row>
    <row r="754">
      <c r="A754" s="20" t="inlineStr">
        <is>
          <t>SAY (Rs.) — final DAR rate</t>
        </is>
      </c>
      <c r="B754" s="21" t="n"/>
      <c r="C754" s="21" t="n"/>
      <c r="D754" s="21" t="n"/>
      <c r="E754" s="21" t="n"/>
      <c r="F754" s="22" t="n">
        <v>369.1</v>
      </c>
    </row>
    <row r="756" ht="18" customHeight="1">
      <c r="A756" s="9" t="inlineStr">
        <is>
          <t>12.27.3.1</t>
        </is>
      </c>
      <c r="B756" s="10" t="inlineStr">
        <is>
          <t>12 mm thick</t>
        </is>
      </c>
      <c r="C756" s="11" t="n"/>
      <c r="D756" s="11" t="n"/>
      <c r="E756" s="11" t="n"/>
      <c r="F756" s="11" t="n"/>
    </row>
    <row r="757">
      <c r="A757" s="12" t="inlineStr">
        <is>
          <t>Rate basis: per metre  (source: cost for 15.71 metre)</t>
        </is>
      </c>
    </row>
    <row r="758">
      <c r="A758" s="5" t="inlineStr">
        <is>
          <t>Code</t>
        </is>
      </c>
      <c r="B758" s="5" t="inlineStr">
        <is>
          <t>Description</t>
        </is>
      </c>
      <c r="C758" s="5" t="inlineStr">
        <is>
          <t>Unit</t>
        </is>
      </c>
      <c r="D758" s="5" t="inlineStr">
        <is>
          <t>Quantity</t>
        </is>
      </c>
      <c r="E758" s="5" t="inlineStr">
        <is>
          <t>Rate (Rs.)</t>
        </is>
      </c>
      <c r="F758" s="5" t="inlineStr">
        <is>
          <t>Amount (Rs.)</t>
        </is>
      </c>
    </row>
    <row r="759">
      <c r="A759" s="13" t="inlineStr">
        <is>
          <t>0328</t>
        </is>
      </c>
      <c r="B759" s="14" t="inlineStr">
        <is>
          <t>White face insulating board:12 mm thick</t>
        </is>
      </c>
      <c r="C759" s="13" t="inlineStr">
        <is>
          <t>sqm</t>
        </is>
      </c>
      <c r="D759" s="15" t="n">
        <v>2.15</v>
      </c>
      <c r="E759" s="16" t="n">
        <v>235</v>
      </c>
      <c r="F759" s="16">
        <f>D759*E759</f>
        <v/>
      </c>
    </row>
    <row r="760">
      <c r="A760" s="13" t="inlineStr">
        <is>
          <t>9977</t>
        </is>
      </c>
      <c r="B760" s="14" t="inlineStr">
        <is>
          <t>Carriage</t>
        </is>
      </c>
      <c r="C760" s="13" t="inlineStr">
        <is>
          <t>L.S.</t>
        </is>
      </c>
      <c r="D760" s="15" t="n">
        <v>3.38</v>
      </c>
      <c r="E760" s="16" t="n">
        <v>2</v>
      </c>
      <c r="F760" s="16">
        <f>D760*E760</f>
        <v/>
      </c>
    </row>
    <row r="761">
      <c r="A761" s="13" t="inlineStr">
        <is>
          <t>9999</t>
        </is>
      </c>
      <c r="B761" s="14" t="inlineStr">
        <is>
          <t>Nails</t>
        </is>
      </c>
      <c r="C761" s="13" t="inlineStr">
        <is>
          <t>L.S.</t>
        </is>
      </c>
      <c r="D761" s="15" t="n">
        <v>5.33</v>
      </c>
      <c r="E761" s="16" t="n">
        <v>2</v>
      </c>
      <c r="F761" s="16">
        <f>D761*E761</f>
        <v/>
      </c>
    </row>
    <row r="762">
      <c r="A762" s="13" t="inlineStr">
        <is>
          <t>0111</t>
        </is>
      </c>
      <c r="B762" s="14" t="inlineStr">
        <is>
          <t>Carpenter 1st class</t>
        </is>
      </c>
      <c r="C762" s="13" t="inlineStr">
        <is>
          <t>day</t>
        </is>
      </c>
      <c r="D762" s="15" t="n">
        <v>0.49</v>
      </c>
      <c r="E762" s="16" t="n">
        <v>738</v>
      </c>
      <c r="F762" s="16">
        <f>D762*E762</f>
        <v/>
      </c>
    </row>
    <row r="763">
      <c r="A763" s="13" t="inlineStr">
        <is>
          <t>0114</t>
        </is>
      </c>
      <c r="B763" s="14" t="inlineStr">
        <is>
          <t>Beldar</t>
        </is>
      </c>
      <c r="C763" s="13" t="inlineStr">
        <is>
          <t>day</t>
        </is>
      </c>
      <c r="D763" s="15" t="n">
        <v>0.39</v>
      </c>
      <c r="E763" s="16" t="n">
        <v>558</v>
      </c>
      <c r="F763" s="16">
        <f>D763*E763</f>
        <v/>
      </c>
    </row>
    <row r="764">
      <c r="A764" s="13" t="inlineStr">
        <is>
          <t>9999</t>
        </is>
      </c>
      <c r="B764" s="14" t="inlineStr">
        <is>
          <t>Scaffolding</t>
        </is>
      </c>
      <c r="C764" s="13" t="inlineStr">
        <is>
          <t>L.S.</t>
        </is>
      </c>
      <c r="D764" s="15" t="n">
        <v>6.11</v>
      </c>
      <c r="E764" s="16" t="n">
        <v>2</v>
      </c>
      <c r="F764" s="16">
        <f>D764*E764</f>
        <v/>
      </c>
    </row>
    <row r="765">
      <c r="A765" s="13" t="inlineStr">
        <is>
          <t>9999</t>
        </is>
      </c>
      <c r="B765" s="14" t="inlineStr">
        <is>
          <t>Sundries</t>
        </is>
      </c>
      <c r="C765" s="13" t="inlineStr">
        <is>
          <t>L.S.</t>
        </is>
      </c>
      <c r="D765" s="15" t="n">
        <v>6.11</v>
      </c>
      <c r="E765" s="16" t="n">
        <v>2</v>
      </c>
      <c r="F765" s="16">
        <f>D765*E765</f>
        <v/>
      </c>
    </row>
    <row r="766">
      <c r="A766" s="13" t="inlineStr">
        <is>
          <t>0111</t>
        </is>
      </c>
      <c r="B766" s="14" t="inlineStr">
        <is>
          <t>Carpenter 1st class</t>
        </is>
      </c>
      <c r="C766" s="13" t="inlineStr">
        <is>
          <t>day</t>
        </is>
      </c>
      <c r="D766" s="15" t="n">
        <v>2.5</v>
      </c>
      <c r="E766" s="16" t="n">
        <v>738</v>
      </c>
      <c r="F766" s="16">
        <f>D766*E766</f>
        <v/>
      </c>
    </row>
    <row r="767">
      <c r="A767" s="13" t="inlineStr">
        <is>
          <t>0114</t>
        </is>
      </c>
      <c r="B767" s="14" t="inlineStr">
        <is>
          <t>Beldar</t>
        </is>
      </c>
      <c r="C767" s="13" t="inlineStr">
        <is>
          <t>day</t>
        </is>
      </c>
      <c r="D767" s="15" t="n">
        <v>2.5</v>
      </c>
      <c r="E767" s="16" t="n">
        <v>558</v>
      </c>
      <c r="F767" s="16">
        <f>D767*E767</f>
        <v/>
      </c>
    </row>
    <row r="768">
      <c r="A768" s="13" t="inlineStr">
        <is>
          <t>9999</t>
        </is>
      </c>
      <c r="B768" s="14" t="inlineStr">
        <is>
          <t>Scaffolding</t>
        </is>
      </c>
      <c r="C768" s="13" t="inlineStr">
        <is>
          <t>L.S.</t>
        </is>
      </c>
      <c r="D768" s="15" t="n">
        <v>10.79</v>
      </c>
      <c r="E768" s="16" t="n">
        <v>2</v>
      </c>
      <c r="F768" s="16">
        <f>D768*E768</f>
        <v/>
      </c>
    </row>
    <row r="769">
      <c r="A769" s="17" t="inlineStr">
        <is>
          <t>Resource Total (Material + Labour + Machinery, as printed)</t>
        </is>
      </c>
      <c r="B769" s="18" t="n"/>
      <c r="C769" s="18" t="n"/>
      <c r="D769" s="18" t="n"/>
      <c r="E769" s="18" t="n"/>
      <c r="F769" s="19">
        <f>SUM(F759:F768)</f>
        <v/>
      </c>
    </row>
    <row r="770">
      <c r="A770" s="20" t="inlineStr">
        <is>
          <t>SAY (Rs.) — final DAR rate</t>
        </is>
      </c>
      <c r="B770" s="21" t="n"/>
      <c r="C770" s="21" t="n"/>
      <c r="D770" s="21" t="n"/>
      <c r="E770" s="21" t="n"/>
      <c r="F770" s="22" t="n">
        <v>373.7</v>
      </c>
    </row>
    <row r="772" ht="18" customHeight="1">
      <c r="A772" s="9" t="inlineStr">
        <is>
          <t>12.27.4.1</t>
        </is>
      </c>
      <c r="B772" s="10" t="inlineStr">
        <is>
          <t>12 mm thick</t>
        </is>
      </c>
      <c r="C772" s="11" t="n"/>
      <c r="D772" s="11" t="n"/>
      <c r="E772" s="11" t="n"/>
      <c r="F772" s="11" t="n"/>
    </row>
    <row r="773">
      <c r="A773" s="12" t="inlineStr">
        <is>
          <t>Rate basis: per metre  (source: cost for 15.71 metre)</t>
        </is>
      </c>
    </row>
    <row r="774">
      <c r="A774" s="5" t="inlineStr">
        <is>
          <t>Code</t>
        </is>
      </c>
      <c r="B774" s="5" t="inlineStr">
        <is>
          <t>Description</t>
        </is>
      </c>
      <c r="C774" s="5" t="inlineStr">
        <is>
          <t>Unit</t>
        </is>
      </c>
      <c r="D774" s="5" t="inlineStr">
        <is>
          <t>Quantity</t>
        </is>
      </c>
      <c r="E774" s="5" t="inlineStr">
        <is>
          <t>Rate (Rs.)</t>
        </is>
      </c>
      <c r="F774" s="5" t="inlineStr">
        <is>
          <t>Amount (Rs.)</t>
        </is>
      </c>
    </row>
    <row r="775">
      <c r="A775" s="13" t="inlineStr">
        <is>
          <t>0336</t>
        </is>
      </c>
      <c r="B775" s="14" t="inlineStr">
        <is>
          <t>Flame retardent face insulating board: 12 mm thick</t>
        </is>
      </c>
      <c r="C775" s="13" t="inlineStr">
        <is>
          <t>sqm</t>
        </is>
      </c>
      <c r="D775" s="15" t="n">
        <v>2.15</v>
      </c>
      <c r="E775" s="16" t="n">
        <v>320</v>
      </c>
      <c r="F775" s="16">
        <f>D775*E775</f>
        <v/>
      </c>
    </row>
    <row r="776">
      <c r="A776" s="13" t="inlineStr">
        <is>
          <t>9977</t>
        </is>
      </c>
      <c r="B776" s="14" t="inlineStr">
        <is>
          <t>Carriage</t>
        </is>
      </c>
      <c r="C776" s="13" t="inlineStr">
        <is>
          <t>L.S.</t>
        </is>
      </c>
      <c r="D776" s="15" t="n">
        <v>3.38</v>
      </c>
      <c r="E776" s="16" t="n">
        <v>2</v>
      </c>
      <c r="F776" s="16">
        <f>D776*E776</f>
        <v/>
      </c>
    </row>
    <row r="777">
      <c r="A777" s="13" t="inlineStr">
        <is>
          <t>9999</t>
        </is>
      </c>
      <c r="B777" s="14" t="inlineStr">
        <is>
          <t>Nails</t>
        </is>
      </c>
      <c r="C777" s="13" t="inlineStr">
        <is>
          <t>L.S.</t>
        </is>
      </c>
      <c r="D777" s="15" t="n">
        <v>5.33</v>
      </c>
      <c r="E777" s="16" t="n">
        <v>2</v>
      </c>
      <c r="F777" s="16">
        <f>D777*E777</f>
        <v/>
      </c>
    </row>
    <row r="778">
      <c r="A778" s="13" t="inlineStr">
        <is>
          <t>0111</t>
        </is>
      </c>
      <c r="B778" s="14" t="inlineStr">
        <is>
          <t>Carpenter 1st class</t>
        </is>
      </c>
      <c r="C778" s="13" t="inlineStr">
        <is>
          <t>day</t>
        </is>
      </c>
      <c r="D778" s="15" t="n">
        <v>0.49</v>
      </c>
      <c r="E778" s="16" t="n">
        <v>738</v>
      </c>
      <c r="F778" s="16">
        <f>D778*E778</f>
        <v/>
      </c>
    </row>
    <row r="779">
      <c r="A779" s="13" t="inlineStr">
        <is>
          <t>0114</t>
        </is>
      </c>
      <c r="B779" s="14" t="inlineStr">
        <is>
          <t>Beldar</t>
        </is>
      </c>
      <c r="C779" s="13" t="inlineStr">
        <is>
          <t>day</t>
        </is>
      </c>
      <c r="D779" s="15" t="n">
        <v>0.39</v>
      </c>
      <c r="E779" s="16" t="n">
        <v>558</v>
      </c>
      <c r="F779" s="16">
        <f>D779*E779</f>
        <v/>
      </c>
    </row>
    <row r="780">
      <c r="A780" s="13" t="inlineStr">
        <is>
          <t>9999</t>
        </is>
      </c>
      <c r="B780" s="14" t="inlineStr">
        <is>
          <t>Scaffolding</t>
        </is>
      </c>
      <c r="C780" s="13" t="inlineStr">
        <is>
          <t>L.S.</t>
        </is>
      </c>
      <c r="D780" s="15" t="n">
        <v>6.11</v>
      </c>
      <c r="E780" s="16" t="n">
        <v>2</v>
      </c>
      <c r="F780" s="16">
        <f>D780*E780</f>
        <v/>
      </c>
    </row>
    <row r="781">
      <c r="A781" s="13" t="inlineStr">
        <is>
          <t>9999</t>
        </is>
      </c>
      <c r="B781" s="14" t="inlineStr">
        <is>
          <t>Sundries</t>
        </is>
      </c>
      <c r="C781" s="13" t="inlineStr">
        <is>
          <t>L.S.</t>
        </is>
      </c>
      <c r="D781" s="15" t="n">
        <v>6.11</v>
      </c>
      <c r="E781" s="16" t="n">
        <v>2</v>
      </c>
      <c r="F781" s="16">
        <f>D781*E781</f>
        <v/>
      </c>
    </row>
    <row r="782">
      <c r="A782" s="13" t="inlineStr">
        <is>
          <t>0111</t>
        </is>
      </c>
      <c r="B782" s="14" t="inlineStr">
        <is>
          <t>Carpenter 1st class</t>
        </is>
      </c>
      <c r="C782" s="13" t="inlineStr">
        <is>
          <t>day</t>
        </is>
      </c>
      <c r="D782" s="15" t="n">
        <v>2.5</v>
      </c>
      <c r="E782" s="16" t="n">
        <v>738</v>
      </c>
      <c r="F782" s="16">
        <f>D782*E782</f>
        <v/>
      </c>
    </row>
    <row r="783">
      <c r="A783" s="13" t="inlineStr">
        <is>
          <t>0114</t>
        </is>
      </c>
      <c r="B783" s="14" t="inlineStr">
        <is>
          <t>Beldar</t>
        </is>
      </c>
      <c r="C783" s="13" t="inlineStr">
        <is>
          <t>day</t>
        </is>
      </c>
      <c r="D783" s="15" t="n">
        <v>2.5</v>
      </c>
      <c r="E783" s="16" t="n">
        <v>558</v>
      </c>
      <c r="F783" s="16">
        <f>D783*E783</f>
        <v/>
      </c>
    </row>
    <row r="784">
      <c r="A784" s="13" t="inlineStr">
        <is>
          <t>9999</t>
        </is>
      </c>
      <c r="B784" s="14" t="inlineStr">
        <is>
          <t>Scaffolding</t>
        </is>
      </c>
      <c r="C784" s="13" t="inlineStr">
        <is>
          <t>L.S.</t>
        </is>
      </c>
      <c r="D784" s="15" t="n">
        <v>10.79</v>
      </c>
      <c r="E784" s="16" t="n">
        <v>2</v>
      </c>
      <c r="F784" s="16">
        <f>D784*E784</f>
        <v/>
      </c>
    </row>
    <row r="785">
      <c r="A785" s="17" t="inlineStr">
        <is>
          <t>Resource Total (Material + Labour + Machinery, as printed)</t>
        </is>
      </c>
      <c r="B785" s="18" t="n"/>
      <c r="C785" s="18" t="n"/>
      <c r="D785" s="18" t="n"/>
      <c r="E785" s="18" t="n"/>
      <c r="F785" s="19">
        <f>SUM(F775:F784)</f>
        <v/>
      </c>
    </row>
    <row r="786">
      <c r="A786" s="20" t="inlineStr">
        <is>
          <t>SAY (Rs.) — final DAR rate</t>
        </is>
      </c>
      <c r="B786" s="21" t="n"/>
      <c r="C786" s="21" t="n"/>
      <c r="D786" s="21" t="n"/>
      <c r="E786" s="21" t="n"/>
      <c r="F786" s="22" t="n">
        <v>389.25</v>
      </c>
    </row>
    <row r="788" ht="18" customHeight="1">
      <c r="A788" s="9" t="inlineStr">
        <is>
          <t>12.27.5.1</t>
        </is>
      </c>
      <c r="B788" s="10" t="inlineStr">
        <is>
          <t>3 mm thick</t>
        </is>
      </c>
      <c r="C788" s="11" t="n"/>
      <c r="D788" s="11" t="n"/>
      <c r="E788" s="11" t="n"/>
      <c r="F788" s="11" t="n"/>
    </row>
    <row r="789">
      <c r="A789" s="12" t="inlineStr">
        <is>
          <t>Rate basis: per metre  (source: cost for 15.71 metre)</t>
        </is>
      </c>
    </row>
    <row r="790">
      <c r="A790" s="5" t="inlineStr">
        <is>
          <t>Code</t>
        </is>
      </c>
      <c r="B790" s="5" t="inlineStr">
        <is>
          <t>Description</t>
        </is>
      </c>
      <c r="C790" s="5" t="inlineStr">
        <is>
          <t>Unit</t>
        </is>
      </c>
      <c r="D790" s="5" t="inlineStr">
        <is>
          <t>Quantity</t>
        </is>
      </c>
      <c r="E790" s="5" t="inlineStr">
        <is>
          <t>Rate (Rs.)</t>
        </is>
      </c>
      <c r="F790" s="5" t="inlineStr">
        <is>
          <t>Amount (Rs.)</t>
        </is>
      </c>
    </row>
    <row r="791">
      <c r="A791" s="13" t="inlineStr">
        <is>
          <t>0994</t>
        </is>
      </c>
      <c r="B791" s="14" t="inlineStr">
        <is>
          <t>Standard quality hard board sheet 3 mm thick</t>
        </is>
      </c>
      <c r="C791" s="13" t="inlineStr">
        <is>
          <t>sqm</t>
        </is>
      </c>
      <c r="D791" s="15" t="n">
        <v>2.15</v>
      </c>
      <c r="E791" s="16" t="n">
        <v>135</v>
      </c>
      <c r="F791" s="16">
        <f>D791*E791</f>
        <v/>
      </c>
    </row>
    <row r="792">
      <c r="A792" s="13" t="inlineStr">
        <is>
          <t>9977</t>
        </is>
      </c>
      <c r="B792" s="14" t="inlineStr">
        <is>
          <t>Carriage</t>
        </is>
      </c>
      <c r="C792" s="13" t="inlineStr">
        <is>
          <t>L.S.</t>
        </is>
      </c>
      <c r="D792" s="15" t="n">
        <v>2.73</v>
      </c>
      <c r="E792" s="16" t="n">
        <v>2</v>
      </c>
      <c r="F792" s="16">
        <f>D792*E792</f>
        <v/>
      </c>
    </row>
    <row r="793">
      <c r="A793" s="13" t="inlineStr">
        <is>
          <t>9999</t>
        </is>
      </c>
      <c r="B793" s="14" t="inlineStr">
        <is>
          <t>Nails</t>
        </is>
      </c>
      <c r="C793" s="13" t="inlineStr">
        <is>
          <t>L.S.</t>
        </is>
      </c>
      <c r="D793" s="15" t="n">
        <v>5.33</v>
      </c>
      <c r="E793" s="16" t="n">
        <v>2</v>
      </c>
      <c r="F793" s="16">
        <f>D793*E793</f>
        <v/>
      </c>
    </row>
    <row r="794">
      <c r="A794" s="13" t="inlineStr">
        <is>
          <t>0111</t>
        </is>
      </c>
      <c r="B794" s="14" t="inlineStr">
        <is>
          <t>Carpenter 1st class</t>
        </is>
      </c>
      <c r="C794" s="13" t="inlineStr">
        <is>
          <t>day</t>
        </is>
      </c>
      <c r="D794" s="15" t="n">
        <v>0.49</v>
      </c>
      <c r="E794" s="16" t="n">
        <v>738</v>
      </c>
      <c r="F794" s="16">
        <f>D794*E794</f>
        <v/>
      </c>
    </row>
    <row r="795">
      <c r="A795" s="13" t="inlineStr">
        <is>
          <t>0114</t>
        </is>
      </c>
      <c r="B795" s="14" t="inlineStr">
        <is>
          <t>Beldar</t>
        </is>
      </c>
      <c r="C795" s="13" t="inlineStr">
        <is>
          <t>day</t>
        </is>
      </c>
      <c r="D795" s="15" t="n">
        <v>0.39</v>
      </c>
      <c r="E795" s="16" t="n">
        <v>558</v>
      </c>
      <c r="F795" s="16">
        <f>D795*E795</f>
        <v/>
      </c>
    </row>
    <row r="796">
      <c r="A796" s="13" t="inlineStr">
        <is>
          <t>9999</t>
        </is>
      </c>
      <c r="B796" s="14" t="inlineStr">
        <is>
          <t>Scaffolding</t>
        </is>
      </c>
      <c r="C796" s="13" t="inlineStr">
        <is>
          <t>L.S.</t>
        </is>
      </c>
      <c r="D796" s="15" t="n">
        <v>6.11</v>
      </c>
      <c r="E796" s="16" t="n">
        <v>2</v>
      </c>
      <c r="F796" s="16">
        <f>D796*E796</f>
        <v/>
      </c>
    </row>
    <row r="797">
      <c r="A797" s="13" t="inlineStr">
        <is>
          <t>9999</t>
        </is>
      </c>
      <c r="B797" s="14" t="inlineStr">
        <is>
          <t>Sundries</t>
        </is>
      </c>
      <c r="C797" s="13" t="inlineStr">
        <is>
          <t>L.S.</t>
        </is>
      </c>
      <c r="D797" s="15" t="n">
        <v>6.11</v>
      </c>
      <c r="E797" s="16" t="n">
        <v>2</v>
      </c>
      <c r="F797" s="16">
        <f>D797*E797</f>
        <v/>
      </c>
    </row>
    <row r="798">
      <c r="A798" s="13" t="inlineStr">
        <is>
          <t>0111</t>
        </is>
      </c>
      <c r="B798" s="14" t="inlineStr">
        <is>
          <t>Carpenter 1st class</t>
        </is>
      </c>
      <c r="C798" s="13" t="inlineStr">
        <is>
          <t>day</t>
        </is>
      </c>
      <c r="D798" s="15" t="n">
        <v>2.5</v>
      </c>
      <c r="E798" s="16" t="n">
        <v>738</v>
      </c>
      <c r="F798" s="16">
        <f>D798*E798</f>
        <v/>
      </c>
    </row>
    <row r="799">
      <c r="A799" s="13" t="inlineStr">
        <is>
          <t>0114</t>
        </is>
      </c>
      <c r="B799" s="14" t="inlineStr">
        <is>
          <t>Beldar</t>
        </is>
      </c>
      <c r="C799" s="13" t="inlineStr">
        <is>
          <t>day</t>
        </is>
      </c>
      <c r="D799" s="15" t="n">
        <v>2.5</v>
      </c>
      <c r="E799" s="16" t="n">
        <v>558</v>
      </c>
      <c r="F799" s="16">
        <f>D799*E799</f>
        <v/>
      </c>
    </row>
    <row r="800">
      <c r="A800" s="13" t="inlineStr">
        <is>
          <t>9999</t>
        </is>
      </c>
      <c r="B800" s="14" t="inlineStr">
        <is>
          <t>Scaffolding</t>
        </is>
      </c>
      <c r="C800" s="13" t="inlineStr">
        <is>
          <t>L.S.</t>
        </is>
      </c>
      <c r="D800" s="15" t="n">
        <v>10.79</v>
      </c>
      <c r="E800" s="16" t="n">
        <v>2</v>
      </c>
      <c r="F800" s="16">
        <f>D800*E800</f>
        <v/>
      </c>
    </row>
    <row r="801">
      <c r="A801" s="17" t="inlineStr">
        <is>
          <t>Resource Total (Material + Labour + Machinery, as printed)</t>
        </is>
      </c>
      <c r="B801" s="18" t="n"/>
      <c r="C801" s="18" t="n"/>
      <c r="D801" s="18" t="n"/>
      <c r="E801" s="18" t="n"/>
      <c r="F801" s="19">
        <f>SUM(F791:F800)</f>
        <v/>
      </c>
    </row>
    <row r="802">
      <c r="A802" s="20" t="inlineStr">
        <is>
          <t>SAY (Rs.) — final DAR rate</t>
        </is>
      </c>
      <c r="B802" s="21" t="n"/>
      <c r="C802" s="21" t="n"/>
      <c r="D802" s="21" t="n"/>
      <c r="E802" s="21" t="n"/>
      <c r="F802" s="22" t="n">
        <v>355.3</v>
      </c>
    </row>
    <row r="804" ht="18" customHeight="1">
      <c r="A804" s="9" t="inlineStr">
        <is>
          <t>12.27.5.2</t>
        </is>
      </c>
      <c r="B804" s="10" t="inlineStr">
        <is>
          <t>4.5 mm thick</t>
        </is>
      </c>
      <c r="C804" s="11" t="n"/>
      <c r="D804" s="11" t="n"/>
      <c r="E804" s="11" t="n"/>
      <c r="F804" s="11" t="n"/>
    </row>
    <row r="805">
      <c r="A805" s="12" t="inlineStr">
        <is>
          <t>Rate basis: per metre  (source: cost for 15.71 metre)</t>
        </is>
      </c>
    </row>
    <row r="806">
      <c r="A806" s="5" t="inlineStr">
        <is>
          <t>Code</t>
        </is>
      </c>
      <c r="B806" s="5" t="inlineStr">
        <is>
          <t>Description</t>
        </is>
      </c>
      <c r="C806" s="5" t="inlineStr">
        <is>
          <t>Unit</t>
        </is>
      </c>
      <c r="D806" s="5" t="inlineStr">
        <is>
          <t>Quantity</t>
        </is>
      </c>
      <c r="E806" s="5" t="inlineStr">
        <is>
          <t>Rate (Rs.)</t>
        </is>
      </c>
      <c r="F806" s="5" t="inlineStr">
        <is>
          <t>Amount (Rs.)</t>
        </is>
      </c>
    </row>
    <row r="807">
      <c r="A807" s="13" t="inlineStr">
        <is>
          <t>0996</t>
        </is>
      </c>
      <c r="B807" s="14" t="inlineStr">
        <is>
          <t>Standard quality hard board sheet 4.5 mm thick</t>
        </is>
      </c>
      <c r="C807" s="13" t="inlineStr">
        <is>
          <t>sqm</t>
        </is>
      </c>
      <c r="D807" s="15" t="n">
        <v>2.15</v>
      </c>
      <c r="E807" s="16" t="n">
        <v>210</v>
      </c>
      <c r="F807" s="16">
        <f>D807*E807</f>
        <v/>
      </c>
    </row>
    <row r="808">
      <c r="A808" s="13" t="inlineStr">
        <is>
          <t>9977</t>
        </is>
      </c>
      <c r="B808" s="14" t="inlineStr">
        <is>
          <t>Carriage</t>
        </is>
      </c>
      <c r="C808" s="13" t="inlineStr">
        <is>
          <t>L.S.</t>
        </is>
      </c>
      <c r="D808" s="15" t="n">
        <v>2.86</v>
      </c>
      <c r="E808" s="16" t="n">
        <v>2</v>
      </c>
      <c r="F808" s="16">
        <f>D808*E808</f>
        <v/>
      </c>
    </row>
    <row r="809">
      <c r="A809" s="13" t="inlineStr">
        <is>
          <t>9999</t>
        </is>
      </c>
      <c r="B809" s="14" t="inlineStr">
        <is>
          <t>Nails</t>
        </is>
      </c>
      <c r="C809" s="13" t="inlineStr">
        <is>
          <t>L.S.</t>
        </is>
      </c>
      <c r="D809" s="15" t="n">
        <v>5.33</v>
      </c>
      <c r="E809" s="16" t="n">
        <v>2</v>
      </c>
      <c r="F809" s="16">
        <f>D809*E809</f>
        <v/>
      </c>
    </row>
    <row r="810">
      <c r="A810" s="13" t="inlineStr">
        <is>
          <t>0111</t>
        </is>
      </c>
      <c r="B810" s="14" t="inlineStr">
        <is>
          <t>Carpenter 1st class</t>
        </is>
      </c>
      <c r="C810" s="13" t="inlineStr">
        <is>
          <t>day</t>
        </is>
      </c>
      <c r="D810" s="15" t="n">
        <v>0.49</v>
      </c>
      <c r="E810" s="16" t="n">
        <v>738</v>
      </c>
      <c r="F810" s="16">
        <f>D810*E810</f>
        <v/>
      </c>
    </row>
    <row r="811">
      <c r="A811" s="13" t="inlineStr">
        <is>
          <t>0114</t>
        </is>
      </c>
      <c r="B811" s="14" t="inlineStr">
        <is>
          <t>Beldar</t>
        </is>
      </c>
      <c r="C811" s="13" t="inlineStr">
        <is>
          <t>day</t>
        </is>
      </c>
      <c r="D811" s="15" t="n">
        <v>0.39</v>
      </c>
      <c r="E811" s="16" t="n">
        <v>558</v>
      </c>
      <c r="F811" s="16">
        <f>D811*E811</f>
        <v/>
      </c>
    </row>
    <row r="812">
      <c r="A812" s="13" t="inlineStr">
        <is>
          <t>9999</t>
        </is>
      </c>
      <c r="B812" s="14" t="inlineStr">
        <is>
          <t>Scaffolding</t>
        </is>
      </c>
      <c r="C812" s="13" t="inlineStr">
        <is>
          <t>L.S.</t>
        </is>
      </c>
      <c r="D812" s="15" t="n">
        <v>6.11</v>
      </c>
      <c r="E812" s="16" t="n">
        <v>2</v>
      </c>
      <c r="F812" s="16">
        <f>D812*E812</f>
        <v/>
      </c>
    </row>
    <row r="813">
      <c r="A813" s="13" t="inlineStr">
        <is>
          <t>9999</t>
        </is>
      </c>
      <c r="B813" s="14" t="inlineStr">
        <is>
          <t>Sundries</t>
        </is>
      </c>
      <c r="C813" s="13" t="inlineStr">
        <is>
          <t>L.S.</t>
        </is>
      </c>
      <c r="D813" s="15" t="n">
        <v>6.11</v>
      </c>
      <c r="E813" s="16" t="n">
        <v>2</v>
      </c>
      <c r="F813" s="16">
        <f>D813*E813</f>
        <v/>
      </c>
    </row>
    <row r="814">
      <c r="A814" s="13" t="inlineStr">
        <is>
          <t>0111</t>
        </is>
      </c>
      <c r="B814" s="14" t="inlineStr">
        <is>
          <t>Carpenter 1st class</t>
        </is>
      </c>
      <c r="C814" s="13" t="inlineStr">
        <is>
          <t>day</t>
        </is>
      </c>
      <c r="D814" s="15" t="n">
        <v>2.5</v>
      </c>
      <c r="E814" s="16" t="n">
        <v>738</v>
      </c>
      <c r="F814" s="16">
        <f>D814*E814</f>
        <v/>
      </c>
    </row>
    <row r="815">
      <c r="A815" s="13" t="inlineStr">
        <is>
          <t>0114</t>
        </is>
      </c>
      <c r="B815" s="14" t="inlineStr">
        <is>
          <t>Beldar</t>
        </is>
      </c>
      <c r="C815" s="13" t="inlineStr">
        <is>
          <t>day</t>
        </is>
      </c>
      <c r="D815" s="15" t="n">
        <v>2.5</v>
      </c>
      <c r="E815" s="16" t="n">
        <v>558</v>
      </c>
      <c r="F815" s="16">
        <f>D815*E815</f>
        <v/>
      </c>
    </row>
    <row r="816">
      <c r="A816" s="13" t="inlineStr">
        <is>
          <t>9999</t>
        </is>
      </c>
      <c r="B816" s="14" t="inlineStr">
        <is>
          <t>Scaffolding</t>
        </is>
      </c>
      <c r="C816" s="13" t="inlineStr">
        <is>
          <t>L.S.</t>
        </is>
      </c>
      <c r="D816" s="15" t="n">
        <v>10.79</v>
      </c>
      <c r="E816" s="16" t="n">
        <v>2</v>
      </c>
      <c r="F816" s="16">
        <f>D816*E816</f>
        <v/>
      </c>
    </row>
    <row r="817">
      <c r="A817" s="17" t="inlineStr">
        <is>
          <t>Resource Total (Material + Labour + Machinery, as printed)</t>
        </is>
      </c>
      <c r="B817" s="18" t="n"/>
      <c r="C817" s="18" t="n"/>
      <c r="D817" s="18" t="n"/>
      <c r="E817" s="18" t="n"/>
      <c r="F817" s="19">
        <f>SUM(F807:F816)</f>
        <v/>
      </c>
    </row>
    <row r="818">
      <c r="A818" s="20" t="inlineStr">
        <is>
          <t>SAY (Rs.) — final DAR rate</t>
        </is>
      </c>
      <c r="B818" s="21" t="n"/>
      <c r="C818" s="21" t="n"/>
      <c r="D818" s="21" t="n"/>
      <c r="E818" s="21" t="n"/>
      <c r="F818" s="22" t="n">
        <v>369.05</v>
      </c>
    </row>
    <row r="820" ht="18" customHeight="1">
      <c r="A820" s="9" t="inlineStr">
        <is>
          <t>12.28</t>
        </is>
      </c>
      <c r="B820" s="10" t="inlineStr">
        <is>
          <t>Extra for providing and fixing ceiling to curved surfaces in narrow widths</t>
        </is>
      </c>
      <c r="C820" s="11" t="n"/>
      <c r="D820" s="11" t="n"/>
      <c r="E820" s="11" t="n"/>
      <c r="F820" s="11" t="n"/>
    </row>
    <row r="821">
      <c r="A821" s="12" t="inlineStr">
        <is>
          <t>Rate basis: per sqm  (source: cost for 10 sqm)</t>
        </is>
      </c>
    </row>
    <row r="822">
      <c r="A822" s="5" t="inlineStr">
        <is>
          <t>Code</t>
        </is>
      </c>
      <c r="B822" s="5" t="inlineStr">
        <is>
          <t>Description</t>
        </is>
      </c>
      <c r="C822" s="5" t="inlineStr">
        <is>
          <t>Unit</t>
        </is>
      </c>
      <c r="D822" s="5" t="inlineStr">
        <is>
          <t>Quantity</t>
        </is>
      </c>
      <c r="E822" s="5" t="inlineStr">
        <is>
          <t>Rate (Rs.)</t>
        </is>
      </c>
      <c r="F822" s="5" t="inlineStr">
        <is>
          <t>Amount (Rs.)</t>
        </is>
      </c>
    </row>
    <row r="823">
      <c r="A823" s="13" t="inlineStr">
        <is>
          <t>0111</t>
        </is>
      </c>
      <c r="B823" s="14" t="inlineStr">
        <is>
          <t>Carpenter 1st class</t>
        </is>
      </c>
      <c r="C823" s="13" t="inlineStr">
        <is>
          <t>day</t>
        </is>
      </c>
      <c r="D823" s="15" t="n">
        <v>1</v>
      </c>
      <c r="E823" s="16" t="n">
        <v>738</v>
      </c>
      <c r="F823" s="16">
        <f>D823*E823</f>
        <v/>
      </c>
    </row>
    <row r="824">
      <c r="A824" s="13" t="inlineStr">
        <is>
          <t>0112</t>
        </is>
      </c>
      <c r="B824" s="14" t="inlineStr">
        <is>
          <t>Carpenter 2nd class</t>
        </is>
      </c>
      <c r="C824" s="13" t="inlineStr">
        <is>
          <t>day</t>
        </is>
      </c>
      <c r="D824" s="15" t="n">
        <v>1</v>
      </c>
      <c r="E824" s="16" t="n">
        <v>679</v>
      </c>
      <c r="F824" s="16">
        <f>D824*E824</f>
        <v/>
      </c>
    </row>
    <row r="825">
      <c r="A825" s="13" t="inlineStr">
        <is>
          <t>0114</t>
        </is>
      </c>
      <c r="B825" s="14" t="inlineStr">
        <is>
          <t>Beldar</t>
        </is>
      </c>
      <c r="C825" s="13" t="inlineStr">
        <is>
          <t>day</t>
        </is>
      </c>
      <c r="D825" s="15" t="n">
        <v>2</v>
      </c>
      <c r="E825" s="16" t="n">
        <v>558</v>
      </c>
      <c r="F825" s="16">
        <f>D825*E825</f>
        <v/>
      </c>
    </row>
    <row r="826">
      <c r="A826" s="17" t="inlineStr">
        <is>
          <t>Resource Total (Material + Labour + Machinery, as printed)</t>
        </is>
      </c>
      <c r="B826" s="18" t="n"/>
      <c r="C826" s="18" t="n"/>
      <c r="D826" s="18" t="n"/>
      <c r="E826" s="18" t="n"/>
      <c r="F826" s="19">
        <f>SUM(F823:F825)</f>
        <v/>
      </c>
    </row>
    <row r="827">
      <c r="A827" s="20" t="inlineStr">
        <is>
          <t>SAY (Rs.) — final DAR rate</t>
        </is>
      </c>
      <c r="B827" s="21" t="n"/>
      <c r="C827" s="21" t="n"/>
      <c r="D827" s="21" t="n"/>
      <c r="E827" s="21" t="n"/>
      <c r="F827" s="22" t="n">
        <v>338.9</v>
      </c>
    </row>
    <row r="829" ht="18" customHeight="1">
      <c r="A829" s="9" t="inlineStr">
        <is>
          <t>12.31.1</t>
        </is>
      </c>
      <c r="B829" s="10" t="inlineStr">
        <is>
          <t>Flat surfaces</t>
        </is>
      </c>
      <c r="C829" s="11" t="n"/>
      <c r="D829" s="11" t="n"/>
      <c r="E829" s="11" t="n"/>
      <c r="F829" s="11" t="n"/>
    </row>
    <row r="830">
      <c r="A830" s="12" t="inlineStr">
        <is>
          <t>Rate basis: per x2  (source: cost for 4 x2)</t>
        </is>
      </c>
    </row>
    <row r="831">
      <c r="A831" s="5" t="inlineStr">
        <is>
          <t>Code</t>
        </is>
      </c>
      <c r="B831" s="5" t="inlineStr">
        <is>
          <t>Description</t>
        </is>
      </c>
      <c r="C831" s="5" t="inlineStr">
        <is>
          <t>Unit</t>
        </is>
      </c>
      <c r="D831" s="5" t="inlineStr">
        <is>
          <t>Quantity</t>
        </is>
      </c>
      <c r="E831" s="5" t="inlineStr">
        <is>
          <t>Rate (Rs.)</t>
        </is>
      </c>
      <c r="F831" s="5" t="inlineStr">
        <is>
          <t>Amount (Rs.)</t>
        </is>
      </c>
    </row>
    <row r="832">
      <c r="A832" s="13" t="inlineStr">
        <is>
          <t>2204</t>
        </is>
      </c>
      <c r="B832" s="14" t="inlineStr">
        <is>
          <t>Carriage of Timber</t>
        </is>
      </c>
      <c r="C832" s="13" t="inlineStr">
        <is>
          <t>cum</t>
        </is>
      </c>
      <c r="D832" s="15" t="n">
        <v>0.0475</v>
      </c>
      <c r="E832" s="16" t="n">
        <v>118.59</v>
      </c>
      <c r="F832" s="16">
        <f>D832*E832</f>
        <v/>
      </c>
    </row>
    <row r="833">
      <c r="A833" s="13" t="inlineStr">
        <is>
          <t>1219</t>
        </is>
      </c>
      <c r="B833" s="14" t="inlineStr">
        <is>
          <t>Wire nails</t>
        </is>
      </c>
      <c r="C833" s="13" t="inlineStr">
        <is>
          <t>kilogram</t>
        </is>
      </c>
      <c r="D833" s="15" t="n">
        <v>0.75</v>
      </c>
      <c r="E833" s="16" t="n">
        <v>58</v>
      </c>
      <c r="F833" s="16">
        <f>D833*E833</f>
        <v/>
      </c>
    </row>
    <row r="834">
      <c r="A834" s="13" t="inlineStr">
        <is>
          <t>1220</t>
        </is>
      </c>
      <c r="B834" s="14" t="inlineStr">
        <is>
          <t>Wire mesh (rabbit)</t>
        </is>
      </c>
      <c r="C834" s="13" t="inlineStr">
        <is>
          <t>sqm</t>
        </is>
      </c>
      <c r="D834" s="15" t="n">
        <v>10.2</v>
      </c>
      <c r="E834" s="16" t="n">
        <v>42</v>
      </c>
      <c r="F834" s="16">
        <f>D834*E834</f>
        <v/>
      </c>
    </row>
    <row r="835">
      <c r="A835" s="13" t="inlineStr">
        <is>
          <t>0869</t>
        </is>
      </c>
      <c r="B835" s="14" t="inlineStr">
        <is>
          <t>Plaster of Paris</t>
        </is>
      </c>
      <c r="C835" s="13" t="inlineStr">
        <is>
          <t>kilogram</t>
        </is>
      </c>
      <c r="D835" s="15" t="n">
        <v>219.76</v>
      </c>
      <c r="E835" s="16" t="n">
        <v>5</v>
      </c>
      <c r="F835" s="16">
        <f>D835*E835</f>
        <v/>
      </c>
    </row>
    <row r="836">
      <c r="A836" s="13" t="inlineStr">
        <is>
          <t>2308</t>
        </is>
      </c>
      <c r="B836" s="14" t="inlineStr">
        <is>
          <t>Carriage of Plaster of paris</t>
        </is>
      </c>
      <c r="C836" s="13" t="inlineStr">
        <is>
          <t>tonne</t>
        </is>
      </c>
      <c r="D836" s="15" t="n">
        <v>0.22</v>
      </c>
      <c r="E836" s="16" t="n">
        <v>92.23999999999999</v>
      </c>
      <c r="F836" s="16">
        <f>D836*E836</f>
        <v/>
      </c>
    </row>
    <row r="837">
      <c r="A837" s="13" t="inlineStr">
        <is>
          <t>9977</t>
        </is>
      </c>
      <c r="B837" s="14" t="inlineStr">
        <is>
          <t>Carriage of wiremesh and nails etc.</t>
        </is>
      </c>
      <c r="C837" s="13" t="inlineStr">
        <is>
          <t>L.S.</t>
        </is>
      </c>
      <c r="D837" s="15" t="n">
        <v>2.73</v>
      </c>
      <c r="E837" s="16" t="n">
        <v>2</v>
      </c>
      <c r="F837" s="16">
        <f>D837*E837</f>
        <v/>
      </c>
    </row>
    <row r="838">
      <c r="A838" s="13" t="inlineStr">
        <is>
          <t>0111</t>
        </is>
      </c>
      <c r="B838" s="14" t="inlineStr">
        <is>
          <t>Carpenter 1st class</t>
        </is>
      </c>
      <c r="C838" s="13" t="inlineStr">
        <is>
          <t>day</t>
        </is>
      </c>
      <c r="D838" s="15" t="n">
        <v>1.6</v>
      </c>
      <c r="E838" s="16" t="n">
        <v>738</v>
      </c>
      <c r="F838" s="16">
        <f>D838*E838</f>
        <v/>
      </c>
    </row>
    <row r="839">
      <c r="A839" s="13" t="inlineStr">
        <is>
          <t>0114</t>
        </is>
      </c>
      <c r="B839" s="14" t="inlineStr">
        <is>
          <t>Beldar</t>
        </is>
      </c>
      <c r="C839" s="13" t="inlineStr">
        <is>
          <t>day</t>
        </is>
      </c>
      <c r="D839" s="15" t="n">
        <v>1.6</v>
      </c>
      <c r="E839" s="16" t="n">
        <v>558</v>
      </c>
      <c r="F839" s="16">
        <f>D839*E839</f>
        <v/>
      </c>
    </row>
    <row r="840">
      <c r="A840" s="13" t="inlineStr">
        <is>
          <t>0122</t>
        </is>
      </c>
      <c r="B840" s="14" t="inlineStr">
        <is>
          <t>Mason (for plaster of paris work) 1st class</t>
        </is>
      </c>
      <c r="C840" s="13" t="inlineStr">
        <is>
          <t>day</t>
        </is>
      </c>
      <c r="D840" s="15" t="n">
        <v>3.23</v>
      </c>
      <c r="E840" s="16" t="n">
        <v>738</v>
      </c>
      <c r="F840" s="16">
        <f>D840*E840</f>
        <v/>
      </c>
    </row>
    <row r="841">
      <c r="A841" s="13" t="inlineStr">
        <is>
          <t>0114</t>
        </is>
      </c>
      <c r="B841" s="14" t="inlineStr">
        <is>
          <t>Beldar</t>
        </is>
      </c>
      <c r="C841" s="13" t="inlineStr">
        <is>
          <t>day</t>
        </is>
      </c>
      <c r="D841" s="15" t="n">
        <v>3.23</v>
      </c>
      <c r="E841" s="16" t="n">
        <v>558</v>
      </c>
      <c r="F841" s="16">
        <f>D841*E841</f>
        <v/>
      </c>
    </row>
    <row r="842">
      <c r="A842" s="13" t="inlineStr">
        <is>
          <t>0101</t>
        </is>
      </c>
      <c r="B842" s="14" t="inlineStr">
        <is>
          <t>Bhisti</t>
        </is>
      </c>
      <c r="C842" s="13" t="inlineStr">
        <is>
          <t>day</t>
        </is>
      </c>
      <c r="D842" s="15" t="n">
        <v>0.54</v>
      </c>
      <c r="E842" s="16" t="n">
        <v>617</v>
      </c>
      <c r="F842" s="16">
        <f>D842*E842</f>
        <v/>
      </c>
    </row>
    <row r="843">
      <c r="A843" s="13" t="inlineStr">
        <is>
          <t>9999</t>
        </is>
      </c>
      <c r="B843" s="14" t="inlineStr">
        <is>
          <t>Scaffolding</t>
        </is>
      </c>
      <c r="C843" s="13" t="inlineStr">
        <is>
          <t>L.S.</t>
        </is>
      </c>
      <c r="D843" s="15" t="n">
        <v>83.98</v>
      </c>
      <c r="E843" s="16" t="n">
        <v>2</v>
      </c>
      <c r="F843" s="16">
        <f>D843*E843</f>
        <v/>
      </c>
    </row>
    <row r="844">
      <c r="A844" s="13" t="inlineStr">
        <is>
          <t>9999</t>
        </is>
      </c>
      <c r="B844" s="14" t="inlineStr">
        <is>
          <t>Sundries</t>
        </is>
      </c>
      <c r="C844" s="13" t="inlineStr">
        <is>
          <t>L.S.</t>
        </is>
      </c>
      <c r="D844" s="15" t="n">
        <v>53.82</v>
      </c>
      <c r="E844" s="16" t="n">
        <v>2</v>
      </c>
      <c r="F844" s="16">
        <f>D844*E844</f>
        <v/>
      </c>
    </row>
    <row r="845">
      <c r="A845" s="17" t="inlineStr">
        <is>
          <t>Resource Total (Material + Labour + Machinery, as printed)</t>
        </is>
      </c>
      <c r="B845" s="18" t="n"/>
      <c r="C845" s="18" t="n"/>
      <c r="D845" s="18" t="n"/>
      <c r="E845" s="18" t="n"/>
      <c r="F845" s="19">
        <f>SUM(F832:F844)</f>
        <v/>
      </c>
    </row>
    <row r="846">
      <c r="A846" s="20" t="inlineStr">
        <is>
          <t>SAY (Rs.) — final DAR rate</t>
        </is>
      </c>
      <c r="B846" s="21" t="n"/>
      <c r="C846" s="21" t="n"/>
      <c r="D846" s="21" t="n"/>
      <c r="E846" s="21" t="n"/>
      <c r="F846" s="22" t="n">
        <v>1324.05</v>
      </c>
    </row>
    <row r="848" ht="18" customHeight="1">
      <c r="A848" s="9" t="inlineStr">
        <is>
          <t>12.31.2</t>
        </is>
      </c>
      <c r="B848" s="10" t="inlineStr">
        <is>
          <t>Curved surfaces</t>
        </is>
      </c>
      <c r="C848" s="11" t="n"/>
      <c r="D848" s="11" t="n"/>
      <c r="E848" s="11" t="n"/>
      <c r="F848" s="11" t="n"/>
    </row>
    <row r="849">
      <c r="A849" s="12" t="inlineStr">
        <is>
          <t>Rate basis: per x2  (source: cost for 4 x2)</t>
        </is>
      </c>
    </row>
    <row r="850">
      <c r="A850" s="5" t="inlineStr">
        <is>
          <t>Code</t>
        </is>
      </c>
      <c r="B850" s="5" t="inlineStr">
        <is>
          <t>Description</t>
        </is>
      </c>
      <c r="C850" s="5" t="inlineStr">
        <is>
          <t>Unit</t>
        </is>
      </c>
      <c r="D850" s="5" t="inlineStr">
        <is>
          <t>Quantity</t>
        </is>
      </c>
      <c r="E850" s="5" t="inlineStr">
        <is>
          <t>Rate (Rs.)</t>
        </is>
      </c>
      <c r="F850" s="5" t="inlineStr">
        <is>
          <t>Amount (Rs.)</t>
        </is>
      </c>
    </row>
    <row r="851">
      <c r="A851" s="13" t="inlineStr">
        <is>
          <t>2204</t>
        </is>
      </c>
      <c r="B851" s="14" t="inlineStr">
        <is>
          <t>Carriage of Timber</t>
        </is>
      </c>
      <c r="C851" s="13" t="inlineStr">
        <is>
          <t>cum</t>
        </is>
      </c>
      <c r="D851" s="15" t="n">
        <v>0.0475</v>
      </c>
      <c r="E851" s="16" t="n">
        <v>118.59</v>
      </c>
      <c r="F851" s="16">
        <f>D851*E851</f>
        <v/>
      </c>
    </row>
    <row r="852">
      <c r="A852" s="13" t="inlineStr">
        <is>
          <t>1219</t>
        </is>
      </c>
      <c r="B852" s="14" t="inlineStr">
        <is>
          <t>Wire nails</t>
        </is>
      </c>
      <c r="C852" s="13" t="inlineStr">
        <is>
          <t>kilogram</t>
        </is>
      </c>
      <c r="D852" s="15" t="n">
        <v>0.75</v>
      </c>
      <c r="E852" s="16" t="n">
        <v>58</v>
      </c>
      <c r="F852" s="16">
        <f>D852*E852</f>
        <v/>
      </c>
    </row>
    <row r="853">
      <c r="A853" s="13" t="inlineStr">
        <is>
          <t>1220</t>
        </is>
      </c>
      <c r="B853" s="14" t="inlineStr">
        <is>
          <t>Wire mesh (rabbit)</t>
        </is>
      </c>
      <c r="C853" s="13" t="inlineStr">
        <is>
          <t>sqm</t>
        </is>
      </c>
      <c r="D853" s="15" t="n">
        <v>10.2</v>
      </c>
      <c r="E853" s="16" t="n">
        <v>42</v>
      </c>
      <c r="F853" s="16">
        <f>D853*E853</f>
        <v/>
      </c>
    </row>
    <row r="854">
      <c r="A854" s="13" t="inlineStr">
        <is>
          <t>0869</t>
        </is>
      </c>
      <c r="B854" s="14" t="inlineStr">
        <is>
          <t>Plaster of Paris</t>
        </is>
      </c>
      <c r="C854" s="13" t="inlineStr">
        <is>
          <t>kilogram</t>
        </is>
      </c>
      <c r="D854" s="15" t="n">
        <v>219.76</v>
      </c>
      <c r="E854" s="16" t="n">
        <v>5</v>
      </c>
      <c r="F854" s="16">
        <f>D854*E854</f>
        <v/>
      </c>
    </row>
    <row r="855">
      <c r="A855" s="13" t="inlineStr">
        <is>
          <t>2308</t>
        </is>
      </c>
      <c r="B855" s="14" t="inlineStr">
        <is>
          <t>Carriage of Plaster of paris</t>
        </is>
      </c>
      <c r="C855" s="13" t="inlineStr">
        <is>
          <t>tonne</t>
        </is>
      </c>
      <c r="D855" s="15" t="n">
        <v>0.22</v>
      </c>
      <c r="E855" s="16" t="n">
        <v>92.23999999999999</v>
      </c>
      <c r="F855" s="16">
        <f>D855*E855</f>
        <v/>
      </c>
    </row>
    <row r="856">
      <c r="A856" s="13" t="inlineStr">
        <is>
          <t>9977</t>
        </is>
      </c>
      <c r="B856" s="14" t="inlineStr">
        <is>
          <t>Carriage of wiremesh and nails etc.</t>
        </is>
      </c>
      <c r="C856" s="13" t="inlineStr">
        <is>
          <t>L.S.</t>
        </is>
      </c>
      <c r="D856" s="15" t="n">
        <v>2.73</v>
      </c>
      <c r="E856" s="16" t="n">
        <v>2</v>
      </c>
      <c r="F856" s="16">
        <f>D856*E856</f>
        <v/>
      </c>
    </row>
    <row r="857">
      <c r="A857" s="13" t="inlineStr">
        <is>
          <t>0111</t>
        </is>
      </c>
      <c r="B857" s="14" t="inlineStr">
        <is>
          <t>Carpenter 1st class</t>
        </is>
      </c>
      <c r="C857" s="13" t="inlineStr">
        <is>
          <t>day</t>
        </is>
      </c>
      <c r="D857" s="15" t="n">
        <v>1.6</v>
      </c>
      <c r="E857" s="16" t="n">
        <v>738</v>
      </c>
      <c r="F857" s="16">
        <f>D857*E857</f>
        <v/>
      </c>
    </row>
    <row r="858">
      <c r="A858" s="13" t="inlineStr">
        <is>
          <t>0114</t>
        </is>
      </c>
      <c r="B858" s="14" t="inlineStr">
        <is>
          <t>Beldar</t>
        </is>
      </c>
      <c r="C858" s="13" t="inlineStr">
        <is>
          <t>day</t>
        </is>
      </c>
      <c r="D858" s="15" t="n">
        <v>1.6</v>
      </c>
      <c r="E858" s="16" t="n">
        <v>558</v>
      </c>
      <c r="F858" s="16">
        <f>D858*E858</f>
        <v/>
      </c>
    </row>
    <row r="859">
      <c r="A859" s="13" t="inlineStr">
        <is>
          <t>0122</t>
        </is>
      </c>
      <c r="B859" s="14" t="inlineStr">
        <is>
          <t>Mason (for plaster of paris work) 1st class</t>
        </is>
      </c>
      <c r="C859" s="13" t="inlineStr">
        <is>
          <t>day</t>
        </is>
      </c>
      <c r="D859" s="15" t="n">
        <v>3.23</v>
      </c>
      <c r="E859" s="16" t="n">
        <v>738</v>
      </c>
      <c r="F859" s="16">
        <f>D859*E859</f>
        <v/>
      </c>
    </row>
    <row r="860">
      <c r="A860" s="13" t="inlineStr">
        <is>
          <t>0114</t>
        </is>
      </c>
      <c r="B860" s="14" t="inlineStr">
        <is>
          <t>Beldar</t>
        </is>
      </c>
      <c r="C860" s="13" t="inlineStr">
        <is>
          <t>day</t>
        </is>
      </c>
      <c r="D860" s="15" t="n">
        <v>3.23</v>
      </c>
      <c r="E860" s="16" t="n">
        <v>558</v>
      </c>
      <c r="F860" s="16">
        <f>D860*E860</f>
        <v/>
      </c>
    </row>
    <row r="861">
      <c r="A861" s="13" t="inlineStr">
        <is>
          <t>0101</t>
        </is>
      </c>
      <c r="B861" s="14" t="inlineStr">
        <is>
          <t>Bhisti</t>
        </is>
      </c>
      <c r="C861" s="13" t="inlineStr">
        <is>
          <t>day</t>
        </is>
      </c>
      <c r="D861" s="15" t="n">
        <v>0.54</v>
      </c>
      <c r="E861" s="16" t="n">
        <v>617</v>
      </c>
      <c r="F861" s="16">
        <f>D861*E861</f>
        <v/>
      </c>
    </row>
    <row r="862">
      <c r="A862" s="13" t="inlineStr">
        <is>
          <t>9999</t>
        </is>
      </c>
      <c r="B862" s="14" t="inlineStr">
        <is>
          <t>Scaffolding</t>
        </is>
      </c>
      <c r="C862" s="13" t="inlineStr">
        <is>
          <t>L.S.</t>
        </is>
      </c>
      <c r="D862" s="15" t="n">
        <v>83.98</v>
      </c>
      <c r="E862" s="16" t="n">
        <v>2</v>
      </c>
      <c r="F862" s="16">
        <f>D862*E862</f>
        <v/>
      </c>
    </row>
    <row r="863">
      <c r="A863" s="13" t="inlineStr">
        <is>
          <t>9999</t>
        </is>
      </c>
      <c r="B863" s="14" t="inlineStr">
        <is>
          <t>Sundries</t>
        </is>
      </c>
      <c r="C863" s="13" t="inlineStr">
        <is>
          <t>L.S.</t>
        </is>
      </c>
      <c r="D863" s="15" t="n">
        <v>53.82</v>
      </c>
      <c r="E863" s="16" t="n">
        <v>2</v>
      </c>
      <c r="F863" s="16">
        <f>D863*E863</f>
        <v/>
      </c>
    </row>
    <row r="864">
      <c r="A864" s="13" t="inlineStr">
        <is>
          <t>0111</t>
        </is>
      </c>
      <c r="B864" s="14" t="inlineStr">
        <is>
          <t>Carpenter 1st class</t>
        </is>
      </c>
      <c r="C864" s="13" t="inlineStr">
        <is>
          <t>day</t>
        </is>
      </c>
      <c r="D864" s="15" t="n">
        <v>0.5</v>
      </c>
      <c r="E864" s="16" t="n">
        <v>738</v>
      </c>
      <c r="F864" s="16">
        <f>D864*E864</f>
        <v/>
      </c>
    </row>
    <row r="865">
      <c r="A865" s="13" t="inlineStr">
        <is>
          <t>0122</t>
        </is>
      </c>
      <c r="B865" s="14" t="inlineStr">
        <is>
          <t>Mason (for plaster of paris work) 1st class</t>
        </is>
      </c>
      <c r="C865" s="13" t="inlineStr">
        <is>
          <t>day</t>
        </is>
      </c>
      <c r="D865" s="15" t="n">
        <v>1</v>
      </c>
      <c r="E865" s="16" t="n">
        <v>738</v>
      </c>
      <c r="F865" s="16">
        <f>D865*E865</f>
        <v/>
      </c>
    </row>
    <row r="866">
      <c r="A866" s="13" t="inlineStr">
        <is>
          <t>0114</t>
        </is>
      </c>
      <c r="B866" s="14" t="inlineStr">
        <is>
          <t>Beldar</t>
        </is>
      </c>
      <c r="C866" s="13" t="inlineStr">
        <is>
          <t>day</t>
        </is>
      </c>
      <c r="D866" s="15" t="n">
        <v>1.5</v>
      </c>
      <c r="E866" s="16" t="n">
        <v>558</v>
      </c>
      <c r="F866" s="16">
        <f>D866*E866</f>
        <v/>
      </c>
    </row>
    <row r="867">
      <c r="A867" s="17" t="inlineStr">
        <is>
          <t>Resource Total (Material + Labour + Machinery, as printed)</t>
        </is>
      </c>
      <c r="B867" s="18" t="n"/>
      <c r="C867" s="18" t="n"/>
      <c r="D867" s="18" t="n"/>
      <c r="E867" s="18" t="n"/>
      <c r="F867" s="19">
        <f>SUM(F851:F866)</f>
        <v/>
      </c>
    </row>
    <row r="868">
      <c r="A868" s="20" t="inlineStr">
        <is>
          <t>SAY (Rs.) — final DAR rate</t>
        </is>
      </c>
      <c r="B868" s="21" t="n"/>
      <c r="C868" s="21" t="n"/>
      <c r="D868" s="21" t="n"/>
      <c r="E868" s="21" t="n"/>
      <c r="F868" s="22" t="n">
        <v>1584.15</v>
      </c>
    </row>
    <row r="870" ht="18" customHeight="1">
      <c r="A870" s="9" t="inlineStr">
        <is>
          <t>12.32</t>
        </is>
      </c>
      <c r="B870" s="10" t="inlineStr">
        <is>
          <t>Extra for sunk or raised mouldings in the plaster of Paris (Gypsum anhydrous) ceiling.</t>
        </is>
      </c>
      <c r="C870" s="11" t="n"/>
      <c r="D870" s="11" t="n"/>
      <c r="E870" s="11" t="n"/>
      <c r="F870" s="11" t="n"/>
    </row>
    <row r="871">
      <c r="A871" s="12" t="inlineStr">
        <is>
          <t>Rate basis: per sqm  (source: cost for 10 sqm)</t>
        </is>
      </c>
    </row>
    <row r="872">
      <c r="A872" s="5" t="inlineStr">
        <is>
          <t>Code</t>
        </is>
      </c>
      <c r="B872" s="5" t="inlineStr">
        <is>
          <t>Description</t>
        </is>
      </c>
      <c r="C872" s="5" t="inlineStr">
        <is>
          <t>Unit</t>
        </is>
      </c>
      <c r="D872" s="5" t="inlineStr">
        <is>
          <t>Quantity</t>
        </is>
      </c>
      <c r="E872" s="5" t="inlineStr">
        <is>
          <t>Rate (Rs.)</t>
        </is>
      </c>
      <c r="F872" s="5" t="inlineStr">
        <is>
          <t>Amount (Rs.)</t>
        </is>
      </c>
    </row>
    <row r="873">
      <c r="A873" s="13" t="inlineStr">
        <is>
          <t>0869</t>
        </is>
      </c>
      <c r="B873" s="14" t="inlineStr">
        <is>
          <t>Plaster of Paris</t>
        </is>
      </c>
      <c r="C873" s="13" t="inlineStr">
        <is>
          <t>kilogram</t>
        </is>
      </c>
      <c r="D873" s="15" t="n">
        <v>109.88</v>
      </c>
      <c r="E873" s="16" t="n">
        <v>5</v>
      </c>
      <c r="F873" s="16">
        <f>D873*E873</f>
        <v/>
      </c>
    </row>
    <row r="874">
      <c r="A874" s="13" t="inlineStr">
        <is>
          <t>2308</t>
        </is>
      </c>
      <c r="B874" s="14" t="inlineStr">
        <is>
          <t>Carriage of Plaster of paris</t>
        </is>
      </c>
      <c r="C874" s="13" t="inlineStr">
        <is>
          <t>tonne</t>
        </is>
      </c>
      <c r="D874" s="15" t="n">
        <v>0.11</v>
      </c>
      <c r="E874" s="16" t="n">
        <v>92.23999999999999</v>
      </c>
      <c r="F874" s="16">
        <f>D874*E874</f>
        <v/>
      </c>
    </row>
    <row r="875">
      <c r="A875" s="13" t="inlineStr">
        <is>
          <t>0122</t>
        </is>
      </c>
      <c r="B875" s="14" t="inlineStr">
        <is>
          <t>Mason (for plaster of paris work) 1st class</t>
        </is>
      </c>
      <c r="C875" s="13" t="inlineStr">
        <is>
          <t>day</t>
        </is>
      </c>
      <c r="D875" s="15" t="n">
        <v>2</v>
      </c>
      <c r="E875" s="16" t="n">
        <v>738</v>
      </c>
      <c r="F875" s="16">
        <f>D875*E875</f>
        <v/>
      </c>
    </row>
    <row r="876">
      <c r="A876" s="13" t="inlineStr">
        <is>
          <t>0114</t>
        </is>
      </c>
      <c r="B876" s="14" t="inlineStr">
        <is>
          <t>Beldar</t>
        </is>
      </c>
      <c r="C876" s="13" t="inlineStr">
        <is>
          <t>day</t>
        </is>
      </c>
      <c r="D876" s="15" t="n">
        <v>2</v>
      </c>
      <c r="E876" s="16" t="n">
        <v>558</v>
      </c>
      <c r="F876" s="16">
        <f>D876*E876</f>
        <v/>
      </c>
    </row>
    <row r="877">
      <c r="A877" s="13" t="inlineStr">
        <is>
          <t>0101</t>
        </is>
      </c>
      <c r="B877" s="14" t="inlineStr">
        <is>
          <t>Bhisti</t>
        </is>
      </c>
      <c r="C877" s="13" t="inlineStr">
        <is>
          <t>day</t>
        </is>
      </c>
      <c r="D877" s="15" t="n">
        <v>0.25</v>
      </c>
      <c r="E877" s="16" t="n">
        <v>617</v>
      </c>
      <c r="F877" s="16">
        <f>D877*E877</f>
        <v/>
      </c>
    </row>
    <row r="878">
      <c r="A878" s="13" t="inlineStr">
        <is>
          <t>9999</t>
        </is>
      </c>
      <c r="B878" s="14" t="inlineStr">
        <is>
          <t>Scaffolding and Sundries</t>
        </is>
      </c>
      <c r="C878" s="13" t="inlineStr">
        <is>
          <t>L.S.</t>
        </is>
      </c>
      <c r="D878" s="15" t="n">
        <v>13.52</v>
      </c>
      <c r="E878" s="16" t="n">
        <v>2</v>
      </c>
      <c r="F878" s="16">
        <f>D878*E878</f>
        <v/>
      </c>
    </row>
    <row r="879">
      <c r="A879" s="17" t="inlineStr">
        <is>
          <t>Resource Total (Material + Labour + Machinery, as printed)</t>
        </is>
      </c>
      <c r="B879" s="18" t="n"/>
      <c r="C879" s="18" t="n"/>
      <c r="D879" s="18" t="n"/>
      <c r="E879" s="18" t="n"/>
      <c r="F879" s="19">
        <f>SUM(F873:F878)</f>
        <v/>
      </c>
    </row>
    <row r="880">
      <c r="A880" s="20" t="inlineStr">
        <is>
          <t>SAY (Rs.) — final DAR rate</t>
        </is>
      </c>
      <c r="B880" s="21" t="n"/>
      <c r="C880" s="21" t="n"/>
      <c r="D880" s="21" t="n"/>
      <c r="E880" s="21" t="n"/>
      <c r="F880" s="22" t="n">
        <v>445.9</v>
      </c>
    </row>
    <row r="882" ht="28" customHeight="1">
      <c r="A882" s="9" t="inlineStr">
        <is>
          <t>12.33</t>
        </is>
      </c>
      <c r="B882" s="10" t="inlineStr">
        <is>
          <t>Extra for providing plaster of Paris (Gypsum anhydrous) ceiling above 5 metres height from floor level.</t>
        </is>
      </c>
      <c r="C882" s="11" t="n"/>
      <c r="D882" s="11" t="n"/>
      <c r="E882" s="11" t="n"/>
      <c r="F882" s="11" t="n"/>
    </row>
    <row r="883">
      <c r="A883" s="12" t="inlineStr">
        <is>
          <t>Rate basis: per sqm  (source: cost for 10 sqm)</t>
        </is>
      </c>
    </row>
    <row r="884">
      <c r="A884" s="5" t="inlineStr">
        <is>
          <t>Code</t>
        </is>
      </c>
      <c r="B884" s="5" t="inlineStr">
        <is>
          <t>Description</t>
        </is>
      </c>
      <c r="C884" s="5" t="inlineStr">
        <is>
          <t>Unit</t>
        </is>
      </c>
      <c r="D884" s="5" t="inlineStr">
        <is>
          <t>Quantity</t>
        </is>
      </c>
      <c r="E884" s="5" t="inlineStr">
        <is>
          <t>Rate (Rs.)</t>
        </is>
      </c>
      <c r="F884" s="5" t="inlineStr">
        <is>
          <t>Amount (Rs.)</t>
        </is>
      </c>
    </row>
    <row r="885">
      <c r="A885" s="13" t="inlineStr">
        <is>
          <t>9999</t>
        </is>
      </c>
      <c r="B885" s="14" t="inlineStr">
        <is>
          <t>Scaffolding</t>
        </is>
      </c>
      <c r="C885" s="13" t="inlineStr">
        <is>
          <t>L.S.</t>
        </is>
      </c>
      <c r="D885" s="15" t="n">
        <v>13.52</v>
      </c>
      <c r="E885" s="16" t="n">
        <v>2</v>
      </c>
      <c r="F885" s="16">
        <f>D885*E885</f>
        <v/>
      </c>
    </row>
    <row r="886">
      <c r="A886" s="13" t="inlineStr">
        <is>
          <t>0122</t>
        </is>
      </c>
      <c r="B886" s="14" t="inlineStr">
        <is>
          <t>Mason (for plaster of paris work) 1st class</t>
        </is>
      </c>
      <c r="C886" s="13" t="inlineStr">
        <is>
          <t>day</t>
        </is>
      </c>
      <c r="D886" s="15" t="n">
        <v>1</v>
      </c>
      <c r="E886" s="16" t="n">
        <v>738</v>
      </c>
      <c r="F886" s="16">
        <f>D886*E886</f>
        <v/>
      </c>
    </row>
    <row r="887">
      <c r="A887" s="13" t="inlineStr">
        <is>
          <t>0114</t>
        </is>
      </c>
      <c r="B887" s="14" t="inlineStr">
        <is>
          <t>Beldar</t>
        </is>
      </c>
      <c r="C887" s="13" t="inlineStr">
        <is>
          <t>day</t>
        </is>
      </c>
      <c r="D887" s="15" t="n">
        <v>1</v>
      </c>
      <c r="E887" s="16" t="n">
        <v>558</v>
      </c>
      <c r="F887" s="16">
        <f>D887*E887</f>
        <v/>
      </c>
    </row>
    <row r="888">
      <c r="A888" s="13" t="inlineStr">
        <is>
          <t>0101</t>
        </is>
      </c>
      <c r="B888" s="14" t="inlineStr">
        <is>
          <t>Bhisti</t>
        </is>
      </c>
      <c r="C888" s="13" t="inlineStr">
        <is>
          <t>day</t>
        </is>
      </c>
      <c r="D888" s="15" t="n">
        <v>0.25</v>
      </c>
      <c r="E888" s="16" t="n">
        <v>617</v>
      </c>
      <c r="F888" s="16">
        <f>D888*E888</f>
        <v/>
      </c>
    </row>
    <row r="889">
      <c r="A889" s="17" t="inlineStr">
        <is>
          <t>Resource Total (Material + Labour + Machinery, as printed)</t>
        </is>
      </c>
      <c r="B889" s="18" t="n"/>
      <c r="C889" s="18" t="n"/>
      <c r="D889" s="18" t="n"/>
      <c r="E889" s="18" t="n"/>
      <c r="F889" s="19">
        <f>SUM(F885:F888)</f>
        <v/>
      </c>
    </row>
    <row r="890">
      <c r="A890" s="20" t="inlineStr">
        <is>
          <t>SAY (Rs.) — final DAR rate</t>
        </is>
      </c>
      <c r="B890" s="21" t="n"/>
      <c r="C890" s="21" t="n"/>
      <c r="D890" s="21" t="n"/>
      <c r="E890" s="21" t="n"/>
      <c r="F890" s="22" t="n">
        <v>197.65</v>
      </c>
    </row>
    <row r="892" ht="28" customHeight="1">
      <c r="A892" s="9" t="inlineStr">
        <is>
          <t>12.34</t>
        </is>
      </c>
      <c r="B892" s="10" t="inlineStr">
        <is>
          <t>Providing fixing thermal insulation of ceiling (under deck insulation) with Resin Bonded Fibre glass wool conforming to IS : 8183, density 2</t>
        </is>
      </c>
      <c r="C892" s="11" t="n"/>
      <c r="D892" s="11" t="n"/>
      <c r="E892" s="11" t="n"/>
      <c r="F892" s="11" t="n"/>
    </row>
    <row r="893">
      <c r="A893" s="12" t="inlineStr">
        <is>
          <t>Rate basis: per sqm  (source: cost for 10 sqm)</t>
        </is>
      </c>
    </row>
    <row r="894">
      <c r="A894" s="5" t="inlineStr">
        <is>
          <t>Code</t>
        </is>
      </c>
      <c r="B894" s="5" t="inlineStr">
        <is>
          <t>Description</t>
        </is>
      </c>
      <c r="C894" s="5" t="inlineStr">
        <is>
          <t>Unit</t>
        </is>
      </c>
      <c r="D894" s="5" t="inlineStr">
        <is>
          <t>Quantity</t>
        </is>
      </c>
      <c r="E894" s="5" t="inlineStr">
        <is>
          <t>Rate (Rs.)</t>
        </is>
      </c>
      <c r="F894" s="5" t="inlineStr">
        <is>
          <t>Amount (Rs.)</t>
        </is>
      </c>
    </row>
    <row r="895">
      <c r="A895" s="13" t="inlineStr">
        <is>
          <t>7232</t>
        </is>
      </c>
      <c r="B895" s="14" t="inlineStr">
        <is>
          <t>Resin Bonded Glass wool 24 kg/m³ 50 mm thick</t>
        </is>
      </c>
      <c r="C895" s="13" t="inlineStr">
        <is>
          <t>sqm</t>
        </is>
      </c>
      <c r="D895" s="15" t="n">
        <v>11</v>
      </c>
      <c r="E895" s="16" t="n">
        <v>143</v>
      </c>
      <c r="F895" s="16">
        <f>D895*E895</f>
        <v/>
      </c>
    </row>
    <row r="896">
      <c r="A896" s="13" t="inlineStr">
        <is>
          <t>9999</t>
        </is>
      </c>
      <c r="B896" s="14" t="inlineStr">
        <is>
          <t>Sundries including GI wire 20 SWG and Virgin polythene bags 200 gram</t>
        </is>
      </c>
      <c r="C896" s="13" t="inlineStr">
        <is>
          <t>L.S.</t>
        </is>
      </c>
      <c r="D896" s="15" t="n">
        <v>104</v>
      </c>
      <c r="E896" s="16" t="n">
        <v>2</v>
      </c>
      <c r="F896" s="16">
        <f>D896*E896</f>
        <v/>
      </c>
    </row>
    <row r="897">
      <c r="A897" s="13" t="inlineStr">
        <is>
          <t>9999</t>
        </is>
      </c>
      <c r="B897" s="14" t="inlineStr">
        <is>
          <t>GI chiken mesh 12.5mm x 24 SWG</t>
        </is>
      </c>
      <c r="C897" s="13" t="inlineStr">
        <is>
          <t>L.S.</t>
        </is>
      </c>
      <c r="D897" s="15" t="n">
        <v>351</v>
      </c>
      <c r="E897" s="16" t="n">
        <v>2</v>
      </c>
      <c r="F897" s="16">
        <f>D897*E897</f>
        <v/>
      </c>
    </row>
    <row r="898">
      <c r="A898" s="13" t="inlineStr">
        <is>
          <t>0111</t>
        </is>
      </c>
      <c r="B898" s="14" t="inlineStr">
        <is>
          <t>Carpenter 1st class</t>
        </is>
      </c>
      <c r="C898" s="13" t="inlineStr">
        <is>
          <t>day</t>
        </is>
      </c>
      <c r="D898" s="15" t="n">
        <v>1</v>
      </c>
      <c r="E898" s="16" t="n">
        <v>738</v>
      </c>
      <c r="F898" s="16">
        <f>D898*E898</f>
        <v/>
      </c>
    </row>
    <row r="899">
      <c r="A899" s="13" t="inlineStr">
        <is>
          <t>0114</t>
        </is>
      </c>
      <c r="B899" s="14" t="inlineStr">
        <is>
          <t>Beldar</t>
        </is>
      </c>
      <c r="C899" s="13" t="inlineStr">
        <is>
          <t>day</t>
        </is>
      </c>
      <c r="D899" s="15" t="n">
        <v>2</v>
      </c>
      <c r="E899" s="16" t="n">
        <v>558</v>
      </c>
      <c r="F899" s="16">
        <f>D899*E899</f>
        <v/>
      </c>
    </row>
    <row r="900">
      <c r="A900" s="17" t="inlineStr">
        <is>
          <t>Resource Total (Material + Labour + Machinery, as printed)</t>
        </is>
      </c>
      <c r="B900" s="18" t="n"/>
      <c r="C900" s="18" t="n"/>
      <c r="D900" s="18" t="n"/>
      <c r="E900" s="18" t="n"/>
      <c r="F900" s="19">
        <f>SUM(F895:F899)</f>
        <v/>
      </c>
    </row>
    <row r="901">
      <c r="A901" s="20" t="inlineStr">
        <is>
          <t>SAY (Rs.) — final DAR rate</t>
        </is>
      </c>
      <c r="B901" s="21" t="n"/>
      <c r="C901" s="21" t="n"/>
      <c r="D901" s="21" t="n"/>
      <c r="E901" s="21" t="n"/>
      <c r="F901" s="22" t="n">
        <v>580.25</v>
      </c>
    </row>
    <row r="903" ht="28" customHeight="1">
      <c r="A903" s="9" t="inlineStr">
        <is>
          <t>12.35</t>
        </is>
      </c>
      <c r="B903" s="10" t="inlineStr">
        <is>
          <t>Providing and fixing thermal insulation with Resin Bonded Fibre glass wool conforming to IS: 8183. Density 16 kg/m³, 50 mm thick, wrapped in</t>
        </is>
      </c>
      <c r="C903" s="11" t="n"/>
      <c r="D903" s="11" t="n"/>
      <c r="E903" s="11" t="n"/>
      <c r="F903" s="11" t="n"/>
    </row>
    <row r="904">
      <c r="A904" s="12" t="inlineStr">
        <is>
          <t>Rate basis: per sqm  (source: cost for 10 sqm)</t>
        </is>
      </c>
    </row>
    <row r="905">
      <c r="A905" s="5" t="inlineStr">
        <is>
          <t>Code</t>
        </is>
      </c>
      <c r="B905" s="5" t="inlineStr">
        <is>
          <t>Description</t>
        </is>
      </c>
      <c r="C905" s="5" t="inlineStr">
        <is>
          <t>Unit</t>
        </is>
      </c>
      <c r="D905" s="5" t="inlineStr">
        <is>
          <t>Quantity</t>
        </is>
      </c>
      <c r="E905" s="5" t="inlineStr">
        <is>
          <t>Rate (Rs.)</t>
        </is>
      </c>
      <c r="F905" s="5" t="inlineStr">
        <is>
          <t>Amount (Rs.)</t>
        </is>
      </c>
    </row>
    <row r="906">
      <c r="A906" s="13" t="inlineStr">
        <is>
          <t>7231</t>
        </is>
      </c>
      <c r="B906" s="14" t="inlineStr">
        <is>
          <t>Resin Bonded Glass wool 16 kg/m³ 50 mm thick</t>
        </is>
      </c>
      <c r="C906" s="13" t="inlineStr">
        <is>
          <t>sqm</t>
        </is>
      </c>
      <c r="D906" s="15" t="n">
        <v>11</v>
      </c>
      <c r="E906" s="16" t="n">
        <v>100</v>
      </c>
      <c r="F906" s="16">
        <f>D906*E906</f>
        <v/>
      </c>
    </row>
    <row r="907">
      <c r="A907" s="13" t="inlineStr">
        <is>
          <t>9999</t>
        </is>
      </c>
      <c r="B907" s="14" t="inlineStr">
        <is>
          <t>Sundries including GI wire 20 SWG and Virgin polythene bags 200 gram</t>
        </is>
      </c>
      <c r="C907" s="13" t="inlineStr">
        <is>
          <t>L.S.</t>
        </is>
      </c>
      <c r="D907" s="15" t="n">
        <v>52</v>
      </c>
      <c r="E907" s="16" t="n">
        <v>2</v>
      </c>
      <c r="F907" s="16">
        <f>D907*E907</f>
        <v/>
      </c>
    </row>
    <row r="908">
      <c r="A908" s="13" t="inlineStr">
        <is>
          <t>0111</t>
        </is>
      </c>
      <c r="B908" s="14" t="inlineStr">
        <is>
          <t>Carpenter 1st class</t>
        </is>
      </c>
      <c r="C908" s="13" t="inlineStr">
        <is>
          <t>day</t>
        </is>
      </c>
      <c r="D908" s="15" t="n">
        <v>0.5</v>
      </c>
      <c r="E908" s="16" t="n">
        <v>738</v>
      </c>
      <c r="F908" s="16">
        <f>D908*E908</f>
        <v/>
      </c>
    </row>
    <row r="909">
      <c r="A909" s="13" t="inlineStr">
        <is>
          <t>0114</t>
        </is>
      </c>
      <c r="B909" s="14" t="inlineStr">
        <is>
          <t>Beldar</t>
        </is>
      </c>
      <c r="C909" s="13" t="inlineStr">
        <is>
          <t>day</t>
        </is>
      </c>
      <c r="D909" s="15" t="n">
        <v>0.5</v>
      </c>
      <c r="E909" s="16" t="n">
        <v>558</v>
      </c>
      <c r="F909" s="16">
        <f>D909*E909</f>
        <v/>
      </c>
    </row>
    <row r="910">
      <c r="A910" s="17" t="inlineStr">
        <is>
          <t>Resource Total (Material + Labour + Machinery, as printed)</t>
        </is>
      </c>
      <c r="B910" s="18" t="n"/>
      <c r="C910" s="18" t="n"/>
      <c r="D910" s="18" t="n"/>
      <c r="E910" s="18" t="n"/>
      <c r="F910" s="19">
        <f>SUM(F906:F909)</f>
        <v/>
      </c>
    </row>
    <row r="911">
      <c r="A911" s="20" t="inlineStr">
        <is>
          <t>SAY (Rs.) — final DAR rate</t>
        </is>
      </c>
      <c r="B911" s="21" t="n"/>
      <c r="C911" s="21" t="n"/>
      <c r="D911" s="21" t="n"/>
      <c r="E911" s="21" t="n"/>
      <c r="F911" s="22" t="n">
        <v>247.8</v>
      </c>
    </row>
    <row r="913" ht="18" customHeight="1">
      <c r="A913" s="9" t="inlineStr">
        <is>
          <t>12.36.1</t>
        </is>
      </c>
      <c r="B913" s="10" t="inlineStr">
        <is>
          <t>With Type N - Normal 50 mm thick</t>
        </is>
      </c>
      <c r="C913" s="11" t="n"/>
      <c r="D913" s="11" t="n"/>
      <c r="E913" s="11" t="n"/>
      <c r="F913" s="11" t="n"/>
    </row>
    <row r="914">
      <c r="A914" s="12" t="inlineStr">
        <is>
          <t>Rate basis: per sqm  (source: cost for 10 sqm)</t>
        </is>
      </c>
    </row>
    <row r="915">
      <c r="A915" s="5" t="inlineStr">
        <is>
          <t>Code</t>
        </is>
      </c>
      <c r="B915" s="5" t="inlineStr">
        <is>
          <t>Description</t>
        </is>
      </c>
      <c r="C915" s="5" t="inlineStr">
        <is>
          <t>Unit</t>
        </is>
      </c>
      <c r="D915" s="5" t="inlineStr">
        <is>
          <t>Quantity</t>
        </is>
      </c>
      <c r="E915" s="5" t="inlineStr">
        <is>
          <t>Rate (Rs.)</t>
        </is>
      </c>
      <c r="F915" s="5" t="inlineStr">
        <is>
          <t>Amount (Rs.)</t>
        </is>
      </c>
    </row>
    <row r="916">
      <c r="A916" s="13" t="inlineStr">
        <is>
          <t>7090</t>
        </is>
      </c>
      <c r="B916" s="14" t="inlineStr">
        <is>
          <t>Expanded polystyrene type N- Normal</t>
        </is>
      </c>
      <c r="C916" s="13" t="inlineStr">
        <is>
          <t>sqm</t>
        </is>
      </c>
      <c r="D916" s="15" t="n">
        <v>11</v>
      </c>
      <c r="E916" s="16" t="n">
        <v>125</v>
      </c>
      <c r="F916" s="16">
        <f>D916*E916</f>
        <v/>
      </c>
    </row>
    <row r="917">
      <c r="A917" s="13" t="inlineStr">
        <is>
          <t>0314</t>
        </is>
      </c>
      <c r="B917" s="14" t="inlineStr">
        <is>
          <t>Bitumen hot sealing compound : grade A</t>
        </is>
      </c>
      <c r="C917" s="13" t="inlineStr">
        <is>
          <t>kilogram</t>
        </is>
      </c>
      <c r="D917" s="15" t="n">
        <v>0.25</v>
      </c>
      <c r="E917" s="16" t="n">
        <v>28</v>
      </c>
      <c r="F917" s="16">
        <f>D917*E917</f>
        <v/>
      </c>
    </row>
    <row r="918">
      <c r="A918" s="13" t="inlineStr">
        <is>
          <t>9999</t>
        </is>
      </c>
      <c r="B918" s="14" t="inlineStr">
        <is>
          <t>Sundries</t>
        </is>
      </c>
      <c r="C918" s="13" t="inlineStr">
        <is>
          <t>L.S.</t>
        </is>
      </c>
      <c r="D918" s="15" t="n">
        <v>13</v>
      </c>
      <c r="E918" s="16" t="n">
        <v>2</v>
      </c>
      <c r="F918" s="16">
        <f>D918*E918</f>
        <v/>
      </c>
    </row>
    <row r="919">
      <c r="A919" s="13" t="inlineStr">
        <is>
          <t>0111</t>
        </is>
      </c>
      <c r="B919" s="14" t="inlineStr">
        <is>
          <t>Carpenter 1st class</t>
        </is>
      </c>
      <c r="C919" s="13" t="inlineStr">
        <is>
          <t>day</t>
        </is>
      </c>
      <c r="D919" s="15" t="n">
        <v>0.5</v>
      </c>
      <c r="E919" s="16" t="n">
        <v>738</v>
      </c>
      <c r="F919" s="16">
        <f>D919*E919</f>
        <v/>
      </c>
    </row>
    <row r="920">
      <c r="A920" s="13" t="inlineStr">
        <is>
          <t>0114</t>
        </is>
      </c>
      <c r="B920" s="14" t="inlineStr">
        <is>
          <t>Beldar</t>
        </is>
      </c>
      <c r="C920" s="13" t="inlineStr">
        <is>
          <t>day</t>
        </is>
      </c>
      <c r="D920" s="15" t="n">
        <v>0.5</v>
      </c>
      <c r="E920" s="16" t="n">
        <v>558</v>
      </c>
      <c r="F920" s="16">
        <f>D920*E920</f>
        <v/>
      </c>
    </row>
    <row r="921">
      <c r="A921" s="17" t="inlineStr">
        <is>
          <t>Resource Total (Material + Labour + Machinery, as printed)</t>
        </is>
      </c>
      <c r="B921" s="18" t="n"/>
      <c r="C921" s="18" t="n"/>
      <c r="D921" s="18" t="n"/>
      <c r="E921" s="18" t="n"/>
      <c r="F921" s="19">
        <f>SUM(F916:F920)</f>
        <v/>
      </c>
    </row>
    <row r="922">
      <c r="A922" s="20" t="inlineStr">
        <is>
          <t>SAY (Rs.) — final DAR rate</t>
        </is>
      </c>
      <c r="B922" s="21" t="n"/>
      <c r="C922" s="21" t="n"/>
      <c r="D922" s="21" t="n"/>
      <c r="E922" s="21" t="n"/>
      <c r="F922" s="22" t="n">
        <v>275.1</v>
      </c>
    </row>
    <row r="924" ht="18" customHeight="1">
      <c r="A924" s="9" t="inlineStr">
        <is>
          <t>12.36.2</t>
        </is>
      </c>
      <c r="B924" s="10" t="inlineStr">
        <is>
          <t>With Type SE - Self Extinguishing type 50 mm thick</t>
        </is>
      </c>
      <c r="C924" s="11" t="n"/>
      <c r="D924" s="11" t="n"/>
      <c r="E924" s="11" t="n"/>
      <c r="F924" s="11" t="n"/>
    </row>
    <row r="925">
      <c r="A925" s="12" t="inlineStr">
        <is>
          <t>Rate basis: per sqm  (source: cost for 10 sqm)</t>
        </is>
      </c>
    </row>
    <row r="926">
      <c r="A926" s="5" t="inlineStr">
        <is>
          <t>Code</t>
        </is>
      </c>
      <c r="B926" s="5" t="inlineStr">
        <is>
          <t>Description</t>
        </is>
      </c>
      <c r="C926" s="5" t="inlineStr">
        <is>
          <t>Unit</t>
        </is>
      </c>
      <c r="D926" s="5" t="inlineStr">
        <is>
          <t>Quantity</t>
        </is>
      </c>
      <c r="E926" s="5" t="inlineStr">
        <is>
          <t>Rate (Rs.)</t>
        </is>
      </c>
      <c r="F926" s="5" t="inlineStr">
        <is>
          <t>Amount (Rs.)</t>
        </is>
      </c>
    </row>
    <row r="927">
      <c r="A927" s="13" t="inlineStr">
        <is>
          <t>7091</t>
        </is>
      </c>
      <c r="B927" s="14" t="inlineStr">
        <is>
          <t>Expanded polystyrene type - SE</t>
        </is>
      </c>
      <c r="C927" s="13" t="inlineStr">
        <is>
          <t>sqm</t>
        </is>
      </c>
      <c r="D927" s="15" t="n">
        <v>11</v>
      </c>
      <c r="E927" s="16" t="n">
        <v>150</v>
      </c>
      <c r="F927" s="16">
        <f>D927*E927</f>
        <v/>
      </c>
    </row>
    <row r="928">
      <c r="A928" s="13" t="inlineStr">
        <is>
          <t>0314</t>
        </is>
      </c>
      <c r="B928" s="14" t="inlineStr">
        <is>
          <t>Bitumen hot sealing compound : grade A</t>
        </is>
      </c>
      <c r="C928" s="13" t="inlineStr">
        <is>
          <t>kilogram</t>
        </is>
      </c>
      <c r="D928" s="15" t="n">
        <v>0.25</v>
      </c>
      <c r="E928" s="16" t="n">
        <v>28</v>
      </c>
      <c r="F928" s="16">
        <f>D928*E928</f>
        <v/>
      </c>
    </row>
    <row r="929">
      <c r="A929" s="13" t="inlineStr">
        <is>
          <t>9999</t>
        </is>
      </c>
      <c r="B929" s="14" t="inlineStr">
        <is>
          <t>Sundries</t>
        </is>
      </c>
      <c r="C929" s="13" t="inlineStr">
        <is>
          <t>L.S.</t>
        </is>
      </c>
      <c r="D929" s="15" t="n">
        <v>13</v>
      </c>
      <c r="E929" s="16" t="n">
        <v>2</v>
      </c>
      <c r="F929" s="16">
        <f>D929*E929</f>
        <v/>
      </c>
    </row>
    <row r="930">
      <c r="A930" s="13" t="inlineStr">
        <is>
          <t>0111</t>
        </is>
      </c>
      <c r="B930" s="14" t="inlineStr">
        <is>
          <t>Carpenter 1st class</t>
        </is>
      </c>
      <c r="C930" s="13" t="inlineStr">
        <is>
          <t>day</t>
        </is>
      </c>
      <c r="D930" s="15" t="n">
        <v>0.5</v>
      </c>
      <c r="E930" s="16" t="n">
        <v>738</v>
      </c>
      <c r="F930" s="16">
        <f>D930*E930</f>
        <v/>
      </c>
    </row>
    <row r="931">
      <c r="A931" s="13" t="inlineStr">
        <is>
          <t>0114</t>
        </is>
      </c>
      <c r="B931" s="14" t="inlineStr">
        <is>
          <t>Beldar</t>
        </is>
      </c>
      <c r="C931" s="13" t="inlineStr">
        <is>
          <t>day</t>
        </is>
      </c>
      <c r="D931" s="15" t="n">
        <v>0.5</v>
      </c>
      <c r="E931" s="16" t="n">
        <v>558</v>
      </c>
      <c r="F931" s="16">
        <f>D931*E931</f>
        <v/>
      </c>
    </row>
    <row r="932">
      <c r="A932" s="17" t="inlineStr">
        <is>
          <t>Resource Total (Material + Labour + Machinery, as printed)</t>
        </is>
      </c>
      <c r="B932" s="18" t="n"/>
      <c r="C932" s="18" t="n"/>
      <c r="D932" s="18" t="n"/>
      <c r="E932" s="18" t="n"/>
      <c r="F932" s="19">
        <f>SUM(F927:F931)</f>
        <v/>
      </c>
    </row>
    <row r="933">
      <c r="A933" s="20" t="inlineStr">
        <is>
          <t>SAY (Rs.) — final DAR rate</t>
        </is>
      </c>
      <c r="B933" s="21" t="n"/>
      <c r="C933" s="21" t="n"/>
      <c r="D933" s="21" t="n"/>
      <c r="E933" s="21" t="n"/>
      <c r="F933" s="22" t="n">
        <v>311.85</v>
      </c>
    </row>
    <row r="935" ht="18" customHeight="1">
      <c r="A935" s="9" t="inlineStr">
        <is>
          <t>12.37.1</t>
        </is>
      </c>
      <c r="B935" s="10" t="inlineStr">
        <is>
          <t>Stone ware spout</t>
        </is>
      </c>
      <c r="C935" s="11" t="n"/>
      <c r="D935" s="11" t="n"/>
      <c r="E935" s="11" t="n"/>
      <c r="F935" s="11" t="n"/>
    </row>
    <row r="936">
      <c r="A936" s="12" t="inlineStr">
        <is>
          <t>Rate basis: per stone  (source: cost for 10 stone)</t>
        </is>
      </c>
    </row>
    <row r="937">
      <c r="A937" s="5" t="inlineStr">
        <is>
          <t>Code</t>
        </is>
      </c>
      <c r="B937" s="5" t="inlineStr">
        <is>
          <t>Description</t>
        </is>
      </c>
      <c r="C937" s="5" t="inlineStr">
        <is>
          <t>Unit</t>
        </is>
      </c>
      <c r="D937" s="5" t="inlineStr">
        <is>
          <t>Quantity</t>
        </is>
      </c>
      <c r="E937" s="5" t="inlineStr">
        <is>
          <t>Rate (Rs.)</t>
        </is>
      </c>
      <c r="F937" s="5" t="inlineStr">
        <is>
          <t>Amount (Rs.)</t>
        </is>
      </c>
    </row>
    <row r="938">
      <c r="A938" s="13" t="inlineStr">
        <is>
          <t>3004</t>
        </is>
      </c>
      <c r="B938" s="14" t="inlineStr">
        <is>
          <t>Stone ware spouts 100 mm dia 60 cm long</t>
        </is>
      </c>
      <c r="C938" s="13" t="inlineStr">
        <is>
          <t>each</t>
        </is>
      </c>
      <c r="D938" s="15" t="n">
        <v>10</v>
      </c>
      <c r="E938" s="16" t="n">
        <v>40</v>
      </c>
      <c r="F938" s="16">
        <f>D938*E938</f>
        <v/>
      </c>
    </row>
    <row r="939">
      <c r="A939" s="13" t="inlineStr">
        <is>
          <t>9977</t>
        </is>
      </c>
      <c r="B939" s="14" t="inlineStr">
        <is>
          <t>CARRIAGE</t>
        </is>
      </c>
      <c r="C939" s="13" t="inlineStr">
        <is>
          <t>L.S.</t>
        </is>
      </c>
      <c r="D939" s="15" t="n">
        <v>13.52</v>
      </c>
      <c r="E939" s="16" t="n">
        <v>2</v>
      </c>
      <c r="F939" s="16">
        <f>D939*E939</f>
        <v/>
      </c>
    </row>
    <row r="940">
      <c r="A940" s="13" t="inlineStr">
        <is>
          <t>9999</t>
        </is>
      </c>
      <c r="B940" s="14" t="inlineStr">
        <is>
          <t>Mortar</t>
        </is>
      </c>
      <c r="C940" s="13" t="inlineStr">
        <is>
          <t>L.S.</t>
        </is>
      </c>
      <c r="D940" s="15" t="n">
        <v>13.52</v>
      </c>
      <c r="E940" s="16" t="n">
        <v>2</v>
      </c>
      <c r="F940" s="16">
        <f>D940*E940</f>
        <v/>
      </c>
    </row>
    <row r="941">
      <c r="A941" s="13" t="inlineStr">
        <is>
          <t>0124</t>
        </is>
      </c>
      <c r="B941" s="14" t="inlineStr">
        <is>
          <t>Mason (brick layer) 2nd class</t>
        </is>
      </c>
      <c r="C941" s="13" t="inlineStr">
        <is>
          <t>day</t>
        </is>
      </c>
      <c r="D941" s="15" t="n">
        <v>0.4</v>
      </c>
      <c r="E941" s="16" t="n">
        <v>679</v>
      </c>
      <c r="F941" s="16">
        <f>D941*E941</f>
        <v/>
      </c>
    </row>
    <row r="942">
      <c r="A942" s="13" t="inlineStr">
        <is>
          <t>0114</t>
        </is>
      </c>
      <c r="B942" s="14" t="inlineStr">
        <is>
          <t>Beldar</t>
        </is>
      </c>
      <c r="C942" s="13" t="inlineStr">
        <is>
          <t>day</t>
        </is>
      </c>
      <c r="D942" s="15" t="n">
        <v>0.4</v>
      </c>
      <c r="E942" s="16" t="n">
        <v>558</v>
      </c>
      <c r="F942" s="16">
        <f>D942*E942</f>
        <v/>
      </c>
    </row>
    <row r="943">
      <c r="A943" s="13" t="inlineStr">
        <is>
          <t>9999</t>
        </is>
      </c>
      <c r="B943" s="14" t="inlineStr">
        <is>
          <t>Sundries</t>
        </is>
      </c>
      <c r="C943" s="13" t="inlineStr">
        <is>
          <t>L.S.</t>
        </is>
      </c>
      <c r="D943" s="15" t="n">
        <v>5.33</v>
      </c>
      <c r="E943" s="16" t="n">
        <v>2</v>
      </c>
      <c r="F943" s="16">
        <f>D943*E943</f>
        <v/>
      </c>
    </row>
    <row r="944">
      <c r="A944" s="17" t="inlineStr">
        <is>
          <t>Resource Total (Material + Labour + Machinery, as printed)</t>
        </is>
      </c>
      <c r="B944" s="18" t="n"/>
      <c r="C944" s="18" t="n"/>
      <c r="D944" s="18" t="n"/>
      <c r="E944" s="18" t="n"/>
      <c r="F944" s="19">
        <f>SUM(F938:F943)</f>
        <v/>
      </c>
    </row>
    <row r="945">
      <c r="A945" s="20" t="inlineStr">
        <is>
          <t>SAY (Rs.) — final DAR rate</t>
        </is>
      </c>
      <c r="B945" s="21" t="n"/>
      <c r="C945" s="21" t="n"/>
      <c r="D945" s="21" t="n"/>
      <c r="E945" s="21" t="n"/>
      <c r="F945" s="22" t="n">
        <v>128.4</v>
      </c>
    </row>
    <row r="947" ht="18" customHeight="1">
      <c r="A947" s="9" t="inlineStr">
        <is>
          <t>12.38.1</t>
        </is>
      </c>
      <c r="B947" s="10" t="inlineStr">
        <is>
          <t>100 mm diameter</t>
        </is>
      </c>
      <c r="C947" s="11" t="n"/>
      <c r="D947" s="11" t="n"/>
      <c r="E947" s="11" t="n"/>
      <c r="F947" s="11" t="n"/>
    </row>
    <row r="948">
      <c r="A948" s="12" t="inlineStr">
        <is>
          <t>Rate basis: per nos  (source: cost for 5 nos)</t>
        </is>
      </c>
    </row>
    <row r="949">
      <c r="A949" s="5" t="inlineStr">
        <is>
          <t>Code</t>
        </is>
      </c>
      <c r="B949" s="5" t="inlineStr">
        <is>
          <t>Description</t>
        </is>
      </c>
      <c r="C949" s="5" t="inlineStr">
        <is>
          <t>Unit</t>
        </is>
      </c>
      <c r="D949" s="5" t="inlineStr">
        <is>
          <t>Quantity</t>
        </is>
      </c>
      <c r="E949" s="5" t="inlineStr">
        <is>
          <t>Rate (Rs.)</t>
        </is>
      </c>
      <c r="F949" s="5" t="inlineStr">
        <is>
          <t>Amount (Rs.)</t>
        </is>
      </c>
    </row>
    <row r="950">
      <c r="A950" s="13" t="inlineStr">
        <is>
          <t>1331</t>
        </is>
      </c>
      <c r="B950" s="14" t="inlineStr">
        <is>
          <t>M.S.Holder bat clamp of approved design for 100 mm S.C.I. pipe</t>
        </is>
      </c>
      <c r="C950" s="13" t="inlineStr">
        <is>
          <t>each</t>
        </is>
      </c>
      <c r="D950" s="15" t="n">
        <v>5</v>
      </c>
      <c r="E950" s="16" t="n">
        <v>30</v>
      </c>
      <c r="F950" s="16">
        <f>D950*E950</f>
        <v/>
      </c>
    </row>
    <row r="951">
      <c r="A951" s="13" t="inlineStr">
        <is>
          <t>9977</t>
        </is>
      </c>
      <c r="B951" s="14" t="inlineStr">
        <is>
          <t>Carriage of bat clamps</t>
        </is>
      </c>
      <c r="C951" s="13" t="inlineStr">
        <is>
          <t>L.S.</t>
        </is>
      </c>
      <c r="D951" s="15" t="n">
        <v>2.47</v>
      </c>
      <c r="E951" s="16" t="n">
        <v>2</v>
      </c>
      <c r="F951" s="16">
        <f>D951*E951</f>
        <v/>
      </c>
    </row>
    <row r="952">
      <c r="A952" s="13" t="inlineStr">
        <is>
          <t>9999</t>
        </is>
      </c>
      <c r="B952" s="14" t="inlineStr">
        <is>
          <t>Sundries</t>
        </is>
      </c>
      <c r="C952" s="13" t="inlineStr">
        <is>
          <t>L.S.</t>
        </is>
      </c>
      <c r="D952" s="15" t="n">
        <v>7.15</v>
      </c>
      <c r="E952" s="16" t="n">
        <v>2</v>
      </c>
      <c r="F952" s="16">
        <f>D952*E952</f>
        <v/>
      </c>
    </row>
    <row r="953">
      <c r="A953" s="13" t="inlineStr">
        <is>
          <t>0116</t>
        </is>
      </c>
      <c r="B953" s="14" t="inlineStr">
        <is>
          <t>Fitter (grade 1)</t>
        </is>
      </c>
      <c r="C953" s="13" t="inlineStr">
        <is>
          <t>day</t>
        </is>
      </c>
      <c r="D953" s="15" t="n">
        <v>0.125</v>
      </c>
      <c r="E953" s="16" t="n">
        <v>738</v>
      </c>
      <c r="F953" s="16">
        <f>D953*E953</f>
        <v/>
      </c>
    </row>
    <row r="954">
      <c r="A954" s="13" t="inlineStr">
        <is>
          <t>0124</t>
        </is>
      </c>
      <c r="B954" s="14" t="inlineStr">
        <is>
          <t>Mason (brick layer) 2nd class</t>
        </is>
      </c>
      <c r="C954" s="13" t="inlineStr">
        <is>
          <t>day</t>
        </is>
      </c>
      <c r="D954" s="15" t="n">
        <v>0.75</v>
      </c>
      <c r="E954" s="16" t="n">
        <v>679</v>
      </c>
      <c r="F954" s="16">
        <f>D954*E954</f>
        <v/>
      </c>
    </row>
    <row r="955">
      <c r="A955" s="13" t="inlineStr">
        <is>
          <t>0114</t>
        </is>
      </c>
      <c r="B955" s="14" t="inlineStr">
        <is>
          <t>Beldar</t>
        </is>
      </c>
      <c r="C955" s="13" t="inlineStr">
        <is>
          <t>day</t>
        </is>
      </c>
      <c r="D955" s="15" t="n">
        <v>0.5</v>
      </c>
      <c r="E955" s="16" t="n">
        <v>558</v>
      </c>
      <c r="F955" s="16">
        <f>D955*E955</f>
        <v/>
      </c>
    </row>
    <row r="956">
      <c r="A956" s="13" t="inlineStr">
        <is>
          <t>0295</t>
        </is>
      </c>
      <c r="B956" s="14" t="inlineStr">
        <is>
          <t>Stone Aggregate (Single size) : 20 mm nominal size</t>
        </is>
      </c>
      <c r="C956" s="13" t="inlineStr">
        <is>
          <t>cum</t>
        </is>
      </c>
      <c r="D956" s="15" t="n">
        <v>0.0033</v>
      </c>
      <c r="E956" s="16" t="n">
        <v>1350</v>
      </c>
      <c r="F956" s="16">
        <f>D956*E956</f>
        <v/>
      </c>
    </row>
    <row r="957">
      <c r="A957" s="13" t="inlineStr">
        <is>
          <t>0297</t>
        </is>
      </c>
      <c r="B957" s="14" t="inlineStr">
        <is>
          <t>Stone Aggregate (Single size) : 10 mm nominal size</t>
        </is>
      </c>
      <c r="C957" s="13" t="inlineStr">
        <is>
          <t>cum</t>
        </is>
      </c>
      <c r="D957" s="15" t="n">
        <v>0.0011</v>
      </c>
      <c r="E957" s="16" t="n">
        <v>1350</v>
      </c>
      <c r="F957" s="16">
        <f>D957*E957</f>
        <v/>
      </c>
    </row>
    <row r="958">
      <c r="A958" s="13" t="inlineStr">
        <is>
          <t>2202</t>
        </is>
      </c>
      <c r="B958" s="14" t="inlineStr">
        <is>
          <t>Carriage of Stone aggregate below 40 mm nominal size</t>
        </is>
      </c>
      <c r="C958" s="13" t="inlineStr">
        <is>
          <t>cum</t>
        </is>
      </c>
      <c r="D958" s="15" t="n">
        <v>0.0044</v>
      </c>
      <c r="E958" s="16" t="n">
        <v>103.77</v>
      </c>
      <c r="F958" s="16">
        <f>D958*E958</f>
        <v/>
      </c>
    </row>
    <row r="959">
      <c r="A959" s="13" t="inlineStr">
        <is>
          <t>0982</t>
        </is>
      </c>
      <c r="B959" s="14" t="inlineStr">
        <is>
          <t>Coarse sand (zone III)</t>
        </is>
      </c>
      <c r="C959" s="13" t="inlineStr">
        <is>
          <t>cum</t>
        </is>
      </c>
      <c r="D959" s="15" t="n">
        <v>0.0022</v>
      </c>
      <c r="E959" s="16" t="n">
        <v>1350</v>
      </c>
      <c r="F959" s="16">
        <f>D959*E959</f>
        <v/>
      </c>
    </row>
    <row r="960">
      <c r="A960" s="13" t="inlineStr">
        <is>
          <t>2203</t>
        </is>
      </c>
      <c r="B960" s="14" t="inlineStr">
        <is>
          <t>Carriage of Coarse sand</t>
        </is>
      </c>
      <c r="C960" s="13" t="inlineStr">
        <is>
          <t>cum</t>
        </is>
      </c>
      <c r="D960" s="15" t="n">
        <v>0.0022</v>
      </c>
      <c r="E960" s="16" t="n">
        <v>103.77</v>
      </c>
      <c r="F960" s="16">
        <f>D960*E960</f>
        <v/>
      </c>
    </row>
    <row r="961">
      <c r="A961" s="13" t="inlineStr">
        <is>
          <t>0367</t>
        </is>
      </c>
      <c r="B961" s="14" t="inlineStr">
        <is>
          <t>Portland Cement (OPC-43 grade)</t>
        </is>
      </c>
      <c r="C961" s="13" t="inlineStr">
        <is>
          <t>tonne</t>
        </is>
      </c>
      <c r="D961" s="15" t="n">
        <v>0.0016</v>
      </c>
      <c r="E961" s="16" t="n">
        <v>4940</v>
      </c>
      <c r="F961" s="16">
        <f>D961*E961</f>
        <v/>
      </c>
    </row>
    <row r="962">
      <c r="A962" s="13" t="inlineStr">
        <is>
          <t>2209</t>
        </is>
      </c>
      <c r="B962" s="14" t="inlineStr">
        <is>
          <t>Carriage of Cement</t>
        </is>
      </c>
      <c r="C962" s="13" t="inlineStr">
        <is>
          <t>tonne</t>
        </is>
      </c>
      <c r="D962" s="15" t="n">
        <v>0.0016</v>
      </c>
      <c r="E962" s="16" t="n">
        <v>92.23999999999999</v>
      </c>
      <c r="F962" s="16">
        <f>D962*E962</f>
        <v/>
      </c>
    </row>
    <row r="963">
      <c r="A963" s="13" t="inlineStr">
        <is>
          <t>0114</t>
        </is>
      </c>
      <c r="B963" s="14" t="inlineStr">
        <is>
          <t>Beldar</t>
        </is>
      </c>
      <c r="C963" s="13" t="inlineStr">
        <is>
          <t>day</t>
        </is>
      </c>
      <c r="D963" s="15" t="n">
        <v>0.0045</v>
      </c>
      <c r="E963" s="16" t="n">
        <v>558</v>
      </c>
      <c r="F963" s="16">
        <f>D963*E963</f>
        <v/>
      </c>
    </row>
    <row r="964">
      <c r="A964" s="13" t="inlineStr">
        <is>
          <t>0115</t>
        </is>
      </c>
      <c r="B964" s="14" t="inlineStr">
        <is>
          <t>Coolie</t>
        </is>
      </c>
      <c r="C964" s="13" t="inlineStr">
        <is>
          <t>day</t>
        </is>
      </c>
      <c r="D964" s="15" t="n">
        <v>0.0032</v>
      </c>
      <c r="E964" s="16" t="n">
        <v>558</v>
      </c>
      <c r="F964" s="16">
        <f>D964*E964</f>
        <v/>
      </c>
    </row>
    <row r="965">
      <c r="A965" s="13" t="inlineStr">
        <is>
          <t>0101</t>
        </is>
      </c>
      <c r="B965" s="14" t="inlineStr">
        <is>
          <t>Bhisti</t>
        </is>
      </c>
      <c r="C965" s="13" t="inlineStr">
        <is>
          <t>day</t>
        </is>
      </c>
      <c r="D965" s="15" t="n">
        <v>0.0014</v>
      </c>
      <c r="E965" s="16" t="n">
        <v>617</v>
      </c>
      <c r="F965" s="16">
        <f>D965*E965</f>
        <v/>
      </c>
    </row>
    <row r="966">
      <c r="A966" s="13" t="inlineStr">
        <is>
          <t>0123</t>
        </is>
      </c>
      <c r="B966" s="14" t="inlineStr">
        <is>
          <t>Mason (brick layer) 1st class</t>
        </is>
      </c>
      <c r="C966" s="13" t="inlineStr">
        <is>
          <t>day</t>
        </is>
      </c>
      <c r="D966" s="15" t="n">
        <v>0.0003</v>
      </c>
      <c r="E966" s="16" t="n">
        <v>738</v>
      </c>
      <c r="F966" s="16">
        <f>D966*E966</f>
        <v/>
      </c>
    </row>
    <row r="967">
      <c r="A967" s="13" t="inlineStr">
        <is>
          <t>0124</t>
        </is>
      </c>
      <c r="B967" s="14" t="inlineStr">
        <is>
          <t>Mason (brick layer) 2nd class</t>
        </is>
      </c>
      <c r="C967" s="13" t="inlineStr">
        <is>
          <t>day</t>
        </is>
      </c>
      <c r="D967" s="15" t="n">
        <v>0.0003</v>
      </c>
      <c r="E967" s="16" t="n">
        <v>679</v>
      </c>
      <c r="F967" s="16">
        <f>D967*E967</f>
        <v/>
      </c>
    </row>
    <row r="968">
      <c r="A968" s="13" t="inlineStr">
        <is>
          <t>0128</t>
        </is>
      </c>
      <c r="B968" s="14" t="inlineStr">
        <is>
          <t>Mate</t>
        </is>
      </c>
      <c r="C968" s="13" t="inlineStr">
        <is>
          <t>day</t>
        </is>
      </c>
      <c r="D968" s="15" t="n">
        <v>0.0002</v>
      </c>
      <c r="E968" s="16" t="n">
        <v>617</v>
      </c>
      <c r="F968" s="16">
        <f>D968*E968</f>
        <v/>
      </c>
    </row>
    <row r="969">
      <c r="A969" s="13" t="inlineStr">
        <is>
          <t>9999</t>
        </is>
      </c>
      <c r="B969" s="14" t="inlineStr">
        <is>
          <t>Hire charges of machine etc.</t>
        </is>
      </c>
      <c r="C969" s="13" t="inlineStr">
        <is>
          <t>L.S.</t>
        </is>
      </c>
      <c r="D969" s="15" t="n">
        <v>0.26</v>
      </c>
      <c r="E969" s="16" t="n">
        <v>2</v>
      </c>
      <c r="F969" s="16">
        <f>D969*E969</f>
        <v/>
      </c>
    </row>
    <row r="970">
      <c r="A970" s="13" t="inlineStr">
        <is>
          <t>9999</t>
        </is>
      </c>
      <c r="B970" s="14" t="inlineStr">
        <is>
          <t>Sundries</t>
        </is>
      </c>
      <c r="C970" s="13" t="inlineStr">
        <is>
          <t>L.S.</t>
        </is>
      </c>
      <c r="D970" s="15" t="n">
        <v>0.13</v>
      </c>
      <c r="E970" s="16" t="n">
        <v>2</v>
      </c>
      <c r="F970" s="16">
        <f>D970*E970</f>
        <v/>
      </c>
    </row>
    <row r="971">
      <c r="A971" s="13" t="inlineStr">
        <is>
          <t>9999</t>
        </is>
      </c>
      <c r="B971" s="14" t="inlineStr">
        <is>
          <t>Sundries</t>
        </is>
      </c>
      <c r="C971" s="13" t="inlineStr">
        <is>
          <t>L.S.</t>
        </is>
      </c>
      <c r="D971" s="15" t="n">
        <v>0.13</v>
      </c>
      <c r="E971" s="16" t="n">
        <v>2</v>
      </c>
      <c r="F971" s="16">
        <f>D971*E971</f>
        <v/>
      </c>
    </row>
    <row r="972">
      <c r="A972" s="17" t="inlineStr">
        <is>
          <t>Resource Total (Material + Labour + Machinery, as printed)</t>
        </is>
      </c>
      <c r="B972" s="18" t="n"/>
      <c r="C972" s="18" t="n"/>
      <c r="D972" s="18" t="n"/>
      <c r="E972" s="18" t="n"/>
      <c r="F972" s="19">
        <f>SUM(F950:F971)</f>
        <v/>
      </c>
    </row>
    <row r="973">
      <c r="A973" s="20" t="inlineStr">
        <is>
          <t>SAY (Rs.) — final DAR rate</t>
        </is>
      </c>
      <c r="B973" s="21" t="n"/>
      <c r="C973" s="21" t="n"/>
      <c r="D973" s="21" t="n"/>
      <c r="E973" s="21" t="n"/>
      <c r="F973" s="22" t="n">
        <v>287.45</v>
      </c>
    </row>
    <row r="975" ht="18" customHeight="1">
      <c r="A975" s="9" t="inlineStr">
        <is>
          <t>12.38.2</t>
        </is>
      </c>
      <c r="B975" s="10" t="inlineStr">
        <is>
          <t>150 mm diameter</t>
        </is>
      </c>
      <c r="C975" s="11" t="n"/>
      <c r="D975" s="11" t="n"/>
      <c r="E975" s="11" t="n"/>
      <c r="F975" s="11" t="n"/>
    </row>
    <row r="976">
      <c r="A976" s="12" t="inlineStr">
        <is>
          <t>Rate basis: per nos  (source: cost for 5 nos)</t>
        </is>
      </c>
    </row>
    <row r="977">
      <c r="A977" s="5" t="inlineStr">
        <is>
          <t>Code</t>
        </is>
      </c>
      <c r="B977" s="5" t="inlineStr">
        <is>
          <t>Description</t>
        </is>
      </c>
      <c r="C977" s="5" t="inlineStr">
        <is>
          <t>Unit</t>
        </is>
      </c>
      <c r="D977" s="5" t="inlineStr">
        <is>
          <t>Quantity</t>
        </is>
      </c>
      <c r="E977" s="5" t="inlineStr">
        <is>
          <t>Rate (Rs.)</t>
        </is>
      </c>
      <c r="F977" s="5" t="inlineStr">
        <is>
          <t>Amount (Rs.)</t>
        </is>
      </c>
    </row>
    <row r="978">
      <c r="A978" s="13" t="inlineStr">
        <is>
          <t>0886</t>
        </is>
      </c>
      <c r="B978" s="14" t="inlineStr">
        <is>
          <t>Standard holdar bat clamps for sand cast iron or cast iron pipes 150 mm dia</t>
        </is>
      </c>
      <c r="C978" s="13" t="inlineStr">
        <is>
          <t>each</t>
        </is>
      </c>
      <c r="D978" s="15" t="n">
        <v>5</v>
      </c>
      <c r="E978" s="16" t="n">
        <v>45</v>
      </c>
      <c r="F978" s="16">
        <f>D978*E978</f>
        <v/>
      </c>
    </row>
    <row r="979">
      <c r="A979" s="13" t="inlineStr">
        <is>
          <t>9977</t>
        </is>
      </c>
      <c r="B979" s="14" t="inlineStr">
        <is>
          <t>Carriage of bat clamps</t>
        </is>
      </c>
      <c r="C979" s="13" t="inlineStr">
        <is>
          <t>L.S.</t>
        </is>
      </c>
      <c r="D979" s="15" t="n">
        <v>2.47</v>
      </c>
      <c r="E979" s="16" t="n">
        <v>2</v>
      </c>
      <c r="F979" s="16">
        <f>D979*E979</f>
        <v/>
      </c>
    </row>
    <row r="980">
      <c r="A980" s="13" t="inlineStr">
        <is>
          <t>9999</t>
        </is>
      </c>
      <c r="B980" s="14" t="inlineStr">
        <is>
          <t>Sundries</t>
        </is>
      </c>
      <c r="C980" s="13" t="inlineStr">
        <is>
          <t>L.S.</t>
        </is>
      </c>
      <c r="D980" s="15" t="n">
        <v>7.15</v>
      </c>
      <c r="E980" s="16" t="n">
        <v>2</v>
      </c>
      <c r="F980" s="16">
        <f>D980*E980</f>
        <v/>
      </c>
    </row>
    <row r="981">
      <c r="A981" s="13" t="inlineStr">
        <is>
          <t>0116</t>
        </is>
      </c>
      <c r="B981" s="14" t="inlineStr">
        <is>
          <t>Fitter (grade 1)</t>
        </is>
      </c>
      <c r="C981" s="13" t="inlineStr">
        <is>
          <t>day</t>
        </is>
      </c>
      <c r="D981" s="15" t="n">
        <v>0.125</v>
      </c>
      <c r="E981" s="16" t="n">
        <v>738</v>
      </c>
      <c r="F981" s="16">
        <f>D981*E981</f>
        <v/>
      </c>
    </row>
    <row r="982">
      <c r="A982" s="13" t="inlineStr">
        <is>
          <t>0124</t>
        </is>
      </c>
      <c r="B982" s="14" t="inlineStr">
        <is>
          <t>Mason (brick layer) 2nd class</t>
        </is>
      </c>
      <c r="C982" s="13" t="inlineStr">
        <is>
          <t>day</t>
        </is>
      </c>
      <c r="D982" s="15" t="n">
        <v>0.75</v>
      </c>
      <c r="E982" s="16" t="n">
        <v>679</v>
      </c>
      <c r="F982" s="16">
        <f>D982*E982</f>
        <v/>
      </c>
    </row>
    <row r="983">
      <c r="A983" s="13" t="inlineStr">
        <is>
          <t>0114</t>
        </is>
      </c>
      <c r="B983" s="14" t="inlineStr">
        <is>
          <t>Beldar</t>
        </is>
      </c>
      <c r="C983" s="13" t="inlineStr">
        <is>
          <t>day</t>
        </is>
      </c>
      <c r="D983" s="15" t="n">
        <v>0.5</v>
      </c>
      <c r="E983" s="16" t="n">
        <v>558</v>
      </c>
      <c r="F983" s="16">
        <f>D983*E983</f>
        <v/>
      </c>
    </row>
    <row r="984">
      <c r="A984" s="13" t="inlineStr">
        <is>
          <t>0295</t>
        </is>
      </c>
      <c r="B984" s="14" t="inlineStr">
        <is>
          <t>Stone Aggregate (Single size) : 20 mm nominal size</t>
        </is>
      </c>
      <c r="C984" s="13" t="inlineStr">
        <is>
          <t>cum</t>
        </is>
      </c>
      <c r="D984" s="15" t="n">
        <v>0.0033</v>
      </c>
      <c r="E984" s="16" t="n">
        <v>1350</v>
      </c>
      <c r="F984" s="16">
        <f>D984*E984</f>
        <v/>
      </c>
    </row>
    <row r="985">
      <c r="A985" s="13" t="inlineStr">
        <is>
          <t>0297</t>
        </is>
      </c>
      <c r="B985" s="14" t="inlineStr">
        <is>
          <t>Stone Aggregate (Single size) : 10 mm nominal size</t>
        </is>
      </c>
      <c r="C985" s="13" t="inlineStr">
        <is>
          <t>cum</t>
        </is>
      </c>
      <c r="D985" s="15" t="n">
        <v>0.0011</v>
      </c>
      <c r="E985" s="16" t="n">
        <v>1350</v>
      </c>
      <c r="F985" s="16">
        <f>D985*E985</f>
        <v/>
      </c>
    </row>
    <row r="986">
      <c r="A986" s="13" t="inlineStr">
        <is>
          <t>2202</t>
        </is>
      </c>
      <c r="B986" s="14" t="inlineStr">
        <is>
          <t>Carriage of Stone aggregate below 40 mm nominal size</t>
        </is>
      </c>
      <c r="C986" s="13" t="inlineStr">
        <is>
          <t>cum</t>
        </is>
      </c>
      <c r="D986" s="15" t="n">
        <v>0.0044</v>
      </c>
      <c r="E986" s="16" t="n">
        <v>103.77</v>
      </c>
      <c r="F986" s="16">
        <f>D986*E986</f>
        <v/>
      </c>
    </row>
    <row r="987">
      <c r="A987" s="13" t="inlineStr">
        <is>
          <t>0982</t>
        </is>
      </c>
      <c r="B987" s="14" t="inlineStr">
        <is>
          <t>Coarse sand (zone III)</t>
        </is>
      </c>
      <c r="C987" s="13" t="inlineStr">
        <is>
          <t>cum</t>
        </is>
      </c>
      <c r="D987" s="15" t="n">
        <v>0.0022</v>
      </c>
      <c r="E987" s="16" t="n">
        <v>1350</v>
      </c>
      <c r="F987" s="16">
        <f>D987*E987</f>
        <v/>
      </c>
    </row>
    <row r="988">
      <c r="A988" s="13" t="inlineStr">
        <is>
          <t>2203</t>
        </is>
      </c>
      <c r="B988" s="14" t="inlineStr">
        <is>
          <t>Carriage of Coarse sand</t>
        </is>
      </c>
      <c r="C988" s="13" t="inlineStr">
        <is>
          <t>cum</t>
        </is>
      </c>
      <c r="D988" s="15" t="n">
        <v>0.0022</v>
      </c>
      <c r="E988" s="16" t="n">
        <v>103.77</v>
      </c>
      <c r="F988" s="16">
        <f>D988*E988</f>
        <v/>
      </c>
    </row>
    <row r="989">
      <c r="A989" s="13" t="inlineStr">
        <is>
          <t>0367</t>
        </is>
      </c>
      <c r="B989" s="14" t="inlineStr">
        <is>
          <t>Portland Cement (OPC-43 grade)</t>
        </is>
      </c>
      <c r="C989" s="13" t="inlineStr">
        <is>
          <t>tonne</t>
        </is>
      </c>
      <c r="D989" s="15" t="n">
        <v>0.0016</v>
      </c>
      <c r="E989" s="16" t="n">
        <v>4940</v>
      </c>
      <c r="F989" s="16">
        <f>D989*E989</f>
        <v/>
      </c>
    </row>
    <row r="990">
      <c r="A990" s="13" t="inlineStr">
        <is>
          <t>2209</t>
        </is>
      </c>
      <c r="B990" s="14" t="inlineStr">
        <is>
          <t>Carriage of Cement</t>
        </is>
      </c>
      <c r="C990" s="13" t="inlineStr">
        <is>
          <t>tonne</t>
        </is>
      </c>
      <c r="D990" s="15" t="n">
        <v>0.0016</v>
      </c>
      <c r="E990" s="16" t="n">
        <v>92.23999999999999</v>
      </c>
      <c r="F990" s="16">
        <f>D990*E990</f>
        <v/>
      </c>
    </row>
    <row r="991">
      <c r="A991" s="13" t="inlineStr">
        <is>
          <t>0114</t>
        </is>
      </c>
      <c r="B991" s="14" t="inlineStr">
        <is>
          <t>Beldar</t>
        </is>
      </c>
      <c r="C991" s="13" t="inlineStr">
        <is>
          <t>day</t>
        </is>
      </c>
      <c r="D991" s="15" t="n">
        <v>0.0045</v>
      </c>
      <c r="E991" s="16" t="n">
        <v>558</v>
      </c>
      <c r="F991" s="16">
        <f>D991*E991</f>
        <v/>
      </c>
    </row>
    <row r="992">
      <c r="A992" s="13" t="inlineStr">
        <is>
          <t>0115</t>
        </is>
      </c>
      <c r="B992" s="14" t="inlineStr">
        <is>
          <t>Coolie</t>
        </is>
      </c>
      <c r="C992" s="13" t="inlineStr">
        <is>
          <t>day</t>
        </is>
      </c>
      <c r="D992" s="15" t="n">
        <v>0.0032</v>
      </c>
      <c r="E992" s="16" t="n">
        <v>558</v>
      </c>
      <c r="F992" s="16">
        <f>D992*E992</f>
        <v/>
      </c>
    </row>
    <row r="993">
      <c r="A993" s="13" t="inlineStr">
        <is>
          <t>0101</t>
        </is>
      </c>
      <c r="B993" s="14" t="inlineStr">
        <is>
          <t>Bhisti</t>
        </is>
      </c>
      <c r="C993" s="13" t="inlineStr">
        <is>
          <t>day</t>
        </is>
      </c>
      <c r="D993" s="15" t="n">
        <v>0.0014</v>
      </c>
      <c r="E993" s="16" t="n">
        <v>617</v>
      </c>
      <c r="F993" s="16">
        <f>D993*E993</f>
        <v/>
      </c>
    </row>
    <row r="994">
      <c r="A994" s="13" t="inlineStr">
        <is>
          <t>0123</t>
        </is>
      </c>
      <c r="B994" s="14" t="inlineStr">
        <is>
          <t>Mason (brick layer) 1st class</t>
        </is>
      </c>
      <c r="C994" s="13" t="inlineStr">
        <is>
          <t>day</t>
        </is>
      </c>
      <c r="D994" s="15" t="n">
        <v>0.0003</v>
      </c>
      <c r="E994" s="16" t="n">
        <v>738</v>
      </c>
      <c r="F994" s="16">
        <f>D994*E994</f>
        <v/>
      </c>
    </row>
    <row r="995">
      <c r="A995" s="13" t="inlineStr">
        <is>
          <t>0124</t>
        </is>
      </c>
      <c r="B995" s="14" t="inlineStr">
        <is>
          <t>Mason (brick layer) 2nd class</t>
        </is>
      </c>
      <c r="C995" s="13" t="inlineStr">
        <is>
          <t>day</t>
        </is>
      </c>
      <c r="D995" s="15" t="n">
        <v>0.0003</v>
      </c>
      <c r="E995" s="16" t="n">
        <v>679</v>
      </c>
      <c r="F995" s="16">
        <f>D995*E995</f>
        <v/>
      </c>
    </row>
    <row r="996">
      <c r="A996" s="13" t="inlineStr">
        <is>
          <t>0128</t>
        </is>
      </c>
      <c r="B996" s="14" t="inlineStr">
        <is>
          <t>Mate</t>
        </is>
      </c>
      <c r="C996" s="13" t="inlineStr">
        <is>
          <t>day</t>
        </is>
      </c>
      <c r="D996" s="15" t="n">
        <v>0.0002</v>
      </c>
      <c r="E996" s="16" t="n">
        <v>617</v>
      </c>
      <c r="F996" s="16">
        <f>D996*E996</f>
        <v/>
      </c>
    </row>
    <row r="997">
      <c r="A997" s="13" t="inlineStr">
        <is>
          <t>9999</t>
        </is>
      </c>
      <c r="B997" s="14" t="inlineStr">
        <is>
          <t>Hire charges of machine etc.</t>
        </is>
      </c>
      <c r="C997" s="13" t="inlineStr">
        <is>
          <t>L.S.</t>
        </is>
      </c>
      <c r="D997" s="15" t="n">
        <v>0.26</v>
      </c>
      <c r="E997" s="16" t="n">
        <v>2</v>
      </c>
      <c r="F997" s="16">
        <f>D997*E997</f>
        <v/>
      </c>
    </row>
    <row r="998">
      <c r="A998" s="13" t="inlineStr">
        <is>
          <t>9999</t>
        </is>
      </c>
      <c r="B998" s="14" t="inlineStr">
        <is>
          <t>Sundries</t>
        </is>
      </c>
      <c r="C998" s="13" t="inlineStr">
        <is>
          <t>L.S.</t>
        </is>
      </c>
      <c r="D998" s="15" t="n">
        <v>0.13</v>
      </c>
      <c r="E998" s="16" t="n">
        <v>2</v>
      </c>
      <c r="F998" s="16">
        <f>D998*E998</f>
        <v/>
      </c>
    </row>
    <row r="999">
      <c r="A999" s="13" t="inlineStr">
        <is>
          <t>9999</t>
        </is>
      </c>
      <c r="B999" s="14" t="inlineStr">
        <is>
          <t>Sundries</t>
        </is>
      </c>
      <c r="C999" s="13" t="inlineStr">
        <is>
          <t>L.S.</t>
        </is>
      </c>
      <c r="D999" s="15" t="n">
        <v>0.13</v>
      </c>
      <c r="E999" s="16" t="n">
        <v>2</v>
      </c>
      <c r="F999" s="16">
        <f>D999*E999</f>
        <v/>
      </c>
    </row>
    <row r="1000">
      <c r="A1000" s="17" t="inlineStr">
        <is>
          <t>Resource Total (Material + Labour + Machinery, as printed)</t>
        </is>
      </c>
      <c r="B1000" s="18" t="n"/>
      <c r="C1000" s="18" t="n"/>
      <c r="D1000" s="18" t="n"/>
      <c r="E1000" s="18" t="n"/>
      <c r="F1000" s="19">
        <f>SUM(F978:F999)</f>
        <v/>
      </c>
    </row>
    <row r="1001">
      <c r="A1001" s="20" t="inlineStr">
        <is>
          <t>SAY (Rs.) — final DAR rate</t>
        </is>
      </c>
      <c r="B1001" s="21" t="n"/>
      <c r="C1001" s="21" t="n"/>
      <c r="D1001" s="21" t="n"/>
      <c r="E1001" s="21" t="n"/>
      <c r="F1001" s="22" t="n">
        <v>307.5</v>
      </c>
    </row>
    <row r="1003" ht="18" customHeight="1">
      <c r="A1003" s="9" t="inlineStr">
        <is>
          <t>12.39.1</t>
        </is>
      </c>
      <c r="B1003" s="10" t="inlineStr">
        <is>
          <t>100 mm dia Pipe</t>
        </is>
      </c>
      <c r="C1003" s="11" t="n"/>
      <c r="D1003" s="11" t="n"/>
      <c r="E1003" s="11" t="n"/>
      <c r="F1003" s="11" t="n"/>
    </row>
    <row r="1004">
      <c r="A1004" s="12" t="inlineStr">
        <is>
          <t>Rate basis: per nos  (source: cost for 1 nos)</t>
        </is>
      </c>
    </row>
    <row r="1005">
      <c r="A1005" s="5" t="inlineStr">
        <is>
          <t>Code</t>
        </is>
      </c>
      <c r="B1005" s="5" t="inlineStr">
        <is>
          <t>Description</t>
        </is>
      </c>
      <c r="C1005" s="5" t="inlineStr">
        <is>
          <t>Unit</t>
        </is>
      </c>
      <c r="D1005" s="5" t="inlineStr">
        <is>
          <t>Quantity</t>
        </is>
      </c>
      <c r="E1005" s="5" t="inlineStr">
        <is>
          <t>Rate (Rs.)</t>
        </is>
      </c>
      <c r="F1005" s="5" t="inlineStr">
        <is>
          <t>Amount (Rs.)</t>
        </is>
      </c>
    </row>
    <row r="1006">
      <c r="A1006" s="13" t="inlineStr">
        <is>
          <t>0865</t>
        </is>
      </c>
      <c r="B1006" s="14" t="inlineStr">
        <is>
          <t>Pig lead</t>
        </is>
      </c>
      <c r="C1006" s="13" t="inlineStr">
        <is>
          <t>kilogram</t>
        </is>
      </c>
      <c r="D1006" s="15" t="n">
        <v>0.98</v>
      </c>
      <c r="E1006" s="16" t="n">
        <v>130</v>
      </c>
      <c r="F1006" s="16">
        <f>D1006*E1006</f>
        <v/>
      </c>
    </row>
    <row r="1007">
      <c r="A1007" s="13" t="inlineStr">
        <is>
          <t>1001</t>
        </is>
      </c>
      <c r="B1007" s="14" t="inlineStr">
        <is>
          <t>Spun yarn</t>
        </is>
      </c>
      <c r="C1007" s="13" t="inlineStr">
        <is>
          <t>kilogram</t>
        </is>
      </c>
      <c r="D1007" s="15" t="n">
        <v>0.11</v>
      </c>
      <c r="E1007" s="16" t="n">
        <v>50</v>
      </c>
      <c r="F1007" s="16">
        <f>D1007*E1007</f>
        <v/>
      </c>
    </row>
    <row r="1008">
      <c r="A1008" s="13" t="inlineStr">
        <is>
          <t>9999</t>
        </is>
      </c>
      <c r="B1008" s="14" t="inlineStr">
        <is>
          <t>Kerosene oil fuel and sundries</t>
        </is>
      </c>
      <c r="C1008" s="13" t="inlineStr">
        <is>
          <t>L.S.</t>
        </is>
      </c>
      <c r="D1008" s="15" t="n">
        <v>13.52</v>
      </c>
      <c r="E1008" s="16" t="n">
        <v>2</v>
      </c>
      <c r="F1008" s="16">
        <f>D1008*E1008</f>
        <v/>
      </c>
    </row>
    <row r="1009">
      <c r="A1009" s="13" t="inlineStr">
        <is>
          <t>9977</t>
        </is>
      </c>
      <c r="B1009" s="14" t="inlineStr">
        <is>
          <t>Carriage of materials</t>
        </is>
      </c>
      <c r="C1009" s="13" t="inlineStr">
        <is>
          <t>L.S.</t>
        </is>
      </c>
      <c r="D1009" s="15" t="n">
        <v>1.43</v>
      </c>
      <c r="E1009" s="16" t="n">
        <v>2</v>
      </c>
      <c r="F1009" s="16">
        <f>D1009*E1009</f>
        <v/>
      </c>
    </row>
    <row r="1010">
      <c r="A1010" s="13" t="inlineStr">
        <is>
          <t>0116</t>
        </is>
      </c>
      <c r="B1010" s="14" t="inlineStr">
        <is>
          <t>Fitter (grade 1)</t>
        </is>
      </c>
      <c r="C1010" s="13" t="inlineStr">
        <is>
          <t>day</t>
        </is>
      </c>
      <c r="D1010" s="15" t="n">
        <v>0.06</v>
      </c>
      <c r="E1010" s="16" t="n">
        <v>738</v>
      </c>
      <c r="F1010" s="16">
        <f>D1010*E1010</f>
        <v/>
      </c>
    </row>
    <row r="1011">
      <c r="A1011" s="13" t="inlineStr">
        <is>
          <t>0117</t>
        </is>
      </c>
      <c r="B1011" s="14" t="inlineStr">
        <is>
          <t>Assistant Fitter or 2nd class Fitter</t>
        </is>
      </c>
      <c r="C1011" s="13" t="inlineStr">
        <is>
          <t>day</t>
        </is>
      </c>
      <c r="D1011" s="15" t="n">
        <v>0.06</v>
      </c>
      <c r="E1011" s="16" t="n">
        <v>679</v>
      </c>
      <c r="F1011" s="16">
        <f>D1011*E1011</f>
        <v/>
      </c>
    </row>
    <row r="1012">
      <c r="A1012" s="13" t="inlineStr">
        <is>
          <t>0114</t>
        </is>
      </c>
      <c r="B1012" s="14" t="inlineStr">
        <is>
          <t>Beldar</t>
        </is>
      </c>
      <c r="C1012" s="13" t="inlineStr">
        <is>
          <t>day</t>
        </is>
      </c>
      <c r="D1012" s="15" t="n">
        <v>0.12</v>
      </c>
      <c r="E1012" s="16" t="n">
        <v>558</v>
      </c>
      <c r="F1012" s="16">
        <f>D1012*E1012</f>
        <v/>
      </c>
    </row>
    <row r="1013">
      <c r="A1013" s="17" t="inlineStr">
        <is>
          <t>Resource Total (Material + Labour + Machinery, as printed)</t>
        </is>
      </c>
      <c r="B1013" s="18" t="n"/>
      <c r="C1013" s="18" t="n"/>
      <c r="D1013" s="18" t="n"/>
      <c r="E1013" s="18" t="n"/>
      <c r="F1013" s="19">
        <f>SUM(F1006:F1012)</f>
        <v/>
      </c>
    </row>
    <row r="1014">
      <c r="A1014" s="20" t="inlineStr">
        <is>
          <t>SAY (Rs.) — final DAR rate</t>
        </is>
      </c>
      <c r="B1014" s="21" t="n"/>
      <c r="C1014" s="21" t="n"/>
      <c r="D1014" s="21" t="n"/>
      <c r="E1014" s="21" t="n"/>
      <c r="F1014" s="22" t="n">
        <v>421.15</v>
      </c>
    </row>
    <row r="1016" ht="18" customHeight="1">
      <c r="A1016" s="9" t="inlineStr">
        <is>
          <t>12.39.2</t>
        </is>
      </c>
      <c r="B1016" s="10" t="inlineStr">
        <is>
          <t>150 mm dia Pipe</t>
        </is>
      </c>
      <c r="C1016" s="11" t="n"/>
      <c r="D1016" s="11" t="n"/>
      <c r="E1016" s="11" t="n"/>
      <c r="F1016" s="11" t="n"/>
    </row>
    <row r="1017">
      <c r="A1017" s="12" t="inlineStr">
        <is>
          <t>Rate basis: per nos  (source: cost for 1 nos)</t>
        </is>
      </c>
    </row>
    <row r="1018">
      <c r="A1018" s="5" t="inlineStr">
        <is>
          <t>Code</t>
        </is>
      </c>
      <c r="B1018" s="5" t="inlineStr">
        <is>
          <t>Description</t>
        </is>
      </c>
      <c r="C1018" s="5" t="inlineStr">
        <is>
          <t>Unit</t>
        </is>
      </c>
      <c r="D1018" s="5" t="inlineStr">
        <is>
          <t>Quantity</t>
        </is>
      </c>
      <c r="E1018" s="5" t="inlineStr">
        <is>
          <t>Rate (Rs.)</t>
        </is>
      </c>
      <c r="F1018" s="5" t="inlineStr">
        <is>
          <t>Amount (Rs.)</t>
        </is>
      </c>
    </row>
    <row r="1019">
      <c r="A1019" s="13" t="inlineStr">
        <is>
          <t>0865</t>
        </is>
      </c>
      <c r="B1019" s="14" t="inlineStr">
        <is>
          <t>Pig lead</t>
        </is>
      </c>
      <c r="C1019" s="13" t="inlineStr">
        <is>
          <t>kilogram</t>
        </is>
      </c>
      <c r="D1019" s="15" t="n">
        <v>1.48</v>
      </c>
      <c r="E1019" s="16" t="n">
        <v>130</v>
      </c>
      <c r="F1019" s="16">
        <f>D1019*E1019</f>
        <v/>
      </c>
    </row>
    <row r="1020">
      <c r="A1020" s="13" t="inlineStr">
        <is>
          <t>1001</t>
        </is>
      </c>
      <c r="B1020" s="14" t="inlineStr">
        <is>
          <t>Spun yarn</t>
        </is>
      </c>
      <c r="C1020" s="13" t="inlineStr">
        <is>
          <t>kilogram</t>
        </is>
      </c>
      <c r="D1020" s="15" t="n">
        <v>0.17</v>
      </c>
      <c r="E1020" s="16" t="n">
        <v>50</v>
      </c>
      <c r="F1020" s="16">
        <f>D1020*E1020</f>
        <v/>
      </c>
    </row>
    <row r="1021">
      <c r="A1021" s="13" t="inlineStr">
        <is>
          <t>9999</t>
        </is>
      </c>
      <c r="B1021" s="14" t="inlineStr">
        <is>
          <t>Kerosene oil fuel and sundries</t>
        </is>
      </c>
      <c r="C1021" s="13" t="inlineStr">
        <is>
          <t>L.S.</t>
        </is>
      </c>
      <c r="D1021" s="15" t="n">
        <v>13.52</v>
      </c>
      <c r="E1021" s="16" t="n">
        <v>2</v>
      </c>
      <c r="F1021" s="16">
        <f>D1021*E1021</f>
        <v/>
      </c>
    </row>
    <row r="1022">
      <c r="A1022" s="13" t="inlineStr">
        <is>
          <t>9977</t>
        </is>
      </c>
      <c r="B1022" s="14" t="inlineStr">
        <is>
          <t>Carriage of materials</t>
        </is>
      </c>
      <c r="C1022" s="13" t="inlineStr">
        <is>
          <t>L.S.</t>
        </is>
      </c>
      <c r="D1022" s="15" t="n">
        <v>2.73</v>
      </c>
      <c r="E1022" s="16" t="n">
        <v>2</v>
      </c>
      <c r="F1022" s="16">
        <f>D1022*E1022</f>
        <v/>
      </c>
    </row>
    <row r="1023">
      <c r="A1023" s="13" t="inlineStr">
        <is>
          <t>0116</t>
        </is>
      </c>
      <c r="B1023" s="14" t="inlineStr">
        <is>
          <t>Fitter (grade 1)</t>
        </is>
      </c>
      <c r="C1023" s="13" t="inlineStr">
        <is>
          <t>day</t>
        </is>
      </c>
      <c r="D1023" s="15" t="n">
        <v>0.08</v>
      </c>
      <c r="E1023" s="16" t="n">
        <v>738</v>
      </c>
      <c r="F1023" s="16">
        <f>D1023*E1023</f>
        <v/>
      </c>
    </row>
    <row r="1024">
      <c r="A1024" s="13" t="inlineStr">
        <is>
          <t>0117</t>
        </is>
      </c>
      <c r="B1024" s="14" t="inlineStr">
        <is>
          <t>Assistant Fitter or 2nd class Fitter</t>
        </is>
      </c>
      <c r="C1024" s="13" t="inlineStr">
        <is>
          <t>day</t>
        </is>
      </c>
      <c r="D1024" s="15" t="n">
        <v>0.08</v>
      </c>
      <c r="E1024" s="16" t="n">
        <v>679</v>
      </c>
      <c r="F1024" s="16">
        <f>D1024*E1024</f>
        <v/>
      </c>
    </row>
    <row r="1025">
      <c r="A1025" s="13" t="inlineStr">
        <is>
          <t>0114</t>
        </is>
      </c>
      <c r="B1025" s="14" t="inlineStr">
        <is>
          <t>Beldar</t>
        </is>
      </c>
      <c r="C1025" s="13" t="inlineStr">
        <is>
          <t>day</t>
        </is>
      </c>
      <c r="D1025" s="15" t="n">
        <v>0.15</v>
      </c>
      <c r="E1025" s="16" t="n">
        <v>558</v>
      </c>
      <c r="F1025" s="16">
        <f>D1025*E1025</f>
        <v/>
      </c>
    </row>
    <row r="1026">
      <c r="A1026" s="17" t="inlineStr">
        <is>
          <t>Resource Total (Material + Labour + Machinery, as printed)</t>
        </is>
      </c>
      <c r="B1026" s="18" t="n"/>
      <c r="C1026" s="18" t="n"/>
      <c r="D1026" s="18" t="n"/>
      <c r="E1026" s="18" t="n"/>
      <c r="F1026" s="19">
        <f>SUM(F1019:F1025)</f>
        <v/>
      </c>
    </row>
    <row r="1027">
      <c r="A1027" s="20" t="inlineStr">
        <is>
          <t>SAY (Rs.) — final DAR rate</t>
        </is>
      </c>
      <c r="B1027" s="21" t="n"/>
      <c r="C1027" s="21" t="n"/>
      <c r="D1027" s="21" t="n"/>
      <c r="E1027" s="21" t="n"/>
      <c r="F1027" s="22" t="n">
        <v>575.95</v>
      </c>
    </row>
    <row r="1029" ht="18" customHeight="1">
      <c r="A1029" s="9" t="inlineStr">
        <is>
          <t>12.40.1.1</t>
        </is>
      </c>
      <c r="B1029" s="10" t="inlineStr">
        <is>
          <t>150 mm diameter</t>
        </is>
      </c>
      <c r="C1029" s="11" t="n"/>
      <c r="D1029" s="11" t="n"/>
      <c r="E1029" s="11" t="n"/>
      <c r="F1029" s="11" t="n"/>
    </row>
    <row r="1030">
      <c r="A1030" s="12" t="inlineStr">
        <is>
          <t>Rate basis: per nos  (source: cost for 1 nos)</t>
        </is>
      </c>
    </row>
    <row r="1031">
      <c r="A1031" s="5" t="inlineStr">
        <is>
          <t>Code</t>
        </is>
      </c>
      <c r="B1031" s="5" t="inlineStr">
        <is>
          <t>Description</t>
        </is>
      </c>
      <c r="C1031" s="5" t="inlineStr">
        <is>
          <t>Unit</t>
        </is>
      </c>
      <c r="D1031" s="5" t="inlineStr">
        <is>
          <t>Quantity</t>
        </is>
      </c>
      <c r="E1031" s="5" t="inlineStr">
        <is>
          <t>Rate (Rs.)</t>
        </is>
      </c>
      <c r="F1031" s="5" t="inlineStr">
        <is>
          <t>Amount (Rs.)</t>
        </is>
      </c>
    </row>
    <row r="1032">
      <c r="A1032" s="13" t="inlineStr">
        <is>
          <t>0966</t>
        </is>
      </c>
      <c r="B1032" s="14" t="inlineStr">
        <is>
          <t>Sand Cast iron plain shoe 150 mm dia</t>
        </is>
      </c>
      <c r="C1032" s="13" t="inlineStr">
        <is>
          <t>each</t>
        </is>
      </c>
      <c r="D1032" s="15" t="n">
        <v>1</v>
      </c>
      <c r="E1032" s="16" t="n">
        <v>285</v>
      </c>
      <c r="F1032" s="16">
        <f>D1032*E1032</f>
        <v/>
      </c>
    </row>
    <row r="1033">
      <c r="A1033" s="13" t="inlineStr">
        <is>
          <t>9988</t>
        </is>
      </c>
      <c r="B1033" s="14" t="inlineStr">
        <is>
          <t>Carriage, fixing and mortar</t>
        </is>
      </c>
      <c r="C1033" s="13" t="inlineStr">
        <is>
          <t>L.S.</t>
        </is>
      </c>
      <c r="D1033" s="15" t="n">
        <v>17.55</v>
      </c>
      <c r="E1033" s="16" t="n">
        <v>2</v>
      </c>
      <c r="F1033" s="16">
        <f>D1033*E1033</f>
        <v/>
      </c>
    </row>
    <row r="1034">
      <c r="A1034" s="17" t="inlineStr">
        <is>
          <t>Resource Total (Material + Labour + Machinery, as printed)</t>
        </is>
      </c>
      <c r="B1034" s="18" t="n"/>
      <c r="C1034" s="18" t="n"/>
      <c r="D1034" s="18" t="n"/>
      <c r="E1034" s="18" t="n"/>
      <c r="F1034" s="19">
        <f>SUM(F1032:F1033)</f>
        <v/>
      </c>
    </row>
    <row r="1035">
      <c r="A1035" s="20" t="inlineStr">
        <is>
          <t>SAY (Rs.) — final DAR rate</t>
        </is>
      </c>
      <c r="B1035" s="21" t="n"/>
      <c r="C1035" s="21" t="n"/>
      <c r="D1035" s="21" t="n"/>
      <c r="E1035" s="21" t="n"/>
      <c r="F1035" s="22" t="n">
        <v>428.25</v>
      </c>
    </row>
    <row r="1037" ht="18" customHeight="1">
      <c r="A1037" s="9" t="inlineStr">
        <is>
          <t>12.41.1</t>
        </is>
      </c>
      <c r="B1037" s="10" t="inlineStr">
        <is>
          <t>75 mm diameter</t>
        </is>
      </c>
      <c r="C1037" s="11" t="n"/>
      <c r="D1037" s="11" t="n"/>
      <c r="E1037" s="11" t="n"/>
      <c r="F1037" s="11" t="n"/>
    </row>
    <row r="1038">
      <c r="A1038" s="12" t="inlineStr">
        <is>
          <t>Rate basis: per metres  (source: cost for 6 metres)</t>
        </is>
      </c>
    </row>
    <row r="1039">
      <c r="A1039" s="5" t="inlineStr">
        <is>
          <t>Code</t>
        </is>
      </c>
      <c r="B1039" s="5" t="inlineStr">
        <is>
          <t>Description</t>
        </is>
      </c>
      <c r="C1039" s="5" t="inlineStr">
        <is>
          <t>Unit</t>
        </is>
      </c>
      <c r="D1039" s="5" t="inlineStr">
        <is>
          <t>Quantity</t>
        </is>
      </c>
      <c r="E1039" s="5" t="inlineStr">
        <is>
          <t>Rate (Rs.)</t>
        </is>
      </c>
      <c r="F1039" s="5" t="inlineStr">
        <is>
          <t>Amount (Rs.)</t>
        </is>
      </c>
    </row>
    <row r="1040">
      <c r="A1040" s="13" t="inlineStr">
        <is>
          <t>7188</t>
        </is>
      </c>
      <c r="B1040" s="14" t="inlineStr">
        <is>
          <t>U-PVC pipes (working pressure 4 kg / sqcm.) Single socketed pipe 75 mm dia.</t>
        </is>
      </c>
      <c r="C1040" s="13" t="inlineStr">
        <is>
          <t>metre</t>
        </is>
      </c>
      <c r="D1040" s="15" t="n">
        <v>6</v>
      </c>
      <c r="E1040" s="16" t="n">
        <v>70</v>
      </c>
      <c r="F1040" s="16">
        <f>D1040*E1040</f>
        <v/>
      </c>
    </row>
    <row r="1041">
      <c r="A1041" s="13" t="inlineStr">
        <is>
          <t>7190</t>
        </is>
      </c>
      <c r="B1041" s="14" t="inlineStr">
        <is>
          <t>U-PVC pipes (working pressure 4 kg / sqcm.) Rubber (Seal) Ring 75 mm dia.</t>
        </is>
      </c>
      <c r="C1041" s="13" t="inlineStr">
        <is>
          <t>each</t>
        </is>
      </c>
      <c r="D1041" s="15" t="n">
        <v>1</v>
      </c>
      <c r="E1041" s="16" t="n">
        <v>8</v>
      </c>
      <c r="F1041" s="16">
        <f>D1041*E1041</f>
        <v/>
      </c>
    </row>
    <row r="1042">
      <c r="A1042" s="13" t="inlineStr">
        <is>
          <t>9977</t>
        </is>
      </c>
      <c r="B1042" s="14" t="inlineStr">
        <is>
          <t>Carriage of materials</t>
        </is>
      </c>
      <c r="C1042" s="13" t="inlineStr">
        <is>
          <t>L.S.</t>
        </is>
      </c>
      <c r="D1042" s="15" t="n">
        <v>13.52</v>
      </c>
      <c r="E1042" s="16" t="n">
        <v>2</v>
      </c>
      <c r="F1042" s="16">
        <f>D1042*E1042</f>
        <v/>
      </c>
    </row>
    <row r="1043">
      <c r="A1043" s="13" t="inlineStr">
        <is>
          <t>9999</t>
        </is>
      </c>
      <c r="B1043" s="14" t="inlineStr">
        <is>
          <t>Adhesive, and sundries etc.</t>
        </is>
      </c>
      <c r="C1043" s="13" t="inlineStr">
        <is>
          <t>L.S.</t>
        </is>
      </c>
      <c r="D1043" s="15" t="n">
        <v>6.76</v>
      </c>
      <c r="E1043" s="16" t="n">
        <v>2</v>
      </c>
      <c r="F1043" s="16">
        <f>D1043*E1043</f>
        <v/>
      </c>
    </row>
    <row r="1044">
      <c r="A1044" s="13" t="inlineStr">
        <is>
          <t>0116</t>
        </is>
      </c>
      <c r="B1044" s="14" t="inlineStr">
        <is>
          <t>Fitter (grade 1)</t>
        </is>
      </c>
      <c r="C1044" s="13" t="inlineStr">
        <is>
          <t>day</t>
        </is>
      </c>
      <c r="D1044" s="15" t="n">
        <v>0.19</v>
      </c>
      <c r="E1044" s="16" t="n">
        <v>738</v>
      </c>
      <c r="F1044" s="16">
        <f>D1044*E1044</f>
        <v/>
      </c>
    </row>
    <row r="1045">
      <c r="A1045" s="13" t="inlineStr">
        <is>
          <t>0114</t>
        </is>
      </c>
      <c r="B1045" s="14" t="inlineStr">
        <is>
          <t>Beldar</t>
        </is>
      </c>
      <c r="C1045" s="13" t="inlineStr">
        <is>
          <t>day</t>
        </is>
      </c>
      <c r="D1045" s="15" t="n">
        <v>0.37</v>
      </c>
      <c r="E1045" s="16" t="n">
        <v>558</v>
      </c>
      <c r="F1045" s="16">
        <f>D1045*E1045</f>
        <v/>
      </c>
    </row>
    <row r="1046">
      <c r="A1046" s="13" t="inlineStr">
        <is>
          <t>0100</t>
        </is>
      </c>
      <c r="B1046" s="14" t="inlineStr">
        <is>
          <t>Bandhani</t>
        </is>
      </c>
      <c r="C1046" s="13" t="inlineStr">
        <is>
          <t>day</t>
        </is>
      </c>
      <c r="D1046" s="15" t="n">
        <v>0.08</v>
      </c>
      <c r="E1046" s="16" t="n">
        <v>617</v>
      </c>
      <c r="F1046" s="16">
        <f>D1046*E1046</f>
        <v/>
      </c>
    </row>
    <row r="1047">
      <c r="A1047" s="13" t="inlineStr">
        <is>
          <t>9999</t>
        </is>
      </c>
      <c r="B1047" s="14" t="inlineStr">
        <is>
          <t>Scaffolding etc.</t>
        </is>
      </c>
      <c r="C1047" s="13" t="inlineStr">
        <is>
          <t>L.S.</t>
        </is>
      </c>
      <c r="D1047" s="15" t="n">
        <v>18.59</v>
      </c>
      <c r="E1047" s="16" t="n">
        <v>2</v>
      </c>
      <c r="F1047" s="16">
        <f>D1047*E1047</f>
        <v/>
      </c>
    </row>
    <row r="1048">
      <c r="A1048" s="17" t="inlineStr">
        <is>
          <t>Resource Total (Material + Labour + Machinery, as printed)</t>
        </is>
      </c>
      <c r="B1048" s="18" t="n"/>
      <c r="C1048" s="18" t="n"/>
      <c r="D1048" s="18" t="n"/>
      <c r="E1048" s="18" t="n"/>
      <c r="F1048" s="19">
        <f>SUM(F1040:F1047)</f>
        <v/>
      </c>
    </row>
    <row r="1049">
      <c r="A1049" s="20" t="inlineStr">
        <is>
          <t>SAY (Rs.) — final DAR rate</t>
        </is>
      </c>
      <c r="B1049" s="21" t="n"/>
      <c r="C1049" s="21" t="n"/>
      <c r="D1049" s="21" t="n"/>
      <c r="E1049" s="21" t="n"/>
      <c r="F1049" s="22" t="n">
        <v>201.1</v>
      </c>
    </row>
    <row r="1051" ht="18" customHeight="1">
      <c r="A1051" s="9" t="inlineStr">
        <is>
          <t>12.41.2</t>
        </is>
      </c>
      <c r="B1051" s="10" t="inlineStr">
        <is>
          <t>110 mm diameter</t>
        </is>
      </c>
      <c r="C1051" s="11" t="n"/>
      <c r="D1051" s="11" t="n"/>
      <c r="E1051" s="11" t="n"/>
      <c r="F1051" s="11" t="n"/>
    </row>
    <row r="1052">
      <c r="A1052" s="12" t="inlineStr">
        <is>
          <t>Rate basis: per metres  (source: cost for 6 metres)</t>
        </is>
      </c>
    </row>
    <row r="1053">
      <c r="A1053" s="5" t="inlineStr">
        <is>
          <t>Code</t>
        </is>
      </c>
      <c r="B1053" s="5" t="inlineStr">
        <is>
          <t>Description</t>
        </is>
      </c>
      <c r="C1053" s="5" t="inlineStr">
        <is>
          <t>Unit</t>
        </is>
      </c>
      <c r="D1053" s="5" t="inlineStr">
        <is>
          <t>Quantity</t>
        </is>
      </c>
      <c r="E1053" s="5" t="inlineStr">
        <is>
          <t>Rate (Rs.)</t>
        </is>
      </c>
      <c r="F1053" s="5" t="inlineStr">
        <is>
          <t>Amount (Rs.)</t>
        </is>
      </c>
    </row>
    <row r="1054">
      <c r="A1054" s="13" t="inlineStr">
        <is>
          <t>7189</t>
        </is>
      </c>
      <c r="B1054" s="14" t="inlineStr">
        <is>
          <t>U-PVC pipes (working pressure 4 kg / sqcm) Single socketed pipe 110 mm dia.</t>
        </is>
      </c>
      <c r="C1054" s="13" t="inlineStr">
        <is>
          <t>metre</t>
        </is>
      </c>
      <c r="D1054" s="15" t="n">
        <v>6</v>
      </c>
      <c r="E1054" s="16" t="n">
        <v>130</v>
      </c>
      <c r="F1054" s="16">
        <f>D1054*E1054</f>
        <v/>
      </c>
    </row>
    <row r="1055">
      <c r="A1055" s="13" t="inlineStr">
        <is>
          <t>7191</t>
        </is>
      </c>
      <c r="B1055" s="14" t="inlineStr">
        <is>
          <t>U-PVC pipes (working pressure 4 kg / sqcm.) Rubber (Seal) Ring 110 mm dia.</t>
        </is>
      </c>
      <c r="C1055" s="13" t="inlineStr">
        <is>
          <t>each</t>
        </is>
      </c>
      <c r="D1055" s="15" t="n">
        <v>1</v>
      </c>
      <c r="E1055" s="16" t="n">
        <v>11</v>
      </c>
      <c r="F1055" s="16">
        <f>D1055*E1055</f>
        <v/>
      </c>
    </row>
    <row r="1056">
      <c r="A1056" s="13" t="inlineStr">
        <is>
          <t>9977</t>
        </is>
      </c>
      <c r="B1056" s="14" t="inlineStr">
        <is>
          <t>Carriage of materials</t>
        </is>
      </c>
      <c r="C1056" s="13" t="inlineStr">
        <is>
          <t>L.S.</t>
        </is>
      </c>
      <c r="D1056" s="15" t="n">
        <v>17.55</v>
      </c>
      <c r="E1056" s="16" t="n">
        <v>2</v>
      </c>
      <c r="F1056" s="16">
        <f>D1056*E1056</f>
        <v/>
      </c>
    </row>
    <row r="1057">
      <c r="A1057" s="13" t="inlineStr">
        <is>
          <t>9999</t>
        </is>
      </c>
      <c r="B1057" s="14" t="inlineStr">
        <is>
          <t>Adhesive, and sundries etc.</t>
        </is>
      </c>
      <c r="C1057" s="13" t="inlineStr">
        <is>
          <t>L.S.</t>
        </is>
      </c>
      <c r="D1057" s="15" t="n">
        <v>8.06</v>
      </c>
      <c r="E1057" s="16" t="n">
        <v>2</v>
      </c>
      <c r="F1057" s="16">
        <f>D1057*E1057</f>
        <v/>
      </c>
    </row>
    <row r="1058">
      <c r="A1058" s="13" t="inlineStr">
        <is>
          <t>0116</t>
        </is>
      </c>
      <c r="B1058" s="14" t="inlineStr">
        <is>
          <t>Fitter (grade 1)</t>
        </is>
      </c>
      <c r="C1058" s="13" t="inlineStr">
        <is>
          <t>day</t>
        </is>
      </c>
      <c r="D1058" s="15" t="n">
        <v>0.23</v>
      </c>
      <c r="E1058" s="16" t="n">
        <v>738</v>
      </c>
      <c r="F1058" s="16">
        <f>D1058*E1058</f>
        <v/>
      </c>
    </row>
    <row r="1059">
      <c r="A1059" s="13" t="inlineStr">
        <is>
          <t>0114</t>
        </is>
      </c>
      <c r="B1059" s="14" t="inlineStr">
        <is>
          <t>Beldar</t>
        </is>
      </c>
      <c r="C1059" s="13" t="inlineStr">
        <is>
          <t>day</t>
        </is>
      </c>
      <c r="D1059" s="15" t="n">
        <v>0.45</v>
      </c>
      <c r="E1059" s="16" t="n">
        <v>558</v>
      </c>
      <c r="F1059" s="16">
        <f>D1059*E1059</f>
        <v/>
      </c>
    </row>
    <row r="1060">
      <c r="A1060" s="13" t="inlineStr">
        <is>
          <t>0100</t>
        </is>
      </c>
      <c r="B1060" s="14" t="inlineStr">
        <is>
          <t>Bandhani</t>
        </is>
      </c>
      <c r="C1060" s="13" t="inlineStr">
        <is>
          <t>day</t>
        </is>
      </c>
      <c r="D1060" s="15" t="n">
        <v>0.11</v>
      </c>
      <c r="E1060" s="16" t="n">
        <v>617</v>
      </c>
      <c r="F1060" s="16">
        <f>D1060*E1060</f>
        <v/>
      </c>
    </row>
    <row r="1061">
      <c r="A1061" s="13" t="inlineStr">
        <is>
          <t>9999</t>
        </is>
      </c>
      <c r="B1061" s="14" t="inlineStr">
        <is>
          <t>Scaffolding etc.</t>
        </is>
      </c>
      <c r="C1061" s="13" t="inlineStr">
        <is>
          <t>L.S.</t>
        </is>
      </c>
      <c r="D1061" s="15" t="n">
        <v>18.59</v>
      </c>
      <c r="E1061" s="16" t="n">
        <v>2</v>
      </c>
      <c r="F1061" s="16">
        <f>D1061*E1061</f>
        <v/>
      </c>
    </row>
    <row r="1062">
      <c r="A1062" s="17" t="inlineStr">
        <is>
          <t>Resource Total (Material + Labour + Machinery, as printed)</t>
        </is>
      </c>
      <c r="B1062" s="18" t="n"/>
      <c r="C1062" s="18" t="n"/>
      <c r="D1062" s="18" t="n"/>
      <c r="E1062" s="18" t="n"/>
      <c r="F1062" s="19">
        <f>SUM(F1054:F1061)</f>
        <v/>
      </c>
    </row>
    <row r="1063">
      <c r="A1063" s="20" t="inlineStr">
        <is>
          <t>SAY (Rs.) — final DAR rate</t>
        </is>
      </c>
      <c r="B1063" s="21" t="n"/>
      <c r="C1063" s="21" t="n"/>
      <c r="D1063" s="21" t="n"/>
      <c r="E1063" s="21" t="n"/>
      <c r="F1063" s="22" t="n">
        <v>305.05</v>
      </c>
    </row>
    <row r="1065" ht="18" customHeight="1">
      <c r="A1065" s="9" t="inlineStr">
        <is>
          <t>12.42.1.1</t>
        </is>
      </c>
      <c r="B1065" s="10" t="inlineStr">
        <is>
          <t>75 mm</t>
        </is>
      </c>
      <c r="C1065" s="11" t="n"/>
      <c r="D1065" s="11" t="n"/>
      <c r="E1065" s="11" t="n"/>
      <c r="F1065" s="11" t="n"/>
    </row>
    <row r="1066">
      <c r="A1066" s="12" t="inlineStr">
        <is>
          <t>Rate basis: per coupler  (source: cost for 1 coupler)</t>
        </is>
      </c>
    </row>
    <row r="1067">
      <c r="A1067" s="5" t="inlineStr">
        <is>
          <t>Code</t>
        </is>
      </c>
      <c r="B1067" s="5" t="inlineStr">
        <is>
          <t>Description</t>
        </is>
      </c>
      <c r="C1067" s="5" t="inlineStr">
        <is>
          <t>Unit</t>
        </is>
      </c>
      <c r="D1067" s="5" t="inlineStr">
        <is>
          <t>Quantity</t>
        </is>
      </c>
      <c r="E1067" s="5" t="inlineStr">
        <is>
          <t>Rate (Rs.)</t>
        </is>
      </c>
      <c r="F1067" s="5" t="inlineStr">
        <is>
          <t>Amount (Rs.)</t>
        </is>
      </c>
    </row>
    <row r="1068">
      <c r="A1068" s="13" t="inlineStr">
        <is>
          <t>7192</t>
        </is>
      </c>
      <c r="B1068" s="14" t="inlineStr">
        <is>
          <t>UPVC coupler for UPVC drainage pipes 75 mm</t>
        </is>
      </c>
      <c r="C1068" s="13" t="inlineStr">
        <is>
          <t>each</t>
        </is>
      </c>
      <c r="D1068" s="15" t="n">
        <v>1</v>
      </c>
      <c r="E1068" s="16" t="n">
        <v>18</v>
      </c>
      <c r="F1068" s="16">
        <f>D1068*E1068</f>
        <v/>
      </c>
    </row>
    <row r="1069">
      <c r="A1069" s="13" t="inlineStr">
        <is>
          <t>7190</t>
        </is>
      </c>
      <c r="B1069" s="14" t="inlineStr">
        <is>
          <t>U-PVC pipes (working pressure 4 kg / sqcm.) Rubber (Seal) Ring 75 mm dia.</t>
        </is>
      </c>
      <c r="C1069" s="13" t="inlineStr">
        <is>
          <t>each</t>
        </is>
      </c>
      <c r="D1069" s="15" t="n">
        <v>2</v>
      </c>
      <c r="E1069" s="16" t="n">
        <v>8</v>
      </c>
      <c r="F1069" s="16">
        <f>D1069*E1069</f>
        <v/>
      </c>
    </row>
    <row r="1070">
      <c r="A1070" s="13" t="inlineStr">
        <is>
          <t>9999</t>
        </is>
      </c>
      <c r="B1070" s="14" t="inlineStr">
        <is>
          <t>Adhesive, and sundries etc.</t>
        </is>
      </c>
      <c r="C1070" s="13" t="inlineStr">
        <is>
          <t>L.S.</t>
        </is>
      </c>
      <c r="D1070" s="15" t="n">
        <v>2.73</v>
      </c>
      <c r="E1070" s="16" t="n">
        <v>2</v>
      </c>
      <c r="F1070" s="16">
        <f>D1070*E1070</f>
        <v/>
      </c>
    </row>
    <row r="1071">
      <c r="A1071" s="13" t="inlineStr">
        <is>
          <t>9988</t>
        </is>
      </c>
      <c r="B1071" s="14" t="inlineStr">
        <is>
          <t>Carriage and fixing charges</t>
        </is>
      </c>
      <c r="C1071" s="13" t="inlineStr">
        <is>
          <t>L.S.</t>
        </is>
      </c>
      <c r="D1071" s="15" t="n">
        <v>9.359999999999999</v>
      </c>
      <c r="E1071" s="16" t="n">
        <v>2</v>
      </c>
      <c r="F1071" s="16">
        <f>D1071*E1071</f>
        <v/>
      </c>
    </row>
    <row r="1072">
      <c r="A1072" s="17" t="inlineStr">
        <is>
          <t>Resource Total (Material + Labour + Machinery, as printed)</t>
        </is>
      </c>
      <c r="B1072" s="18" t="n"/>
      <c r="C1072" s="18" t="n"/>
      <c r="D1072" s="18" t="n"/>
      <c r="E1072" s="18" t="n"/>
      <c r="F1072" s="19">
        <f>SUM(F1068:F1071)</f>
        <v/>
      </c>
    </row>
    <row r="1073">
      <c r="A1073" s="20" t="inlineStr">
        <is>
          <t>SAY (Rs.) — final DAR rate</t>
        </is>
      </c>
      <c r="B1073" s="21" t="n"/>
      <c r="C1073" s="21" t="n"/>
      <c r="D1073" s="21" t="n"/>
      <c r="E1073" s="21" t="n"/>
      <c r="F1073" s="22" t="n">
        <v>77.84999999999999</v>
      </c>
    </row>
    <row r="1075" ht="18" customHeight="1">
      <c r="A1075" s="9" t="inlineStr">
        <is>
          <t>12.42.1.2</t>
        </is>
      </c>
      <c r="B1075" s="10" t="inlineStr">
        <is>
          <t>110 mm</t>
        </is>
      </c>
      <c r="C1075" s="11" t="n"/>
      <c r="D1075" s="11" t="n"/>
      <c r="E1075" s="11" t="n"/>
      <c r="F1075" s="11" t="n"/>
    </row>
    <row r="1076">
      <c r="A1076" s="12" t="inlineStr">
        <is>
          <t>Rate basis: per coupler  (source: cost for 1 coupler)</t>
        </is>
      </c>
    </row>
    <row r="1077">
      <c r="A1077" s="5" t="inlineStr">
        <is>
          <t>Code</t>
        </is>
      </c>
      <c r="B1077" s="5" t="inlineStr">
        <is>
          <t>Description</t>
        </is>
      </c>
      <c r="C1077" s="5" t="inlineStr">
        <is>
          <t>Unit</t>
        </is>
      </c>
      <c r="D1077" s="5" t="inlineStr">
        <is>
          <t>Quantity</t>
        </is>
      </c>
      <c r="E1077" s="5" t="inlineStr">
        <is>
          <t>Rate (Rs.)</t>
        </is>
      </c>
      <c r="F1077" s="5" t="inlineStr">
        <is>
          <t>Amount (Rs.)</t>
        </is>
      </c>
    </row>
    <row r="1078">
      <c r="A1078" s="13" t="inlineStr">
        <is>
          <t>7193</t>
        </is>
      </c>
      <c r="B1078" s="14" t="inlineStr">
        <is>
          <t>UPVC coupler for UPVC drainage pipes 110 mm</t>
        </is>
      </c>
      <c r="C1078" s="13" t="inlineStr">
        <is>
          <t>each</t>
        </is>
      </c>
      <c r="D1078" s="15" t="n">
        <v>1</v>
      </c>
      <c r="E1078" s="16" t="n">
        <v>39</v>
      </c>
      <c r="F1078" s="16">
        <f>D1078*E1078</f>
        <v/>
      </c>
    </row>
    <row r="1079">
      <c r="A1079" s="13" t="inlineStr">
        <is>
          <t>7191</t>
        </is>
      </c>
      <c r="B1079" s="14" t="inlineStr">
        <is>
          <t>U-PVC pipes (working pressure 4 kg /sqcm) Rubber (Seal) Ring 110 mm dia.</t>
        </is>
      </c>
      <c r="C1079" s="13" t="inlineStr">
        <is>
          <t>each</t>
        </is>
      </c>
      <c r="D1079" s="15" t="n">
        <v>2</v>
      </c>
      <c r="E1079" s="16" t="n">
        <v>11</v>
      </c>
      <c r="F1079" s="16">
        <f>D1079*E1079</f>
        <v/>
      </c>
    </row>
    <row r="1080">
      <c r="A1080" s="13" t="inlineStr">
        <is>
          <t>9999</t>
        </is>
      </c>
      <c r="B1080" s="14" t="inlineStr">
        <is>
          <t>Adhesive, and sundries etc.</t>
        </is>
      </c>
      <c r="C1080" s="13" t="inlineStr">
        <is>
          <t>L.S.</t>
        </is>
      </c>
      <c r="D1080" s="15" t="n">
        <v>2.73</v>
      </c>
      <c r="E1080" s="16" t="n">
        <v>2</v>
      </c>
      <c r="F1080" s="16">
        <f>D1080*E1080</f>
        <v/>
      </c>
    </row>
    <row r="1081">
      <c r="A1081" s="13" t="inlineStr">
        <is>
          <t>9988</t>
        </is>
      </c>
      <c r="B1081" s="14" t="inlineStr">
        <is>
          <t>Carriage and fixing charges</t>
        </is>
      </c>
      <c r="C1081" s="13" t="inlineStr">
        <is>
          <t>L.S.</t>
        </is>
      </c>
      <c r="D1081" s="15" t="n">
        <v>10.79</v>
      </c>
      <c r="E1081" s="16" t="n">
        <v>2</v>
      </c>
      <c r="F1081" s="16">
        <f>D1081*E1081</f>
        <v/>
      </c>
    </row>
    <row r="1082">
      <c r="A1082" s="17" t="inlineStr">
        <is>
          <t>Resource Total (Material + Labour + Machinery, as printed)</t>
        </is>
      </c>
      <c r="B1082" s="18" t="n"/>
      <c r="C1082" s="18" t="n"/>
      <c r="D1082" s="18" t="n"/>
      <c r="E1082" s="18" t="n"/>
      <c r="F1082" s="19">
        <f>SUM(F1078:F1081)</f>
        <v/>
      </c>
    </row>
    <row r="1083">
      <c r="A1083" s="20" t="inlineStr">
        <is>
          <t>SAY (Rs.) — final DAR rate</t>
        </is>
      </c>
      <c r="B1083" s="21" t="n"/>
      <c r="C1083" s="21" t="n"/>
      <c r="D1083" s="21" t="n"/>
      <c r="E1083" s="21" t="n"/>
      <c r="F1083" s="22" t="n">
        <v>117.8</v>
      </c>
    </row>
    <row r="1085" ht="18" customHeight="1">
      <c r="A1085" s="9" t="inlineStr">
        <is>
          <t>12.42.2.1</t>
        </is>
      </c>
      <c r="B1085" s="10" t="inlineStr">
        <is>
          <t>75 mm</t>
        </is>
      </c>
      <c r="C1085" s="11" t="n"/>
      <c r="D1085" s="11" t="n"/>
      <c r="E1085" s="11" t="n"/>
      <c r="F1085" s="11" t="n"/>
    </row>
    <row r="1086">
      <c r="A1086" s="12" t="inlineStr">
        <is>
          <t>Rate basis: per coupler  (source: cost for 1 coupler)</t>
        </is>
      </c>
    </row>
    <row r="1087">
      <c r="A1087" s="5" t="inlineStr">
        <is>
          <t>Code</t>
        </is>
      </c>
      <c r="B1087" s="5" t="inlineStr">
        <is>
          <t>Description</t>
        </is>
      </c>
      <c r="C1087" s="5" t="inlineStr">
        <is>
          <t>Unit</t>
        </is>
      </c>
      <c r="D1087" s="5" t="inlineStr">
        <is>
          <t>Quantity</t>
        </is>
      </c>
      <c r="E1087" s="5" t="inlineStr">
        <is>
          <t>Rate (Rs.)</t>
        </is>
      </c>
      <c r="F1087" s="5" t="inlineStr">
        <is>
          <t>Amount (Rs.)</t>
        </is>
      </c>
    </row>
    <row r="1088">
      <c r="A1088" s="13" t="inlineStr">
        <is>
          <t>7194</t>
        </is>
      </c>
      <c r="B1088" s="14" t="inlineStr">
        <is>
          <t>UPVC pushfit coupler (single) 75 mm thick</t>
        </is>
      </c>
      <c r="C1088" s="13" t="inlineStr">
        <is>
          <t>each</t>
        </is>
      </c>
      <c r="D1088" s="15" t="n">
        <v>1</v>
      </c>
      <c r="E1088" s="16" t="n">
        <v>18</v>
      </c>
      <c r="F1088" s="16">
        <f>D1088*E1088</f>
        <v/>
      </c>
    </row>
    <row r="1089">
      <c r="A1089" s="13" t="inlineStr">
        <is>
          <t>7190</t>
        </is>
      </c>
      <c r="B1089" s="14" t="inlineStr">
        <is>
          <t>U-PVC pipes (working pressure 4 kg /sqcm.) Rubber (Seal) Ring 75 mm dia.</t>
        </is>
      </c>
      <c r="C1089" s="13" t="inlineStr">
        <is>
          <t>each</t>
        </is>
      </c>
      <c r="D1089" s="15" t="n">
        <v>2</v>
      </c>
      <c r="E1089" s="16" t="n">
        <v>8</v>
      </c>
      <c r="F1089" s="16">
        <f>D1089*E1089</f>
        <v/>
      </c>
    </row>
    <row r="1090">
      <c r="A1090" s="13" t="inlineStr">
        <is>
          <t>9999</t>
        </is>
      </c>
      <c r="B1090" s="14" t="inlineStr">
        <is>
          <t>Adhesive, and sundries etc.</t>
        </is>
      </c>
      <c r="C1090" s="13" t="inlineStr">
        <is>
          <t>L.S.</t>
        </is>
      </c>
      <c r="D1090" s="15" t="n">
        <v>2.73</v>
      </c>
      <c r="E1090" s="16" t="n">
        <v>2</v>
      </c>
      <c r="F1090" s="16">
        <f>D1090*E1090</f>
        <v/>
      </c>
    </row>
    <row r="1091">
      <c r="A1091" s="13" t="inlineStr">
        <is>
          <t>9988</t>
        </is>
      </c>
      <c r="B1091" s="14" t="inlineStr">
        <is>
          <t>Carriage and fixing charges</t>
        </is>
      </c>
      <c r="C1091" s="13" t="inlineStr">
        <is>
          <t>L.S.</t>
        </is>
      </c>
      <c r="D1091" s="15" t="n">
        <v>9.359999999999999</v>
      </c>
      <c r="E1091" s="16" t="n">
        <v>2</v>
      </c>
      <c r="F1091" s="16">
        <f>D1091*E1091</f>
        <v/>
      </c>
    </row>
    <row r="1092">
      <c r="A1092" s="17" t="inlineStr">
        <is>
          <t>Resource Total (Material + Labour + Machinery, as printed)</t>
        </is>
      </c>
      <c r="B1092" s="18" t="n"/>
      <c r="C1092" s="18" t="n"/>
      <c r="D1092" s="18" t="n"/>
      <c r="E1092" s="18" t="n"/>
      <c r="F1092" s="19">
        <f>SUM(F1088:F1091)</f>
        <v/>
      </c>
    </row>
    <row r="1093">
      <c r="A1093" s="20" t="inlineStr">
        <is>
          <t>SAY (Rs.) — final DAR rate</t>
        </is>
      </c>
      <c r="B1093" s="21" t="n"/>
      <c r="C1093" s="21" t="n"/>
      <c r="D1093" s="21" t="n"/>
      <c r="E1093" s="21" t="n"/>
      <c r="F1093" s="22" t="n">
        <v>77.84999999999999</v>
      </c>
    </row>
    <row r="1095" ht="18" customHeight="1">
      <c r="A1095" s="9" t="inlineStr">
        <is>
          <t>12.42.2.2</t>
        </is>
      </c>
      <c r="B1095" s="10" t="inlineStr">
        <is>
          <t>110 mm</t>
        </is>
      </c>
      <c r="C1095" s="11" t="n"/>
      <c r="D1095" s="11" t="n"/>
      <c r="E1095" s="11" t="n"/>
      <c r="F1095" s="11" t="n"/>
    </row>
    <row r="1096">
      <c r="A1096" s="12" t="inlineStr">
        <is>
          <t>Rate basis: per coupler  (source: cost for 1 coupler)</t>
        </is>
      </c>
    </row>
    <row r="1097">
      <c r="A1097" s="5" t="inlineStr">
        <is>
          <t>Code</t>
        </is>
      </c>
      <c r="B1097" s="5" t="inlineStr">
        <is>
          <t>Description</t>
        </is>
      </c>
      <c r="C1097" s="5" t="inlineStr">
        <is>
          <t>Unit</t>
        </is>
      </c>
      <c r="D1097" s="5" t="inlineStr">
        <is>
          <t>Quantity</t>
        </is>
      </c>
      <c r="E1097" s="5" t="inlineStr">
        <is>
          <t>Rate (Rs.)</t>
        </is>
      </c>
      <c r="F1097" s="5" t="inlineStr">
        <is>
          <t>Amount (Rs.)</t>
        </is>
      </c>
    </row>
    <row r="1098">
      <c r="A1098" s="13" t="inlineStr">
        <is>
          <t>7195</t>
        </is>
      </c>
      <c r="B1098" s="14" t="inlineStr">
        <is>
          <t>UPVC pushfit coupler (single) 110 mm thick</t>
        </is>
      </c>
      <c r="C1098" s="13" t="inlineStr">
        <is>
          <t>each</t>
        </is>
      </c>
      <c r="D1098" s="15" t="n">
        <v>1</v>
      </c>
      <c r="E1098" s="16" t="n">
        <v>32</v>
      </c>
      <c r="F1098" s="16">
        <f>D1098*E1098</f>
        <v/>
      </c>
    </row>
    <row r="1099">
      <c r="A1099" s="13" t="inlineStr">
        <is>
          <t>7191</t>
        </is>
      </c>
      <c r="B1099" s="14" t="inlineStr">
        <is>
          <t>U-PVC pipes (working pressure 4 kg /sq.cm) Rubber (Seal) Ring 110 mm dia.</t>
        </is>
      </c>
      <c r="C1099" s="13" t="inlineStr">
        <is>
          <t>each</t>
        </is>
      </c>
      <c r="D1099" s="15" t="n">
        <v>2</v>
      </c>
      <c r="E1099" s="16" t="n">
        <v>11</v>
      </c>
      <c r="F1099" s="16">
        <f>D1099*E1099</f>
        <v/>
      </c>
    </row>
    <row r="1100">
      <c r="A1100" s="13" t="inlineStr">
        <is>
          <t>9999</t>
        </is>
      </c>
      <c r="B1100" s="14" t="inlineStr">
        <is>
          <t>Adhesive, and sundries etc.</t>
        </is>
      </c>
      <c r="C1100" s="13" t="inlineStr">
        <is>
          <t>L.S.</t>
        </is>
      </c>
      <c r="D1100" s="15" t="n">
        <v>2.73</v>
      </c>
      <c r="E1100" s="16" t="n">
        <v>2</v>
      </c>
      <c r="F1100" s="16">
        <f>D1100*E1100</f>
        <v/>
      </c>
    </row>
    <row r="1101">
      <c r="A1101" s="13" t="inlineStr">
        <is>
          <t>9988</t>
        </is>
      </c>
      <c r="B1101" s="14" t="inlineStr">
        <is>
          <t>Carriage and fixing charges</t>
        </is>
      </c>
      <c r="C1101" s="13" t="inlineStr">
        <is>
          <t>L.S.</t>
        </is>
      </c>
      <c r="D1101" s="15" t="n">
        <v>10.79</v>
      </c>
      <c r="E1101" s="16" t="n">
        <v>2</v>
      </c>
      <c r="F1101" s="16">
        <f>D1101*E1101</f>
        <v/>
      </c>
    </row>
    <row r="1102">
      <c r="A1102" s="17" t="inlineStr">
        <is>
          <t>Resource Total (Material + Labour + Machinery, as printed)</t>
        </is>
      </c>
      <c r="B1102" s="18" t="n"/>
      <c r="C1102" s="18" t="n"/>
      <c r="D1102" s="18" t="n"/>
      <c r="E1102" s="18" t="n"/>
      <c r="F1102" s="19">
        <f>SUM(F1098:F1101)</f>
        <v/>
      </c>
    </row>
    <row r="1103">
      <c r="A1103" s="20" t="inlineStr">
        <is>
          <t>SAY (Rs.) — final DAR rate</t>
        </is>
      </c>
      <c r="B1103" s="21" t="n"/>
      <c r="C1103" s="21" t="n"/>
      <c r="D1103" s="21" t="n"/>
      <c r="E1103" s="21" t="n"/>
      <c r="F1103" s="22" t="n">
        <v>108.45</v>
      </c>
    </row>
    <row r="1105" ht="18" customHeight="1">
      <c r="A1105" s="9" t="inlineStr">
        <is>
          <t>12.42.3.1</t>
        </is>
      </c>
      <c r="B1105" s="10" t="inlineStr">
        <is>
          <t>75x75x75 mm</t>
        </is>
      </c>
      <c r="C1105" s="11" t="n"/>
      <c r="D1105" s="11" t="n"/>
      <c r="E1105" s="11" t="n"/>
      <c r="F1105" s="11" t="n"/>
    </row>
    <row r="1106">
      <c r="A1106" s="12" t="inlineStr">
        <is>
          <t>Rate basis: per tee  (source: cost for 1 tee)</t>
        </is>
      </c>
    </row>
    <row r="1107">
      <c r="A1107" s="5" t="inlineStr">
        <is>
          <t>Code</t>
        </is>
      </c>
      <c r="B1107" s="5" t="inlineStr">
        <is>
          <t>Description</t>
        </is>
      </c>
      <c r="C1107" s="5" t="inlineStr">
        <is>
          <t>Unit</t>
        </is>
      </c>
      <c r="D1107" s="5" t="inlineStr">
        <is>
          <t>Quantity</t>
        </is>
      </c>
      <c r="E1107" s="5" t="inlineStr">
        <is>
          <t>Rate (Rs.)</t>
        </is>
      </c>
      <c r="F1107" s="5" t="inlineStr">
        <is>
          <t>Amount (Rs.)</t>
        </is>
      </c>
    </row>
    <row r="1108">
      <c r="A1108" s="13" t="inlineStr">
        <is>
          <t>7198</t>
        </is>
      </c>
      <c r="B1108" s="14" t="inlineStr">
        <is>
          <t>UPVC single equal Tee (with door) 75x75x75 mm</t>
        </is>
      </c>
      <c r="C1108" s="13" t="inlineStr">
        <is>
          <t>each</t>
        </is>
      </c>
      <c r="D1108" s="15" t="n">
        <v>1</v>
      </c>
      <c r="E1108" s="16" t="n">
        <v>59</v>
      </c>
      <c r="F1108" s="16">
        <f>D1108*E1108</f>
        <v/>
      </c>
    </row>
    <row r="1109">
      <c r="A1109" s="13" t="inlineStr">
        <is>
          <t>7190</t>
        </is>
      </c>
      <c r="B1109" s="14" t="inlineStr">
        <is>
          <t>U-PVC pipes (working pressure 4 kg /sqcm) Rubber (Seal) Ring 75 mm dia.</t>
        </is>
      </c>
      <c r="C1109" s="13" t="inlineStr">
        <is>
          <t>each</t>
        </is>
      </c>
      <c r="D1109" s="15" t="n">
        <v>3</v>
      </c>
      <c r="E1109" s="16" t="n">
        <v>8</v>
      </c>
      <c r="F1109" s="16">
        <f>D1109*E1109</f>
        <v/>
      </c>
    </row>
    <row r="1110">
      <c r="A1110" s="13" t="inlineStr">
        <is>
          <t>9988</t>
        </is>
      </c>
      <c r="B1110" s="14" t="inlineStr">
        <is>
          <t>Adhesive, Carriage of material rubber washer etc. including fixing charges</t>
        </is>
      </c>
      <c r="C1110" s="13" t="inlineStr">
        <is>
          <t>L.S.</t>
        </is>
      </c>
      <c r="D1110" s="15" t="n">
        <v>10.76</v>
      </c>
      <c r="E1110" s="16" t="n">
        <v>2</v>
      </c>
      <c r="F1110" s="16">
        <f>D1110*E1110</f>
        <v/>
      </c>
    </row>
    <row r="1111">
      <c r="A1111" s="17" t="inlineStr">
        <is>
          <t>Resource Total (Material + Labour + Machinery, as printed)</t>
        </is>
      </c>
      <c r="B1111" s="18" t="n"/>
      <c r="C1111" s="18" t="n"/>
      <c r="D1111" s="18" t="n"/>
      <c r="E1111" s="18" t="n"/>
      <c r="F1111" s="19">
        <f>SUM(F1108:F1110)</f>
        <v/>
      </c>
    </row>
    <row r="1112">
      <c r="A1112" s="20" t="inlineStr">
        <is>
          <t>SAY (Rs.) — final DAR rate</t>
        </is>
      </c>
      <c r="B1112" s="21" t="n"/>
      <c r="C1112" s="21" t="n"/>
      <c r="D1112" s="21" t="n"/>
      <c r="E1112" s="21" t="n"/>
      <c r="F1112" s="22" t="n">
        <v>139.85</v>
      </c>
    </row>
    <row r="1114" ht="18" customHeight="1">
      <c r="A1114" s="9" t="inlineStr">
        <is>
          <t>12.42.3.2</t>
        </is>
      </c>
      <c r="B1114" s="10" t="inlineStr">
        <is>
          <t>110x110x110 mm</t>
        </is>
      </c>
      <c r="C1114" s="11" t="n"/>
      <c r="D1114" s="11" t="n"/>
      <c r="E1114" s="11" t="n"/>
      <c r="F1114" s="11" t="n"/>
    </row>
    <row r="1115">
      <c r="A1115" s="12" t="inlineStr">
        <is>
          <t>Rate basis: per tee  (source: cost for 1 tee)</t>
        </is>
      </c>
    </row>
    <row r="1116">
      <c r="A1116" s="5" t="inlineStr">
        <is>
          <t>Code</t>
        </is>
      </c>
      <c r="B1116" s="5" t="inlineStr">
        <is>
          <t>Description</t>
        </is>
      </c>
      <c r="C1116" s="5" t="inlineStr">
        <is>
          <t>Unit</t>
        </is>
      </c>
      <c r="D1116" s="5" t="inlineStr">
        <is>
          <t>Quantity</t>
        </is>
      </c>
      <c r="E1116" s="5" t="inlineStr">
        <is>
          <t>Rate (Rs.)</t>
        </is>
      </c>
      <c r="F1116" s="5" t="inlineStr">
        <is>
          <t>Amount (Rs.)</t>
        </is>
      </c>
    </row>
    <row r="1117">
      <c r="A1117" s="13" t="inlineStr">
        <is>
          <t>7199</t>
        </is>
      </c>
      <c r="B1117" s="14" t="inlineStr">
        <is>
          <t>UPVC single equal Tee (with door) 110x110x110 mm</t>
        </is>
      </c>
      <c r="C1117" s="13" t="inlineStr">
        <is>
          <t>each</t>
        </is>
      </c>
      <c r="D1117" s="15" t="n">
        <v>1</v>
      </c>
      <c r="E1117" s="16" t="n">
        <v>92</v>
      </c>
      <c r="F1117" s="16">
        <f>D1117*E1117</f>
        <v/>
      </c>
    </row>
    <row r="1118">
      <c r="A1118" s="13" t="inlineStr">
        <is>
          <t>7191</t>
        </is>
      </c>
      <c r="B1118" s="14" t="inlineStr">
        <is>
          <t>U-PVC pipes (working pressure 4 kg / sqcm) Rubber (Seal) Ring 110 mm dia.</t>
        </is>
      </c>
      <c r="C1118" s="13" t="inlineStr">
        <is>
          <t>each</t>
        </is>
      </c>
      <c r="D1118" s="15" t="n">
        <v>3</v>
      </c>
      <c r="E1118" s="16" t="n">
        <v>11</v>
      </c>
      <c r="F1118" s="16">
        <f>D1118*E1118</f>
        <v/>
      </c>
    </row>
    <row r="1119">
      <c r="A1119" s="13" t="inlineStr">
        <is>
          <t>9988</t>
        </is>
      </c>
      <c r="B1119" s="14" t="inlineStr">
        <is>
          <t>Adhesive, Carriage of material rubber washer etc. including fixing charges</t>
        </is>
      </c>
      <c r="C1119" s="13" t="inlineStr">
        <is>
          <t>L.S.</t>
        </is>
      </c>
      <c r="D1119" s="15" t="n">
        <v>13.47</v>
      </c>
      <c r="E1119" s="16" t="n">
        <v>2</v>
      </c>
      <c r="F1119" s="16">
        <f>D1119*E1119</f>
        <v/>
      </c>
    </row>
    <row r="1120">
      <c r="A1120" s="17" t="inlineStr">
        <is>
          <t>Resource Total (Material + Labour + Machinery, as printed)</t>
        </is>
      </c>
      <c r="B1120" s="18" t="n"/>
      <c r="C1120" s="18" t="n"/>
      <c r="D1120" s="18" t="n"/>
      <c r="E1120" s="18" t="n"/>
      <c r="F1120" s="19">
        <f>SUM(F1117:F1119)</f>
        <v/>
      </c>
    </row>
    <row r="1121">
      <c r="A1121" s="20" t="inlineStr">
        <is>
          <t>SAY (Rs.) — final DAR rate</t>
        </is>
      </c>
      <c r="B1121" s="21" t="n"/>
      <c r="C1121" s="21" t="n"/>
      <c r="D1121" s="21" t="n"/>
      <c r="E1121" s="21" t="n"/>
      <c r="F1121" s="22" t="n">
        <v>203.3</v>
      </c>
    </row>
    <row r="1123" ht="18" customHeight="1">
      <c r="A1123" s="9" t="inlineStr">
        <is>
          <t>12.42.4.1</t>
        </is>
      </c>
      <c r="B1123" s="10" t="inlineStr">
        <is>
          <t>75x75x75 mm</t>
        </is>
      </c>
      <c r="C1123" s="11" t="n"/>
      <c r="D1123" s="11" t="n"/>
      <c r="E1123" s="11" t="n"/>
      <c r="F1123" s="11" t="n"/>
    </row>
    <row r="1124">
      <c r="A1124" s="12" t="inlineStr">
        <is>
          <t>Rate basis: per tee  (source: cost for 1 tee)</t>
        </is>
      </c>
    </row>
    <row r="1125">
      <c r="A1125" s="5" t="inlineStr">
        <is>
          <t>Code</t>
        </is>
      </c>
      <c r="B1125" s="5" t="inlineStr">
        <is>
          <t>Description</t>
        </is>
      </c>
      <c r="C1125" s="5" t="inlineStr">
        <is>
          <t>Unit</t>
        </is>
      </c>
      <c r="D1125" s="5" t="inlineStr">
        <is>
          <t>Quantity</t>
        </is>
      </c>
      <c r="E1125" s="5" t="inlineStr">
        <is>
          <t>Rate (Rs.)</t>
        </is>
      </c>
      <c r="F1125" s="5" t="inlineStr">
        <is>
          <t>Amount (Rs.)</t>
        </is>
      </c>
    </row>
    <row r="1126">
      <c r="A1126" s="13" t="inlineStr">
        <is>
          <t>7196</t>
        </is>
      </c>
      <c r="B1126" s="14" t="inlineStr">
        <is>
          <t>UPVC single equal Tee (with door) 75x75x75 mm</t>
        </is>
      </c>
      <c r="C1126" s="13" t="inlineStr">
        <is>
          <t>each</t>
        </is>
      </c>
      <c r="D1126" s="15" t="n">
        <v>1</v>
      </c>
      <c r="E1126" s="16" t="n">
        <v>46</v>
      </c>
      <c r="F1126" s="16">
        <f>D1126*E1126</f>
        <v/>
      </c>
    </row>
    <row r="1127">
      <c r="A1127" s="13" t="inlineStr">
        <is>
          <t>7190</t>
        </is>
      </c>
      <c r="B1127" s="14" t="inlineStr">
        <is>
          <t>U-PVC pipes (working pressure 4 kg /sqcm) Rubber (Seal) Ring 75 mm dia.</t>
        </is>
      </c>
      <c r="C1127" s="13" t="inlineStr">
        <is>
          <t>each</t>
        </is>
      </c>
      <c r="D1127" s="15" t="n">
        <v>3</v>
      </c>
      <c r="E1127" s="16" t="n">
        <v>8</v>
      </c>
      <c r="F1127" s="16">
        <f>D1127*E1127</f>
        <v/>
      </c>
    </row>
    <row r="1128">
      <c r="A1128" s="13" t="inlineStr">
        <is>
          <t>9988</t>
        </is>
      </c>
      <c r="B1128" s="14" t="inlineStr">
        <is>
          <t>Adhesive, Carriage of material rubber washer etc. including fixing charges</t>
        </is>
      </c>
      <c r="C1128" s="13" t="inlineStr">
        <is>
          <t>L.S.</t>
        </is>
      </c>
      <c r="D1128" s="15" t="n">
        <v>10.76</v>
      </c>
      <c r="E1128" s="16" t="n">
        <v>2</v>
      </c>
      <c r="F1128" s="16">
        <f>D1128*E1128</f>
        <v/>
      </c>
    </row>
    <row r="1129">
      <c r="A1129" s="17" t="inlineStr">
        <is>
          <t>Resource Total (Material + Labour + Machinery, as printed)</t>
        </is>
      </c>
      <c r="B1129" s="18" t="n"/>
      <c r="C1129" s="18" t="n"/>
      <c r="D1129" s="18" t="n"/>
      <c r="E1129" s="18" t="n"/>
      <c r="F1129" s="19">
        <f>SUM(F1126:F1128)</f>
        <v/>
      </c>
    </row>
    <row r="1130">
      <c r="A1130" s="20" t="inlineStr">
        <is>
          <t>SAY (Rs.) — final DAR rate</t>
        </is>
      </c>
      <c r="B1130" s="21" t="n"/>
      <c r="C1130" s="21" t="n"/>
      <c r="D1130" s="21" t="n"/>
      <c r="E1130" s="21" t="n"/>
      <c r="F1130" s="22" t="n">
        <v>122.45</v>
      </c>
    </row>
    <row r="1132" ht="18" customHeight="1">
      <c r="A1132" s="9" t="inlineStr">
        <is>
          <t>12.42.4.2</t>
        </is>
      </c>
      <c r="B1132" s="10" t="inlineStr">
        <is>
          <t>110x110x110 mm</t>
        </is>
      </c>
      <c r="C1132" s="11" t="n"/>
      <c r="D1132" s="11" t="n"/>
      <c r="E1132" s="11" t="n"/>
      <c r="F1132" s="11" t="n"/>
    </row>
    <row r="1133">
      <c r="A1133" s="12" t="inlineStr">
        <is>
          <t>Rate basis: per tee  (source: cost for 1 tee)</t>
        </is>
      </c>
    </row>
    <row r="1134">
      <c r="A1134" s="5" t="inlineStr">
        <is>
          <t>Code</t>
        </is>
      </c>
      <c r="B1134" s="5" t="inlineStr">
        <is>
          <t>Description</t>
        </is>
      </c>
      <c r="C1134" s="5" t="inlineStr">
        <is>
          <t>Unit</t>
        </is>
      </c>
      <c r="D1134" s="5" t="inlineStr">
        <is>
          <t>Quantity</t>
        </is>
      </c>
      <c r="E1134" s="5" t="inlineStr">
        <is>
          <t>Rate (Rs.)</t>
        </is>
      </c>
      <c r="F1134" s="5" t="inlineStr">
        <is>
          <t>Amount (Rs.)</t>
        </is>
      </c>
    </row>
    <row r="1135">
      <c r="A1135" s="13" t="inlineStr">
        <is>
          <t>7197</t>
        </is>
      </c>
      <c r="B1135" s="14" t="inlineStr">
        <is>
          <t>UPVC single equal Tee (with door) 110x110x110 mm</t>
        </is>
      </c>
      <c r="C1135" s="13" t="inlineStr">
        <is>
          <t>each</t>
        </is>
      </c>
      <c r="D1135" s="15" t="n">
        <v>1</v>
      </c>
      <c r="E1135" s="16" t="n">
        <v>81</v>
      </c>
      <c r="F1135" s="16">
        <f>D1135*E1135</f>
        <v/>
      </c>
    </row>
    <row r="1136">
      <c r="A1136" s="13" t="inlineStr">
        <is>
          <t>7191</t>
        </is>
      </c>
      <c r="B1136" s="14" t="inlineStr">
        <is>
          <t>U-PVC pipes (working pressure 4 kg /sqcm) Rubber (Seal) Ring 110 mm dia.</t>
        </is>
      </c>
      <c r="C1136" s="13" t="inlineStr">
        <is>
          <t>each</t>
        </is>
      </c>
      <c r="D1136" s="15" t="n">
        <v>3</v>
      </c>
      <c r="E1136" s="16" t="n">
        <v>11</v>
      </c>
      <c r="F1136" s="16">
        <f>D1136*E1136</f>
        <v/>
      </c>
    </row>
    <row r="1137">
      <c r="A1137" s="13" t="inlineStr">
        <is>
          <t>9988</t>
        </is>
      </c>
      <c r="B1137" s="14" t="inlineStr">
        <is>
          <t>Adhesive, Carriage of material rubber washer etc. including fixing charges</t>
        </is>
      </c>
      <c r="C1137" s="13" t="inlineStr">
        <is>
          <t>L.S.</t>
        </is>
      </c>
      <c r="D1137" s="15" t="n">
        <v>13.47</v>
      </c>
      <c r="E1137" s="16" t="n">
        <v>2</v>
      </c>
      <c r="F1137" s="16">
        <f>D1137*E1137</f>
        <v/>
      </c>
    </row>
    <row r="1138">
      <c r="A1138" s="17" t="inlineStr">
        <is>
          <t>Resource Total (Material + Labour + Machinery, as printed)</t>
        </is>
      </c>
      <c r="B1138" s="18" t="n"/>
      <c r="C1138" s="18" t="n"/>
      <c r="D1138" s="18" t="n"/>
      <c r="E1138" s="18" t="n"/>
      <c r="F1138" s="19">
        <f>SUM(F1135:F1137)</f>
        <v/>
      </c>
    </row>
    <row r="1139">
      <c r="A1139" s="20" t="inlineStr">
        <is>
          <t>SAY (Rs.) — final DAR rate</t>
        </is>
      </c>
      <c r="B1139" s="21" t="n"/>
      <c r="C1139" s="21" t="n"/>
      <c r="D1139" s="21" t="n"/>
      <c r="E1139" s="21" t="n"/>
      <c r="F1139" s="22" t="n">
        <v>188.55</v>
      </c>
    </row>
    <row r="1141" ht="18" customHeight="1">
      <c r="A1141" s="9" t="inlineStr">
        <is>
          <t>12.42.5.1</t>
        </is>
      </c>
      <c r="B1141" s="10" t="inlineStr">
        <is>
          <t>75 mm bend</t>
        </is>
      </c>
      <c r="C1141" s="11" t="n"/>
      <c r="D1141" s="11" t="n"/>
      <c r="E1141" s="11" t="n"/>
      <c r="F1141" s="11" t="n"/>
    </row>
    <row r="1142">
      <c r="A1142" s="12" t="inlineStr">
        <is>
          <t>Rate basis: per bend  (source: cost for 1 bend)</t>
        </is>
      </c>
    </row>
    <row r="1143">
      <c r="A1143" s="5" t="inlineStr">
        <is>
          <t>Code</t>
        </is>
      </c>
      <c r="B1143" s="5" t="inlineStr">
        <is>
          <t>Description</t>
        </is>
      </c>
      <c r="C1143" s="5" t="inlineStr">
        <is>
          <t>Unit</t>
        </is>
      </c>
      <c r="D1143" s="5" t="inlineStr">
        <is>
          <t>Quantity</t>
        </is>
      </c>
      <c r="E1143" s="5" t="inlineStr">
        <is>
          <t>Rate (Rs.)</t>
        </is>
      </c>
      <c r="F1143" s="5" t="inlineStr">
        <is>
          <t>Amount (Rs.)</t>
        </is>
      </c>
    </row>
    <row r="1144">
      <c r="A1144" s="13" t="inlineStr">
        <is>
          <t>7208</t>
        </is>
      </c>
      <c r="B1144" s="14" t="inlineStr">
        <is>
          <t>UPVC bend 87.5° 75 mm bend</t>
        </is>
      </c>
      <c r="C1144" s="13" t="inlineStr">
        <is>
          <t>each</t>
        </is>
      </c>
      <c r="D1144" s="15" t="n">
        <v>1</v>
      </c>
      <c r="E1144" s="16" t="n">
        <v>35</v>
      </c>
      <c r="F1144" s="16">
        <f>D1144*E1144</f>
        <v/>
      </c>
    </row>
    <row r="1145">
      <c r="A1145" s="13" t="inlineStr">
        <is>
          <t>7190</t>
        </is>
      </c>
      <c r="B1145" s="14" t="inlineStr">
        <is>
          <t>U-PVC pipes (working pressure 4 kg / sqcm) Rubber (Seal) Ring 75 mm dia.</t>
        </is>
      </c>
      <c r="C1145" s="13" t="inlineStr">
        <is>
          <t>each</t>
        </is>
      </c>
      <c r="D1145" s="15" t="n">
        <v>1</v>
      </c>
      <c r="E1145" s="16" t="n">
        <v>8</v>
      </c>
      <c r="F1145" s="16">
        <f>D1145*E1145</f>
        <v/>
      </c>
    </row>
    <row r="1146">
      <c r="A1146" s="13" t="inlineStr">
        <is>
          <t>9999</t>
        </is>
      </c>
      <c r="B1146" s="14" t="inlineStr">
        <is>
          <t>Adhesive, and sundries etc.</t>
        </is>
      </c>
      <c r="C1146" s="13" t="inlineStr">
        <is>
          <t>L.S.</t>
        </is>
      </c>
      <c r="D1146" s="15" t="n">
        <v>2.73</v>
      </c>
      <c r="E1146" s="16" t="n">
        <v>2</v>
      </c>
      <c r="F1146" s="16">
        <f>D1146*E1146</f>
        <v/>
      </c>
    </row>
    <row r="1147">
      <c r="A1147" s="13" t="inlineStr">
        <is>
          <t>9988</t>
        </is>
      </c>
      <c r="B1147" s="14" t="inlineStr">
        <is>
          <t>Carriage and fixing charges</t>
        </is>
      </c>
      <c r="C1147" s="13" t="inlineStr">
        <is>
          <t>L.S.</t>
        </is>
      </c>
      <c r="D1147" s="15" t="n">
        <v>9.359999999999999</v>
      </c>
      <c r="E1147" s="16" t="n">
        <v>2</v>
      </c>
      <c r="F1147" s="16">
        <f>D1147*E1147</f>
        <v/>
      </c>
    </row>
    <row r="1148">
      <c r="A1148" s="17" t="inlineStr">
        <is>
          <t>Resource Total (Material + Labour + Machinery, as printed)</t>
        </is>
      </c>
      <c r="B1148" s="18" t="n"/>
      <c r="C1148" s="18" t="n"/>
      <c r="D1148" s="18" t="n"/>
      <c r="E1148" s="18" t="n"/>
      <c r="F1148" s="19">
        <f>SUM(F1144:F1147)</f>
        <v/>
      </c>
    </row>
    <row r="1149">
      <c r="A1149" s="20" t="inlineStr">
        <is>
          <t>SAY (Rs.) — final DAR rate</t>
        </is>
      </c>
      <c r="B1149" s="21" t="n"/>
      <c r="C1149" s="21" t="n"/>
      <c r="D1149" s="21" t="n"/>
      <c r="E1149" s="21" t="n"/>
      <c r="F1149" s="22" t="n">
        <v>89.90000000000001</v>
      </c>
    </row>
    <row r="1151" ht="18" customHeight="1">
      <c r="A1151" s="9" t="inlineStr">
        <is>
          <t>12.42.5.2</t>
        </is>
      </c>
      <c r="B1151" s="10" t="inlineStr">
        <is>
          <t>110 mm bend</t>
        </is>
      </c>
      <c r="C1151" s="11" t="n"/>
      <c r="D1151" s="11" t="n"/>
      <c r="E1151" s="11" t="n"/>
      <c r="F1151" s="11" t="n"/>
    </row>
    <row r="1152">
      <c r="A1152" s="12" t="inlineStr">
        <is>
          <t>Rate basis: per bend  (source: cost for 1 bend)</t>
        </is>
      </c>
    </row>
    <row r="1153">
      <c r="A1153" s="5" t="inlineStr">
        <is>
          <t>Code</t>
        </is>
      </c>
      <c r="B1153" s="5" t="inlineStr">
        <is>
          <t>Description</t>
        </is>
      </c>
      <c r="C1153" s="5" t="inlineStr">
        <is>
          <t>Unit</t>
        </is>
      </c>
      <c r="D1153" s="5" t="inlineStr">
        <is>
          <t>Quantity</t>
        </is>
      </c>
      <c r="E1153" s="5" t="inlineStr">
        <is>
          <t>Rate (Rs.)</t>
        </is>
      </c>
      <c r="F1153" s="5" t="inlineStr">
        <is>
          <t>Amount (Rs.)</t>
        </is>
      </c>
    </row>
    <row r="1154">
      <c r="A1154" s="13" t="inlineStr">
        <is>
          <t>7209</t>
        </is>
      </c>
      <c r="B1154" s="14" t="inlineStr">
        <is>
          <t>UPVC bend 87.5° 110 mm bend</t>
        </is>
      </c>
      <c r="C1154" s="13" t="inlineStr">
        <is>
          <t>each</t>
        </is>
      </c>
      <c r="D1154" s="15" t="n">
        <v>1</v>
      </c>
      <c r="E1154" s="16" t="n">
        <v>59</v>
      </c>
      <c r="F1154" s="16">
        <f>D1154*E1154</f>
        <v/>
      </c>
    </row>
    <row r="1155">
      <c r="A1155" s="13" t="inlineStr">
        <is>
          <t>7191</t>
        </is>
      </c>
      <c r="B1155" s="14" t="inlineStr">
        <is>
          <t>U-PVC pipes (working pressure 4 kg /sqcm) Rubber (Seal) Ring 110 mm dia.</t>
        </is>
      </c>
      <c r="C1155" s="13" t="inlineStr">
        <is>
          <t>each</t>
        </is>
      </c>
      <c r="D1155" s="15" t="n">
        <v>1</v>
      </c>
      <c r="E1155" s="16" t="n">
        <v>11</v>
      </c>
      <c r="F1155" s="16">
        <f>D1155*E1155</f>
        <v/>
      </c>
    </row>
    <row r="1156">
      <c r="A1156" s="13" t="inlineStr">
        <is>
          <t>9999</t>
        </is>
      </c>
      <c r="B1156" s="14" t="inlineStr">
        <is>
          <t>Adhesive, and sundries etc.</t>
        </is>
      </c>
      <c r="C1156" s="13" t="inlineStr">
        <is>
          <t>L.S.</t>
        </is>
      </c>
      <c r="D1156" s="15" t="n">
        <v>2.73</v>
      </c>
      <c r="E1156" s="16" t="n">
        <v>2</v>
      </c>
      <c r="F1156" s="16">
        <f>D1156*E1156</f>
        <v/>
      </c>
    </row>
    <row r="1157">
      <c r="A1157" s="13" t="inlineStr">
        <is>
          <t>9988</t>
        </is>
      </c>
      <c r="B1157" s="14" t="inlineStr">
        <is>
          <t>Carriage and fixing charges</t>
        </is>
      </c>
      <c r="C1157" s="13" t="inlineStr">
        <is>
          <t>L.S.</t>
        </is>
      </c>
      <c r="D1157" s="15" t="n">
        <v>10.79</v>
      </c>
      <c r="E1157" s="16" t="n">
        <v>2</v>
      </c>
      <c r="F1157" s="16">
        <f>D1157*E1157</f>
        <v/>
      </c>
    </row>
    <row r="1158">
      <c r="A1158" s="17" t="inlineStr">
        <is>
          <t>Resource Total (Material + Labour + Machinery, as printed)</t>
        </is>
      </c>
      <c r="B1158" s="18" t="n"/>
      <c r="C1158" s="18" t="n"/>
      <c r="D1158" s="18" t="n"/>
      <c r="E1158" s="18" t="n"/>
      <c r="F1158" s="19">
        <f>SUM(F1154:F1157)</f>
        <v/>
      </c>
    </row>
    <row r="1159">
      <c r="A1159" s="20" t="inlineStr">
        <is>
          <t>SAY (Rs.) — final DAR rate</t>
        </is>
      </c>
      <c r="B1159" s="21" t="n"/>
      <c r="C1159" s="21" t="n"/>
      <c r="D1159" s="21" t="n"/>
      <c r="E1159" s="21" t="n"/>
      <c r="F1159" s="22" t="n">
        <v>129.85</v>
      </c>
    </row>
    <row r="1161" ht="18" customHeight="1">
      <c r="A1161" s="9" t="inlineStr">
        <is>
          <t>12.42.6.1</t>
        </is>
      </c>
      <c r="B1161" s="10" t="inlineStr">
        <is>
          <t>75 mm Shoe</t>
        </is>
      </c>
      <c r="C1161" s="11" t="n"/>
      <c r="D1161" s="11" t="n"/>
      <c r="E1161" s="11" t="n"/>
      <c r="F1161" s="11" t="n"/>
    </row>
    <row r="1162">
      <c r="A1162" s="12" t="inlineStr">
        <is>
          <t>Rate basis: per shoe  (source: cost for 1 shoe)</t>
        </is>
      </c>
    </row>
    <row r="1163">
      <c r="A1163" s="5" t="inlineStr">
        <is>
          <t>Code</t>
        </is>
      </c>
      <c r="B1163" s="5" t="inlineStr">
        <is>
          <t>Description</t>
        </is>
      </c>
      <c r="C1163" s="5" t="inlineStr">
        <is>
          <t>Unit</t>
        </is>
      </c>
      <c r="D1163" s="5" t="inlineStr">
        <is>
          <t>Quantity</t>
        </is>
      </c>
      <c r="E1163" s="5" t="inlineStr">
        <is>
          <t>Rate (Rs.)</t>
        </is>
      </c>
      <c r="F1163" s="5" t="inlineStr">
        <is>
          <t>Amount (Rs.)</t>
        </is>
      </c>
    </row>
    <row r="1164">
      <c r="A1164" s="13" t="inlineStr">
        <is>
          <t>7212</t>
        </is>
      </c>
      <c r="B1164" s="14" t="inlineStr">
        <is>
          <t>UPVC plain shoe 75 mm bend</t>
        </is>
      </c>
      <c r="C1164" s="13" t="inlineStr">
        <is>
          <t>each</t>
        </is>
      </c>
      <c r="D1164" s="15" t="n">
        <v>1</v>
      </c>
      <c r="E1164" s="16" t="n">
        <v>27</v>
      </c>
      <c r="F1164" s="16">
        <f>D1164*E1164</f>
        <v/>
      </c>
    </row>
    <row r="1165">
      <c r="A1165" s="13" t="inlineStr">
        <is>
          <t>7190</t>
        </is>
      </c>
      <c r="B1165" s="14" t="inlineStr">
        <is>
          <t>U-PVC pipes (working pressure 4 kg / sqcm) Rubber (Seal) Ring 75 mm dia.</t>
        </is>
      </c>
      <c r="C1165" s="13" t="inlineStr">
        <is>
          <t>each</t>
        </is>
      </c>
      <c r="D1165" s="15" t="n">
        <v>1</v>
      </c>
      <c r="E1165" s="16" t="n">
        <v>8</v>
      </c>
      <c r="F1165" s="16">
        <f>D1165*E1165</f>
        <v/>
      </c>
    </row>
    <row r="1166">
      <c r="A1166" s="13" t="inlineStr">
        <is>
          <t>9999</t>
        </is>
      </c>
      <c r="B1166" s="14" t="inlineStr">
        <is>
          <t>Adhesive, and sundries etc.</t>
        </is>
      </c>
      <c r="C1166" s="13" t="inlineStr">
        <is>
          <t>L.S.</t>
        </is>
      </c>
      <c r="D1166" s="15" t="n">
        <v>2.73</v>
      </c>
      <c r="E1166" s="16" t="n">
        <v>2</v>
      </c>
      <c r="F1166" s="16">
        <f>D1166*E1166</f>
        <v/>
      </c>
    </row>
    <row r="1167">
      <c r="A1167" s="13" t="inlineStr">
        <is>
          <t>9988</t>
        </is>
      </c>
      <c r="B1167" s="14" t="inlineStr">
        <is>
          <t>Carriage and fixing charges</t>
        </is>
      </c>
      <c r="C1167" s="13" t="inlineStr">
        <is>
          <t>L.S.</t>
        </is>
      </c>
      <c r="D1167" s="15" t="n">
        <v>9.359999999999999</v>
      </c>
      <c r="E1167" s="16" t="n">
        <v>2</v>
      </c>
      <c r="F1167" s="16">
        <f>D1167*E1167</f>
        <v/>
      </c>
    </row>
    <row r="1168">
      <c r="A1168" s="17" t="inlineStr">
        <is>
          <t>Resource Total (Material + Labour + Machinery, as printed)</t>
        </is>
      </c>
      <c r="B1168" s="18" t="n"/>
      <c r="C1168" s="18" t="n"/>
      <c r="D1168" s="18" t="n"/>
      <c r="E1168" s="18" t="n"/>
      <c r="F1168" s="19">
        <f>SUM(F1164:F1167)</f>
        <v/>
      </c>
    </row>
    <row r="1169">
      <c r="A1169" s="20" t="inlineStr">
        <is>
          <t>SAY (Rs.) — final DAR rate</t>
        </is>
      </c>
      <c r="B1169" s="21" t="n"/>
      <c r="C1169" s="21" t="n"/>
      <c r="D1169" s="21" t="n"/>
      <c r="E1169" s="21" t="n"/>
      <c r="F1169" s="22" t="n">
        <v>79.2</v>
      </c>
    </row>
    <row r="1171" ht="18" customHeight="1">
      <c r="A1171" s="9" t="inlineStr">
        <is>
          <t>12.42.6.2</t>
        </is>
      </c>
      <c r="B1171" s="10" t="inlineStr">
        <is>
          <t>110 mm Shoe</t>
        </is>
      </c>
      <c r="C1171" s="11" t="n"/>
      <c r="D1171" s="11" t="n"/>
      <c r="E1171" s="11" t="n"/>
      <c r="F1171" s="11" t="n"/>
    </row>
    <row r="1172">
      <c r="A1172" s="12" t="inlineStr">
        <is>
          <t>Rate basis: per shoe  (source: cost for 1 shoe)</t>
        </is>
      </c>
    </row>
    <row r="1173">
      <c r="A1173" s="5" t="inlineStr">
        <is>
          <t>Code</t>
        </is>
      </c>
      <c r="B1173" s="5" t="inlineStr">
        <is>
          <t>Description</t>
        </is>
      </c>
      <c r="C1173" s="5" t="inlineStr">
        <is>
          <t>Unit</t>
        </is>
      </c>
      <c r="D1173" s="5" t="inlineStr">
        <is>
          <t>Quantity</t>
        </is>
      </c>
      <c r="E1173" s="5" t="inlineStr">
        <is>
          <t>Rate (Rs.)</t>
        </is>
      </c>
      <c r="F1173" s="5" t="inlineStr">
        <is>
          <t>Amount (Rs.)</t>
        </is>
      </c>
    </row>
    <row r="1174">
      <c r="A1174" s="13" t="inlineStr">
        <is>
          <t>7213</t>
        </is>
      </c>
      <c r="B1174" s="14" t="inlineStr">
        <is>
          <t>UPVC plain shoe 110 mm bend</t>
        </is>
      </c>
      <c r="C1174" s="13" t="inlineStr">
        <is>
          <t>each</t>
        </is>
      </c>
      <c r="D1174" s="15" t="n">
        <v>1</v>
      </c>
      <c r="E1174" s="16" t="n">
        <v>47</v>
      </c>
      <c r="F1174" s="16">
        <f>D1174*E1174</f>
        <v/>
      </c>
    </row>
    <row r="1175">
      <c r="A1175" s="13" t="inlineStr">
        <is>
          <t>7191</t>
        </is>
      </c>
      <c r="B1175" s="14" t="inlineStr">
        <is>
          <t>U-PVC pipes (working pressure 4 kg / sqcm) Rubber (Seal) Ring 110 mm dia.</t>
        </is>
      </c>
      <c r="C1175" s="13" t="inlineStr">
        <is>
          <t>each</t>
        </is>
      </c>
      <c r="D1175" s="15" t="n">
        <v>1</v>
      </c>
      <c r="E1175" s="16" t="n">
        <v>11</v>
      </c>
      <c r="F1175" s="16">
        <f>D1175*E1175</f>
        <v/>
      </c>
    </row>
    <row r="1176">
      <c r="A1176" s="13" t="inlineStr">
        <is>
          <t>9999</t>
        </is>
      </c>
      <c r="B1176" s="14" t="inlineStr">
        <is>
          <t>Adhesive, and sundries etc.</t>
        </is>
      </c>
      <c r="C1176" s="13" t="inlineStr">
        <is>
          <t>L.S.</t>
        </is>
      </c>
      <c r="D1176" s="15" t="n">
        <v>2.73</v>
      </c>
      <c r="E1176" s="16" t="n">
        <v>2</v>
      </c>
      <c r="F1176" s="16">
        <f>D1176*E1176</f>
        <v/>
      </c>
    </row>
    <row r="1177">
      <c r="A1177" s="13" t="inlineStr">
        <is>
          <t>9988</t>
        </is>
      </c>
      <c r="B1177" s="14" t="inlineStr">
        <is>
          <t>Carriage and fixing charges</t>
        </is>
      </c>
      <c r="C1177" s="13" t="inlineStr">
        <is>
          <t>L.S.</t>
        </is>
      </c>
      <c r="D1177" s="15" t="n">
        <v>10.79</v>
      </c>
      <c r="E1177" s="16" t="n">
        <v>2</v>
      </c>
      <c r="F1177" s="16">
        <f>D1177*E1177</f>
        <v/>
      </c>
    </row>
    <row r="1178">
      <c r="A1178" s="17" t="inlineStr">
        <is>
          <t>Resource Total (Material + Labour + Machinery, as printed)</t>
        </is>
      </c>
      <c r="B1178" s="18" t="n"/>
      <c r="C1178" s="18" t="n"/>
      <c r="D1178" s="18" t="n"/>
      <c r="E1178" s="18" t="n"/>
      <c r="F1178" s="19">
        <f>SUM(F1174:F1177)</f>
        <v/>
      </c>
    </row>
    <row r="1179">
      <c r="A1179" s="20" t="inlineStr">
        <is>
          <t>SAY (Rs.) — final DAR rate</t>
        </is>
      </c>
      <c r="B1179" s="21" t="n"/>
      <c r="C1179" s="21" t="n"/>
      <c r="D1179" s="21" t="n"/>
      <c r="E1179" s="21" t="n"/>
      <c r="F1179" s="22" t="n">
        <v>113.8</v>
      </c>
    </row>
    <row r="1181" ht="18" customHeight="1">
      <c r="A1181" s="9" t="inlineStr">
        <is>
          <t>12.43.1</t>
        </is>
      </c>
      <c r="B1181" s="10" t="inlineStr">
        <is>
          <t>75 mm</t>
        </is>
      </c>
      <c r="C1181" s="11" t="n"/>
      <c r="D1181" s="11" t="n"/>
      <c r="E1181" s="11" t="n"/>
      <c r="F1181" s="11" t="n"/>
    </row>
    <row r="1182">
      <c r="A1182" s="12" t="inlineStr">
        <is>
          <t>Rate basis: per nos  (source: cost for 5 nos)</t>
        </is>
      </c>
    </row>
    <row r="1183">
      <c r="A1183" s="5" t="inlineStr">
        <is>
          <t>Code</t>
        </is>
      </c>
      <c r="B1183" s="5" t="inlineStr">
        <is>
          <t>Description</t>
        </is>
      </c>
      <c r="C1183" s="5" t="inlineStr">
        <is>
          <t>Unit</t>
        </is>
      </c>
      <c r="D1183" s="5" t="inlineStr">
        <is>
          <t>Quantity</t>
        </is>
      </c>
      <c r="E1183" s="5" t="inlineStr">
        <is>
          <t>Rate (Rs.)</t>
        </is>
      </c>
      <c r="F1183" s="5" t="inlineStr">
        <is>
          <t>Amount (Rs.)</t>
        </is>
      </c>
    </row>
    <row r="1184">
      <c r="A1184" s="13" t="inlineStr">
        <is>
          <t>7214</t>
        </is>
      </c>
      <c r="B1184" s="14" t="inlineStr">
        <is>
          <t>UPVC pipe clip 75 mm bend</t>
        </is>
      </c>
      <c r="C1184" s="13" t="inlineStr">
        <is>
          <t>each</t>
        </is>
      </c>
      <c r="D1184" s="15" t="n">
        <v>5</v>
      </c>
      <c r="E1184" s="16" t="n">
        <v>15</v>
      </c>
      <c r="F1184" s="16">
        <f>D1184*E1184</f>
        <v/>
      </c>
    </row>
    <row r="1185">
      <c r="A1185" s="13" t="inlineStr">
        <is>
          <t>9977</t>
        </is>
      </c>
      <c r="B1185" s="14" t="inlineStr">
        <is>
          <t>Carriage of U-PVC pipe clips</t>
        </is>
      </c>
      <c r="C1185" s="13" t="inlineStr">
        <is>
          <t>L.S.</t>
        </is>
      </c>
      <c r="D1185" s="15" t="n">
        <v>2.47</v>
      </c>
      <c r="E1185" s="16" t="n">
        <v>2</v>
      </c>
      <c r="F1185" s="16">
        <f>D1185*E1185</f>
        <v/>
      </c>
    </row>
    <row r="1186">
      <c r="A1186" s="13" t="inlineStr">
        <is>
          <t>0870</t>
        </is>
      </c>
      <c r="B1186" s="14" t="inlineStr">
        <is>
          <t>Plug</t>
        </is>
      </c>
      <c r="C1186" s="13" t="inlineStr">
        <is>
          <t>each</t>
        </is>
      </c>
      <c r="D1186" s="15" t="n">
        <v>10</v>
      </c>
      <c r="E1186" s="16" t="n">
        <v>10</v>
      </c>
      <c r="F1186" s="16">
        <f>D1186*E1186</f>
        <v/>
      </c>
    </row>
    <row r="1187">
      <c r="A1187" s="13" t="inlineStr">
        <is>
          <t>0116</t>
        </is>
      </c>
      <c r="B1187" s="14" t="inlineStr">
        <is>
          <t>Fitter (grade 1)</t>
        </is>
      </c>
      <c r="C1187" s="13" t="inlineStr">
        <is>
          <t>day</t>
        </is>
      </c>
      <c r="D1187" s="15" t="n">
        <v>0.125</v>
      </c>
      <c r="E1187" s="16" t="n">
        <v>738</v>
      </c>
      <c r="F1187" s="16">
        <f>D1187*E1187</f>
        <v/>
      </c>
    </row>
    <row r="1188">
      <c r="A1188" s="13" t="inlineStr">
        <is>
          <t>0124</t>
        </is>
      </c>
      <c r="B1188" s="14" t="inlineStr">
        <is>
          <t>Mason (brick layer) 2nd class</t>
        </is>
      </c>
      <c r="C1188" s="13" t="inlineStr">
        <is>
          <t>day</t>
        </is>
      </c>
      <c r="D1188" s="15" t="n">
        <v>0.75</v>
      </c>
      <c r="E1188" s="16" t="n">
        <v>679</v>
      </c>
      <c r="F1188" s="16">
        <f>D1188*E1188</f>
        <v/>
      </c>
    </row>
    <row r="1189">
      <c r="A1189" s="13" t="inlineStr">
        <is>
          <t>0114</t>
        </is>
      </c>
      <c r="B1189" s="14" t="inlineStr">
        <is>
          <t>Beldar</t>
        </is>
      </c>
      <c r="C1189" s="13" t="inlineStr">
        <is>
          <t>day</t>
        </is>
      </c>
      <c r="D1189" s="15" t="n">
        <v>0.5</v>
      </c>
      <c r="E1189" s="16" t="n">
        <v>558</v>
      </c>
      <c r="F1189" s="16">
        <f>D1189*E1189</f>
        <v/>
      </c>
    </row>
    <row r="1190">
      <c r="A1190" s="13" t="inlineStr">
        <is>
          <t>9999</t>
        </is>
      </c>
      <c r="B1190" s="14" t="inlineStr">
        <is>
          <t>Sundries</t>
        </is>
      </c>
      <c r="C1190" s="13" t="inlineStr">
        <is>
          <t>L.S.</t>
        </is>
      </c>
      <c r="D1190" s="15" t="n">
        <v>7.15</v>
      </c>
      <c r="E1190" s="16" t="n">
        <v>2</v>
      </c>
      <c r="F1190" s="16">
        <f>D1190*E1190</f>
        <v/>
      </c>
    </row>
    <row r="1191">
      <c r="A1191" s="13" t="inlineStr">
        <is>
          <t>9999</t>
        </is>
      </c>
      <c r="B1191" s="14" t="inlineStr">
        <is>
          <t>Sundries</t>
        </is>
      </c>
      <c r="C1191" s="13" t="inlineStr">
        <is>
          <t>L.S.</t>
        </is>
      </c>
      <c r="D1191" s="15" t="n">
        <v>0.91</v>
      </c>
      <c r="E1191" s="16" t="n">
        <v>2</v>
      </c>
      <c r="F1191" s="16">
        <f>D1191*E1191</f>
        <v/>
      </c>
    </row>
    <row r="1192">
      <c r="A1192" s="13" t="inlineStr">
        <is>
          <t>9999</t>
        </is>
      </c>
      <c r="B1192" s="14" t="inlineStr">
        <is>
          <t>Sundries cement mortar 1:4 (1Cement : 4 Coarse sand)</t>
        </is>
      </c>
      <c r="C1192" s="13" t="inlineStr">
        <is>
          <t>L.S.</t>
        </is>
      </c>
      <c r="D1192" s="15" t="n">
        <v>3.9</v>
      </c>
      <c r="E1192" s="16" t="n">
        <v>2</v>
      </c>
      <c r="F1192" s="16">
        <f>D1192*E1192</f>
        <v/>
      </c>
    </row>
    <row r="1193">
      <c r="A1193" s="17" t="inlineStr">
        <is>
          <t>Resource Total (Material + Labour + Machinery, as printed)</t>
        </is>
      </c>
      <c r="B1193" s="18" t="n"/>
      <c r="C1193" s="18" t="n"/>
      <c r="D1193" s="18" t="n"/>
      <c r="E1193" s="18" t="n"/>
      <c r="F1193" s="19">
        <f>SUM(F1184:F1192)</f>
        <v/>
      </c>
    </row>
    <row r="1194">
      <c r="A1194" s="20" t="inlineStr">
        <is>
          <t>SAY (Rs.) — final DAR rate</t>
        </is>
      </c>
      <c r="B1194" s="21" t="n"/>
      <c r="C1194" s="21" t="n"/>
      <c r="D1194" s="21" t="n"/>
      <c r="E1194" s="21" t="n"/>
      <c r="F1194" s="22" t="n">
        <v>290.15</v>
      </c>
    </row>
    <row r="1196" ht="18" customHeight="1">
      <c r="A1196" s="9" t="inlineStr">
        <is>
          <t>12.43.2</t>
        </is>
      </c>
      <c r="B1196" s="10" t="inlineStr">
        <is>
          <t>110 mm</t>
        </is>
      </c>
      <c r="C1196" s="11" t="n"/>
      <c r="D1196" s="11" t="n"/>
      <c r="E1196" s="11" t="n"/>
      <c r="F1196" s="11" t="n"/>
    </row>
    <row r="1197">
      <c r="A1197" s="12" t="inlineStr">
        <is>
          <t>Rate basis: per nos  (source: cost for 5 nos)</t>
        </is>
      </c>
    </row>
    <row r="1198">
      <c r="A1198" s="5" t="inlineStr">
        <is>
          <t>Code</t>
        </is>
      </c>
      <c r="B1198" s="5" t="inlineStr">
        <is>
          <t>Description</t>
        </is>
      </c>
      <c r="C1198" s="5" t="inlineStr">
        <is>
          <t>Unit</t>
        </is>
      </c>
      <c r="D1198" s="5" t="inlineStr">
        <is>
          <t>Quantity</t>
        </is>
      </c>
      <c r="E1198" s="5" t="inlineStr">
        <is>
          <t>Rate (Rs.)</t>
        </is>
      </c>
      <c r="F1198" s="5" t="inlineStr">
        <is>
          <t>Amount (Rs.)</t>
        </is>
      </c>
    </row>
    <row r="1199">
      <c r="A1199" s="13" t="inlineStr">
        <is>
          <t>7215</t>
        </is>
      </c>
      <c r="B1199" s="14" t="inlineStr">
        <is>
          <t>UPVC pipe clip 110 mm bend</t>
        </is>
      </c>
      <c r="C1199" s="13" t="inlineStr">
        <is>
          <t>each</t>
        </is>
      </c>
      <c r="D1199" s="15" t="n">
        <v>5</v>
      </c>
      <c r="E1199" s="16" t="n">
        <v>14</v>
      </c>
      <c r="F1199" s="16">
        <f>D1199*E1199</f>
        <v/>
      </c>
    </row>
    <row r="1200">
      <c r="A1200" s="13" t="inlineStr">
        <is>
          <t>9977</t>
        </is>
      </c>
      <c r="B1200" s="14" t="inlineStr">
        <is>
          <t>Carriage of U-PVC pipe clips</t>
        </is>
      </c>
      <c r="C1200" s="13" t="inlineStr">
        <is>
          <t>L.S.</t>
        </is>
      </c>
      <c r="D1200" s="15" t="n">
        <v>2.47</v>
      </c>
      <c r="E1200" s="16" t="n">
        <v>2</v>
      </c>
      <c r="F1200" s="16">
        <f>D1200*E1200</f>
        <v/>
      </c>
    </row>
    <row r="1201">
      <c r="A1201" s="13" t="inlineStr">
        <is>
          <t>0870</t>
        </is>
      </c>
      <c r="B1201" s="14" t="inlineStr">
        <is>
          <t>Plug</t>
        </is>
      </c>
      <c r="C1201" s="13" t="inlineStr">
        <is>
          <t>each</t>
        </is>
      </c>
      <c r="D1201" s="15" t="n">
        <v>10</v>
      </c>
      <c r="E1201" s="16" t="n">
        <v>10</v>
      </c>
      <c r="F1201" s="16">
        <f>D1201*E1201</f>
        <v/>
      </c>
    </row>
    <row r="1202">
      <c r="A1202" s="13" t="inlineStr">
        <is>
          <t>0116</t>
        </is>
      </c>
      <c r="B1202" s="14" t="inlineStr">
        <is>
          <t>Fitter (grade 1)</t>
        </is>
      </c>
      <c r="C1202" s="13" t="inlineStr">
        <is>
          <t>day</t>
        </is>
      </c>
      <c r="D1202" s="15" t="n">
        <v>0.125</v>
      </c>
      <c r="E1202" s="16" t="n">
        <v>738</v>
      </c>
      <c r="F1202" s="16">
        <f>D1202*E1202</f>
        <v/>
      </c>
    </row>
    <row r="1203">
      <c r="A1203" s="13" t="inlineStr">
        <is>
          <t>0124</t>
        </is>
      </c>
      <c r="B1203" s="14" t="inlineStr">
        <is>
          <t>Mason (brick layer) 2nd class</t>
        </is>
      </c>
      <c r="C1203" s="13" t="inlineStr">
        <is>
          <t>day</t>
        </is>
      </c>
      <c r="D1203" s="15" t="n">
        <v>0.75</v>
      </c>
      <c r="E1203" s="16" t="n">
        <v>679</v>
      </c>
      <c r="F1203" s="16">
        <f>D1203*E1203</f>
        <v/>
      </c>
    </row>
    <row r="1204">
      <c r="A1204" s="13" t="inlineStr">
        <is>
          <t>0114</t>
        </is>
      </c>
      <c r="B1204" s="14" t="inlineStr">
        <is>
          <t>Beldar</t>
        </is>
      </c>
      <c r="C1204" s="13" t="inlineStr">
        <is>
          <t>day</t>
        </is>
      </c>
      <c r="D1204" s="15" t="n">
        <v>0.5</v>
      </c>
      <c r="E1204" s="16" t="n">
        <v>558</v>
      </c>
      <c r="F1204" s="16">
        <f>D1204*E1204</f>
        <v/>
      </c>
    </row>
    <row r="1205">
      <c r="A1205" s="13" t="inlineStr">
        <is>
          <t>9999</t>
        </is>
      </c>
      <c r="B1205" s="14" t="inlineStr">
        <is>
          <t>Sundries</t>
        </is>
      </c>
      <c r="C1205" s="13" t="inlineStr">
        <is>
          <t>L.S.</t>
        </is>
      </c>
      <c r="D1205" s="15" t="n">
        <v>7.15</v>
      </c>
      <c r="E1205" s="16" t="n">
        <v>2</v>
      </c>
      <c r="F1205" s="16">
        <f>D1205*E1205</f>
        <v/>
      </c>
    </row>
    <row r="1206">
      <c r="A1206" s="13" t="inlineStr">
        <is>
          <t>9999</t>
        </is>
      </c>
      <c r="B1206" s="14" t="inlineStr">
        <is>
          <t>Sundries</t>
        </is>
      </c>
      <c r="C1206" s="13" t="inlineStr">
        <is>
          <t>L.S.</t>
        </is>
      </c>
      <c r="D1206" s="15" t="n">
        <v>0.91</v>
      </c>
      <c r="E1206" s="16" t="n">
        <v>2</v>
      </c>
      <c r="F1206" s="16">
        <f>D1206*E1206</f>
        <v/>
      </c>
    </row>
    <row r="1207">
      <c r="A1207" s="13" t="inlineStr">
        <is>
          <t>9999</t>
        </is>
      </c>
      <c r="B1207" s="14" t="inlineStr">
        <is>
          <t>Sundries cement mortar 1:4 (1Cement : 4 Coarse sand)</t>
        </is>
      </c>
      <c r="C1207" s="13" t="inlineStr">
        <is>
          <t>L.S.</t>
        </is>
      </c>
      <c r="D1207" s="15" t="n">
        <v>3.9</v>
      </c>
      <c r="E1207" s="16" t="n">
        <v>2</v>
      </c>
      <c r="F1207" s="16">
        <f>D1207*E1207</f>
        <v/>
      </c>
    </row>
    <row r="1208">
      <c r="A1208" s="17" t="inlineStr">
        <is>
          <t>Resource Total (Material + Labour + Machinery, as printed)</t>
        </is>
      </c>
      <c r="B1208" s="18" t="n"/>
      <c r="C1208" s="18" t="n"/>
      <c r="D1208" s="18" t="n"/>
      <c r="E1208" s="18" t="n"/>
      <c r="F1208" s="19">
        <f>SUM(F1199:F1207)</f>
        <v/>
      </c>
    </row>
    <row r="1209">
      <c r="A1209" s="20" t="inlineStr">
        <is>
          <t>SAY (Rs.) — final DAR rate</t>
        </is>
      </c>
      <c r="B1209" s="21" t="n"/>
      <c r="C1209" s="21" t="n"/>
      <c r="D1209" s="21" t="n"/>
      <c r="E1209" s="21" t="n"/>
      <c r="F1209" s="22" t="n">
        <v>288.8</v>
      </c>
    </row>
    <row r="1211" ht="28" customHeight="1">
      <c r="A1211" s="9" t="inlineStr">
        <is>
          <t>12.44</t>
        </is>
      </c>
      <c r="B1211" s="10" t="inlineStr">
        <is>
          <t>Providing and fixing to the inlet mouth of rain water pipe cast iron grating 15 cm diameter and weighing not less than 440 grams.</t>
        </is>
      </c>
      <c r="C1211" s="11" t="n"/>
      <c r="D1211" s="11" t="n"/>
      <c r="E1211" s="11" t="n"/>
      <c r="F1211" s="11" t="n"/>
    </row>
    <row r="1212">
      <c r="A1212" s="12" t="inlineStr">
        <is>
          <t>Rate basis: per grating  (source: cost for 1 grating)</t>
        </is>
      </c>
    </row>
    <row r="1213">
      <c r="A1213" s="5" t="inlineStr">
        <is>
          <t>Code</t>
        </is>
      </c>
      <c r="B1213" s="5" t="inlineStr">
        <is>
          <t>Description</t>
        </is>
      </c>
      <c r="C1213" s="5" t="inlineStr">
        <is>
          <t>Unit</t>
        </is>
      </c>
      <c r="D1213" s="5" t="inlineStr">
        <is>
          <t>Quantity</t>
        </is>
      </c>
      <c r="E1213" s="5" t="inlineStr">
        <is>
          <t>Rate (Rs.)</t>
        </is>
      </c>
      <c r="F1213" s="5" t="inlineStr">
        <is>
          <t>Amount (Rs.)</t>
        </is>
      </c>
    </row>
    <row r="1214">
      <c r="A1214" s="13" t="inlineStr">
        <is>
          <t>7187</t>
        </is>
      </c>
      <c r="B1214" s="14" t="inlineStr">
        <is>
          <t>C.I. grating 150 mm dia. (Weighing not less than 440 gm)</t>
        </is>
      </c>
      <c r="C1214" s="13" t="inlineStr">
        <is>
          <t>each</t>
        </is>
      </c>
      <c r="D1214" s="15" t="n">
        <v>1</v>
      </c>
      <c r="E1214" s="16" t="n">
        <v>27</v>
      </c>
      <c r="F1214" s="16">
        <f>D1214*E1214</f>
        <v/>
      </c>
    </row>
    <row r="1215">
      <c r="A1215" s="13" t="inlineStr">
        <is>
          <t>9977</t>
        </is>
      </c>
      <c r="B1215" s="14" t="inlineStr">
        <is>
          <t>Carriage of material and fixing charges</t>
        </is>
      </c>
      <c r="C1215" s="13" t="inlineStr">
        <is>
          <t>L.S.</t>
        </is>
      </c>
      <c r="D1215" s="15" t="n">
        <v>4.16</v>
      </c>
      <c r="E1215" s="16" t="n">
        <v>2</v>
      </c>
      <c r="F1215" s="16">
        <f>D1215*E1215</f>
        <v/>
      </c>
    </row>
    <row r="1216">
      <c r="A1216" s="17" t="inlineStr">
        <is>
          <t>Resource Total (Material + Labour + Machinery, as printed)</t>
        </is>
      </c>
      <c r="B1216" s="18" t="n"/>
      <c r="C1216" s="18" t="n"/>
      <c r="D1216" s="18" t="n"/>
      <c r="E1216" s="18" t="n"/>
      <c r="F1216" s="19">
        <f>SUM(F1214:F1215)</f>
        <v/>
      </c>
    </row>
    <row r="1217">
      <c r="A1217" s="20" t="inlineStr">
        <is>
          <t>SAY (Rs.) — final DAR rate</t>
        </is>
      </c>
      <c r="B1217" s="21" t="n"/>
      <c r="C1217" s="21" t="n"/>
      <c r="D1217" s="21" t="n"/>
      <c r="E1217" s="21" t="n"/>
      <c r="F1217" s="22" t="n">
        <v>47.25</v>
      </c>
    </row>
    <row r="1219" ht="18" customHeight="1">
      <c r="A1219" s="9" t="inlineStr">
        <is>
          <t>12.45.1</t>
        </is>
      </c>
      <c r="B1219" s="10" t="inlineStr">
        <is>
          <t>12.5 mm thick tapered edge gypsum plain board conforming to IS: 2095- (Part I) :</t>
        </is>
      </c>
      <c r="C1219" s="11" t="n"/>
      <c r="D1219" s="11" t="n"/>
      <c r="E1219" s="11" t="n"/>
      <c r="F1219" s="11" t="n"/>
    </row>
    <row r="1220">
      <c r="A1220" s="12" t="inlineStr">
        <is>
          <t>Rate basis: per x9  (source: cost for 10.8 x9)</t>
        </is>
      </c>
    </row>
    <row r="1221">
      <c r="A1221" s="5" t="inlineStr">
        <is>
          <t>Code</t>
        </is>
      </c>
      <c r="B1221" s="5" t="inlineStr">
        <is>
          <t>Description</t>
        </is>
      </c>
      <c r="C1221" s="5" t="inlineStr">
        <is>
          <t>Unit</t>
        </is>
      </c>
      <c r="D1221" s="5" t="inlineStr">
        <is>
          <t>Quantity</t>
        </is>
      </c>
      <c r="E1221" s="5" t="inlineStr">
        <is>
          <t>Rate (Rs.)</t>
        </is>
      </c>
      <c r="F1221" s="5" t="inlineStr">
        <is>
          <t>Amount (Rs.)</t>
        </is>
      </c>
    </row>
    <row r="1222">
      <c r="A1222" s="13" t="inlineStr">
        <is>
          <t>7009</t>
        </is>
      </c>
      <c r="B1222" s="14" t="inlineStr">
        <is>
          <t>12.5 mm thick tapered edge gypsum plain borad</t>
        </is>
      </c>
      <c r="C1222" s="13" t="inlineStr">
        <is>
          <t>sqm</t>
        </is>
      </c>
      <c r="D1222" s="15" t="n">
        <v>108.86</v>
      </c>
      <c r="E1222" s="16" t="n">
        <v>155</v>
      </c>
      <c r="F1222" s="16">
        <f>D1222*E1222</f>
        <v/>
      </c>
    </row>
    <row r="1223">
      <c r="A1223" s="13" t="inlineStr">
        <is>
          <t>7010</t>
        </is>
      </c>
      <c r="B1223" s="14" t="inlineStr">
        <is>
          <t>Galvanised Steel ceiling section (size 80x26x0.50mm)</t>
        </is>
      </c>
      <c r="C1223" s="13" t="inlineStr">
        <is>
          <t>metre</t>
        </is>
      </c>
      <c r="D1223" s="15" t="n">
        <v>238.14</v>
      </c>
      <c r="E1223" s="16" t="n">
        <v>46</v>
      </c>
      <c r="F1223" s="16">
        <f>D1223*E1223</f>
        <v/>
      </c>
    </row>
    <row r="1224">
      <c r="A1224" s="13" t="inlineStr">
        <is>
          <t>7011</t>
        </is>
      </c>
      <c r="B1224" s="14" t="inlineStr">
        <is>
          <t>Galvanised Steel perimetre Channel (Size 20x27x30x0.50mm)</t>
        </is>
      </c>
      <c r="C1224" s="13" t="inlineStr">
        <is>
          <t>metre</t>
        </is>
      </c>
      <c r="D1224" s="15" t="n">
        <v>41.84</v>
      </c>
      <c r="E1224" s="16" t="n">
        <v>22</v>
      </c>
      <c r="F1224" s="16">
        <f>D1224*E1224</f>
        <v/>
      </c>
    </row>
    <row r="1225">
      <c r="A1225" s="13" t="inlineStr">
        <is>
          <t>7012</t>
        </is>
      </c>
      <c r="B1225" s="14" t="inlineStr">
        <is>
          <t>Galvanised Steel intermediate Channel (Size 15x45x15x0.90mm)</t>
        </is>
      </c>
      <c r="C1225" s="13" t="inlineStr">
        <is>
          <t>metre</t>
        </is>
      </c>
      <c r="D1225" s="15" t="n">
        <v>90.72</v>
      </c>
      <c r="E1225" s="16" t="n">
        <v>38</v>
      </c>
      <c r="F1225" s="16">
        <f>D1225*E1225</f>
        <v/>
      </c>
    </row>
    <row r="1226">
      <c r="A1226" s="13" t="inlineStr">
        <is>
          <t>7013</t>
        </is>
      </c>
      <c r="B1226" s="14" t="inlineStr">
        <is>
          <t>Galvanised Steel angle hanger (Celling angle) (Size 25x10x0.50mm)</t>
        </is>
      </c>
      <c r="C1226" s="13" t="inlineStr">
        <is>
          <t>metre</t>
        </is>
      </c>
      <c r="D1226" s="15" t="n">
        <v>10.8</v>
      </c>
      <c r="E1226" s="16" t="n">
        <v>12</v>
      </c>
      <c r="F1226" s="16">
        <f>D1226*E1226</f>
        <v/>
      </c>
    </row>
    <row r="1227">
      <c r="A1227" s="13" t="inlineStr">
        <is>
          <t>7014</t>
        </is>
      </c>
      <c r="B1227" s="14" t="inlineStr">
        <is>
          <t>Galvanised Steel connecting clips (2.64mm dia and 230 mm long GI wire)</t>
        </is>
      </c>
      <c r="C1227" s="13" t="inlineStr">
        <is>
          <t>each</t>
        </is>
      </c>
      <c r="D1227" s="15" t="n">
        <v>189</v>
      </c>
      <c r="E1227" s="16" t="n">
        <v>4</v>
      </c>
      <c r="F1227" s="16">
        <f>D1227*E1227</f>
        <v/>
      </c>
    </row>
    <row r="1228">
      <c r="A1228" s="13" t="inlineStr">
        <is>
          <t>1022</t>
        </is>
      </c>
      <c r="B1228" s="14" t="inlineStr">
        <is>
          <t>Galvanised steel bolts &amp; nuts 6 mm dia and 25 mm long round head with slots</t>
        </is>
      </c>
      <c r="C1228" s="13" t="inlineStr">
        <is>
          <t>10 Nos</t>
        </is>
      </c>
      <c r="D1228" s="15" t="n">
        <v>21.6</v>
      </c>
      <c r="E1228" s="16" t="n">
        <v>38</v>
      </c>
      <c r="F1228" s="16">
        <f>D1228*E1228</f>
        <v/>
      </c>
    </row>
    <row r="1229">
      <c r="A1229" s="13" t="inlineStr">
        <is>
          <t>7015</t>
        </is>
      </c>
      <c r="B1229" s="14" t="inlineStr">
        <is>
          <t>Galvanised Steel soffit cleat (Size 27x37x25x0.60mm)</t>
        </is>
      </c>
      <c r="C1229" s="13" t="inlineStr">
        <is>
          <t>each</t>
        </is>
      </c>
      <c r="D1229" s="15" t="n">
        <v>72</v>
      </c>
      <c r="E1229" s="16" t="n">
        <v>3</v>
      </c>
      <c r="F1229" s="16">
        <f>D1229*E1229</f>
        <v/>
      </c>
    </row>
    <row r="1230">
      <c r="A1230" s="13" t="inlineStr">
        <is>
          <t>7020</t>
        </is>
      </c>
      <c r="B1230" s="14" t="inlineStr">
        <is>
          <t>All drive screws ( for gypsum board)</t>
        </is>
      </c>
      <c r="C1230" s="13" t="inlineStr">
        <is>
          <t>100 Nos</t>
        </is>
      </c>
      <c r="D1230" s="15" t="n">
        <v>10</v>
      </c>
      <c r="E1230" s="16" t="n">
        <v>58</v>
      </c>
      <c r="F1230" s="16">
        <f>D1230*E1230</f>
        <v/>
      </c>
    </row>
    <row r="1231">
      <c r="A1231" s="13" t="inlineStr">
        <is>
          <t>7016</t>
        </is>
      </c>
      <c r="B1231" s="14" t="inlineStr">
        <is>
          <t>Joint filler</t>
        </is>
      </c>
      <c r="C1231" s="13" t="inlineStr">
        <is>
          <t>kilogram</t>
        </is>
      </c>
      <c r="D1231" s="15" t="n">
        <v>22.81</v>
      </c>
      <c r="E1231" s="16" t="n">
        <v>26</v>
      </c>
      <c r="F1231" s="16">
        <f>D1231*E1231</f>
        <v/>
      </c>
    </row>
    <row r="1232">
      <c r="A1232" s="13" t="inlineStr">
        <is>
          <t>7017</t>
        </is>
      </c>
      <c r="B1232" s="14" t="inlineStr">
        <is>
          <t>Joint finisher</t>
        </is>
      </c>
      <c r="C1232" s="13" t="inlineStr">
        <is>
          <t>kilogram</t>
        </is>
      </c>
      <c r="D1232" s="15" t="n">
        <v>34.21</v>
      </c>
      <c r="E1232" s="16" t="n">
        <v>23</v>
      </c>
      <c r="F1232" s="16">
        <f>D1232*E1232</f>
        <v/>
      </c>
    </row>
    <row r="1233">
      <c r="A1233" s="13" t="inlineStr">
        <is>
          <t>7021</t>
        </is>
      </c>
      <c r="B1233" s="14" t="inlineStr">
        <is>
          <t>Primer ( for gypsum board)</t>
        </is>
      </c>
      <c r="C1233" s="13" t="inlineStr">
        <is>
          <t>litre</t>
        </is>
      </c>
      <c r="D1233" s="15" t="n">
        <v>18.66</v>
      </c>
      <c r="E1233" s="16" t="n">
        <v>85</v>
      </c>
      <c r="F1233" s="16">
        <f>D1233*E1233</f>
        <v/>
      </c>
    </row>
    <row r="1234">
      <c r="A1234" s="13" t="inlineStr">
        <is>
          <t>7388</t>
        </is>
      </c>
      <c r="B1234" s="14" t="inlineStr">
        <is>
          <t>Dash hold fastener 12.5 mm dia, 40 mm long with 6 mm dia bolt</t>
        </is>
      </c>
      <c r="C1234" s="13" t="inlineStr">
        <is>
          <t>each</t>
        </is>
      </c>
      <c r="D1234" s="15" t="n">
        <v>72</v>
      </c>
      <c r="E1234" s="16" t="n">
        <v>11</v>
      </c>
      <c r="F1234" s="16">
        <f>D1234*E1234</f>
        <v/>
      </c>
    </row>
    <row r="1235">
      <c r="A1235" s="13" t="inlineStr">
        <is>
          <t>9999</t>
        </is>
      </c>
      <c r="B1235" s="14" t="inlineStr">
        <is>
          <t>Sundries like rawl plug scaffolding etc</t>
        </is>
      </c>
      <c r="C1235" s="13" t="inlineStr">
        <is>
          <t>L.S.</t>
        </is>
      </c>
      <c r="D1235" s="15" t="n">
        <v>807.3</v>
      </c>
      <c r="E1235" s="16" t="n">
        <v>2</v>
      </c>
      <c r="F1235" s="16">
        <f>D1235*E1235</f>
        <v/>
      </c>
    </row>
    <row r="1236">
      <c r="A1236" s="13" t="inlineStr">
        <is>
          <t>9977</t>
        </is>
      </c>
      <c r="B1236" s="14" t="inlineStr">
        <is>
          <t>Carriage of material etc.</t>
        </is>
      </c>
      <c r="C1236" s="13" t="inlineStr">
        <is>
          <t>L.S.</t>
        </is>
      </c>
      <c r="D1236" s="15" t="n">
        <v>447.2</v>
      </c>
      <c r="E1236" s="16" t="n">
        <v>2</v>
      </c>
      <c r="F1236" s="16">
        <f>D1236*E1236</f>
        <v/>
      </c>
    </row>
    <row r="1237">
      <c r="A1237" s="13" t="inlineStr">
        <is>
          <t>0112</t>
        </is>
      </c>
      <c r="B1237" s="14" t="inlineStr">
        <is>
          <t>Carpenter 2nd class</t>
        </is>
      </c>
      <c r="C1237" s="13" t="inlineStr">
        <is>
          <t>day</t>
        </is>
      </c>
      <c r="D1237" s="15" t="n">
        <v>31.104</v>
      </c>
      <c r="E1237" s="16" t="n">
        <v>679</v>
      </c>
      <c r="F1237" s="16">
        <f>D1237*E1237</f>
        <v/>
      </c>
    </row>
    <row r="1238">
      <c r="A1238" s="13" t="inlineStr">
        <is>
          <t>0114</t>
        </is>
      </c>
      <c r="B1238" s="14" t="inlineStr">
        <is>
          <t>Beldar</t>
        </is>
      </c>
      <c r="C1238" s="13" t="inlineStr">
        <is>
          <t>day</t>
        </is>
      </c>
      <c r="D1238" s="15" t="n">
        <v>31.104</v>
      </c>
      <c r="E1238" s="16" t="n">
        <v>558</v>
      </c>
      <c r="F1238" s="16">
        <f>D1238*E1238</f>
        <v/>
      </c>
    </row>
    <row r="1239">
      <c r="A1239" s="13" t="inlineStr">
        <is>
          <t>0131</t>
        </is>
      </c>
      <c r="B1239" s="14" t="inlineStr">
        <is>
          <t>Painter</t>
        </is>
      </c>
      <c r="C1239" s="13" t="inlineStr">
        <is>
          <t>day</t>
        </is>
      </c>
      <c r="D1239" s="15" t="n">
        <v>10.368</v>
      </c>
      <c r="E1239" s="16" t="n">
        <v>679</v>
      </c>
      <c r="F1239" s="16">
        <f>D1239*E1239</f>
        <v/>
      </c>
    </row>
    <row r="1240">
      <c r="A1240" s="17" t="inlineStr">
        <is>
          <t>Resource Total (Material + Labour + Machinery, as printed)</t>
        </is>
      </c>
      <c r="B1240" s="18" t="n"/>
      <c r="C1240" s="18" t="n"/>
      <c r="D1240" s="18" t="n"/>
      <c r="E1240" s="18" t="n"/>
      <c r="F1240" s="19">
        <f>SUM(F1222:F1239)</f>
        <v/>
      </c>
    </row>
    <row r="1241">
      <c r="A1241" s="20" t="inlineStr">
        <is>
          <t>SAY (Rs.) — final DAR rate</t>
        </is>
      </c>
      <c r="B1241" s="21" t="n"/>
      <c r="C1241" s="21" t="n"/>
      <c r="D1241" s="21" t="n"/>
      <c r="E1241" s="21" t="n"/>
      <c r="F1241" s="22" t="n">
        <v>1117.65</v>
      </c>
    </row>
    <row r="1243" ht="28" customHeight="1">
      <c r="A1243" s="9" t="inlineStr">
        <is>
          <t>12.45.2</t>
        </is>
      </c>
      <c r="B1243" s="10" t="inlineStr">
        <is>
          <t>12.5 mm thick tapered edge Glass Reinforced Gypsum (GRG) board conforming to IS: 2095- (Part 3) : 1996 (Board with BIS Certification marks)</t>
        </is>
      </c>
      <c r="C1243" s="11" t="n"/>
      <c r="D1243" s="11" t="n"/>
      <c r="E1243" s="11" t="n"/>
      <c r="F1243" s="11" t="n"/>
    </row>
    <row r="1244">
      <c r="A1244" s="12" t="inlineStr">
        <is>
          <t>Rate basis: per x9  (source: cost for 10.8 x9)</t>
        </is>
      </c>
    </row>
    <row r="1245">
      <c r="A1245" s="5" t="inlineStr">
        <is>
          <t>Code</t>
        </is>
      </c>
      <c r="B1245" s="5" t="inlineStr">
        <is>
          <t>Description</t>
        </is>
      </c>
      <c r="C1245" s="5" t="inlineStr">
        <is>
          <t>Unit</t>
        </is>
      </c>
      <c r="D1245" s="5" t="inlineStr">
        <is>
          <t>Quantity</t>
        </is>
      </c>
      <c r="E1245" s="5" t="inlineStr">
        <is>
          <t>Rate (Rs.)</t>
        </is>
      </c>
      <c r="F1245" s="5" t="inlineStr">
        <is>
          <t>Amount (Rs.)</t>
        </is>
      </c>
    </row>
    <row r="1246">
      <c r="A1246" s="13" t="inlineStr">
        <is>
          <t>7366</t>
        </is>
      </c>
      <c r="B1246" s="14" t="inlineStr">
        <is>
          <t>12.5 mm thick tapered edge Glass Reinforced Gypsum (GRG) board</t>
        </is>
      </c>
      <c r="C1246" s="13" t="inlineStr">
        <is>
          <t>sqm</t>
        </is>
      </c>
      <c r="D1246" s="15" t="n">
        <v>108.86</v>
      </c>
      <c r="E1246" s="16" t="n">
        <v>240</v>
      </c>
      <c r="F1246" s="16">
        <f>D1246*E1246</f>
        <v/>
      </c>
    </row>
    <row r="1247">
      <c r="A1247" s="13" t="inlineStr">
        <is>
          <t>7010</t>
        </is>
      </c>
      <c r="B1247" s="14" t="inlineStr">
        <is>
          <t>Galvanised Steel ceiling section (size 80x26x0.50mm)</t>
        </is>
      </c>
      <c r="C1247" s="13" t="inlineStr">
        <is>
          <t>metre</t>
        </is>
      </c>
      <c r="D1247" s="15" t="n">
        <v>238.14</v>
      </c>
      <c r="E1247" s="16" t="n">
        <v>46</v>
      </c>
      <c r="F1247" s="16">
        <f>D1247*E1247</f>
        <v/>
      </c>
    </row>
    <row r="1248">
      <c r="A1248" s="13" t="inlineStr">
        <is>
          <t>7011</t>
        </is>
      </c>
      <c r="B1248" s="14" t="inlineStr">
        <is>
          <t>Galvanised Steel perimetre Channel (Size 20x27x30x0.50mm)</t>
        </is>
      </c>
      <c r="C1248" s="13" t="inlineStr">
        <is>
          <t>metre</t>
        </is>
      </c>
      <c r="D1248" s="15" t="n">
        <v>41.84</v>
      </c>
      <c r="E1248" s="16" t="n">
        <v>22</v>
      </c>
      <c r="F1248" s="16">
        <f>D1248*E1248</f>
        <v/>
      </c>
    </row>
    <row r="1249">
      <c r="A1249" s="13" t="inlineStr">
        <is>
          <t>7012</t>
        </is>
      </c>
      <c r="B1249" s="14" t="inlineStr">
        <is>
          <t>Galvanised Steel intermediate Channel (Size 15x45x15x0.90mm)</t>
        </is>
      </c>
      <c r="C1249" s="13" t="inlineStr">
        <is>
          <t>metre</t>
        </is>
      </c>
      <c r="D1249" s="15" t="n">
        <v>90.72</v>
      </c>
      <c r="E1249" s="16" t="n">
        <v>38</v>
      </c>
      <c r="F1249" s="16">
        <f>D1249*E1249</f>
        <v/>
      </c>
    </row>
    <row r="1250">
      <c r="A1250" s="13" t="inlineStr">
        <is>
          <t>7013</t>
        </is>
      </c>
      <c r="B1250" s="14" t="inlineStr">
        <is>
          <t>Galvanised Steel angle hanger (Celling angle) (Size 25x10x0.50mm)</t>
        </is>
      </c>
      <c r="C1250" s="13" t="inlineStr">
        <is>
          <t>metre</t>
        </is>
      </c>
      <c r="D1250" s="15" t="n">
        <v>10.8</v>
      </c>
      <c r="E1250" s="16" t="n">
        <v>12</v>
      </c>
      <c r="F1250" s="16">
        <f>D1250*E1250</f>
        <v/>
      </c>
    </row>
    <row r="1251">
      <c r="A1251" s="13" t="inlineStr">
        <is>
          <t>7014</t>
        </is>
      </c>
      <c r="B1251" s="14" t="inlineStr">
        <is>
          <t>Galvanised Steel connecting clips (2.64mm dia and 230 mm long GI wire)</t>
        </is>
      </c>
      <c r="C1251" s="13" t="inlineStr">
        <is>
          <t>each</t>
        </is>
      </c>
      <c r="D1251" s="15" t="n">
        <v>189</v>
      </c>
      <c r="E1251" s="16" t="n">
        <v>4</v>
      </c>
      <c r="F1251" s="16">
        <f>D1251*E1251</f>
        <v/>
      </c>
    </row>
    <row r="1252">
      <c r="A1252" s="13" t="inlineStr">
        <is>
          <t>1022</t>
        </is>
      </c>
      <c r="B1252" s="14" t="inlineStr">
        <is>
          <t>Galvanised steel bolts &amp; nuts 6 mm dia and 25 mmlong round head with slots</t>
        </is>
      </c>
      <c r="C1252" s="13" t="inlineStr">
        <is>
          <t>10 Nos</t>
        </is>
      </c>
      <c r="D1252" s="15" t="n">
        <v>21.6</v>
      </c>
      <c r="E1252" s="16" t="n">
        <v>38</v>
      </c>
      <c r="F1252" s="16">
        <f>D1252*E1252</f>
        <v/>
      </c>
    </row>
    <row r="1253">
      <c r="A1253" s="13" t="inlineStr">
        <is>
          <t>7015</t>
        </is>
      </c>
      <c r="B1253" s="14" t="inlineStr">
        <is>
          <t>Galvanised Steel soffit cleat (Size 27x37x25x0.60mm)</t>
        </is>
      </c>
      <c r="C1253" s="13" t="inlineStr">
        <is>
          <t>each</t>
        </is>
      </c>
      <c r="D1253" s="15" t="n">
        <v>72</v>
      </c>
      <c r="E1253" s="16" t="n">
        <v>3</v>
      </c>
      <c r="F1253" s="16">
        <f>D1253*E1253</f>
        <v/>
      </c>
    </row>
    <row r="1254">
      <c r="A1254" s="13" t="inlineStr">
        <is>
          <t>7020</t>
        </is>
      </c>
      <c r="B1254" s="14" t="inlineStr">
        <is>
          <t>All drive screws (for gypsum board)</t>
        </is>
      </c>
      <c r="C1254" s="13" t="inlineStr">
        <is>
          <t>100 Nos</t>
        </is>
      </c>
      <c r="D1254" s="15" t="n">
        <v>10</v>
      </c>
      <c r="E1254" s="16" t="n">
        <v>58</v>
      </c>
      <c r="F1254" s="16">
        <f>D1254*E1254</f>
        <v/>
      </c>
    </row>
    <row r="1255">
      <c r="A1255" s="13" t="inlineStr">
        <is>
          <t>7016</t>
        </is>
      </c>
      <c r="B1255" s="14" t="inlineStr">
        <is>
          <t>Joint filler</t>
        </is>
      </c>
      <c r="C1255" s="13" t="inlineStr">
        <is>
          <t>kilogram</t>
        </is>
      </c>
      <c r="D1255" s="15" t="n">
        <v>22.81</v>
      </c>
      <c r="E1255" s="16" t="n">
        <v>26</v>
      </c>
      <c r="F1255" s="16">
        <f>D1255*E1255</f>
        <v/>
      </c>
    </row>
    <row r="1256">
      <c r="A1256" s="13" t="inlineStr">
        <is>
          <t>7017</t>
        </is>
      </c>
      <c r="B1256" s="14" t="inlineStr">
        <is>
          <t>Joint finisher</t>
        </is>
      </c>
      <c r="C1256" s="13" t="inlineStr">
        <is>
          <t>kilogram</t>
        </is>
      </c>
      <c r="D1256" s="15" t="n">
        <v>34.21</v>
      </c>
      <c r="E1256" s="16" t="n">
        <v>23</v>
      </c>
      <c r="F1256" s="16">
        <f>D1256*E1256</f>
        <v/>
      </c>
    </row>
    <row r="1257">
      <c r="A1257" s="13" t="inlineStr">
        <is>
          <t>7021</t>
        </is>
      </c>
      <c r="B1257" s="14" t="inlineStr">
        <is>
          <t>Primer ( for gypsum board)</t>
        </is>
      </c>
      <c r="C1257" s="13" t="inlineStr">
        <is>
          <t>litre</t>
        </is>
      </c>
      <c r="D1257" s="15" t="n">
        <v>18.66</v>
      </c>
      <c r="E1257" s="16" t="n">
        <v>85</v>
      </c>
      <c r="F1257" s="16">
        <f>D1257*E1257</f>
        <v/>
      </c>
    </row>
    <row r="1258">
      <c r="A1258" s="13" t="inlineStr">
        <is>
          <t>7388</t>
        </is>
      </c>
      <c r="B1258" s="14" t="inlineStr">
        <is>
          <t>Dash hold fastener 12.5 mm dia, 40 mm long with 6 mm dia bolt</t>
        </is>
      </c>
      <c r="C1258" s="13" t="inlineStr">
        <is>
          <t>each</t>
        </is>
      </c>
      <c r="D1258" s="15" t="n">
        <v>72</v>
      </c>
      <c r="E1258" s="16" t="n">
        <v>11</v>
      </c>
      <c r="F1258" s="16">
        <f>D1258*E1258</f>
        <v/>
      </c>
    </row>
    <row r="1259">
      <c r="A1259" s="13" t="inlineStr">
        <is>
          <t>9999</t>
        </is>
      </c>
      <c r="B1259" s="14" t="inlineStr">
        <is>
          <t>Sundries like rawl plug scaffolding etc</t>
        </is>
      </c>
      <c r="C1259" s="13" t="inlineStr">
        <is>
          <t>L.S.</t>
        </is>
      </c>
      <c r="D1259" s="15" t="n">
        <v>807.3</v>
      </c>
      <c r="E1259" s="16" t="n">
        <v>2</v>
      </c>
      <c r="F1259" s="16">
        <f>D1259*E1259</f>
        <v/>
      </c>
    </row>
    <row r="1260">
      <c r="A1260" s="13" t="inlineStr">
        <is>
          <t>9977</t>
        </is>
      </c>
      <c r="B1260" s="14" t="inlineStr">
        <is>
          <t>Carriage of material etc.</t>
        </is>
      </c>
      <c r="C1260" s="13" t="inlineStr">
        <is>
          <t>L.S.</t>
        </is>
      </c>
      <c r="D1260" s="15" t="n">
        <v>447.2</v>
      </c>
      <c r="E1260" s="16" t="n">
        <v>2</v>
      </c>
      <c r="F1260" s="16">
        <f>D1260*E1260</f>
        <v/>
      </c>
    </row>
    <row r="1261">
      <c r="A1261" s="13" t="inlineStr">
        <is>
          <t>0112</t>
        </is>
      </c>
      <c r="B1261" s="14" t="inlineStr">
        <is>
          <t>Carpenter 2nd class</t>
        </is>
      </c>
      <c r="C1261" s="13" t="inlineStr">
        <is>
          <t>day</t>
        </is>
      </c>
      <c r="D1261" s="15" t="n">
        <v>31.104</v>
      </c>
      <c r="E1261" s="16" t="n">
        <v>679</v>
      </c>
      <c r="F1261" s="16">
        <f>D1261*E1261</f>
        <v/>
      </c>
    </row>
    <row r="1262">
      <c r="A1262" s="13" t="inlineStr">
        <is>
          <t>0114</t>
        </is>
      </c>
      <c r="B1262" s="14" t="inlineStr">
        <is>
          <t>Beldar</t>
        </is>
      </c>
      <c r="C1262" s="13" t="inlineStr">
        <is>
          <t>day</t>
        </is>
      </c>
      <c r="D1262" s="15" t="n">
        <v>31.104</v>
      </c>
      <c r="E1262" s="16" t="n">
        <v>558</v>
      </c>
      <c r="F1262" s="16">
        <f>D1262*E1262</f>
        <v/>
      </c>
    </row>
    <row r="1263">
      <c r="A1263" s="13" t="inlineStr">
        <is>
          <t>0131</t>
        </is>
      </c>
      <c r="B1263" s="14" t="inlineStr">
        <is>
          <t>Painter</t>
        </is>
      </c>
      <c r="C1263" s="13" t="inlineStr">
        <is>
          <t>day</t>
        </is>
      </c>
      <c r="D1263" s="15" t="n">
        <v>10.37</v>
      </c>
      <c r="E1263" s="16" t="n">
        <v>679</v>
      </c>
      <c r="F1263" s="16">
        <f>D1263*E1263</f>
        <v/>
      </c>
    </row>
    <row r="1264">
      <c r="A1264" s="17" t="inlineStr">
        <is>
          <t>Resource Total (Material + Labour + Machinery, as printed)</t>
        </is>
      </c>
      <c r="B1264" s="18" t="n"/>
      <c r="C1264" s="18" t="n"/>
      <c r="D1264" s="18" t="n"/>
      <c r="E1264" s="18" t="n"/>
      <c r="F1264" s="19">
        <f>SUM(F1246:F1263)</f>
        <v/>
      </c>
    </row>
    <row r="1265">
      <c r="A1265" s="20" t="inlineStr">
        <is>
          <t>SAY (Rs.) — final DAR rate</t>
        </is>
      </c>
      <c r="B1265" s="21" t="n"/>
      <c r="C1265" s="21" t="n"/>
      <c r="D1265" s="21" t="n"/>
      <c r="E1265" s="21" t="n"/>
      <c r="F1265" s="22" t="n">
        <v>1237.05</v>
      </c>
    </row>
    <row r="1267" ht="18" customHeight="1">
      <c r="A1267" s="9" t="inlineStr">
        <is>
          <t>12.45.3</t>
        </is>
      </c>
      <c r="B1267" s="10" t="inlineStr">
        <is>
          <t>12.5 mm thick tapered edge gypsum moisture resistant board</t>
        </is>
      </c>
      <c r="C1267" s="11" t="n"/>
      <c r="D1267" s="11" t="n"/>
      <c r="E1267" s="11" t="n"/>
      <c r="F1267" s="11" t="n"/>
    </row>
    <row r="1268">
      <c r="A1268" s="12" t="inlineStr">
        <is>
          <t>Rate basis: per x9  (source: cost for 10.8 x9)</t>
        </is>
      </c>
    </row>
    <row r="1269">
      <c r="A1269" s="5" t="inlineStr">
        <is>
          <t>Code</t>
        </is>
      </c>
      <c r="B1269" s="5" t="inlineStr">
        <is>
          <t>Description</t>
        </is>
      </c>
      <c r="C1269" s="5" t="inlineStr">
        <is>
          <t>Unit</t>
        </is>
      </c>
      <c r="D1269" s="5" t="inlineStr">
        <is>
          <t>Quantity</t>
        </is>
      </c>
      <c r="E1269" s="5" t="inlineStr">
        <is>
          <t>Rate (Rs.)</t>
        </is>
      </c>
      <c r="F1269" s="5" t="inlineStr">
        <is>
          <t>Amount (Rs.)</t>
        </is>
      </c>
    </row>
    <row r="1270">
      <c r="A1270" s="13" t="inlineStr">
        <is>
          <t>7031</t>
        </is>
      </c>
      <c r="B1270" s="14" t="inlineStr">
        <is>
          <t>12.5 mm thick tapered edge gypsum moisture resistant board</t>
        </is>
      </c>
      <c r="C1270" s="13" t="inlineStr">
        <is>
          <t>sqm</t>
        </is>
      </c>
      <c r="D1270" s="15" t="n">
        <v>108.86</v>
      </c>
      <c r="E1270" s="16" t="n">
        <v>275</v>
      </c>
      <c r="F1270" s="16">
        <f>D1270*E1270</f>
        <v/>
      </c>
    </row>
    <row r="1271">
      <c r="A1271" s="13" t="inlineStr">
        <is>
          <t>7010</t>
        </is>
      </c>
      <c r="B1271" s="14" t="inlineStr">
        <is>
          <t>Galvanised Steel ceiling section (size 80x26x0.50mm)</t>
        </is>
      </c>
      <c r="C1271" s="13" t="inlineStr">
        <is>
          <t>metre</t>
        </is>
      </c>
      <c r="D1271" s="15" t="n">
        <v>238.14</v>
      </c>
      <c r="E1271" s="16" t="n">
        <v>46</v>
      </c>
      <c r="F1271" s="16">
        <f>D1271*E1271</f>
        <v/>
      </c>
    </row>
    <row r="1272">
      <c r="A1272" s="13" t="inlineStr">
        <is>
          <t>7011</t>
        </is>
      </c>
      <c r="B1272" s="14" t="inlineStr">
        <is>
          <t>Galvanised Steel perimetre Channel (Size 20x27x30x0.50mm)</t>
        </is>
      </c>
      <c r="C1272" s="13" t="inlineStr">
        <is>
          <t>metre</t>
        </is>
      </c>
      <c r="D1272" s="15" t="n">
        <v>41.84</v>
      </c>
      <c r="E1272" s="16" t="n">
        <v>22</v>
      </c>
      <c r="F1272" s="16">
        <f>D1272*E1272</f>
        <v/>
      </c>
    </row>
    <row r="1273">
      <c r="A1273" s="13" t="inlineStr">
        <is>
          <t>7012</t>
        </is>
      </c>
      <c r="B1273" s="14" t="inlineStr">
        <is>
          <t>Galvanised Steel intermediate Channel (Size 15x45x15x0.90mm)</t>
        </is>
      </c>
      <c r="C1273" s="13" t="inlineStr">
        <is>
          <t>metre</t>
        </is>
      </c>
      <c r="D1273" s="15" t="n">
        <v>90.72</v>
      </c>
      <c r="E1273" s="16" t="n">
        <v>38</v>
      </c>
      <c r="F1273" s="16">
        <f>D1273*E1273</f>
        <v/>
      </c>
    </row>
    <row r="1274">
      <c r="A1274" s="13" t="inlineStr">
        <is>
          <t>7013</t>
        </is>
      </c>
      <c r="B1274" s="14" t="inlineStr">
        <is>
          <t>Galvanised Steel angle hanger (Celling angle) (Size 25x10x0.50mm)</t>
        </is>
      </c>
      <c r="C1274" s="13" t="inlineStr">
        <is>
          <t>metre</t>
        </is>
      </c>
      <c r="D1274" s="15" t="n">
        <v>10.8</v>
      </c>
      <c r="E1274" s="16" t="n">
        <v>12</v>
      </c>
      <c r="F1274" s="16">
        <f>D1274*E1274</f>
        <v/>
      </c>
    </row>
    <row r="1275">
      <c r="A1275" s="13" t="inlineStr">
        <is>
          <t>7014</t>
        </is>
      </c>
      <c r="B1275" s="14" t="inlineStr">
        <is>
          <t>Galvanised Steel connecting clips (2.64mm dia and 230 mm long GI wire)</t>
        </is>
      </c>
      <c r="C1275" s="13" t="inlineStr">
        <is>
          <t>each</t>
        </is>
      </c>
      <c r="D1275" s="15" t="n">
        <v>189</v>
      </c>
      <c r="E1275" s="16" t="n">
        <v>4</v>
      </c>
      <c r="F1275" s="16">
        <f>D1275*E1275</f>
        <v/>
      </c>
    </row>
    <row r="1276">
      <c r="A1276" s="13" t="inlineStr">
        <is>
          <t>1022</t>
        </is>
      </c>
      <c r="B1276" s="14" t="inlineStr">
        <is>
          <t>Galvanised steel bolts &amp; nuts 6 mm dia and 25 mmlong round head with slots</t>
        </is>
      </c>
      <c r="C1276" s="13" t="inlineStr">
        <is>
          <t>10 Nos</t>
        </is>
      </c>
      <c r="D1276" s="15" t="n">
        <v>21.6</v>
      </c>
      <c r="E1276" s="16" t="n">
        <v>38</v>
      </c>
      <c r="F1276" s="16">
        <f>D1276*E1276</f>
        <v/>
      </c>
    </row>
    <row r="1277">
      <c r="A1277" s="13" t="inlineStr">
        <is>
          <t>7015</t>
        </is>
      </c>
      <c r="B1277" s="14" t="inlineStr">
        <is>
          <t>Galvanised Steel soffit cleat (Size 27x37x25x0.60mm)</t>
        </is>
      </c>
      <c r="C1277" s="13" t="inlineStr">
        <is>
          <t>each</t>
        </is>
      </c>
      <c r="D1277" s="15" t="n">
        <v>72</v>
      </c>
      <c r="E1277" s="16" t="n">
        <v>3</v>
      </c>
      <c r="F1277" s="16">
        <f>D1277*E1277</f>
        <v/>
      </c>
    </row>
    <row r="1278">
      <c r="A1278" s="13" t="inlineStr">
        <is>
          <t>7020</t>
        </is>
      </c>
      <c r="B1278" s="14" t="inlineStr">
        <is>
          <t>All drive screws ( for gypsum board)</t>
        </is>
      </c>
      <c r="C1278" s="13" t="inlineStr">
        <is>
          <t>100 Nos</t>
        </is>
      </c>
      <c r="D1278" s="15" t="n">
        <v>10</v>
      </c>
      <c r="E1278" s="16" t="n">
        <v>58</v>
      </c>
      <c r="F1278" s="16">
        <f>D1278*E1278</f>
        <v/>
      </c>
    </row>
    <row r="1279">
      <c r="A1279" s="13" t="inlineStr">
        <is>
          <t>7016</t>
        </is>
      </c>
      <c r="B1279" s="14" t="inlineStr">
        <is>
          <t>Joint filler</t>
        </is>
      </c>
      <c r="C1279" s="13" t="inlineStr">
        <is>
          <t>kilogram</t>
        </is>
      </c>
      <c r="D1279" s="15" t="n">
        <v>22.81</v>
      </c>
      <c r="E1279" s="16" t="n">
        <v>26</v>
      </c>
      <c r="F1279" s="16">
        <f>D1279*E1279</f>
        <v/>
      </c>
    </row>
    <row r="1280">
      <c r="A1280" s="13" t="inlineStr">
        <is>
          <t>7017</t>
        </is>
      </c>
      <c r="B1280" s="14" t="inlineStr">
        <is>
          <t>Joint finisher</t>
        </is>
      </c>
      <c r="C1280" s="13" t="inlineStr">
        <is>
          <t>kilogram</t>
        </is>
      </c>
      <c r="D1280" s="15" t="n">
        <v>34.21</v>
      </c>
      <c r="E1280" s="16" t="n">
        <v>23</v>
      </c>
      <c r="F1280" s="16">
        <f>D1280*E1280</f>
        <v/>
      </c>
    </row>
    <row r="1281">
      <c r="A1281" s="13" t="inlineStr">
        <is>
          <t>7021</t>
        </is>
      </c>
      <c r="B1281" s="14" t="inlineStr">
        <is>
          <t>Primer ( for gypsum board)</t>
        </is>
      </c>
      <c r="C1281" s="13" t="inlineStr">
        <is>
          <t>litre</t>
        </is>
      </c>
      <c r="D1281" s="15" t="n">
        <v>18.66</v>
      </c>
      <c r="E1281" s="16" t="n">
        <v>85</v>
      </c>
      <c r="F1281" s="16">
        <f>D1281*E1281</f>
        <v/>
      </c>
    </row>
    <row r="1282">
      <c r="A1282" s="13" t="inlineStr">
        <is>
          <t>7388</t>
        </is>
      </c>
      <c r="B1282" s="14" t="inlineStr">
        <is>
          <t>Dash hold fastener 12.5 mm dia, 40 mm long with 6 mm dia bolt</t>
        </is>
      </c>
      <c r="C1282" s="13" t="inlineStr">
        <is>
          <t>each</t>
        </is>
      </c>
      <c r="D1282" s="15" t="n">
        <v>72</v>
      </c>
      <c r="E1282" s="16" t="n">
        <v>11</v>
      </c>
      <c r="F1282" s="16">
        <f>D1282*E1282</f>
        <v/>
      </c>
    </row>
    <row r="1283">
      <c r="A1283" s="13" t="inlineStr">
        <is>
          <t>9999</t>
        </is>
      </c>
      <c r="B1283" s="14" t="inlineStr">
        <is>
          <t>Sundries like rawl plug scaffolding etc</t>
        </is>
      </c>
      <c r="C1283" s="13" t="inlineStr">
        <is>
          <t>L.S.</t>
        </is>
      </c>
      <c r="D1283" s="15" t="n">
        <v>807.3</v>
      </c>
      <c r="E1283" s="16" t="n">
        <v>2</v>
      </c>
      <c r="F1283" s="16">
        <f>D1283*E1283</f>
        <v/>
      </c>
    </row>
    <row r="1284">
      <c r="A1284" s="13" t="inlineStr">
        <is>
          <t>9977</t>
        </is>
      </c>
      <c r="B1284" s="14" t="inlineStr">
        <is>
          <t>Carriage of material etc.</t>
        </is>
      </c>
      <c r="C1284" s="13" t="inlineStr">
        <is>
          <t>L.S.</t>
        </is>
      </c>
      <c r="D1284" s="15" t="n">
        <v>447.2</v>
      </c>
      <c r="E1284" s="16" t="n">
        <v>2</v>
      </c>
      <c r="F1284" s="16">
        <f>D1284*E1284</f>
        <v/>
      </c>
    </row>
    <row r="1285">
      <c r="A1285" s="13" t="inlineStr">
        <is>
          <t>0112</t>
        </is>
      </c>
      <c r="B1285" s="14" t="inlineStr">
        <is>
          <t>Carpenter 2nd class</t>
        </is>
      </c>
      <c r="C1285" s="13" t="inlineStr">
        <is>
          <t>day</t>
        </is>
      </c>
      <c r="D1285" s="15" t="n">
        <v>31.104</v>
      </c>
      <c r="E1285" s="16" t="n">
        <v>679</v>
      </c>
      <c r="F1285" s="16">
        <f>D1285*E1285</f>
        <v/>
      </c>
    </row>
    <row r="1286">
      <c r="A1286" s="13" t="inlineStr">
        <is>
          <t>0114</t>
        </is>
      </c>
      <c r="B1286" s="14" t="inlineStr">
        <is>
          <t>Beldar</t>
        </is>
      </c>
      <c r="C1286" s="13" t="inlineStr">
        <is>
          <t>day</t>
        </is>
      </c>
      <c r="D1286" s="15" t="n">
        <v>31.104</v>
      </c>
      <c r="E1286" s="16" t="n">
        <v>558</v>
      </c>
      <c r="F1286" s="16">
        <f>D1286*E1286</f>
        <v/>
      </c>
    </row>
    <row r="1287">
      <c r="A1287" s="13" t="inlineStr">
        <is>
          <t>0131</t>
        </is>
      </c>
      <c r="B1287" s="14" t="inlineStr">
        <is>
          <t>Painter</t>
        </is>
      </c>
      <c r="C1287" s="13" t="inlineStr">
        <is>
          <t>day</t>
        </is>
      </c>
      <c r="D1287" s="15" t="n">
        <v>10.37</v>
      </c>
      <c r="E1287" s="16" t="n">
        <v>679</v>
      </c>
      <c r="F1287" s="16">
        <f>D1287*E1287</f>
        <v/>
      </c>
    </row>
    <row r="1288">
      <c r="A1288" s="17" t="inlineStr">
        <is>
          <t>Resource Total (Material + Labour + Machinery, as printed)</t>
        </is>
      </c>
      <c r="B1288" s="18" t="n"/>
      <c r="C1288" s="18" t="n"/>
      <c r="D1288" s="18" t="n"/>
      <c r="E1288" s="18" t="n"/>
      <c r="F1288" s="19">
        <f>SUM(F1270:F1287)</f>
        <v/>
      </c>
    </row>
    <row r="1289">
      <c r="A1289" s="20" t="inlineStr">
        <is>
          <t>SAY (Rs.) — final DAR rate</t>
        </is>
      </c>
      <c r="B1289" s="21" t="n"/>
      <c r="C1289" s="21" t="n"/>
      <c r="D1289" s="21" t="n"/>
      <c r="E1289" s="21" t="n"/>
      <c r="F1289" s="22" t="n">
        <v>1286.2</v>
      </c>
    </row>
    <row r="1291" ht="28" customHeight="1">
      <c r="A1291" s="9" t="inlineStr">
        <is>
          <t>12.45.4</t>
        </is>
      </c>
      <c r="B1291" s="10" t="inlineStr">
        <is>
          <t>Fully Perforated Gypsum Plaster Board of size 1200 x 2400x12.5 mm having approx. 15 % perforated area with perforation size and pattern as a</t>
        </is>
      </c>
      <c r="C1291" s="11" t="n"/>
      <c r="D1291" s="11" t="n"/>
      <c r="E1291" s="11" t="n"/>
      <c r="F1291" s="11" t="n"/>
    </row>
    <row r="1292">
      <c r="A1292" s="12" t="inlineStr">
        <is>
          <t>Rate basis: per x9  (source: cost for 10.8 x9)</t>
        </is>
      </c>
    </row>
    <row r="1293">
      <c r="A1293" s="5" t="inlineStr">
        <is>
          <t>Code</t>
        </is>
      </c>
      <c r="B1293" s="5" t="inlineStr">
        <is>
          <t>Description</t>
        </is>
      </c>
      <c r="C1293" s="5" t="inlineStr">
        <is>
          <t>Unit</t>
        </is>
      </c>
      <c r="D1293" s="5" t="inlineStr">
        <is>
          <t>Quantity</t>
        </is>
      </c>
      <c r="E1293" s="5" t="inlineStr">
        <is>
          <t>Rate (Rs.)</t>
        </is>
      </c>
      <c r="F1293" s="5" t="inlineStr">
        <is>
          <t>Amount (Rs.)</t>
        </is>
      </c>
    </row>
    <row r="1294">
      <c r="A1294" s="13" t="inlineStr">
        <is>
          <t>7028</t>
        </is>
      </c>
      <c r="B1294" s="14" t="inlineStr">
        <is>
          <t>12.5 mm thick Fully Perforated gypsum board</t>
        </is>
      </c>
      <c r="C1294" s="13" t="inlineStr">
        <is>
          <t>sqm</t>
        </is>
      </c>
      <c r="D1294" s="15" t="n">
        <v>108.86</v>
      </c>
      <c r="E1294" s="16" t="n">
        <v>410</v>
      </c>
      <c r="F1294" s="16">
        <f>D1294*E1294</f>
        <v/>
      </c>
    </row>
    <row r="1295">
      <c r="A1295" s="13" t="inlineStr">
        <is>
          <t>7010</t>
        </is>
      </c>
      <c r="B1295" s="14" t="inlineStr">
        <is>
          <t>Galvanised Steel ceiling section (size 80x26x0.50mm)</t>
        </is>
      </c>
      <c r="C1295" s="13" t="inlineStr">
        <is>
          <t>metre</t>
        </is>
      </c>
      <c r="D1295" s="15" t="n">
        <v>238.14</v>
      </c>
      <c r="E1295" s="16" t="n">
        <v>46</v>
      </c>
      <c r="F1295" s="16">
        <f>D1295*E1295</f>
        <v/>
      </c>
    </row>
    <row r="1296">
      <c r="A1296" s="13" t="inlineStr">
        <is>
          <t>7011</t>
        </is>
      </c>
      <c r="B1296" s="14" t="inlineStr">
        <is>
          <t>Galvanised Steel perimetre Channel (Size 20x27x30x0.50mm)</t>
        </is>
      </c>
      <c r="C1296" s="13" t="inlineStr">
        <is>
          <t>metre</t>
        </is>
      </c>
      <c r="D1296" s="15" t="n">
        <v>41.84</v>
      </c>
      <c r="E1296" s="16" t="n">
        <v>22</v>
      </c>
      <c r="F1296" s="16">
        <f>D1296*E1296</f>
        <v/>
      </c>
    </row>
    <row r="1297">
      <c r="A1297" s="13" t="inlineStr">
        <is>
          <t>7012</t>
        </is>
      </c>
      <c r="B1297" s="14" t="inlineStr">
        <is>
          <t>Galvanised Steel intermediate Channel (Size 15x45x15x0.90mm)</t>
        </is>
      </c>
      <c r="C1297" s="13" t="inlineStr">
        <is>
          <t>metre</t>
        </is>
      </c>
      <c r="D1297" s="15" t="n">
        <v>90.72</v>
      </c>
      <c r="E1297" s="16" t="n">
        <v>38</v>
      </c>
      <c r="F1297" s="16">
        <f>D1297*E1297</f>
        <v/>
      </c>
    </row>
    <row r="1298">
      <c r="A1298" s="13" t="inlineStr">
        <is>
          <t>7013</t>
        </is>
      </c>
      <c r="B1298" s="14" t="inlineStr">
        <is>
          <t>Galvanised Steel angle hanger (Celling angle) (Size 25x10x0.50mm)</t>
        </is>
      </c>
      <c r="C1298" s="13" t="inlineStr">
        <is>
          <t>metre</t>
        </is>
      </c>
      <c r="D1298" s="15" t="n">
        <v>10.8</v>
      </c>
      <c r="E1298" s="16" t="n">
        <v>12</v>
      </c>
      <c r="F1298" s="16">
        <f>D1298*E1298</f>
        <v/>
      </c>
    </row>
    <row r="1299">
      <c r="A1299" s="13" t="inlineStr">
        <is>
          <t>7014</t>
        </is>
      </c>
      <c r="B1299" s="14" t="inlineStr">
        <is>
          <t>Galvanised Steel connecting clips (2.64mm dia and 230 mm long GI wire)</t>
        </is>
      </c>
      <c r="C1299" s="13" t="inlineStr">
        <is>
          <t>each</t>
        </is>
      </c>
      <c r="D1299" s="15" t="n">
        <v>189</v>
      </c>
      <c r="E1299" s="16" t="n">
        <v>4</v>
      </c>
      <c r="F1299" s="16">
        <f>D1299*E1299</f>
        <v/>
      </c>
    </row>
    <row r="1300">
      <c r="A1300" s="13" t="inlineStr">
        <is>
          <t>1022</t>
        </is>
      </c>
      <c r="B1300" s="14" t="inlineStr">
        <is>
          <t>Galvanised steel bolts &amp; nuts 6 mm dia and 25 mmlong round head with slots</t>
        </is>
      </c>
      <c r="C1300" s="13" t="inlineStr">
        <is>
          <t>10 Nos</t>
        </is>
      </c>
      <c r="D1300" s="15" t="n">
        <v>21.6</v>
      </c>
      <c r="E1300" s="16" t="n">
        <v>38</v>
      </c>
      <c r="F1300" s="16">
        <f>D1300*E1300</f>
        <v/>
      </c>
    </row>
    <row r="1301">
      <c r="A1301" s="13" t="inlineStr">
        <is>
          <t>7015</t>
        </is>
      </c>
      <c r="B1301" s="14" t="inlineStr">
        <is>
          <t>Galvanised Steel soffit cleat (Size 27x37x25x0.60mm)</t>
        </is>
      </c>
      <c r="C1301" s="13" t="inlineStr">
        <is>
          <t>each</t>
        </is>
      </c>
      <c r="D1301" s="15" t="n">
        <v>72</v>
      </c>
      <c r="E1301" s="16" t="n">
        <v>3</v>
      </c>
      <c r="F1301" s="16">
        <f>D1301*E1301</f>
        <v/>
      </c>
    </row>
    <row r="1302">
      <c r="A1302" s="13" t="inlineStr">
        <is>
          <t>7020</t>
        </is>
      </c>
      <c r="B1302" s="14" t="inlineStr">
        <is>
          <t>All drive screws ( for gypsum board)</t>
        </is>
      </c>
      <c r="C1302" s="13" t="inlineStr">
        <is>
          <t>100 Nos</t>
        </is>
      </c>
      <c r="D1302" s="15" t="n">
        <v>10</v>
      </c>
      <c r="E1302" s="16" t="n">
        <v>58</v>
      </c>
      <c r="F1302" s="16">
        <f>D1302*E1302</f>
        <v/>
      </c>
    </row>
    <row r="1303">
      <c r="A1303" s="13" t="inlineStr">
        <is>
          <t>7016</t>
        </is>
      </c>
      <c r="B1303" s="14" t="inlineStr">
        <is>
          <t>Joint filler</t>
        </is>
      </c>
      <c r="C1303" s="13" t="inlineStr">
        <is>
          <t>kilogram</t>
        </is>
      </c>
      <c r="D1303" s="15" t="n">
        <v>22.81</v>
      </c>
      <c r="E1303" s="16" t="n">
        <v>26</v>
      </c>
      <c r="F1303" s="16">
        <f>D1303*E1303</f>
        <v/>
      </c>
    </row>
    <row r="1304">
      <c r="A1304" s="13" t="inlineStr">
        <is>
          <t>7017</t>
        </is>
      </c>
      <c r="B1304" s="14" t="inlineStr">
        <is>
          <t>Joint finisher</t>
        </is>
      </c>
      <c r="C1304" s="13" t="inlineStr">
        <is>
          <t>kilogram</t>
        </is>
      </c>
      <c r="D1304" s="15" t="n">
        <v>34.21</v>
      </c>
      <c r="E1304" s="16" t="n">
        <v>23</v>
      </c>
      <c r="F1304" s="16">
        <f>D1304*E1304</f>
        <v/>
      </c>
    </row>
    <row r="1305">
      <c r="A1305" s="13" t="inlineStr">
        <is>
          <t>7021</t>
        </is>
      </c>
      <c r="B1305" s="14" t="inlineStr">
        <is>
          <t>Primer ( for gypsum board)</t>
        </is>
      </c>
      <c r="C1305" s="13" t="inlineStr">
        <is>
          <t>litre</t>
        </is>
      </c>
      <c r="D1305" s="15" t="n">
        <v>18.66</v>
      </c>
      <c r="E1305" s="16" t="n">
        <v>85</v>
      </c>
      <c r="F1305" s="16">
        <f>D1305*E1305</f>
        <v/>
      </c>
    </row>
    <row r="1306">
      <c r="A1306" s="13" t="inlineStr">
        <is>
          <t>7388</t>
        </is>
      </c>
      <c r="B1306" s="14" t="inlineStr">
        <is>
          <t>Dash hold fastener 12.5 mm dia, 40 mm long with 6 mm dia bolt</t>
        </is>
      </c>
      <c r="C1306" s="13" t="inlineStr">
        <is>
          <t>each</t>
        </is>
      </c>
      <c r="D1306" s="15" t="n">
        <v>72</v>
      </c>
      <c r="E1306" s="16" t="n">
        <v>11</v>
      </c>
      <c r="F1306" s="16">
        <f>D1306*E1306</f>
        <v/>
      </c>
    </row>
    <row r="1307">
      <c r="A1307" s="13" t="inlineStr">
        <is>
          <t>9999</t>
        </is>
      </c>
      <c r="B1307" s="14" t="inlineStr">
        <is>
          <t>Sundries like rawl plug scaffolding etc</t>
        </is>
      </c>
      <c r="C1307" s="13" t="inlineStr">
        <is>
          <t>L.S.</t>
        </is>
      </c>
      <c r="D1307" s="15" t="n">
        <v>807.3</v>
      </c>
      <c r="E1307" s="16" t="n">
        <v>2</v>
      </c>
      <c r="F1307" s="16">
        <f>D1307*E1307</f>
        <v/>
      </c>
    </row>
    <row r="1308">
      <c r="A1308" s="13" t="inlineStr">
        <is>
          <t>9977</t>
        </is>
      </c>
      <c r="B1308" s="14" t="inlineStr">
        <is>
          <t>Carriage of material etc.</t>
        </is>
      </c>
      <c r="C1308" s="13" t="inlineStr">
        <is>
          <t>L.S.</t>
        </is>
      </c>
      <c r="D1308" s="15" t="n">
        <v>447.2</v>
      </c>
      <c r="E1308" s="16" t="n">
        <v>2</v>
      </c>
      <c r="F1308" s="16">
        <f>D1308*E1308</f>
        <v/>
      </c>
    </row>
    <row r="1309">
      <c r="A1309" s="13" t="inlineStr">
        <is>
          <t>0112</t>
        </is>
      </c>
      <c r="B1309" s="14" t="inlineStr">
        <is>
          <t>Carpenter 2nd class</t>
        </is>
      </c>
      <c r="C1309" s="13" t="inlineStr">
        <is>
          <t>day</t>
        </is>
      </c>
      <c r="D1309" s="15" t="n">
        <v>31.104</v>
      </c>
      <c r="E1309" s="16" t="n">
        <v>679</v>
      </c>
      <c r="F1309" s="16">
        <f>D1309*E1309</f>
        <v/>
      </c>
    </row>
    <row r="1310">
      <c r="A1310" s="13" t="inlineStr">
        <is>
          <t>0114</t>
        </is>
      </c>
      <c r="B1310" s="14" t="inlineStr">
        <is>
          <t>Beldar</t>
        </is>
      </c>
      <c r="C1310" s="13" t="inlineStr">
        <is>
          <t>day</t>
        </is>
      </c>
      <c r="D1310" s="15" t="n">
        <v>31.104</v>
      </c>
      <c r="E1310" s="16" t="n">
        <v>558</v>
      </c>
      <c r="F1310" s="16">
        <f>D1310*E1310</f>
        <v/>
      </c>
    </row>
    <row r="1311">
      <c r="A1311" s="13" t="inlineStr">
        <is>
          <t>0131</t>
        </is>
      </c>
      <c r="B1311" s="14" t="inlineStr">
        <is>
          <t>Painter</t>
        </is>
      </c>
      <c r="C1311" s="13" t="inlineStr">
        <is>
          <t>day</t>
        </is>
      </c>
      <c r="D1311" s="15" t="n">
        <v>10.37</v>
      </c>
      <c r="E1311" s="16" t="n">
        <v>679</v>
      </c>
      <c r="F1311" s="16">
        <f>D1311*E1311</f>
        <v/>
      </c>
    </row>
    <row r="1312">
      <c r="A1312" s="17" t="inlineStr">
        <is>
          <t>Resource Total (Material + Labour + Machinery, as printed)</t>
        </is>
      </c>
      <c r="B1312" s="18" t="n"/>
      <c r="C1312" s="18" t="n"/>
      <c r="D1312" s="18" t="n"/>
      <c r="E1312" s="18" t="n"/>
      <c r="F1312" s="19">
        <f>SUM(F1294:F1311)</f>
        <v/>
      </c>
    </row>
    <row r="1313">
      <c r="A1313" s="20" t="inlineStr">
        <is>
          <t>SAY (Rs.) — final DAR rate</t>
        </is>
      </c>
      <c r="B1313" s="21" t="n"/>
      <c r="C1313" s="21" t="n"/>
      <c r="D1313" s="21" t="n"/>
      <c r="E1313" s="21" t="n"/>
      <c r="F1313" s="22" t="n">
        <v>1475.85</v>
      </c>
    </row>
    <row r="1315" ht="28" customHeight="1">
      <c r="A1315" s="9" t="inlineStr">
        <is>
          <t>12.46</t>
        </is>
      </c>
      <c r="B1315" s="10" t="inlineStr">
        <is>
          <t>Providing and fixing to the inlet mouth of rain water pipe PTMT (an Engineering Thermoplastic) grating square (Slit) 150 mm square with a he</t>
        </is>
      </c>
      <c r="C1315" s="11" t="n"/>
      <c r="D1315" s="11" t="n"/>
      <c r="E1315" s="11" t="n"/>
      <c r="F1315" s="11" t="n"/>
    </row>
    <row r="1316">
      <c r="A1316" s="12" t="inlineStr">
        <is>
          <t>Rate basis: per grating  (source: cost for 1 grating)</t>
        </is>
      </c>
    </row>
    <row r="1317">
      <c r="A1317" s="5" t="inlineStr">
        <is>
          <t>Code</t>
        </is>
      </c>
      <c r="B1317" s="5" t="inlineStr">
        <is>
          <t>Description</t>
        </is>
      </c>
      <c r="C1317" s="5" t="inlineStr">
        <is>
          <t>Unit</t>
        </is>
      </c>
      <c r="D1317" s="5" t="inlineStr">
        <is>
          <t>Quantity</t>
        </is>
      </c>
      <c r="E1317" s="5" t="inlineStr">
        <is>
          <t>Rate (Rs.)</t>
        </is>
      </c>
      <c r="F1317" s="5" t="inlineStr">
        <is>
          <t>Amount (Rs.)</t>
        </is>
      </c>
    </row>
    <row r="1318">
      <c r="A1318" s="13" t="inlineStr">
        <is>
          <t>7857</t>
        </is>
      </c>
      <c r="B1318" s="14" t="inlineStr">
        <is>
          <t>P.T.M.T. Grating square slit 150mm</t>
        </is>
      </c>
      <c r="C1318" s="13" t="inlineStr">
        <is>
          <t>each</t>
        </is>
      </c>
      <c r="D1318" s="15" t="n">
        <v>1</v>
      </c>
      <c r="E1318" s="16" t="n">
        <v>66.75</v>
      </c>
      <c r="F1318" s="16">
        <f>D1318*E1318</f>
        <v/>
      </c>
    </row>
    <row r="1319">
      <c r="A1319" s="13" t="inlineStr">
        <is>
          <t>9977</t>
        </is>
      </c>
      <c r="B1319" s="14" t="inlineStr">
        <is>
          <t>Carriage of material and fixing charges</t>
        </is>
      </c>
      <c r="C1319" s="13" t="inlineStr">
        <is>
          <t>L.S.</t>
        </is>
      </c>
      <c r="D1319" s="15" t="n">
        <v>4.16</v>
      </c>
      <c r="E1319" s="16" t="n">
        <v>2</v>
      </c>
      <c r="F1319" s="16">
        <f>D1319*E1319</f>
        <v/>
      </c>
    </row>
    <row r="1320">
      <c r="A1320" s="17" t="inlineStr">
        <is>
          <t>Resource Total (Material + Labour + Machinery, as printed)</t>
        </is>
      </c>
      <c r="B1320" s="18" t="n"/>
      <c r="C1320" s="18" t="n"/>
      <c r="D1320" s="18" t="n"/>
      <c r="E1320" s="18" t="n"/>
      <c r="F1320" s="19">
        <f>SUM(F1318:F1319)</f>
        <v/>
      </c>
    </row>
    <row r="1321">
      <c r="A1321" s="20" t="inlineStr">
        <is>
          <t>SAY (Rs.) — final DAR rate</t>
        </is>
      </c>
      <c r="B1321" s="21" t="n"/>
      <c r="C1321" s="21" t="n"/>
      <c r="D1321" s="21" t="n"/>
      <c r="E1321" s="21" t="n"/>
      <c r="F1321" s="22" t="n">
        <v>100.45</v>
      </c>
    </row>
    <row r="1323" ht="18" customHeight="1">
      <c r="A1323" s="9" t="inlineStr">
        <is>
          <t>12.47.1</t>
        </is>
      </c>
      <c r="B1323" s="10" t="inlineStr">
        <is>
          <t>2 mm thick corrugated (2.5" or 4.2" or 6") or step-down (2" or 3" or 6" ) as specified</t>
        </is>
      </c>
      <c r="C1323" s="11" t="n"/>
      <c r="D1323" s="11" t="n"/>
      <c r="E1323" s="11" t="n"/>
      <c r="F1323" s="11" t="n"/>
    </row>
    <row r="1324">
      <c r="A1324" s="12" t="inlineStr">
        <is>
          <t>Rate basis: per sqm  (source: cost for 184.518 sqm)</t>
        </is>
      </c>
    </row>
    <row r="1325">
      <c r="A1325" s="5" t="inlineStr">
        <is>
          <t>Code</t>
        </is>
      </c>
      <c r="B1325" s="5" t="inlineStr">
        <is>
          <t>Description</t>
        </is>
      </c>
      <c r="C1325" s="5" t="inlineStr">
        <is>
          <t>Unit</t>
        </is>
      </c>
      <c r="D1325" s="5" t="inlineStr">
        <is>
          <t>Quantity</t>
        </is>
      </c>
      <c r="E1325" s="5" t="inlineStr">
        <is>
          <t>Rate (Rs.)</t>
        </is>
      </c>
      <c r="F1325" s="5" t="inlineStr">
        <is>
          <t>Amount (Rs.)</t>
        </is>
      </c>
    </row>
    <row r="1326">
      <c r="A1326" s="13" t="inlineStr">
        <is>
          <t>8668</t>
        </is>
      </c>
      <c r="B1326" s="14" t="inlineStr">
        <is>
          <t>UV stabilised 2 mm thick corrugated FRP sheet</t>
        </is>
      </c>
      <c r="C1326" s="13" t="inlineStr">
        <is>
          <t>sqm</t>
        </is>
      </c>
      <c r="D1326" s="15" t="n">
        <v>240.408</v>
      </c>
      <c r="E1326" s="16" t="n">
        <v>485</v>
      </c>
      <c r="F1326" s="16">
        <f>D1326*E1326</f>
        <v/>
      </c>
    </row>
    <row r="1327">
      <c r="A1327" s="13" t="inlineStr">
        <is>
          <t>9977</t>
        </is>
      </c>
      <c r="B1327" s="14" t="inlineStr">
        <is>
          <t>Carriage of sheet</t>
        </is>
      </c>
      <c r="C1327" s="13" t="inlineStr">
        <is>
          <t>L.S.</t>
        </is>
      </c>
      <c r="D1327" s="15" t="n">
        <v>104</v>
      </c>
      <c r="E1327" s="16" t="n">
        <v>2</v>
      </c>
      <c r="F1327" s="16">
        <f>D1327*E1327</f>
        <v/>
      </c>
    </row>
    <row r="1328">
      <c r="A1328" s="13" t="inlineStr">
        <is>
          <t>1022</t>
        </is>
      </c>
      <c r="B1328" s="14" t="inlineStr">
        <is>
          <t>Galvanised steel bolts &amp; nuts 6 mm dia and 25 mmlong round head with slots</t>
        </is>
      </c>
      <c r="C1328" s="13" t="inlineStr">
        <is>
          <t>10 Nos</t>
        </is>
      </c>
      <c r="D1328" s="15" t="n">
        <v>88.40000000000001</v>
      </c>
      <c r="E1328" s="16" t="n">
        <v>38</v>
      </c>
      <c r="F1328" s="16">
        <f>D1328*E1328</f>
        <v/>
      </c>
    </row>
    <row r="1329">
      <c r="A1329" s="13" t="inlineStr">
        <is>
          <t>1023</t>
        </is>
      </c>
      <c r="B1329" s="14" t="inlineStr">
        <is>
          <t>Galvanised steel J or L hooks 8 mm dia</t>
        </is>
      </c>
      <c r="C1329" s="13" t="inlineStr">
        <is>
          <t>10 Nos</t>
        </is>
      </c>
      <c r="D1329" s="15" t="n">
        <v>81</v>
      </c>
      <c r="E1329" s="16" t="n">
        <v>120</v>
      </c>
      <c r="F1329" s="16">
        <f>D1329*E1329</f>
        <v/>
      </c>
    </row>
    <row r="1330">
      <c r="A1330" s="13" t="inlineStr">
        <is>
          <t>1207</t>
        </is>
      </c>
      <c r="B1330" s="14" t="inlineStr">
        <is>
          <t>G.I. Limpet washer</t>
        </is>
      </c>
      <c r="C1330" s="13" t="inlineStr">
        <is>
          <t>100 Nos</t>
        </is>
      </c>
      <c r="D1330" s="15" t="n">
        <v>16.94</v>
      </c>
      <c r="E1330" s="16" t="n">
        <v>21</v>
      </c>
      <c r="F1330" s="16">
        <f>D1330*E1330</f>
        <v/>
      </c>
    </row>
    <row r="1331">
      <c r="A1331" s="13" t="inlineStr">
        <is>
          <t>1208</t>
        </is>
      </c>
      <c r="B1331" s="14" t="inlineStr">
        <is>
          <t>Bitumen washer</t>
        </is>
      </c>
      <c r="C1331" s="13" t="inlineStr">
        <is>
          <t>100 Nos</t>
        </is>
      </c>
      <c r="D1331" s="15" t="n">
        <v>16.94</v>
      </c>
      <c r="E1331" s="16" t="n">
        <v>30</v>
      </c>
      <c r="F1331" s="16">
        <f>D1331*E1331</f>
        <v/>
      </c>
    </row>
    <row r="1332">
      <c r="A1332" s="13" t="inlineStr">
        <is>
          <t>9977</t>
        </is>
      </c>
      <c r="B1332" s="14" t="inlineStr">
        <is>
          <t>Carriage of bolts and washers</t>
        </is>
      </c>
      <c r="C1332" s="13" t="inlineStr">
        <is>
          <t>L.S.</t>
        </is>
      </c>
      <c r="D1332" s="15" t="n">
        <v>26.91</v>
      </c>
      <c r="E1332" s="16" t="n">
        <v>2</v>
      </c>
      <c r="F1332" s="16">
        <f>D1332*E1332</f>
        <v/>
      </c>
    </row>
    <row r="1333">
      <c r="A1333" s="13" t="inlineStr">
        <is>
          <t>9999</t>
        </is>
      </c>
      <c r="B1333" s="14" t="inlineStr">
        <is>
          <t>Sundries</t>
        </is>
      </c>
      <c r="C1333" s="13" t="inlineStr">
        <is>
          <t>L.S.</t>
        </is>
      </c>
      <c r="D1333" s="15" t="n">
        <v>53.82</v>
      </c>
      <c r="E1333" s="16" t="n">
        <v>2</v>
      </c>
      <c r="F1333" s="16">
        <f>D1333*E1333</f>
        <v/>
      </c>
    </row>
    <row r="1334">
      <c r="A1334" s="13" t="inlineStr">
        <is>
          <t>0130</t>
        </is>
      </c>
      <c r="B1334" s="14" t="inlineStr">
        <is>
          <t>Mistry</t>
        </is>
      </c>
      <c r="C1334" s="13" t="inlineStr">
        <is>
          <t>day</t>
        </is>
      </c>
      <c r="D1334" s="15" t="n">
        <v>1.3</v>
      </c>
      <c r="E1334" s="16" t="n">
        <v>738</v>
      </c>
      <c r="F1334" s="16">
        <f>D1334*E1334</f>
        <v/>
      </c>
    </row>
    <row r="1335">
      <c r="A1335" s="13" t="inlineStr">
        <is>
          <t>0112</t>
        </is>
      </c>
      <c r="B1335" s="14" t="inlineStr">
        <is>
          <t>Carpenter 2nd class</t>
        </is>
      </c>
      <c r="C1335" s="13" t="inlineStr">
        <is>
          <t>day</t>
        </is>
      </c>
      <c r="D1335" s="15" t="n">
        <v>15.5</v>
      </c>
      <c r="E1335" s="16" t="n">
        <v>679</v>
      </c>
      <c r="F1335" s="16">
        <f>D1335*E1335</f>
        <v/>
      </c>
    </row>
    <row r="1336">
      <c r="A1336" s="13" t="inlineStr">
        <is>
          <t>0114</t>
        </is>
      </c>
      <c r="B1336" s="14" t="inlineStr">
        <is>
          <t>Beldar</t>
        </is>
      </c>
      <c r="C1336" s="13" t="inlineStr">
        <is>
          <t>day</t>
        </is>
      </c>
      <c r="D1336" s="15" t="n">
        <v>15.5</v>
      </c>
      <c r="E1336" s="16" t="n">
        <v>558</v>
      </c>
      <c r="F1336" s="16">
        <f>D1336*E1336</f>
        <v/>
      </c>
    </row>
    <row r="1337">
      <c r="A1337" s="17" t="inlineStr">
        <is>
          <t>Resource Total (Material + Labour + Machinery, as printed)</t>
        </is>
      </c>
      <c r="B1337" s="18" t="n"/>
      <c r="C1337" s="18" t="n"/>
      <c r="D1337" s="18" t="n"/>
      <c r="E1337" s="18" t="n"/>
      <c r="F1337" s="19">
        <f>SUM(F1326:F1336)</f>
        <v/>
      </c>
    </row>
    <row r="1338">
      <c r="A1338" s="20" t="inlineStr">
        <is>
          <t>SAY (Rs.) — final DAR rate</t>
        </is>
      </c>
      <c r="B1338" s="21" t="n"/>
      <c r="C1338" s="21" t="n"/>
      <c r="D1338" s="21" t="n"/>
      <c r="E1338" s="21" t="n"/>
      <c r="F1338" s="22" t="n">
        <v>1095.2</v>
      </c>
    </row>
    <row r="1340" ht="18" customHeight="1">
      <c r="A1340" s="9" t="inlineStr">
        <is>
          <t>12.47.2</t>
        </is>
      </c>
      <c r="B1340" s="10" t="inlineStr">
        <is>
          <t>2 mm thick flat</t>
        </is>
      </c>
      <c r="C1340" s="11" t="n"/>
      <c r="D1340" s="11" t="n"/>
      <c r="E1340" s="11" t="n"/>
      <c r="F1340" s="11" t="n"/>
    </row>
    <row r="1341">
      <c r="A1341" s="12" t="inlineStr">
        <is>
          <t>Rate basis: per sqm  (source: cost for 184.518 sqm)</t>
        </is>
      </c>
    </row>
    <row r="1342">
      <c r="A1342" s="5" t="inlineStr">
        <is>
          <t>Code</t>
        </is>
      </c>
      <c r="B1342" s="5" t="inlineStr">
        <is>
          <t>Description</t>
        </is>
      </c>
      <c r="C1342" s="5" t="inlineStr">
        <is>
          <t>Unit</t>
        </is>
      </c>
      <c r="D1342" s="5" t="inlineStr">
        <is>
          <t>Quantity</t>
        </is>
      </c>
      <c r="E1342" s="5" t="inlineStr">
        <is>
          <t>Rate (Rs.)</t>
        </is>
      </c>
      <c r="F1342" s="5" t="inlineStr">
        <is>
          <t>Amount (Rs.)</t>
        </is>
      </c>
    </row>
    <row r="1343">
      <c r="A1343" s="13" t="inlineStr">
        <is>
          <t>8667</t>
        </is>
      </c>
      <c r="B1343" s="14" t="inlineStr">
        <is>
          <t>UV stabilised 2 mm thick plain FRP sheet</t>
        </is>
      </c>
      <c r="C1343" s="13" t="inlineStr">
        <is>
          <t>sqm</t>
        </is>
      </c>
      <c r="D1343" s="15" t="n">
        <v>240.408</v>
      </c>
      <c r="E1343" s="16" t="n">
        <v>430</v>
      </c>
      <c r="F1343" s="16">
        <f>D1343*E1343</f>
        <v/>
      </c>
    </row>
    <row r="1344">
      <c r="A1344" s="13" t="inlineStr">
        <is>
          <t>9977</t>
        </is>
      </c>
      <c r="B1344" s="14" t="inlineStr">
        <is>
          <t>Carriage of sheet</t>
        </is>
      </c>
      <c r="C1344" s="13" t="inlineStr">
        <is>
          <t>L.S.</t>
        </is>
      </c>
      <c r="D1344" s="15" t="n">
        <v>104</v>
      </c>
      <c r="E1344" s="16" t="n">
        <v>2</v>
      </c>
      <c r="F1344" s="16">
        <f>D1344*E1344</f>
        <v/>
      </c>
    </row>
    <row r="1345">
      <c r="A1345" s="13" t="inlineStr">
        <is>
          <t>1022</t>
        </is>
      </c>
      <c r="B1345" s="14" t="inlineStr">
        <is>
          <t>Galvanised steel bolts &amp; nuts 6 mm dia and 25 mmlong round head with slots</t>
        </is>
      </c>
      <c r="C1345" s="13" t="inlineStr">
        <is>
          <t>10 Nos</t>
        </is>
      </c>
      <c r="D1345" s="15" t="n">
        <v>88.40000000000001</v>
      </c>
      <c r="E1345" s="16" t="n">
        <v>38</v>
      </c>
      <c r="F1345" s="16">
        <f>D1345*E1345</f>
        <v/>
      </c>
    </row>
    <row r="1346">
      <c r="A1346" s="13" t="inlineStr">
        <is>
          <t>1023</t>
        </is>
      </c>
      <c r="B1346" s="14" t="inlineStr">
        <is>
          <t>Galvanised steel J or L hooks 8 mm dia</t>
        </is>
      </c>
      <c r="C1346" s="13" t="inlineStr">
        <is>
          <t>10 Nos</t>
        </is>
      </c>
      <c r="D1346" s="15" t="n">
        <v>81</v>
      </c>
      <c r="E1346" s="16" t="n">
        <v>120</v>
      </c>
      <c r="F1346" s="16">
        <f>D1346*E1346</f>
        <v/>
      </c>
    </row>
    <row r="1347">
      <c r="A1347" s="13" t="inlineStr">
        <is>
          <t>1207</t>
        </is>
      </c>
      <c r="B1347" s="14" t="inlineStr">
        <is>
          <t>G.I. Limpet washer</t>
        </is>
      </c>
      <c r="C1347" s="13" t="inlineStr">
        <is>
          <t>100 Nos</t>
        </is>
      </c>
      <c r="D1347" s="15" t="n">
        <v>16.94</v>
      </c>
      <c r="E1347" s="16" t="n">
        <v>21</v>
      </c>
      <c r="F1347" s="16">
        <f>D1347*E1347</f>
        <v/>
      </c>
    </row>
    <row r="1348">
      <c r="A1348" s="13" t="inlineStr">
        <is>
          <t>1208</t>
        </is>
      </c>
      <c r="B1348" s="14" t="inlineStr">
        <is>
          <t>Bitumen washer</t>
        </is>
      </c>
      <c r="C1348" s="13" t="inlineStr">
        <is>
          <t>100 Nos</t>
        </is>
      </c>
      <c r="D1348" s="15" t="n">
        <v>16.94</v>
      </c>
      <c r="E1348" s="16" t="n">
        <v>30</v>
      </c>
      <c r="F1348" s="16">
        <f>D1348*E1348</f>
        <v/>
      </c>
    </row>
    <row r="1349">
      <c r="A1349" s="13" t="inlineStr">
        <is>
          <t>9977</t>
        </is>
      </c>
      <c r="B1349" s="14" t="inlineStr">
        <is>
          <t>Carriage of bolts and washers</t>
        </is>
      </c>
      <c r="C1349" s="13" t="inlineStr">
        <is>
          <t>L.S.</t>
        </is>
      </c>
      <c r="D1349" s="15" t="n">
        <v>26.91</v>
      </c>
      <c r="E1349" s="16" t="n">
        <v>2</v>
      </c>
      <c r="F1349" s="16">
        <f>D1349*E1349</f>
        <v/>
      </c>
    </row>
    <row r="1350">
      <c r="A1350" s="13" t="inlineStr">
        <is>
          <t>9999</t>
        </is>
      </c>
      <c r="B1350" s="14" t="inlineStr">
        <is>
          <t>Sundries</t>
        </is>
      </c>
      <c r="C1350" s="13" t="inlineStr">
        <is>
          <t>L.S.</t>
        </is>
      </c>
      <c r="D1350" s="15" t="n">
        <v>53.82</v>
      </c>
      <c r="E1350" s="16" t="n">
        <v>2</v>
      </c>
      <c r="F1350" s="16">
        <f>D1350*E1350</f>
        <v/>
      </c>
    </row>
    <row r="1351">
      <c r="A1351" s="13" t="inlineStr">
        <is>
          <t>0130</t>
        </is>
      </c>
      <c r="B1351" s="14" t="inlineStr">
        <is>
          <t>Mistry</t>
        </is>
      </c>
      <c r="C1351" s="13" t="inlineStr">
        <is>
          <t>day</t>
        </is>
      </c>
      <c r="D1351" s="15" t="n">
        <v>1.3</v>
      </c>
      <c r="E1351" s="16" t="n">
        <v>738</v>
      </c>
      <c r="F1351" s="16">
        <f>D1351*E1351</f>
        <v/>
      </c>
    </row>
    <row r="1352">
      <c r="A1352" s="13" t="inlineStr">
        <is>
          <t>0112</t>
        </is>
      </c>
      <c r="B1352" s="14" t="inlineStr">
        <is>
          <t>Carpenter 2nd class</t>
        </is>
      </c>
      <c r="C1352" s="13" t="inlineStr">
        <is>
          <t>day</t>
        </is>
      </c>
      <c r="D1352" s="15" t="n">
        <v>15.5</v>
      </c>
      <c r="E1352" s="16" t="n">
        <v>679</v>
      </c>
      <c r="F1352" s="16">
        <f>D1352*E1352</f>
        <v/>
      </c>
    </row>
    <row r="1353">
      <c r="A1353" s="13" t="inlineStr">
        <is>
          <t>0114</t>
        </is>
      </c>
      <c r="B1353" s="14" t="inlineStr">
        <is>
          <t>Beldar</t>
        </is>
      </c>
      <c r="C1353" s="13" t="inlineStr">
        <is>
          <t>day</t>
        </is>
      </c>
      <c r="D1353" s="15" t="n">
        <v>15.5</v>
      </c>
      <c r="E1353" s="16" t="n">
        <v>558</v>
      </c>
      <c r="F1353" s="16">
        <f>D1353*E1353</f>
        <v/>
      </c>
    </row>
    <row r="1354">
      <c r="A1354" s="17" t="inlineStr">
        <is>
          <t>Resource Total (Material + Labour + Machinery, as printed)</t>
        </is>
      </c>
      <c r="B1354" s="18" t="n"/>
      <c r="C1354" s="18" t="n"/>
      <c r="D1354" s="18" t="n"/>
      <c r="E1354" s="18" t="n"/>
      <c r="F1354" s="19">
        <f>SUM(F1343:F1353)</f>
        <v/>
      </c>
    </row>
    <row r="1355">
      <c r="A1355" s="20" t="inlineStr">
        <is>
          <t>SAY (Rs.) — final DAR rate</t>
        </is>
      </c>
      <c r="B1355" s="21" t="n"/>
      <c r="C1355" s="21" t="n"/>
      <c r="D1355" s="21" t="n"/>
      <c r="E1355" s="21" t="n"/>
      <c r="F1355" s="22" t="n">
        <v>999.35</v>
      </c>
    </row>
    <row r="1357" ht="28" customHeight="1">
      <c r="A1357" s="9" t="inlineStr">
        <is>
          <t>12.48</t>
        </is>
      </c>
      <c r="B1357" s="10" t="inlineStr">
        <is>
          <t>Providing &amp; fixing on roof pressed clay tile (Mangalore tile) of 20 mm nominal thickness and of approved size and as per approved pattern on</t>
        </is>
      </c>
      <c r="C1357" s="11" t="n"/>
      <c r="D1357" s="11" t="n"/>
      <c r="E1357" s="11" t="n"/>
      <c r="F1357" s="11" t="n"/>
    </row>
    <row r="1358">
      <c r="A1358" s="12" t="inlineStr">
        <is>
          <t>Rate basis: per sqm  (source: cost for 10 sqm)</t>
        </is>
      </c>
    </row>
    <row r="1359">
      <c r="A1359" s="5" t="inlineStr">
        <is>
          <t>Code</t>
        </is>
      </c>
      <c r="B1359" s="5" t="inlineStr">
        <is>
          <t>Description</t>
        </is>
      </c>
      <c r="C1359" s="5" t="inlineStr">
        <is>
          <t>Unit</t>
        </is>
      </c>
      <c r="D1359" s="5" t="inlineStr">
        <is>
          <t>Quantity</t>
        </is>
      </c>
      <c r="E1359" s="5" t="inlineStr">
        <is>
          <t>Rate (Rs.)</t>
        </is>
      </c>
      <c r="F1359" s="5" t="inlineStr">
        <is>
          <t>Amount (Rs.)</t>
        </is>
      </c>
    </row>
    <row r="1360">
      <c r="A1360" s="13" t="inlineStr">
        <is>
          <t>8670</t>
        </is>
      </c>
      <c r="B1360" s="14" t="inlineStr">
        <is>
          <t>Mangalore tiles 20 mm thick</t>
        </is>
      </c>
      <c r="C1360" s="13" t="inlineStr">
        <is>
          <t>each</t>
        </is>
      </c>
      <c r="D1360" s="15" t="n">
        <v>160</v>
      </c>
      <c r="E1360" s="16" t="n">
        <v>8</v>
      </c>
      <c r="F1360" s="16">
        <f>D1360*E1360</f>
        <v/>
      </c>
    </row>
    <row r="1361">
      <c r="A1361" s="13" t="inlineStr">
        <is>
          <t>2207</t>
        </is>
      </c>
      <c r="B1361" s="14" t="inlineStr">
        <is>
          <t>Carriage of Brick tiles</t>
        </is>
      </c>
      <c r="C1361" s="13" t="inlineStr">
        <is>
          <t>1000 Nos</t>
        </is>
      </c>
      <c r="D1361" s="15" t="n">
        <v>0.16</v>
      </c>
      <c r="E1361" s="16" t="n">
        <v>166.03</v>
      </c>
      <c r="F1361" s="16">
        <f>D1361*E1361</f>
        <v/>
      </c>
    </row>
    <row r="1362">
      <c r="A1362" s="13" t="inlineStr">
        <is>
          <t>0123</t>
        </is>
      </c>
      <c r="B1362" s="14" t="inlineStr">
        <is>
          <t>Mason (brick layer) 1st class</t>
        </is>
      </c>
      <c r="C1362" s="13" t="inlineStr">
        <is>
          <t>day</t>
        </is>
      </c>
      <c r="D1362" s="15" t="n">
        <v>0.3</v>
      </c>
      <c r="E1362" s="16" t="n">
        <v>738</v>
      </c>
      <c r="F1362" s="16">
        <f>D1362*E1362</f>
        <v/>
      </c>
    </row>
    <row r="1363">
      <c r="A1363" s="13" t="inlineStr">
        <is>
          <t>0114</t>
        </is>
      </c>
      <c r="B1363" s="14" t="inlineStr">
        <is>
          <t>Beldar</t>
        </is>
      </c>
      <c r="C1363" s="13" t="inlineStr">
        <is>
          <t>day</t>
        </is>
      </c>
      <c r="D1363" s="15" t="n">
        <v>1.56</v>
      </c>
      <c r="E1363" s="16" t="n">
        <v>558</v>
      </c>
      <c r="F1363" s="16">
        <f>D1363*E1363</f>
        <v/>
      </c>
    </row>
    <row r="1364">
      <c r="A1364" s="13" t="inlineStr">
        <is>
          <t>9999</t>
        </is>
      </c>
      <c r="B1364" s="14" t="inlineStr">
        <is>
          <t>Sundries</t>
        </is>
      </c>
      <c r="C1364" s="13" t="inlineStr">
        <is>
          <t>L.S.</t>
        </is>
      </c>
      <c r="D1364" s="15" t="n">
        <v>13</v>
      </c>
      <c r="E1364" s="16" t="n">
        <v>2</v>
      </c>
      <c r="F1364" s="16">
        <f>D1364*E1364</f>
        <v/>
      </c>
    </row>
    <row r="1365">
      <c r="A1365" s="17" t="inlineStr">
        <is>
          <t>Resource Total (Material + Labour + Machinery, as printed)</t>
        </is>
      </c>
      <c r="B1365" s="18" t="n"/>
      <c r="C1365" s="18" t="n"/>
      <c r="D1365" s="18" t="n"/>
      <c r="E1365" s="18" t="n"/>
      <c r="F1365" s="19">
        <f>SUM(F1360:F1364)</f>
        <v/>
      </c>
    </row>
    <row r="1366">
      <c r="A1366" s="20" t="inlineStr">
        <is>
          <t>SAY (Rs.) — final DAR rate</t>
        </is>
      </c>
      <c r="B1366" s="21" t="n"/>
      <c r="C1366" s="21" t="n"/>
      <c r="D1366" s="21" t="n"/>
      <c r="E1366" s="21" t="n"/>
      <c r="F1366" s="22" t="n">
        <v>324.4</v>
      </c>
    </row>
    <row r="1368" ht="28" customHeight="1">
      <c r="A1368" s="9" t="inlineStr">
        <is>
          <t>12.49</t>
        </is>
      </c>
      <c r="B1368" s="10" t="inlineStr">
        <is>
          <t>Providing &amp; laying on roof pressed clay tile ridge (Mangalore tile) of 20mm thickness and of approved pattern on steel frame work complete (</t>
        </is>
      </c>
      <c r="C1368" s="11" t="n"/>
      <c r="D1368" s="11" t="n"/>
      <c r="E1368" s="11" t="n"/>
      <c r="F1368" s="11" t="n"/>
    </row>
    <row r="1369">
      <c r="A1369" s="12" t="inlineStr">
        <is>
          <t>Rate basis: per metre  (source: cost for 3.6 metre)</t>
        </is>
      </c>
    </row>
    <row r="1370">
      <c r="A1370" s="5" t="inlineStr">
        <is>
          <t>Code</t>
        </is>
      </c>
      <c r="B1370" s="5" t="inlineStr">
        <is>
          <t>Description</t>
        </is>
      </c>
      <c r="C1370" s="5" t="inlineStr">
        <is>
          <t>Unit</t>
        </is>
      </c>
      <c r="D1370" s="5" t="inlineStr">
        <is>
          <t>Quantity</t>
        </is>
      </c>
      <c r="E1370" s="5" t="inlineStr">
        <is>
          <t>Rate (Rs.)</t>
        </is>
      </c>
      <c r="F1370" s="5" t="inlineStr">
        <is>
          <t>Amount (Rs.)</t>
        </is>
      </c>
    </row>
    <row r="1371">
      <c r="A1371" s="13" t="inlineStr">
        <is>
          <t>8669</t>
        </is>
      </c>
      <c r="B1371" s="14" t="inlineStr">
        <is>
          <t>Mangalore ridge tiles 20 mm thick</t>
        </is>
      </c>
      <c r="C1371" s="13" t="inlineStr">
        <is>
          <t>each</t>
        </is>
      </c>
      <c r="D1371" s="15" t="n">
        <v>12</v>
      </c>
      <c r="E1371" s="16" t="n">
        <v>8</v>
      </c>
      <c r="F1371" s="16">
        <f>D1371*E1371</f>
        <v/>
      </c>
    </row>
    <row r="1372">
      <c r="A1372" s="13" t="inlineStr">
        <is>
          <t>2207</t>
        </is>
      </c>
      <c r="B1372" s="14" t="inlineStr">
        <is>
          <t>Carriage of Brick tiles</t>
        </is>
      </c>
      <c r="C1372" s="13" t="inlineStr">
        <is>
          <t>1000 Nos</t>
        </is>
      </c>
      <c r="D1372" s="15" t="n">
        <v>0.012</v>
      </c>
      <c r="E1372" s="16" t="n">
        <v>166.03</v>
      </c>
      <c r="F1372" s="16">
        <f>D1372*E1372</f>
        <v/>
      </c>
    </row>
    <row r="1373">
      <c r="A1373" s="13" t="inlineStr">
        <is>
          <t>0123</t>
        </is>
      </c>
      <c r="B1373" s="14" t="inlineStr">
        <is>
          <t>Mason (brick layer) 1st class</t>
        </is>
      </c>
      <c r="C1373" s="13" t="inlineStr">
        <is>
          <t>day</t>
        </is>
      </c>
      <c r="D1373" s="15" t="n">
        <v>0.01</v>
      </c>
      <c r="E1373" s="16" t="n">
        <v>738</v>
      </c>
      <c r="F1373" s="16">
        <f>D1373*E1373</f>
        <v/>
      </c>
    </row>
    <row r="1374">
      <c r="A1374" s="13" t="inlineStr">
        <is>
          <t>0114</t>
        </is>
      </c>
      <c r="B1374" s="14" t="inlineStr">
        <is>
          <t>Beldar</t>
        </is>
      </c>
      <c r="C1374" s="13" t="inlineStr">
        <is>
          <t>day</t>
        </is>
      </c>
      <c r="D1374" s="15" t="n">
        <v>0.15</v>
      </c>
      <c r="E1374" s="16" t="n">
        <v>558</v>
      </c>
      <c r="F1374" s="16">
        <f>D1374*E1374</f>
        <v/>
      </c>
    </row>
    <row r="1375">
      <c r="A1375" s="13" t="inlineStr">
        <is>
          <t>9999</t>
        </is>
      </c>
      <c r="B1375" s="14" t="inlineStr">
        <is>
          <t>Sundries</t>
        </is>
      </c>
      <c r="C1375" s="13" t="inlineStr">
        <is>
          <t>L.S.</t>
        </is>
      </c>
      <c r="D1375" s="15" t="n">
        <v>2.6</v>
      </c>
      <c r="E1375" s="16" t="n">
        <v>2</v>
      </c>
      <c r="F1375" s="16">
        <f>D1375*E1375</f>
        <v/>
      </c>
    </row>
    <row r="1376">
      <c r="A1376" s="17" t="inlineStr">
        <is>
          <t>Resource Total (Material + Labour + Machinery, as printed)</t>
        </is>
      </c>
      <c r="B1376" s="18" t="n"/>
      <c r="C1376" s="18" t="n"/>
      <c r="D1376" s="18" t="n"/>
      <c r="E1376" s="18" t="n"/>
      <c r="F1376" s="19">
        <f>SUM(F1371:F1375)</f>
        <v/>
      </c>
    </row>
    <row r="1377">
      <c r="A1377" s="20" t="inlineStr">
        <is>
          <t>SAY (Rs.) — final DAR rate</t>
        </is>
      </c>
      <c r="B1377" s="21" t="n"/>
      <c r="C1377" s="21" t="n"/>
      <c r="D1377" s="21" t="n"/>
      <c r="E1377" s="21" t="n"/>
      <c r="F1377" s="22" t="n">
        <v>72.2</v>
      </c>
    </row>
    <row r="1379" ht="28" customHeight="1">
      <c r="A1379" s="9" t="inlineStr">
        <is>
          <t>12.50</t>
        </is>
      </c>
      <c r="B1379" s="10" t="inlineStr">
        <is>
          <t xml:space="preserve">Providing and fixing precoated galvanised iron profile sheets (size, shape and pitch of corrugation as approved by Engineer-in-charge) 0.50 </t>
        </is>
      </c>
      <c r="C1379" s="11" t="n"/>
      <c r="D1379" s="11" t="n"/>
      <c r="E1379" s="11" t="n"/>
      <c r="F1379" s="11" t="n"/>
    </row>
    <row r="1380">
      <c r="A1380" s="12" t="inlineStr">
        <is>
          <t>Rate basis: per sqm  (source: cost for 216.14 sqm)</t>
        </is>
      </c>
    </row>
    <row r="1381">
      <c r="A1381" s="5" t="inlineStr">
        <is>
          <t>Code</t>
        </is>
      </c>
      <c r="B1381" s="5" t="inlineStr">
        <is>
          <t>Description</t>
        </is>
      </c>
      <c r="C1381" s="5" t="inlineStr">
        <is>
          <t>Unit</t>
        </is>
      </c>
      <c r="D1381" s="5" t="inlineStr">
        <is>
          <t>Quantity</t>
        </is>
      </c>
      <c r="E1381" s="5" t="inlineStr">
        <is>
          <t>Rate (Rs.)</t>
        </is>
      </c>
      <c r="F1381" s="5" t="inlineStr">
        <is>
          <t>Amount (Rs.)</t>
        </is>
      </c>
    </row>
    <row r="1382">
      <c r="A1382" s="13" t="inlineStr">
        <is>
          <t>8671</t>
        </is>
      </c>
      <c r="B1382" s="14" t="inlineStr">
        <is>
          <t>Precoated galvanised iron profile sheet 0.50 mm TCT</t>
        </is>
      </c>
      <c r="C1382" s="13" t="inlineStr">
        <is>
          <t>sqm</t>
        </is>
      </c>
      <c r="D1382" s="15" t="n">
        <v>233.65</v>
      </c>
      <c r="E1382" s="16" t="n">
        <v>350</v>
      </c>
      <c r="F1382" s="16">
        <f>D1382*E1382</f>
        <v/>
      </c>
    </row>
    <row r="1383">
      <c r="A1383" s="13" t="inlineStr">
        <is>
          <t>9977</t>
        </is>
      </c>
      <c r="B1383" s="14" t="inlineStr">
        <is>
          <t>Carriage of sheets</t>
        </is>
      </c>
      <c r="C1383" s="13" t="inlineStr">
        <is>
          <t>L.S.</t>
        </is>
      </c>
      <c r="D1383" s="15" t="n">
        <v>104</v>
      </c>
      <c r="E1383" s="16" t="n">
        <v>2</v>
      </c>
      <c r="F1383" s="16">
        <f>D1383*E1383</f>
        <v/>
      </c>
    </row>
    <row r="1384">
      <c r="A1384" s="13" t="inlineStr">
        <is>
          <t>1023</t>
        </is>
      </c>
      <c r="B1384" s="14" t="inlineStr">
        <is>
          <t>Galvanised steel J or L hooks 8 mm dia</t>
        </is>
      </c>
      <c r="C1384" s="13" t="inlineStr">
        <is>
          <t>10 Nos</t>
        </is>
      </c>
      <c r="D1384" s="15" t="n">
        <v>47.6</v>
      </c>
      <c r="E1384" s="16" t="n">
        <v>120</v>
      </c>
      <c r="F1384" s="16">
        <f>D1384*E1384</f>
        <v/>
      </c>
    </row>
    <row r="1385">
      <c r="A1385" s="13" t="inlineStr">
        <is>
          <t>1208</t>
        </is>
      </c>
      <c r="B1385" s="14" t="inlineStr">
        <is>
          <t>Bitumen washer</t>
        </is>
      </c>
      <c r="C1385" s="13" t="inlineStr">
        <is>
          <t>100 Nos</t>
        </is>
      </c>
      <c r="D1385" s="15" t="n">
        <v>4.76</v>
      </c>
      <c r="E1385" s="16" t="n">
        <v>30</v>
      </c>
      <c r="F1385" s="16">
        <f>D1385*E1385</f>
        <v/>
      </c>
    </row>
    <row r="1386">
      <c r="A1386" s="13" t="inlineStr">
        <is>
          <t>1209</t>
        </is>
      </c>
      <c r="B1386" s="14" t="inlineStr">
        <is>
          <t>G.I. plain washer thick</t>
        </is>
      </c>
      <c r="C1386" s="13" t="inlineStr">
        <is>
          <t>100 Nos</t>
        </is>
      </c>
      <c r="D1386" s="15" t="n">
        <v>4.76</v>
      </c>
      <c r="E1386" s="16" t="n">
        <v>35</v>
      </c>
      <c r="F1386" s="16">
        <f>D1386*E1386</f>
        <v/>
      </c>
    </row>
    <row r="1387">
      <c r="A1387" s="13" t="inlineStr">
        <is>
          <t>9977</t>
        </is>
      </c>
      <c r="B1387" s="14" t="inlineStr">
        <is>
          <t>Carriage of bolts and nuts, washers etc.</t>
        </is>
      </c>
      <c r="C1387" s="13" t="inlineStr">
        <is>
          <t>L.S.</t>
        </is>
      </c>
      <c r="D1387" s="15" t="n">
        <v>8.06</v>
      </c>
      <c r="E1387" s="16" t="n">
        <v>2</v>
      </c>
      <c r="F1387" s="16">
        <f>D1387*E1387</f>
        <v/>
      </c>
    </row>
    <row r="1388">
      <c r="A1388" s="13" t="inlineStr">
        <is>
          <t>9999</t>
        </is>
      </c>
      <c r="B1388" s="14" t="inlineStr">
        <is>
          <t>Sundries</t>
        </is>
      </c>
      <c r="C1388" s="13" t="inlineStr">
        <is>
          <t>L.S.</t>
        </is>
      </c>
      <c r="D1388" s="15" t="n">
        <v>39.52</v>
      </c>
      <c r="E1388" s="16" t="n">
        <v>2</v>
      </c>
      <c r="F1388" s="16">
        <f>D1388*E1388</f>
        <v/>
      </c>
    </row>
    <row r="1389">
      <c r="A1389" s="13" t="inlineStr">
        <is>
          <t>0130</t>
        </is>
      </c>
      <c r="B1389" s="14" t="inlineStr">
        <is>
          <t>Mistry</t>
        </is>
      </c>
      <c r="C1389" s="13" t="inlineStr">
        <is>
          <t>day</t>
        </is>
      </c>
      <c r="D1389" s="15" t="n">
        <v>2.34</v>
      </c>
      <c r="E1389" s="16" t="n">
        <v>738</v>
      </c>
      <c r="F1389" s="16">
        <f>D1389*E1389</f>
        <v/>
      </c>
    </row>
    <row r="1390">
      <c r="A1390" s="13" t="inlineStr">
        <is>
          <t>0112</t>
        </is>
      </c>
      <c r="B1390" s="14" t="inlineStr">
        <is>
          <t>Carpenter 2nd class</t>
        </is>
      </c>
      <c r="C1390" s="13" t="inlineStr">
        <is>
          <t>day</t>
        </is>
      </c>
      <c r="D1390" s="15" t="n">
        <v>9.34</v>
      </c>
      <c r="E1390" s="16" t="n">
        <v>679</v>
      </c>
      <c r="F1390" s="16">
        <f>D1390*E1390</f>
        <v/>
      </c>
    </row>
    <row r="1391">
      <c r="A1391" s="13" t="inlineStr">
        <is>
          <t>0114</t>
        </is>
      </c>
      <c r="B1391" s="14" t="inlineStr">
        <is>
          <t>Beldar</t>
        </is>
      </c>
      <c r="C1391" s="13" t="inlineStr">
        <is>
          <t>day</t>
        </is>
      </c>
      <c r="D1391" s="15" t="n">
        <v>9.34</v>
      </c>
      <c r="E1391" s="16" t="n">
        <v>558</v>
      </c>
      <c r="F1391" s="16">
        <f>D1391*E1391</f>
        <v/>
      </c>
    </row>
    <row r="1392">
      <c r="A1392" s="17" t="inlineStr">
        <is>
          <t>Resource Total (Material + Labour + Machinery, as printed)</t>
        </is>
      </c>
      <c r="B1392" s="18" t="n"/>
      <c r="C1392" s="18" t="n"/>
      <c r="D1392" s="18" t="n"/>
      <c r="E1392" s="18" t="n"/>
      <c r="F1392" s="19">
        <f>SUM(F1382:F1391)</f>
        <v/>
      </c>
    </row>
    <row r="1393">
      <c r="A1393" s="20" t="inlineStr">
        <is>
          <t>SAY (Rs.) — final DAR rate</t>
        </is>
      </c>
      <c r="B1393" s="21" t="n"/>
      <c r="C1393" s="21" t="n"/>
      <c r="D1393" s="21" t="n"/>
      <c r="E1393" s="21" t="n"/>
      <c r="F1393" s="22" t="n">
        <v>627.55</v>
      </c>
    </row>
    <row r="1395" ht="18" customHeight="1">
      <c r="A1395" s="9" t="inlineStr">
        <is>
          <t>12.51.1</t>
        </is>
      </c>
      <c r="B1395" s="10" t="inlineStr">
        <is>
          <t>Ridges plain (500 - 600mm)</t>
        </is>
      </c>
      <c r="C1395" s="11" t="n"/>
      <c r="D1395" s="11" t="n"/>
      <c r="E1395" s="11" t="n"/>
      <c r="F1395" s="11" t="n"/>
    </row>
    <row r="1396">
      <c r="A1396" s="12" t="inlineStr">
        <is>
          <t>Rate basis: per metre  (source: cost for 20.2 metre)</t>
        </is>
      </c>
    </row>
    <row r="1397">
      <c r="A1397" s="5" t="inlineStr">
        <is>
          <t>Code</t>
        </is>
      </c>
      <c r="B1397" s="5" t="inlineStr">
        <is>
          <t>Description</t>
        </is>
      </c>
      <c r="C1397" s="5" t="inlineStr">
        <is>
          <t>Unit</t>
        </is>
      </c>
      <c r="D1397" s="5" t="inlineStr">
        <is>
          <t>Quantity</t>
        </is>
      </c>
      <c r="E1397" s="5" t="inlineStr">
        <is>
          <t>Rate (Rs.)</t>
        </is>
      </c>
      <c r="F1397" s="5" t="inlineStr">
        <is>
          <t>Amount (Rs.)</t>
        </is>
      </c>
    </row>
    <row r="1398">
      <c r="A1398" s="13" t="inlineStr">
        <is>
          <t>8672</t>
        </is>
      </c>
      <c r="B1398" s="14" t="inlineStr">
        <is>
          <t>Precoated galvanised steel plain ridges 0.50 mm TCT and 500 -600 mm wide</t>
        </is>
      </c>
      <c r="C1398" s="13" t="inlineStr">
        <is>
          <t>metre</t>
        </is>
      </c>
      <c r="D1398" s="15" t="n">
        <v>23.11</v>
      </c>
      <c r="E1398" s="16" t="n">
        <v>210</v>
      </c>
      <c r="F1398" s="16">
        <f>D1398*E1398</f>
        <v/>
      </c>
    </row>
    <row r="1399">
      <c r="A1399" s="13" t="inlineStr">
        <is>
          <t>9977</t>
        </is>
      </c>
      <c r="B1399" s="14" t="inlineStr">
        <is>
          <t>Carriage (The ridge is to be fixed with the same hooks as the Sheets)</t>
        </is>
      </c>
      <c r="C1399" s="13" t="inlineStr">
        <is>
          <t>L.S.</t>
        </is>
      </c>
      <c r="D1399" s="15" t="n">
        <v>13.52</v>
      </c>
      <c r="E1399" s="16" t="n">
        <v>2</v>
      </c>
      <c r="F1399" s="16">
        <f>D1399*E1399</f>
        <v/>
      </c>
    </row>
    <row r="1400">
      <c r="A1400" s="13" t="inlineStr">
        <is>
          <t>9999</t>
        </is>
      </c>
      <c r="B1400" s="14" t="inlineStr">
        <is>
          <t>Sundries</t>
        </is>
      </c>
      <c r="C1400" s="13" t="inlineStr">
        <is>
          <t>L.S.</t>
        </is>
      </c>
      <c r="D1400" s="15" t="n">
        <v>6.76</v>
      </c>
      <c r="E1400" s="16" t="n">
        <v>2</v>
      </c>
      <c r="F1400" s="16">
        <f>D1400*E1400</f>
        <v/>
      </c>
    </row>
    <row r="1401">
      <c r="A1401" s="13" t="inlineStr">
        <is>
          <t>0130</t>
        </is>
      </c>
      <c r="B1401" s="14" t="inlineStr">
        <is>
          <t>Mistry</t>
        </is>
      </c>
      <c r="C1401" s="13" t="inlineStr">
        <is>
          <t>day</t>
        </is>
      </c>
      <c r="D1401" s="15" t="n">
        <v>0.14</v>
      </c>
      <c r="E1401" s="16" t="n">
        <v>738</v>
      </c>
      <c r="F1401" s="16">
        <f>D1401*E1401</f>
        <v/>
      </c>
    </row>
    <row r="1402">
      <c r="A1402" s="13" t="inlineStr">
        <is>
          <t>0112</t>
        </is>
      </c>
      <c r="B1402" s="14" t="inlineStr">
        <is>
          <t>Carpenter 2nd class</t>
        </is>
      </c>
      <c r="C1402" s="13" t="inlineStr">
        <is>
          <t>day</t>
        </is>
      </c>
      <c r="D1402" s="15" t="n">
        <v>0.55</v>
      </c>
      <c r="E1402" s="16" t="n">
        <v>679</v>
      </c>
      <c r="F1402" s="16">
        <f>D1402*E1402</f>
        <v/>
      </c>
    </row>
    <row r="1403">
      <c r="A1403" s="13" t="inlineStr">
        <is>
          <t>0114</t>
        </is>
      </c>
      <c r="B1403" s="14" t="inlineStr">
        <is>
          <t>Beldar</t>
        </is>
      </c>
      <c r="C1403" s="13" t="inlineStr">
        <is>
          <t>day</t>
        </is>
      </c>
      <c r="D1403" s="15" t="n">
        <v>1.64</v>
      </c>
      <c r="E1403" s="16" t="n">
        <v>558</v>
      </c>
      <c r="F1403" s="16">
        <f>D1403*E1403</f>
        <v/>
      </c>
    </row>
    <row r="1404">
      <c r="A1404" s="17" t="inlineStr">
        <is>
          <t>Resource Total (Material + Labour + Machinery, as printed)</t>
        </is>
      </c>
      <c r="B1404" s="18" t="n"/>
      <c r="C1404" s="18" t="n"/>
      <c r="D1404" s="18" t="n"/>
      <c r="E1404" s="18" t="n"/>
      <c r="F1404" s="19">
        <f>SUM(F1398:F1403)</f>
        <v/>
      </c>
    </row>
    <row r="1405">
      <c r="A1405" s="20" t="inlineStr">
        <is>
          <t>SAY (Rs.) — final DAR rate</t>
        </is>
      </c>
      <c r="B1405" s="21" t="n"/>
      <c r="C1405" s="21" t="n"/>
      <c r="D1405" s="21" t="n"/>
      <c r="E1405" s="21" t="n"/>
      <c r="F1405" s="22" t="n">
        <v>416.3</v>
      </c>
    </row>
    <row r="1407" ht="18" customHeight="1">
      <c r="A1407" s="9" t="inlineStr">
        <is>
          <t>12.51.2</t>
        </is>
      </c>
      <c r="B1407" s="10" t="inlineStr">
        <is>
          <t>Flashings/ Aprons.( Upto 600 mm)</t>
        </is>
      </c>
      <c r="C1407" s="11" t="n"/>
      <c r="D1407" s="11" t="n"/>
      <c r="E1407" s="11" t="n"/>
      <c r="F1407" s="11" t="n"/>
    </row>
    <row r="1408">
      <c r="A1408" s="12" t="inlineStr">
        <is>
          <t>Rate basis: per nos  (source: cost for 1 nos)</t>
        </is>
      </c>
    </row>
    <row r="1409">
      <c r="A1409" s="5" t="inlineStr">
        <is>
          <t>Code</t>
        </is>
      </c>
      <c r="B1409" s="5" t="inlineStr">
        <is>
          <t>Description</t>
        </is>
      </c>
      <c r="C1409" s="5" t="inlineStr">
        <is>
          <t>Unit</t>
        </is>
      </c>
      <c r="D1409" s="5" t="inlineStr">
        <is>
          <t>Quantity</t>
        </is>
      </c>
      <c r="E1409" s="5" t="inlineStr">
        <is>
          <t>Rate (Rs.)</t>
        </is>
      </c>
      <c r="F1409" s="5" t="inlineStr">
        <is>
          <t>Amount (Rs.)</t>
        </is>
      </c>
    </row>
    <row r="1410">
      <c r="A1410" s="13" t="inlineStr">
        <is>
          <t>8673</t>
        </is>
      </c>
      <c r="B1410" s="14" t="inlineStr">
        <is>
          <t>Precoated galvanised steel flashings/ aprons 0.50mm TCT and wide upto 600 mm</t>
        </is>
      </c>
      <c r="C1410" s="13" t="inlineStr">
        <is>
          <t>metre</t>
        </is>
      </c>
      <c r="D1410" s="15" t="n">
        <v>23.11</v>
      </c>
      <c r="E1410" s="16" t="n">
        <v>210</v>
      </c>
      <c r="F1410" s="16">
        <f>D1410*E1410</f>
        <v/>
      </c>
    </row>
    <row r="1411">
      <c r="A1411" s="13" t="inlineStr">
        <is>
          <t>9977</t>
        </is>
      </c>
      <c r="B1411" s="14" t="inlineStr">
        <is>
          <t>Carriage of appron pieces. (The appron pieces are to be fixed with the same hooks as the sheets)</t>
        </is>
      </c>
      <c r="C1411" s="13" t="inlineStr">
        <is>
          <t>L.S.</t>
        </is>
      </c>
      <c r="D1411" s="15" t="n">
        <v>3.25</v>
      </c>
      <c r="E1411" s="16" t="n">
        <v>2</v>
      </c>
      <c r="F1411" s="16">
        <f>D1411*E1411</f>
        <v/>
      </c>
    </row>
    <row r="1412">
      <c r="A1412" s="13" t="inlineStr">
        <is>
          <t>9999</t>
        </is>
      </c>
      <c r="B1412" s="14" t="inlineStr">
        <is>
          <t>Sundries</t>
        </is>
      </c>
      <c r="C1412" s="13" t="inlineStr">
        <is>
          <t>L.S.</t>
        </is>
      </c>
      <c r="D1412" s="15" t="n">
        <v>3.25</v>
      </c>
      <c r="E1412" s="16" t="n">
        <v>2</v>
      </c>
      <c r="F1412" s="16">
        <f>D1412*E1412</f>
        <v/>
      </c>
    </row>
    <row r="1413">
      <c r="A1413" s="13" t="inlineStr">
        <is>
          <t>0130</t>
        </is>
      </c>
      <c r="B1413" s="14" t="inlineStr">
        <is>
          <t>Mistry</t>
        </is>
      </c>
      <c r="C1413" s="13" t="inlineStr">
        <is>
          <t>day</t>
        </is>
      </c>
      <c r="D1413" s="15" t="n">
        <v>0.07000000000000001</v>
      </c>
      <c r="E1413" s="16" t="n">
        <v>738</v>
      </c>
      <c r="F1413" s="16">
        <f>D1413*E1413</f>
        <v/>
      </c>
    </row>
    <row r="1414">
      <c r="A1414" s="13" t="inlineStr">
        <is>
          <t>0112</t>
        </is>
      </c>
      <c r="B1414" s="14" t="inlineStr">
        <is>
          <t>Carpenter 2nd class</t>
        </is>
      </c>
      <c r="C1414" s="13" t="inlineStr">
        <is>
          <t>day</t>
        </is>
      </c>
      <c r="D1414" s="15" t="n">
        <v>0.28</v>
      </c>
      <c r="E1414" s="16" t="n">
        <v>679</v>
      </c>
      <c r="F1414" s="16">
        <f>D1414*E1414</f>
        <v/>
      </c>
    </row>
    <row r="1415">
      <c r="A1415" s="13" t="inlineStr">
        <is>
          <t>0114</t>
        </is>
      </c>
      <c r="B1415" s="14" t="inlineStr">
        <is>
          <t>Beldar</t>
        </is>
      </c>
      <c r="C1415" s="13" t="inlineStr">
        <is>
          <t>day</t>
        </is>
      </c>
      <c r="D1415" s="15" t="n">
        <v>0.82</v>
      </c>
      <c r="E1415" s="16" t="n">
        <v>558</v>
      </c>
      <c r="F1415" s="16">
        <f>D1415*E1415</f>
        <v/>
      </c>
    </row>
    <row r="1416">
      <c r="A1416" s="17" t="inlineStr">
        <is>
          <t>Resource Total (Material + Labour + Machinery, as printed)</t>
        </is>
      </c>
      <c r="B1416" s="18" t="n"/>
      <c r="C1416" s="18" t="n"/>
      <c r="D1416" s="18" t="n"/>
      <c r="E1416" s="18" t="n"/>
      <c r="F1416" s="19">
        <f>SUM(F1410:F1415)</f>
        <v/>
      </c>
    </row>
    <row r="1417">
      <c r="A1417" s="20" t="inlineStr">
        <is>
          <t>SAY (Rs.) — final DAR rate</t>
        </is>
      </c>
      <c r="B1417" s="21" t="n"/>
      <c r="C1417" s="21" t="n"/>
      <c r="D1417" s="21" t="n"/>
      <c r="E1417" s="21" t="n"/>
      <c r="F1417" s="22" t="n">
        <v>368.6</v>
      </c>
    </row>
    <row r="1419" ht="18" customHeight="1">
      <c r="A1419" s="9" t="inlineStr">
        <is>
          <t>12.51.3</t>
        </is>
      </c>
      <c r="B1419" s="10" t="inlineStr">
        <is>
          <t>North light curves</t>
        </is>
      </c>
      <c r="C1419" s="11" t="n"/>
      <c r="D1419" s="11" t="n"/>
      <c r="E1419" s="11" t="n"/>
      <c r="F1419" s="11" t="n"/>
    </row>
    <row r="1420">
      <c r="A1420" s="12" t="inlineStr">
        <is>
          <t>Rate basis: per nos  (source: cost for 1 nos)</t>
        </is>
      </c>
    </row>
    <row r="1421">
      <c r="A1421" s="5" t="inlineStr">
        <is>
          <t>Code</t>
        </is>
      </c>
      <c r="B1421" s="5" t="inlineStr">
        <is>
          <t>Description</t>
        </is>
      </c>
      <c r="C1421" s="5" t="inlineStr">
        <is>
          <t>Unit</t>
        </is>
      </c>
      <c r="D1421" s="5" t="inlineStr">
        <is>
          <t>Quantity</t>
        </is>
      </c>
      <c r="E1421" s="5" t="inlineStr">
        <is>
          <t>Rate (Rs.)</t>
        </is>
      </c>
      <c r="F1421" s="5" t="inlineStr">
        <is>
          <t>Amount (Rs.)</t>
        </is>
      </c>
    </row>
    <row r="1422">
      <c r="A1422" s="13" t="inlineStr">
        <is>
          <t>8675</t>
        </is>
      </c>
      <c r="B1422" s="14" t="inlineStr">
        <is>
          <t>Precoated galvanised steel north light curves</t>
        </is>
      </c>
      <c r="C1422" s="13" t="inlineStr">
        <is>
          <t>metre</t>
        </is>
      </c>
      <c r="D1422" s="15" t="n">
        <v>23.11</v>
      </c>
      <c r="E1422" s="16" t="n">
        <v>230</v>
      </c>
      <c r="F1422" s="16">
        <f>D1422*E1422</f>
        <v/>
      </c>
    </row>
    <row r="1423">
      <c r="A1423" s="13" t="inlineStr">
        <is>
          <t>1023</t>
        </is>
      </c>
      <c r="B1423" s="14" t="inlineStr">
        <is>
          <t>Galvanised steel J or L hooks 8 mm dia</t>
        </is>
      </c>
      <c r="C1423" s="13" t="inlineStr">
        <is>
          <t>10 Nos</t>
        </is>
      </c>
      <c r="D1423" s="15" t="n">
        <v>4</v>
      </c>
      <c r="E1423" s="16" t="n">
        <v>120</v>
      </c>
      <c r="F1423" s="16">
        <f>D1423*E1423</f>
        <v/>
      </c>
    </row>
    <row r="1424">
      <c r="A1424" s="13" t="inlineStr">
        <is>
          <t>1209</t>
        </is>
      </c>
      <c r="B1424" s="14" t="inlineStr">
        <is>
          <t>G.I. plain washer thick</t>
        </is>
      </c>
      <c r="C1424" s="13" t="inlineStr">
        <is>
          <t>100 Nos</t>
        </is>
      </c>
      <c r="D1424" s="15" t="n">
        <v>0.4</v>
      </c>
      <c r="E1424" s="16" t="n">
        <v>35</v>
      </c>
      <c r="F1424" s="16">
        <f>D1424*E1424</f>
        <v/>
      </c>
    </row>
    <row r="1425">
      <c r="A1425" s="13" t="inlineStr">
        <is>
          <t>1208</t>
        </is>
      </c>
      <c r="B1425" s="14" t="inlineStr">
        <is>
          <t>Bitumen washer</t>
        </is>
      </c>
      <c r="C1425" s="13" t="inlineStr">
        <is>
          <t>100 Nos</t>
        </is>
      </c>
      <c r="D1425" s="15" t="n">
        <v>0.4</v>
      </c>
      <c r="E1425" s="16" t="n">
        <v>30</v>
      </c>
      <c r="F1425" s="16">
        <f>D1425*E1425</f>
        <v/>
      </c>
    </row>
    <row r="1426">
      <c r="A1426" s="13" t="inlineStr">
        <is>
          <t>9977</t>
        </is>
      </c>
      <c r="B1426" s="14" t="inlineStr">
        <is>
          <t>Carriage of hooks, nuts, washers and curves</t>
        </is>
      </c>
      <c r="C1426" s="13" t="inlineStr">
        <is>
          <t>L.S.</t>
        </is>
      </c>
      <c r="D1426" s="15" t="n">
        <v>9.880000000000001</v>
      </c>
      <c r="E1426" s="16" t="n">
        <v>2</v>
      </c>
      <c r="F1426" s="16">
        <f>D1426*E1426</f>
        <v/>
      </c>
    </row>
    <row r="1427">
      <c r="A1427" s="13" t="inlineStr">
        <is>
          <t>9999</t>
        </is>
      </c>
      <c r="B1427" s="14" t="inlineStr">
        <is>
          <t>Sundries</t>
        </is>
      </c>
      <c r="C1427" s="13" t="inlineStr">
        <is>
          <t>L.S.</t>
        </is>
      </c>
      <c r="D1427" s="15" t="n">
        <v>6.24</v>
      </c>
      <c r="E1427" s="16" t="n">
        <v>2</v>
      </c>
      <c r="F1427" s="16">
        <f>D1427*E1427</f>
        <v/>
      </c>
    </row>
    <row r="1428">
      <c r="A1428" s="13" t="inlineStr">
        <is>
          <t>0130</t>
        </is>
      </c>
      <c r="B1428" s="14" t="inlineStr">
        <is>
          <t>Mistry</t>
        </is>
      </c>
      <c r="C1428" s="13" t="inlineStr">
        <is>
          <t>day</t>
        </is>
      </c>
      <c r="D1428" s="15" t="n">
        <v>0.1</v>
      </c>
      <c r="E1428" s="16" t="n">
        <v>738</v>
      </c>
      <c r="F1428" s="16">
        <f>D1428*E1428</f>
        <v/>
      </c>
    </row>
    <row r="1429">
      <c r="A1429" s="13" t="inlineStr">
        <is>
          <t>0112</t>
        </is>
      </c>
      <c r="B1429" s="14" t="inlineStr">
        <is>
          <t>Carpenter 2nd class</t>
        </is>
      </c>
      <c r="C1429" s="13" t="inlineStr">
        <is>
          <t>day</t>
        </is>
      </c>
      <c r="D1429" s="15" t="n">
        <v>0.3</v>
      </c>
      <c r="E1429" s="16" t="n">
        <v>679</v>
      </c>
      <c r="F1429" s="16">
        <f>D1429*E1429</f>
        <v/>
      </c>
    </row>
    <row r="1430">
      <c r="A1430" s="13" t="inlineStr">
        <is>
          <t>0114</t>
        </is>
      </c>
      <c r="B1430" s="14" t="inlineStr">
        <is>
          <t>Beldar</t>
        </is>
      </c>
      <c r="C1430" s="13" t="inlineStr">
        <is>
          <t>day</t>
        </is>
      </c>
      <c r="D1430" s="15" t="n">
        <v>1</v>
      </c>
      <c r="E1430" s="16" t="n">
        <v>558</v>
      </c>
      <c r="F1430" s="16">
        <f>D1430*E1430</f>
        <v/>
      </c>
    </row>
    <row r="1431">
      <c r="A1431" s="17" t="inlineStr">
        <is>
          <t>Resource Total (Material + Labour + Machinery, as printed)</t>
        </is>
      </c>
      <c r="B1431" s="18" t="n"/>
      <c r="C1431" s="18" t="n"/>
      <c r="D1431" s="18" t="n"/>
      <c r="E1431" s="18" t="n"/>
      <c r="F1431" s="19">
        <f>SUM(F1422:F1430)</f>
        <v/>
      </c>
    </row>
    <row r="1432">
      <c r="A1432" s="20" t="inlineStr">
        <is>
          <t>SAY (Rs.) — final DAR rate</t>
        </is>
      </c>
      <c r="B1432" s="21" t="n"/>
      <c r="C1432" s="21" t="n"/>
      <c r="D1432" s="21" t="n"/>
      <c r="E1432" s="21" t="n"/>
      <c r="F1432" s="22" t="n">
        <v>443.05</v>
      </c>
    </row>
    <row r="1434" ht="18" customHeight="1">
      <c r="A1434" s="9" t="inlineStr">
        <is>
          <t>12.51.4</t>
        </is>
      </c>
      <c r="B1434" s="10" t="inlineStr">
        <is>
          <t>Barge board (Upto 300 mm)</t>
        </is>
      </c>
      <c r="C1434" s="11" t="n"/>
      <c r="D1434" s="11" t="n"/>
      <c r="E1434" s="11" t="n"/>
      <c r="F1434" s="11" t="n"/>
    </row>
    <row r="1435">
      <c r="A1435" s="12" t="inlineStr">
        <is>
          <t>Rate basis: per metres  (source: cost for 8.23 metres)</t>
        </is>
      </c>
    </row>
    <row r="1436">
      <c r="A1436" s="5" t="inlineStr">
        <is>
          <t>Code</t>
        </is>
      </c>
      <c r="B1436" s="5" t="inlineStr">
        <is>
          <t>Description</t>
        </is>
      </c>
      <c r="C1436" s="5" t="inlineStr">
        <is>
          <t>Unit</t>
        </is>
      </c>
      <c r="D1436" s="5" t="inlineStr">
        <is>
          <t>Quantity</t>
        </is>
      </c>
      <c r="E1436" s="5" t="inlineStr">
        <is>
          <t>Rate (Rs.)</t>
        </is>
      </c>
      <c r="F1436" s="5" t="inlineStr">
        <is>
          <t>Amount (Rs.)</t>
        </is>
      </c>
    </row>
    <row r="1437">
      <c r="A1437" s="13" t="inlineStr">
        <is>
          <t>8676</t>
        </is>
      </c>
      <c r="B1437" s="14" t="inlineStr">
        <is>
          <t>Precoated galvanised steel barge board</t>
        </is>
      </c>
      <c r="C1437" s="13" t="inlineStr">
        <is>
          <t>metre</t>
        </is>
      </c>
      <c r="D1437" s="15" t="n">
        <v>8.640000000000001</v>
      </c>
      <c r="E1437" s="16" t="n">
        <v>215</v>
      </c>
      <c r="F1437" s="16">
        <f>D1437*E1437</f>
        <v/>
      </c>
    </row>
    <row r="1438">
      <c r="A1438" s="13" t="inlineStr">
        <is>
          <t>0222</t>
        </is>
      </c>
      <c r="B1438" s="14" t="inlineStr">
        <is>
          <t>Seam bolts and nuts 6 mm dia and 25 mm long</t>
        </is>
      </c>
      <c r="C1438" s="13" t="inlineStr">
        <is>
          <t>10 Nos</t>
        </is>
      </c>
      <c r="D1438" s="15" t="n">
        <v>0.5</v>
      </c>
      <c r="E1438" s="16" t="n">
        <v>10</v>
      </c>
      <c r="F1438" s="16">
        <f>D1438*E1438</f>
        <v/>
      </c>
    </row>
    <row r="1439">
      <c r="A1439" s="13" t="inlineStr">
        <is>
          <t>1211</t>
        </is>
      </c>
      <c r="B1439" s="14" t="inlineStr">
        <is>
          <t>G.I. plain washer for seam bolts</t>
        </is>
      </c>
      <c r="C1439" s="13" t="inlineStr">
        <is>
          <t>100 Nos</t>
        </is>
      </c>
      <c r="D1439" s="15" t="n">
        <v>0.1</v>
      </c>
      <c r="E1439" s="16" t="n">
        <v>32</v>
      </c>
      <c r="F1439" s="16">
        <f>D1439*E1439</f>
        <v/>
      </c>
    </row>
    <row r="1440">
      <c r="A1440" s="13" t="inlineStr">
        <is>
          <t>1208</t>
        </is>
      </c>
      <c r="B1440" s="14" t="inlineStr">
        <is>
          <t>Bitumen washer</t>
        </is>
      </c>
      <c r="C1440" s="13" t="inlineStr">
        <is>
          <t>100 Nos</t>
        </is>
      </c>
      <c r="D1440" s="15" t="n">
        <v>0.05</v>
      </c>
      <c r="E1440" s="16" t="n">
        <v>30</v>
      </c>
      <c r="F1440" s="16">
        <f>D1440*E1440</f>
        <v/>
      </c>
    </row>
    <row r="1441">
      <c r="A1441" s="13" t="inlineStr">
        <is>
          <t>9977</t>
        </is>
      </c>
      <c r="B1441" s="14" t="inlineStr">
        <is>
          <t>Carriage of barge boards, bolts, nuts and washers</t>
        </is>
      </c>
      <c r="C1441" s="13" t="inlineStr">
        <is>
          <t>L.S.</t>
        </is>
      </c>
      <c r="D1441" s="15" t="n">
        <v>9.359999999999999</v>
      </c>
      <c r="E1441" s="16" t="n">
        <v>2</v>
      </c>
      <c r="F1441" s="16">
        <f>D1441*E1441</f>
        <v/>
      </c>
    </row>
    <row r="1442">
      <c r="A1442" s="13" t="inlineStr">
        <is>
          <t>9999</t>
        </is>
      </c>
      <c r="B1442" s="14" t="inlineStr">
        <is>
          <t>Sundries</t>
        </is>
      </c>
      <c r="C1442" s="13" t="inlineStr">
        <is>
          <t>L.S.</t>
        </is>
      </c>
      <c r="D1442" s="15" t="n">
        <v>6.76</v>
      </c>
      <c r="E1442" s="16" t="n">
        <v>2</v>
      </c>
      <c r="F1442" s="16">
        <f>D1442*E1442</f>
        <v/>
      </c>
    </row>
    <row r="1443">
      <c r="A1443" s="13" t="inlineStr">
        <is>
          <t>0130</t>
        </is>
      </c>
      <c r="B1443" s="14" t="inlineStr">
        <is>
          <t>Mistry</t>
        </is>
      </c>
      <c r="C1443" s="13" t="inlineStr">
        <is>
          <t>day</t>
        </is>
      </c>
      <c r="D1443" s="15" t="n">
        <v>0.04</v>
      </c>
      <c r="E1443" s="16" t="n">
        <v>738</v>
      </c>
      <c r="F1443" s="16">
        <f>D1443*E1443</f>
        <v/>
      </c>
    </row>
    <row r="1444">
      <c r="A1444" s="13" t="inlineStr">
        <is>
          <t>0112</t>
        </is>
      </c>
      <c r="B1444" s="14" t="inlineStr">
        <is>
          <t>Carpenter 2nd class</t>
        </is>
      </c>
      <c r="C1444" s="13" t="inlineStr">
        <is>
          <t>day</t>
        </is>
      </c>
      <c r="D1444" s="15" t="n">
        <v>0.06</v>
      </c>
      <c r="E1444" s="16" t="n">
        <v>679</v>
      </c>
      <c r="F1444" s="16">
        <f>D1444*E1444</f>
        <v/>
      </c>
    </row>
    <row r="1445">
      <c r="A1445" s="13" t="inlineStr">
        <is>
          <t>0114</t>
        </is>
      </c>
      <c r="B1445" s="14" t="inlineStr">
        <is>
          <t>Beldar</t>
        </is>
      </c>
      <c r="C1445" s="13" t="inlineStr">
        <is>
          <t>day</t>
        </is>
      </c>
      <c r="D1445" s="15" t="n">
        <v>0.4</v>
      </c>
      <c r="E1445" s="16" t="n">
        <v>558</v>
      </c>
      <c r="F1445" s="16">
        <f>D1445*E1445</f>
        <v/>
      </c>
    </row>
    <row r="1446">
      <c r="A1446" s="17" t="inlineStr">
        <is>
          <t>Resource Total (Material + Labour + Machinery, as printed)</t>
        </is>
      </c>
      <c r="B1446" s="18" t="n"/>
      <c r="C1446" s="18" t="n"/>
      <c r="D1446" s="18" t="n"/>
      <c r="E1446" s="18" t="n"/>
      <c r="F1446" s="19">
        <f>SUM(F1437:F1445)</f>
        <v/>
      </c>
    </row>
    <row r="1447">
      <c r="A1447" s="20" t="inlineStr">
        <is>
          <t>SAY (Rs.) — final DAR rate</t>
        </is>
      </c>
      <c r="B1447" s="21" t="n"/>
      <c r="C1447" s="21" t="n"/>
      <c r="D1447" s="21" t="n"/>
      <c r="E1447" s="21" t="n"/>
      <c r="F1447" s="22" t="n">
        <v>355.8</v>
      </c>
    </row>
    <row r="1449" ht="18" customHeight="1">
      <c r="A1449" s="9" t="inlineStr">
        <is>
          <t>12.51.5</t>
        </is>
      </c>
      <c r="B1449" s="10" t="inlineStr">
        <is>
          <t>Crimp curve</t>
        </is>
      </c>
      <c r="C1449" s="11" t="n"/>
      <c r="D1449" s="11" t="n"/>
      <c r="E1449" s="11" t="n"/>
      <c r="F1449" s="11" t="n"/>
    </row>
    <row r="1450">
      <c r="A1450" s="12" t="inlineStr">
        <is>
          <t>Rate basis: per nos  (source: cost for 1 nos)</t>
        </is>
      </c>
    </row>
    <row r="1451">
      <c r="A1451" s="5" t="inlineStr">
        <is>
          <t>Code</t>
        </is>
      </c>
      <c r="B1451" s="5" t="inlineStr">
        <is>
          <t>Description</t>
        </is>
      </c>
      <c r="C1451" s="5" t="inlineStr">
        <is>
          <t>Unit</t>
        </is>
      </c>
      <c r="D1451" s="5" t="inlineStr">
        <is>
          <t>Quantity</t>
        </is>
      </c>
      <c r="E1451" s="5" t="inlineStr">
        <is>
          <t>Rate (Rs.)</t>
        </is>
      </c>
      <c r="F1451" s="5" t="inlineStr">
        <is>
          <t>Amount (Rs.)</t>
        </is>
      </c>
    </row>
    <row r="1452">
      <c r="A1452" s="13" t="inlineStr">
        <is>
          <t>8677</t>
        </is>
      </c>
      <c r="B1452" s="14" t="inlineStr">
        <is>
          <t>Precoated galvanised steel crimp curve</t>
        </is>
      </c>
      <c r="C1452" s="13" t="inlineStr">
        <is>
          <t>sqm</t>
        </is>
      </c>
      <c r="D1452" s="15" t="n">
        <v>22.483</v>
      </c>
      <c r="E1452" s="16" t="n">
        <v>230</v>
      </c>
      <c r="F1452" s="16">
        <f>D1452*E1452</f>
        <v/>
      </c>
    </row>
    <row r="1453">
      <c r="A1453" s="13" t="inlineStr">
        <is>
          <t>1023</t>
        </is>
      </c>
      <c r="B1453" s="14" t="inlineStr">
        <is>
          <t>Galvanised steel J or L hooks 8 mm dia</t>
        </is>
      </c>
      <c r="C1453" s="13" t="inlineStr">
        <is>
          <t>10 Nos</t>
        </is>
      </c>
      <c r="D1453" s="15" t="n">
        <v>4</v>
      </c>
      <c r="E1453" s="16" t="n">
        <v>120</v>
      </c>
      <c r="F1453" s="16">
        <f>D1453*E1453</f>
        <v/>
      </c>
    </row>
    <row r="1454">
      <c r="A1454" s="13" t="inlineStr">
        <is>
          <t>1209</t>
        </is>
      </c>
      <c r="B1454" s="14" t="inlineStr">
        <is>
          <t>G.I. plain washer thick</t>
        </is>
      </c>
      <c r="C1454" s="13" t="inlineStr">
        <is>
          <t>100 Nos</t>
        </is>
      </c>
      <c r="D1454" s="15" t="n">
        <v>0.4</v>
      </c>
      <c r="E1454" s="16" t="n">
        <v>35</v>
      </c>
      <c r="F1454" s="16">
        <f>D1454*E1454</f>
        <v/>
      </c>
    </row>
    <row r="1455">
      <c r="A1455" s="13" t="inlineStr">
        <is>
          <t>1208</t>
        </is>
      </c>
      <c r="B1455" s="14" t="inlineStr">
        <is>
          <t>Bitumen washer</t>
        </is>
      </c>
      <c r="C1455" s="13" t="inlineStr">
        <is>
          <t>100 Nos</t>
        </is>
      </c>
      <c r="D1455" s="15" t="n">
        <v>0.4</v>
      </c>
      <c r="E1455" s="16" t="n">
        <v>30</v>
      </c>
      <c r="F1455" s="16">
        <f>D1455*E1455</f>
        <v/>
      </c>
    </row>
    <row r="1456">
      <c r="A1456" s="13" t="inlineStr">
        <is>
          <t>9977</t>
        </is>
      </c>
      <c r="B1456" s="14" t="inlineStr">
        <is>
          <t>Carriage of hooks, nuts, washers and curves</t>
        </is>
      </c>
      <c r="C1456" s="13" t="inlineStr">
        <is>
          <t>L.S.</t>
        </is>
      </c>
      <c r="D1456" s="15" t="n">
        <v>9.880000000000001</v>
      </c>
      <c r="E1456" s="16" t="n">
        <v>2</v>
      </c>
      <c r="F1456" s="16">
        <f>D1456*E1456</f>
        <v/>
      </c>
    </row>
    <row r="1457">
      <c r="A1457" s="13" t="inlineStr">
        <is>
          <t>9999</t>
        </is>
      </c>
      <c r="B1457" s="14" t="inlineStr">
        <is>
          <t>Sundries</t>
        </is>
      </c>
      <c r="C1457" s="13" t="inlineStr">
        <is>
          <t>L.S.</t>
        </is>
      </c>
      <c r="D1457" s="15" t="n">
        <v>6.24</v>
      </c>
      <c r="E1457" s="16" t="n">
        <v>2</v>
      </c>
      <c r="F1457" s="16">
        <f>D1457*E1457</f>
        <v/>
      </c>
    </row>
    <row r="1458">
      <c r="A1458" s="13" t="inlineStr">
        <is>
          <t>0130</t>
        </is>
      </c>
      <c r="B1458" s="14" t="inlineStr">
        <is>
          <t>Mistry</t>
        </is>
      </c>
      <c r="C1458" s="13" t="inlineStr">
        <is>
          <t>day</t>
        </is>
      </c>
      <c r="D1458" s="15" t="n">
        <v>0.1</v>
      </c>
      <c r="E1458" s="16" t="n">
        <v>738</v>
      </c>
      <c r="F1458" s="16">
        <f>D1458*E1458</f>
        <v/>
      </c>
    </row>
    <row r="1459">
      <c r="A1459" s="13" t="inlineStr">
        <is>
          <t>0112</t>
        </is>
      </c>
      <c r="B1459" s="14" t="inlineStr">
        <is>
          <t>Carpenter 2nd class</t>
        </is>
      </c>
      <c r="C1459" s="13" t="inlineStr">
        <is>
          <t>day</t>
        </is>
      </c>
      <c r="D1459" s="15" t="n">
        <v>0.3</v>
      </c>
      <c r="E1459" s="16" t="n">
        <v>679</v>
      </c>
      <c r="F1459" s="16">
        <f>D1459*E1459</f>
        <v/>
      </c>
    </row>
    <row r="1460">
      <c r="A1460" s="13" t="inlineStr">
        <is>
          <t>0114</t>
        </is>
      </c>
      <c r="B1460" s="14" t="inlineStr">
        <is>
          <t>Beldar</t>
        </is>
      </c>
      <c r="C1460" s="13" t="inlineStr">
        <is>
          <t>day</t>
        </is>
      </c>
      <c r="D1460" s="15" t="n">
        <v>1</v>
      </c>
      <c r="E1460" s="16" t="n">
        <v>558</v>
      </c>
      <c r="F1460" s="16">
        <f>D1460*E1460</f>
        <v/>
      </c>
    </row>
    <row r="1461">
      <c r="A1461" s="17" t="inlineStr">
        <is>
          <t>Resource Total (Material + Labour + Machinery, as printed)</t>
        </is>
      </c>
      <c r="B1461" s="18" t="n"/>
      <c r="C1461" s="18" t="n"/>
      <c r="D1461" s="18" t="n"/>
      <c r="E1461" s="18" t="n"/>
      <c r="F1461" s="19">
        <f>SUM(F1452:F1460)</f>
        <v/>
      </c>
    </row>
    <row r="1462">
      <c r="A1462" s="20" t="inlineStr">
        <is>
          <t>SAY (Rs.) — final DAR rate</t>
        </is>
      </c>
      <c r="B1462" s="21" t="n"/>
      <c r="C1462" s="21" t="n"/>
      <c r="D1462" s="21" t="n"/>
      <c r="E1462" s="21" t="n"/>
      <c r="F1462" s="22" t="n">
        <v>408.95</v>
      </c>
    </row>
    <row r="1464" ht="18" customHeight="1">
      <c r="A1464" s="9" t="inlineStr">
        <is>
          <t>12.51.6</t>
        </is>
      </c>
      <c r="B1464" s="10" t="inlineStr">
        <is>
          <t>Gutter (600 mm over all girth)</t>
        </is>
      </c>
      <c r="C1464" s="11" t="n"/>
      <c r="D1464" s="11" t="n"/>
      <c r="E1464" s="11" t="n"/>
      <c r="F1464" s="11" t="n"/>
    </row>
    <row r="1465">
      <c r="A1465" s="12" t="inlineStr">
        <is>
          <t>Rate basis: per metre  (source: cost for 10 metre)</t>
        </is>
      </c>
    </row>
    <row r="1466">
      <c r="A1466" s="5" t="inlineStr">
        <is>
          <t>Code</t>
        </is>
      </c>
      <c r="B1466" s="5" t="inlineStr">
        <is>
          <t>Description</t>
        </is>
      </c>
      <c r="C1466" s="5" t="inlineStr">
        <is>
          <t>Unit</t>
        </is>
      </c>
      <c r="D1466" s="5" t="inlineStr">
        <is>
          <t>Quantity</t>
        </is>
      </c>
      <c r="E1466" s="5" t="inlineStr">
        <is>
          <t>Rate (Rs.)</t>
        </is>
      </c>
      <c r="F1466" s="5" t="inlineStr">
        <is>
          <t>Amount (Rs.)</t>
        </is>
      </c>
    </row>
    <row r="1467">
      <c r="A1467" s="13" t="inlineStr">
        <is>
          <t>8674</t>
        </is>
      </c>
      <c r="B1467" s="14" t="inlineStr">
        <is>
          <t>Precoated galvanised steel gutter</t>
        </is>
      </c>
      <c r="C1467" s="13" t="inlineStr">
        <is>
          <t>metre</t>
        </is>
      </c>
      <c r="D1467" s="15" t="n">
        <v>10</v>
      </c>
      <c r="E1467" s="16" t="n">
        <v>420</v>
      </c>
      <c r="F1467" s="16">
        <f>D1467*E1467</f>
        <v/>
      </c>
    </row>
    <row r="1468">
      <c r="A1468" s="13" t="inlineStr">
        <is>
          <t>9977</t>
        </is>
      </c>
      <c r="B1468" s="14" t="inlineStr">
        <is>
          <t>Carriage of gutter</t>
        </is>
      </c>
      <c r="C1468" s="13" t="inlineStr">
        <is>
          <t>L.S.</t>
        </is>
      </c>
      <c r="D1468" s="15" t="n">
        <v>1.04</v>
      </c>
      <c r="E1468" s="16" t="n">
        <v>2</v>
      </c>
      <c r="F1468" s="16">
        <f>D1468*E1468</f>
        <v/>
      </c>
    </row>
    <row r="1469">
      <c r="A1469" s="13" t="inlineStr">
        <is>
          <t>1008</t>
        </is>
      </c>
      <c r="B1469" s="14" t="inlineStr">
        <is>
          <t>Flats upto 10 mm in thickness</t>
        </is>
      </c>
      <c r="C1469" s="13" t="inlineStr">
        <is>
          <t>quintal</t>
        </is>
      </c>
      <c r="D1469" s="15" t="n">
        <v>0.07489999999999999</v>
      </c>
      <c r="E1469" s="16" t="n">
        <v>4500</v>
      </c>
      <c r="F1469" s="16">
        <f>D1469*E1469</f>
        <v/>
      </c>
    </row>
    <row r="1470">
      <c r="A1470" s="13" t="inlineStr">
        <is>
          <t>1022</t>
        </is>
      </c>
      <c r="B1470" s="14" t="inlineStr">
        <is>
          <t>Galvanised steel bolts &amp; nuts 6 mm dia and 25 mmlong round head with slots</t>
        </is>
      </c>
      <c r="C1470" s="13" t="inlineStr">
        <is>
          <t>10 Nos</t>
        </is>
      </c>
      <c r="D1470" s="15" t="n">
        <v>2</v>
      </c>
      <c r="E1470" s="16" t="n">
        <v>38</v>
      </c>
      <c r="F1470" s="16">
        <f>D1470*E1470</f>
        <v/>
      </c>
    </row>
    <row r="1471">
      <c r="A1471" s="13" t="inlineStr">
        <is>
          <t>1024</t>
        </is>
      </c>
      <c r="B1471" s="14" t="inlineStr">
        <is>
          <t>Galvanised steel bolts &amp; nuts 10 mm dia and 125 mm long round head with slots</t>
        </is>
      </c>
      <c r="C1471" s="13" t="inlineStr">
        <is>
          <t>each</t>
        </is>
      </c>
      <c r="D1471" s="15" t="n">
        <v>30</v>
      </c>
      <c r="E1471" s="16" t="n">
        <v>9</v>
      </c>
      <c r="F1471" s="16">
        <f>D1471*E1471</f>
        <v/>
      </c>
    </row>
    <row r="1472">
      <c r="A1472" s="13" t="inlineStr">
        <is>
          <t>1210</t>
        </is>
      </c>
      <c r="B1472" s="14" t="inlineStr">
        <is>
          <t>G.I. plain washer thin</t>
        </is>
      </c>
      <c r="C1472" s="13" t="inlineStr">
        <is>
          <t>100 Nos</t>
        </is>
      </c>
      <c r="D1472" s="15" t="n">
        <v>0.7</v>
      </c>
      <c r="E1472" s="16" t="n">
        <v>21</v>
      </c>
      <c r="F1472" s="16">
        <f>D1472*E1472</f>
        <v/>
      </c>
    </row>
    <row r="1473">
      <c r="A1473" s="13" t="inlineStr">
        <is>
          <t>1208</t>
        </is>
      </c>
      <c r="B1473" s="14" t="inlineStr">
        <is>
          <t>Bitumen washer</t>
        </is>
      </c>
      <c r="C1473" s="13" t="inlineStr">
        <is>
          <t>100 Nos</t>
        </is>
      </c>
      <c r="D1473" s="15" t="n">
        <v>0.4</v>
      </c>
      <c r="E1473" s="16" t="n">
        <v>30</v>
      </c>
      <c r="F1473" s="16">
        <f>D1473*E1473</f>
        <v/>
      </c>
    </row>
    <row r="1474">
      <c r="A1474" s="13" t="inlineStr">
        <is>
          <t>9977</t>
        </is>
      </c>
      <c r="B1474" s="14" t="inlineStr">
        <is>
          <t>Carriage of G.I. seam bolts and washers</t>
        </is>
      </c>
      <c r="C1474" s="13" t="inlineStr">
        <is>
          <t>L.S.</t>
        </is>
      </c>
      <c r="D1474" s="15" t="n">
        <v>2.73</v>
      </c>
      <c r="E1474" s="16" t="n">
        <v>2</v>
      </c>
      <c r="F1474" s="16">
        <f>D1474*E1474</f>
        <v/>
      </c>
    </row>
    <row r="1475">
      <c r="A1475" s="13" t="inlineStr">
        <is>
          <t>9999</t>
        </is>
      </c>
      <c r="B1475" s="14" t="inlineStr">
        <is>
          <t>Sundries</t>
        </is>
      </c>
      <c r="C1475" s="13" t="inlineStr">
        <is>
          <t>L.S.</t>
        </is>
      </c>
      <c r="D1475" s="15" t="n">
        <v>5.33</v>
      </c>
      <c r="E1475" s="16" t="n">
        <v>2</v>
      </c>
      <c r="F1475" s="16">
        <f>D1475*E1475</f>
        <v/>
      </c>
    </row>
    <row r="1476">
      <c r="A1476" s="13" t="inlineStr">
        <is>
          <t>0102</t>
        </is>
      </c>
      <c r="B1476" s="14" t="inlineStr">
        <is>
          <t>Blacksmith 1st class</t>
        </is>
      </c>
      <c r="C1476" s="13" t="inlineStr">
        <is>
          <t>day</t>
        </is>
      </c>
      <c r="D1476" s="15" t="n">
        <v>0.5</v>
      </c>
      <c r="E1476" s="16" t="n">
        <v>738</v>
      </c>
      <c r="F1476" s="16">
        <f>D1476*E1476</f>
        <v/>
      </c>
    </row>
    <row r="1477">
      <c r="A1477" s="13" t="inlineStr">
        <is>
          <t>0114</t>
        </is>
      </c>
      <c r="B1477" s="14" t="inlineStr">
        <is>
          <t>Beldar</t>
        </is>
      </c>
      <c r="C1477" s="13" t="inlineStr">
        <is>
          <t>day</t>
        </is>
      </c>
      <c r="D1477" s="15" t="n">
        <v>0.5</v>
      </c>
      <c r="E1477" s="16" t="n">
        <v>558</v>
      </c>
      <c r="F1477" s="16">
        <f>D1477*E1477</f>
        <v/>
      </c>
    </row>
    <row r="1478">
      <c r="A1478" s="13" t="inlineStr">
        <is>
          <t>9999</t>
        </is>
      </c>
      <c r="B1478" s="14" t="inlineStr">
        <is>
          <t>Sundries</t>
        </is>
      </c>
      <c r="C1478" s="13" t="inlineStr">
        <is>
          <t>L.S.</t>
        </is>
      </c>
      <c r="D1478" s="15" t="n">
        <v>12.61</v>
      </c>
      <c r="E1478" s="16" t="n">
        <v>2</v>
      </c>
      <c r="F1478" s="16">
        <f>D1478*E1478</f>
        <v/>
      </c>
    </row>
    <row r="1479">
      <c r="A1479" s="13" t="inlineStr">
        <is>
          <t>0130</t>
        </is>
      </c>
      <c r="B1479" s="14" t="inlineStr">
        <is>
          <t>Mistry</t>
        </is>
      </c>
      <c r="C1479" s="13" t="inlineStr">
        <is>
          <t>day</t>
        </is>
      </c>
      <c r="D1479" s="15" t="n">
        <v>0.28</v>
      </c>
      <c r="E1479" s="16" t="n">
        <v>738</v>
      </c>
      <c r="F1479" s="16">
        <f>D1479*E1479</f>
        <v/>
      </c>
    </row>
    <row r="1480">
      <c r="A1480" s="13" t="inlineStr">
        <is>
          <t>0102</t>
        </is>
      </c>
      <c r="B1480" s="14" t="inlineStr">
        <is>
          <t>Blacksmith 1st class</t>
        </is>
      </c>
      <c r="C1480" s="13" t="inlineStr">
        <is>
          <t>day</t>
        </is>
      </c>
      <c r="D1480" s="15" t="n">
        <v>0.84</v>
      </c>
      <c r="E1480" s="16" t="n">
        <v>738</v>
      </c>
      <c r="F1480" s="16">
        <f>D1480*E1480</f>
        <v/>
      </c>
    </row>
    <row r="1481">
      <c r="A1481" s="13" t="inlineStr">
        <is>
          <t>0112</t>
        </is>
      </c>
      <c r="B1481" s="14" t="inlineStr">
        <is>
          <t>Carpenter 2nd class</t>
        </is>
      </c>
      <c r="C1481" s="13" t="inlineStr">
        <is>
          <t>day</t>
        </is>
      </c>
      <c r="D1481" s="15" t="n">
        <v>0.62</v>
      </c>
      <c r="E1481" s="16" t="n">
        <v>679</v>
      </c>
      <c r="F1481" s="16">
        <f>D1481*E1481</f>
        <v/>
      </c>
    </row>
    <row r="1482">
      <c r="A1482" s="13" t="inlineStr">
        <is>
          <t>0114</t>
        </is>
      </c>
      <c r="B1482" s="14" t="inlineStr">
        <is>
          <t>Beldar</t>
        </is>
      </c>
      <c r="C1482" s="13" t="inlineStr">
        <is>
          <t>day</t>
        </is>
      </c>
      <c r="D1482" s="15" t="n">
        <v>1.68</v>
      </c>
      <c r="E1482" s="16" t="n">
        <v>558</v>
      </c>
      <c r="F1482" s="16">
        <f>D1482*E1482</f>
        <v/>
      </c>
    </row>
    <row r="1483">
      <c r="A1483" s="17" t="inlineStr">
        <is>
          <t>Resource Total (Material + Labour + Machinery, as printed)</t>
        </is>
      </c>
      <c r="B1483" s="18" t="n"/>
      <c r="C1483" s="18" t="n"/>
      <c r="D1483" s="18" t="n"/>
      <c r="E1483" s="18" t="n"/>
      <c r="F1483" s="19">
        <f>SUM(F1467:F1482)</f>
        <v/>
      </c>
    </row>
    <row r="1484">
      <c r="A1484" s="20" t="inlineStr">
        <is>
          <t>SAY (Rs.) — final DAR rate</t>
        </is>
      </c>
      <c r="B1484" s="21" t="n"/>
      <c r="C1484" s="21" t="n"/>
      <c r="D1484" s="21" t="n"/>
      <c r="E1484" s="21" t="n"/>
      <c r="F1484" s="22" t="n">
        <v>1041.75</v>
      </c>
    </row>
    <row r="1486" ht="28" customHeight="1">
      <c r="A1486" s="9" t="inlineStr">
        <is>
          <t>12.52.1</t>
        </is>
      </c>
      <c r="B1486" s="10" t="inlineStr">
        <is>
          <t>GI Metal Ceiling Lay in plain Tegular edge Global white color tiles of size 595x595 mm, and 0.5 mm thick with 8 mm drop; made of G I sheet h</t>
        </is>
      </c>
      <c r="C1486" s="11" t="n"/>
      <c r="D1486" s="11" t="n"/>
      <c r="E1486" s="11" t="n"/>
      <c r="F1486" s="11" t="n"/>
    </row>
    <row r="1487">
      <c r="A1487" s="12" t="inlineStr">
        <is>
          <t>Rate basis: per sqm  (source: cost for 100 sqm)</t>
        </is>
      </c>
    </row>
    <row r="1488">
      <c r="A1488" s="5" t="inlineStr">
        <is>
          <t>Code</t>
        </is>
      </c>
      <c r="B1488" s="5" t="inlineStr">
        <is>
          <t>Description</t>
        </is>
      </c>
      <c r="C1488" s="5" t="inlineStr">
        <is>
          <t>Unit</t>
        </is>
      </c>
      <c r="D1488" s="5" t="inlineStr">
        <is>
          <t>Quantity</t>
        </is>
      </c>
      <c r="E1488" s="5" t="inlineStr">
        <is>
          <t>Rate (Rs.)</t>
        </is>
      </c>
      <c r="F1488" s="5" t="inlineStr">
        <is>
          <t>Amount (Rs.)</t>
        </is>
      </c>
    </row>
    <row r="1489">
      <c r="A1489" s="13" t="inlineStr">
        <is>
          <t>8599</t>
        </is>
      </c>
      <c r="B1489" s="14" t="inlineStr">
        <is>
          <t>GI Metal Tile Lay-in Plain Tegular edge global white color tiles of Size 595x595mm and 0.5 mm thick</t>
        </is>
      </c>
      <c r="C1489" s="13" t="inlineStr">
        <is>
          <t>sqm</t>
        </is>
      </c>
      <c r="D1489" s="15" t="n">
        <v>105</v>
      </c>
      <c r="E1489" s="16" t="n">
        <v>612</v>
      </c>
      <c r="F1489" s="16">
        <f>D1489*E1489</f>
        <v/>
      </c>
    </row>
    <row r="1490">
      <c r="A1490" s="13" t="inlineStr">
        <is>
          <t>8611</t>
        </is>
      </c>
      <c r="B1490" s="14" t="inlineStr">
        <is>
          <t>Main T ceiling sections 24x38x0.3 mm (3 metre long)</t>
        </is>
      </c>
      <c r="C1490" s="13" t="inlineStr">
        <is>
          <t>each</t>
        </is>
      </c>
      <c r="D1490" s="15" t="n">
        <v>29.5</v>
      </c>
      <c r="E1490" s="16" t="n">
        <v>115</v>
      </c>
      <c r="F1490" s="16">
        <f>D1490*E1490</f>
        <v/>
      </c>
    </row>
    <row r="1491">
      <c r="A1491" s="13" t="inlineStr">
        <is>
          <t>8612</t>
        </is>
      </c>
      <c r="B1491" s="14" t="inlineStr">
        <is>
          <t>Perimeter wall angle 24x24x0.3mm (3 metre long)</t>
        </is>
      </c>
      <c r="C1491" s="13" t="inlineStr">
        <is>
          <t>each</t>
        </is>
      </c>
      <c r="D1491" s="15" t="n">
        <v>13.5</v>
      </c>
      <c r="E1491" s="16" t="n">
        <v>80</v>
      </c>
      <c r="F1491" s="16">
        <f>D1491*E1491</f>
        <v/>
      </c>
    </row>
    <row r="1492">
      <c r="A1492" s="13" t="inlineStr">
        <is>
          <t>8613</t>
        </is>
      </c>
      <c r="B1492" s="14" t="inlineStr">
        <is>
          <t>Intermediate cross T-section 24x25x 0.3mm (1.2 mtrs long)</t>
        </is>
      </c>
      <c r="C1492" s="13" t="inlineStr">
        <is>
          <t>each</t>
        </is>
      </c>
      <c r="D1492" s="15" t="n">
        <v>147</v>
      </c>
      <c r="E1492" s="16" t="n">
        <v>35</v>
      </c>
      <c r="F1492" s="16">
        <f>D1492*E1492</f>
        <v/>
      </c>
    </row>
    <row r="1493">
      <c r="A1493" s="13" t="inlineStr">
        <is>
          <t>8614</t>
        </is>
      </c>
      <c r="B1493" s="14" t="inlineStr">
        <is>
          <t>Intermediate cross T-section 24x25x 0.3mm (0.6 mtrs long)</t>
        </is>
      </c>
      <c r="C1493" s="13" t="inlineStr">
        <is>
          <t>each</t>
        </is>
      </c>
      <c r="D1493" s="15" t="n">
        <v>147</v>
      </c>
      <c r="E1493" s="16" t="n">
        <v>17</v>
      </c>
      <c r="F1493" s="16">
        <f>D1493*E1493</f>
        <v/>
      </c>
    </row>
    <row r="1494">
      <c r="A1494" s="13" t="inlineStr">
        <is>
          <t>8615</t>
        </is>
      </c>
      <c r="B1494" s="14" t="inlineStr">
        <is>
          <t>Hanger rod 4 mm thick</t>
        </is>
      </c>
      <c r="C1494" s="13" t="inlineStr">
        <is>
          <t>each</t>
        </is>
      </c>
      <c r="D1494" s="15" t="n">
        <v>72</v>
      </c>
      <c r="E1494" s="16" t="n">
        <v>8</v>
      </c>
      <c r="F1494" s="16">
        <f>D1494*E1494</f>
        <v/>
      </c>
    </row>
    <row r="1495">
      <c r="A1495" s="13" t="inlineStr">
        <is>
          <t>8616</t>
        </is>
      </c>
      <c r="B1495" s="14" t="inlineStr">
        <is>
          <t>Adjustment clip 85x30x0.8mm</t>
        </is>
      </c>
      <c r="C1495" s="13" t="inlineStr">
        <is>
          <t>each</t>
        </is>
      </c>
      <c r="D1495" s="15" t="n">
        <v>72</v>
      </c>
      <c r="E1495" s="16" t="n">
        <v>5</v>
      </c>
      <c r="F1495" s="16">
        <f>D1495*E1495</f>
        <v/>
      </c>
    </row>
    <row r="1496">
      <c r="A1496" s="13" t="inlineStr">
        <is>
          <t>8617</t>
        </is>
      </c>
      <c r="B1496" s="14" t="inlineStr">
        <is>
          <t>Soffit cleat (Size 27x37x25x1.60mm)</t>
        </is>
      </c>
      <c r="C1496" s="13" t="inlineStr">
        <is>
          <t>each</t>
        </is>
      </c>
      <c r="D1496" s="15" t="n">
        <v>72</v>
      </c>
      <c r="E1496" s="16" t="n">
        <v>4</v>
      </c>
      <c r="F1496" s="16">
        <f>D1496*E1496</f>
        <v/>
      </c>
    </row>
    <row r="1497">
      <c r="A1497" s="13" t="inlineStr">
        <is>
          <t>7388</t>
        </is>
      </c>
      <c r="B1497" s="14" t="inlineStr">
        <is>
          <t>Dash hold fastener 12.5 mm dia, 40 mm long with 6 mm dia bolt</t>
        </is>
      </c>
      <c r="C1497" s="13" t="inlineStr">
        <is>
          <t>each</t>
        </is>
      </c>
      <c r="D1497" s="15" t="n">
        <v>72</v>
      </c>
      <c r="E1497" s="16" t="n">
        <v>11</v>
      </c>
      <c r="F1497" s="16">
        <f>D1497*E1497</f>
        <v/>
      </c>
    </row>
    <row r="1498">
      <c r="A1498" s="13" t="inlineStr">
        <is>
          <t>9999</t>
        </is>
      </c>
      <c r="B1498" s="14" t="inlineStr">
        <is>
          <t>Sundries i.e. scaffolding etc.</t>
        </is>
      </c>
      <c r="C1498" s="13" t="inlineStr">
        <is>
          <t>L.S.</t>
        </is>
      </c>
      <c r="D1498" s="15" t="n">
        <v>187.95</v>
      </c>
      <c r="E1498" s="16" t="n">
        <v>2</v>
      </c>
      <c r="F1498" s="16">
        <f>D1498*E1498</f>
        <v/>
      </c>
    </row>
    <row r="1499">
      <c r="A1499" s="13" t="inlineStr">
        <is>
          <t>9977</t>
        </is>
      </c>
      <c r="B1499" s="14" t="inlineStr">
        <is>
          <t>Carriage of materials etc.</t>
        </is>
      </c>
      <c r="C1499" s="13" t="inlineStr">
        <is>
          <t>L.S.</t>
        </is>
      </c>
      <c r="D1499" s="15" t="n">
        <v>89.28</v>
      </c>
      <c r="E1499" s="16" t="n">
        <v>2</v>
      </c>
      <c r="F1499" s="16">
        <f>D1499*E1499</f>
        <v/>
      </c>
    </row>
    <row r="1500">
      <c r="A1500" s="13" t="inlineStr">
        <is>
          <t>0111</t>
        </is>
      </c>
      <c r="B1500" s="14" t="inlineStr">
        <is>
          <t>Carpenter 1st class</t>
        </is>
      </c>
      <c r="C1500" s="13" t="inlineStr">
        <is>
          <t>day</t>
        </is>
      </c>
      <c r="D1500" s="15" t="n">
        <v>28</v>
      </c>
      <c r="E1500" s="16" t="n">
        <v>738</v>
      </c>
      <c r="F1500" s="16">
        <f>D1500*E1500</f>
        <v/>
      </c>
    </row>
    <row r="1501">
      <c r="A1501" s="13" t="inlineStr">
        <is>
          <t>0114</t>
        </is>
      </c>
      <c r="B1501" s="14" t="inlineStr">
        <is>
          <t>Beldar</t>
        </is>
      </c>
      <c r="C1501" s="13" t="inlineStr">
        <is>
          <t>day</t>
        </is>
      </c>
      <c r="D1501" s="15" t="n">
        <v>23</v>
      </c>
      <c r="E1501" s="16" t="n">
        <v>558</v>
      </c>
      <c r="F1501" s="16">
        <f>D1501*E1501</f>
        <v/>
      </c>
    </row>
    <row r="1502">
      <c r="A1502" s="17" t="inlineStr">
        <is>
          <t>Resource Total (Material + Labour + Machinery, as printed)</t>
        </is>
      </c>
      <c r="B1502" s="18" t="n"/>
      <c r="C1502" s="18" t="n"/>
      <c r="D1502" s="18" t="n"/>
      <c r="E1502" s="18" t="n"/>
      <c r="F1502" s="19">
        <f>SUM(F1489:F1501)</f>
        <v/>
      </c>
    </row>
    <row r="1503">
      <c r="A1503" s="20" t="inlineStr">
        <is>
          <t>SAY (Rs.) — final DAR rate</t>
        </is>
      </c>
      <c r="B1503" s="21" t="n"/>
      <c r="C1503" s="21" t="n"/>
      <c r="D1503" s="21" t="n"/>
      <c r="E1503" s="21" t="n"/>
      <c r="F1503" s="22" t="n">
        <v>1504.45</v>
      </c>
    </row>
    <row r="1505" ht="28" customHeight="1">
      <c r="A1505" s="9" t="inlineStr">
        <is>
          <t>12.52.2</t>
        </is>
      </c>
      <c r="B1505" s="10" t="inlineStr">
        <is>
          <t>GI Metal Ceiling Lay in perforated Tegular edge global white color tiles of size 595x595 mm and 0.5 mm thick with 8 mm drop; made of GI shee</t>
        </is>
      </c>
      <c r="C1505" s="11" t="n"/>
      <c r="D1505" s="11" t="n"/>
      <c r="E1505" s="11" t="n"/>
      <c r="F1505" s="11" t="n"/>
    </row>
    <row r="1506">
      <c r="A1506" s="12" t="inlineStr">
        <is>
          <t>Rate basis: per sqm  (source: cost for 100 sqm)</t>
        </is>
      </c>
    </row>
    <row r="1507">
      <c r="A1507" s="5" t="inlineStr">
        <is>
          <t>Code</t>
        </is>
      </c>
      <c r="B1507" s="5" t="inlineStr">
        <is>
          <t>Description</t>
        </is>
      </c>
      <c r="C1507" s="5" t="inlineStr">
        <is>
          <t>Unit</t>
        </is>
      </c>
      <c r="D1507" s="5" t="inlineStr">
        <is>
          <t>Quantity</t>
        </is>
      </c>
      <c r="E1507" s="5" t="inlineStr">
        <is>
          <t>Rate (Rs.)</t>
        </is>
      </c>
      <c r="F1507" s="5" t="inlineStr">
        <is>
          <t>Amount (Rs.)</t>
        </is>
      </c>
    </row>
    <row r="1508">
      <c r="A1508" s="13" t="inlineStr">
        <is>
          <t>8600</t>
        </is>
      </c>
      <c r="B1508" s="14" t="inlineStr">
        <is>
          <t>GI Metal Tile Lay-in Perforated Tegular edge global white color tiles of Size 595x595mm and 0.5 mm thick</t>
        </is>
      </c>
      <c r="C1508" s="13" t="inlineStr">
        <is>
          <t>sqm</t>
        </is>
      </c>
      <c r="D1508" s="15" t="n">
        <v>105</v>
      </c>
      <c r="E1508" s="16" t="n">
        <v>715</v>
      </c>
      <c r="F1508" s="16">
        <f>D1508*E1508</f>
        <v/>
      </c>
    </row>
    <row r="1509">
      <c r="A1509" s="13" t="inlineStr">
        <is>
          <t>8611</t>
        </is>
      </c>
      <c r="B1509" s="14" t="inlineStr">
        <is>
          <t>Main T ceiling sections 24x38x0.3 mm (3 metre long)</t>
        </is>
      </c>
      <c r="C1509" s="13" t="inlineStr">
        <is>
          <t>each</t>
        </is>
      </c>
      <c r="D1509" s="15" t="n">
        <v>29.5</v>
      </c>
      <c r="E1509" s="16" t="n">
        <v>115</v>
      </c>
      <c r="F1509" s="16">
        <f>D1509*E1509</f>
        <v/>
      </c>
    </row>
    <row r="1510">
      <c r="A1510" s="13" t="inlineStr">
        <is>
          <t>8612</t>
        </is>
      </c>
      <c r="B1510" s="14" t="inlineStr">
        <is>
          <t>Perimeter wall angle 24x24x0.3mm (3 metre long)</t>
        </is>
      </c>
      <c r="C1510" s="13" t="inlineStr">
        <is>
          <t>each</t>
        </is>
      </c>
      <c r="D1510" s="15" t="n">
        <v>13.5</v>
      </c>
      <c r="E1510" s="16" t="n">
        <v>80</v>
      </c>
      <c r="F1510" s="16">
        <f>D1510*E1510</f>
        <v/>
      </c>
    </row>
    <row r="1511">
      <c r="A1511" s="13" t="inlineStr">
        <is>
          <t>8613</t>
        </is>
      </c>
      <c r="B1511" s="14" t="inlineStr">
        <is>
          <t>Intermediate cross T-section 24x25x0.3mm (1.2 mtrs long)</t>
        </is>
      </c>
      <c r="C1511" s="13" t="inlineStr">
        <is>
          <t>each</t>
        </is>
      </c>
      <c r="D1511" s="15" t="n">
        <v>147</v>
      </c>
      <c r="E1511" s="16" t="n">
        <v>35</v>
      </c>
      <c r="F1511" s="16">
        <f>D1511*E1511</f>
        <v/>
      </c>
    </row>
    <row r="1512">
      <c r="A1512" s="13" t="inlineStr">
        <is>
          <t>8614</t>
        </is>
      </c>
      <c r="B1512" s="14" t="inlineStr">
        <is>
          <t>Intermediate cross T-section 24x25x 0.3mm (0.6 mtrs long)</t>
        </is>
      </c>
      <c r="C1512" s="13" t="inlineStr">
        <is>
          <t>each</t>
        </is>
      </c>
      <c r="D1512" s="15" t="n">
        <v>147</v>
      </c>
      <c r="E1512" s="16" t="n">
        <v>17</v>
      </c>
      <c r="F1512" s="16">
        <f>D1512*E1512</f>
        <v/>
      </c>
    </row>
    <row r="1513">
      <c r="A1513" s="13" t="inlineStr">
        <is>
          <t>8615</t>
        </is>
      </c>
      <c r="B1513" s="14" t="inlineStr">
        <is>
          <t>Hanger rod 4 mm thick</t>
        </is>
      </c>
      <c r="C1513" s="13" t="inlineStr">
        <is>
          <t>each</t>
        </is>
      </c>
      <c r="D1513" s="15" t="n">
        <v>72</v>
      </c>
      <c r="E1513" s="16" t="n">
        <v>8</v>
      </c>
      <c r="F1513" s="16">
        <f>D1513*E1513</f>
        <v/>
      </c>
    </row>
    <row r="1514">
      <c r="A1514" s="13" t="inlineStr">
        <is>
          <t>8616</t>
        </is>
      </c>
      <c r="B1514" s="14" t="inlineStr">
        <is>
          <t>Adjustment clip 85x30x0.8mm</t>
        </is>
      </c>
      <c r="C1514" s="13" t="inlineStr">
        <is>
          <t>each</t>
        </is>
      </c>
      <c r="D1514" s="15" t="n">
        <v>72</v>
      </c>
      <c r="E1514" s="16" t="n">
        <v>5</v>
      </c>
      <c r="F1514" s="16">
        <f>D1514*E1514</f>
        <v/>
      </c>
    </row>
    <row r="1515">
      <c r="A1515" s="13" t="inlineStr">
        <is>
          <t>8617</t>
        </is>
      </c>
      <c r="B1515" s="14" t="inlineStr">
        <is>
          <t>Soffit cleat (Size 27x37x25x1.60mm)</t>
        </is>
      </c>
      <c r="C1515" s="13" t="inlineStr">
        <is>
          <t>each</t>
        </is>
      </c>
      <c r="D1515" s="15" t="n">
        <v>72</v>
      </c>
      <c r="E1515" s="16" t="n">
        <v>4</v>
      </c>
      <c r="F1515" s="16">
        <f>D1515*E1515</f>
        <v/>
      </c>
    </row>
    <row r="1516">
      <c r="A1516" s="13" t="inlineStr">
        <is>
          <t>7388</t>
        </is>
      </c>
      <c r="B1516" s="14" t="inlineStr">
        <is>
          <t>Dash hold fastener 12.5 mm dia, 40 mm long with 6 mm dia bolt</t>
        </is>
      </c>
      <c r="C1516" s="13" t="inlineStr">
        <is>
          <t>each</t>
        </is>
      </c>
      <c r="D1516" s="15" t="n">
        <v>72</v>
      </c>
      <c r="E1516" s="16" t="n">
        <v>11</v>
      </c>
      <c r="F1516" s="16">
        <f>D1516*E1516</f>
        <v/>
      </c>
    </row>
    <row r="1517">
      <c r="A1517" s="13" t="inlineStr">
        <is>
          <t>9999</t>
        </is>
      </c>
      <c r="B1517" s="14" t="inlineStr">
        <is>
          <t>Sundries i.e. scaffolding etc.</t>
        </is>
      </c>
      <c r="C1517" s="13" t="inlineStr">
        <is>
          <t>L.S.</t>
        </is>
      </c>
      <c r="D1517" s="15" t="n">
        <v>187.95</v>
      </c>
      <c r="E1517" s="16" t="n">
        <v>2</v>
      </c>
      <c r="F1517" s="16">
        <f>D1517*E1517</f>
        <v/>
      </c>
    </row>
    <row r="1518">
      <c r="A1518" s="13" t="inlineStr">
        <is>
          <t>9977</t>
        </is>
      </c>
      <c r="B1518" s="14" t="inlineStr">
        <is>
          <t>Carriage of materials etc.</t>
        </is>
      </c>
      <c r="C1518" s="13" t="inlineStr">
        <is>
          <t>L.S.</t>
        </is>
      </c>
      <c r="D1518" s="15" t="n">
        <v>89.28</v>
      </c>
      <c r="E1518" s="16" t="n">
        <v>2</v>
      </c>
      <c r="F1518" s="16">
        <f>D1518*E1518</f>
        <v/>
      </c>
    </row>
    <row r="1519">
      <c r="A1519" s="13" t="inlineStr">
        <is>
          <t>0111</t>
        </is>
      </c>
      <c r="B1519" s="14" t="inlineStr">
        <is>
          <t>Carpenter 1st class</t>
        </is>
      </c>
      <c r="C1519" s="13" t="inlineStr">
        <is>
          <t>day</t>
        </is>
      </c>
      <c r="D1519" s="15" t="n">
        <v>28</v>
      </c>
      <c r="E1519" s="16" t="n">
        <v>738</v>
      </c>
      <c r="F1519" s="16">
        <f>D1519*E1519</f>
        <v/>
      </c>
    </row>
    <row r="1520">
      <c r="A1520" s="13" t="inlineStr">
        <is>
          <t>0114</t>
        </is>
      </c>
      <c r="B1520" s="14" t="inlineStr">
        <is>
          <t>Beldar</t>
        </is>
      </c>
      <c r="C1520" s="13" t="inlineStr">
        <is>
          <t>day</t>
        </is>
      </c>
      <c r="D1520" s="15" t="n">
        <v>23</v>
      </c>
      <c r="E1520" s="16" t="n">
        <v>558</v>
      </c>
      <c r="F1520" s="16">
        <f>D1520*E1520</f>
        <v/>
      </c>
    </row>
    <row r="1521">
      <c r="A1521" s="17" t="inlineStr">
        <is>
          <t>Resource Total (Material + Labour + Machinery, as printed)</t>
        </is>
      </c>
      <c r="B1521" s="18" t="n"/>
      <c r="C1521" s="18" t="n"/>
      <c r="D1521" s="18" t="n"/>
      <c r="E1521" s="18" t="n"/>
      <c r="F1521" s="19">
        <f>SUM(F1508:F1520)</f>
        <v/>
      </c>
    </row>
    <row r="1522">
      <c r="A1522" s="20" t="inlineStr">
        <is>
          <t>SAY (Rs.) — final DAR rate</t>
        </is>
      </c>
      <c r="B1522" s="21" t="n"/>
      <c r="C1522" s="21" t="n"/>
      <c r="D1522" s="21" t="n"/>
      <c r="E1522" s="21" t="n"/>
      <c r="F1522" s="22" t="n">
        <v>1649.15</v>
      </c>
    </row>
    <row r="1524" ht="28" customHeight="1">
      <c r="A1524" s="9" t="inlineStr">
        <is>
          <t>12.52.3</t>
        </is>
      </c>
      <c r="B1524" s="10" t="inlineStr">
        <is>
          <t>12.5 mm thick square edge PVC Laminated Gypsum Tile of size 595x595 mm, made of Gypsum plasterboard, manufactured from natural gypsum as per</t>
        </is>
      </c>
      <c r="C1524" s="11" t="n"/>
      <c r="D1524" s="11" t="n"/>
      <c r="E1524" s="11" t="n"/>
      <c r="F1524" s="11" t="n"/>
    </row>
    <row r="1525">
      <c r="A1525" s="12" t="inlineStr">
        <is>
          <t>Rate basis: per sqm  (source: cost for 100 sqm)</t>
        </is>
      </c>
    </row>
    <row r="1526">
      <c r="A1526" s="5" t="inlineStr">
        <is>
          <t>Code</t>
        </is>
      </c>
      <c r="B1526" s="5" t="inlineStr">
        <is>
          <t>Description</t>
        </is>
      </c>
      <c r="C1526" s="5" t="inlineStr">
        <is>
          <t>Unit</t>
        </is>
      </c>
      <c r="D1526" s="5" t="inlineStr">
        <is>
          <t>Quantity</t>
        </is>
      </c>
      <c r="E1526" s="5" t="inlineStr">
        <is>
          <t>Rate (Rs.)</t>
        </is>
      </c>
      <c r="F1526" s="5" t="inlineStr">
        <is>
          <t>Amount (Rs.)</t>
        </is>
      </c>
    </row>
    <row r="1527">
      <c r="A1527" s="13" t="inlineStr">
        <is>
          <t>8601</t>
        </is>
      </c>
      <c r="B1527" s="14" t="inlineStr">
        <is>
          <t>PVC Laminated Gypsum Tiles (Square edge) of Size 595x595 mm and 12.5 mm thick</t>
        </is>
      </c>
      <c r="C1527" s="13" t="inlineStr">
        <is>
          <t>sqm</t>
        </is>
      </c>
      <c r="D1527" s="15" t="n">
        <v>105</v>
      </c>
      <c r="E1527" s="16" t="n">
        <v>880</v>
      </c>
      <c r="F1527" s="16">
        <f>D1527*E1527</f>
        <v/>
      </c>
    </row>
    <row r="1528">
      <c r="A1528" s="13" t="inlineStr">
        <is>
          <t>8611</t>
        </is>
      </c>
      <c r="B1528" s="14" t="inlineStr">
        <is>
          <t>Main T ceiling sections 24x38x0.3 mm (3 metre long)</t>
        </is>
      </c>
      <c r="C1528" s="13" t="inlineStr">
        <is>
          <t>each</t>
        </is>
      </c>
      <c r="D1528" s="15" t="n">
        <v>29.5</v>
      </c>
      <c r="E1528" s="16" t="n">
        <v>115</v>
      </c>
      <c r="F1528" s="16">
        <f>D1528*E1528</f>
        <v/>
      </c>
    </row>
    <row r="1529">
      <c r="A1529" s="13" t="inlineStr">
        <is>
          <t>8612</t>
        </is>
      </c>
      <c r="B1529" s="14" t="inlineStr">
        <is>
          <t>Perimeter wall angle 24x24x0.3mm (3 metre long)</t>
        </is>
      </c>
      <c r="C1529" s="13" t="inlineStr">
        <is>
          <t>each</t>
        </is>
      </c>
      <c r="D1529" s="15" t="n">
        <v>13.5</v>
      </c>
      <c r="E1529" s="16" t="n">
        <v>80</v>
      </c>
      <c r="F1529" s="16">
        <f>D1529*E1529</f>
        <v/>
      </c>
    </row>
    <row r="1530">
      <c r="A1530" s="13" t="inlineStr">
        <is>
          <t>8613</t>
        </is>
      </c>
      <c r="B1530" s="14" t="inlineStr">
        <is>
          <t>Intermediate cross T-section 24x25x0.3mm (1.2 mtrs long)</t>
        </is>
      </c>
      <c r="C1530" s="13" t="inlineStr">
        <is>
          <t>each</t>
        </is>
      </c>
      <c r="D1530" s="15" t="n">
        <v>147</v>
      </c>
      <c r="E1530" s="16" t="n">
        <v>35</v>
      </c>
      <c r="F1530" s="16">
        <f>D1530*E1530</f>
        <v/>
      </c>
    </row>
    <row r="1531">
      <c r="A1531" s="13" t="inlineStr">
        <is>
          <t>8614</t>
        </is>
      </c>
      <c r="B1531" s="14" t="inlineStr">
        <is>
          <t>Intermediate cross T-section 24x25x0.3mm (0.6 mtrs long)</t>
        </is>
      </c>
      <c r="C1531" s="13" t="inlineStr">
        <is>
          <t>each</t>
        </is>
      </c>
      <c r="D1531" s="15" t="n">
        <v>147</v>
      </c>
      <c r="E1531" s="16" t="n">
        <v>17</v>
      </c>
      <c r="F1531" s="16">
        <f>D1531*E1531</f>
        <v/>
      </c>
    </row>
    <row r="1532">
      <c r="A1532" s="13" t="inlineStr">
        <is>
          <t>8615</t>
        </is>
      </c>
      <c r="B1532" s="14" t="inlineStr">
        <is>
          <t>Hanger rod 4 mm thick</t>
        </is>
      </c>
      <c r="C1532" s="13" t="inlineStr">
        <is>
          <t>each</t>
        </is>
      </c>
      <c r="D1532" s="15" t="n">
        <v>72</v>
      </c>
      <c r="E1532" s="16" t="n">
        <v>8</v>
      </c>
      <c r="F1532" s="16">
        <f>D1532*E1532</f>
        <v/>
      </c>
    </row>
    <row r="1533">
      <c r="A1533" s="13" t="inlineStr">
        <is>
          <t>8616</t>
        </is>
      </c>
      <c r="B1533" s="14" t="inlineStr">
        <is>
          <t>Adjustment clip 85x30x0.8mm</t>
        </is>
      </c>
      <c r="C1533" s="13" t="inlineStr">
        <is>
          <t>each</t>
        </is>
      </c>
      <c r="D1533" s="15" t="n">
        <v>72</v>
      </c>
      <c r="E1533" s="16" t="n">
        <v>5</v>
      </c>
      <c r="F1533" s="16">
        <f>D1533*E1533</f>
        <v/>
      </c>
    </row>
    <row r="1534">
      <c r="A1534" s="13" t="inlineStr">
        <is>
          <t>8617</t>
        </is>
      </c>
      <c r="B1534" s="14" t="inlineStr">
        <is>
          <t>Soffit cleat (Size 27x37x25x1.60mm)</t>
        </is>
      </c>
      <c r="C1534" s="13" t="inlineStr">
        <is>
          <t>each</t>
        </is>
      </c>
      <c r="D1534" s="15" t="n">
        <v>72</v>
      </c>
      <c r="E1534" s="16" t="n">
        <v>4</v>
      </c>
      <c r="F1534" s="16">
        <f>D1534*E1534</f>
        <v/>
      </c>
    </row>
    <row r="1535">
      <c r="A1535" s="13" t="inlineStr">
        <is>
          <t>7388</t>
        </is>
      </c>
      <c r="B1535" s="14" t="inlineStr">
        <is>
          <t>Dash hold fastener 12.5 mm dia, 40 mm long with 6 mm dia bolt</t>
        </is>
      </c>
      <c r="C1535" s="13" t="inlineStr">
        <is>
          <t>each</t>
        </is>
      </c>
      <c r="D1535" s="15" t="n">
        <v>72</v>
      </c>
      <c r="E1535" s="16" t="n">
        <v>11</v>
      </c>
      <c r="F1535" s="16">
        <f>D1535*E1535</f>
        <v/>
      </c>
    </row>
    <row r="1536">
      <c r="A1536" s="13" t="inlineStr">
        <is>
          <t>9999</t>
        </is>
      </c>
      <c r="B1536" s="14" t="inlineStr">
        <is>
          <t>Sundries i.e. scaffolding etc.</t>
        </is>
      </c>
      <c r="C1536" s="13" t="inlineStr">
        <is>
          <t>L.S.</t>
        </is>
      </c>
      <c r="D1536" s="15" t="n">
        <v>187.95</v>
      </c>
      <c r="E1536" s="16" t="n">
        <v>2</v>
      </c>
      <c r="F1536" s="16">
        <f>D1536*E1536</f>
        <v/>
      </c>
    </row>
    <row r="1537">
      <c r="A1537" s="13" t="inlineStr">
        <is>
          <t>9977</t>
        </is>
      </c>
      <c r="B1537" s="14" t="inlineStr">
        <is>
          <t>Carriage of materials etc.</t>
        </is>
      </c>
      <c r="C1537" s="13" t="inlineStr">
        <is>
          <t>L.S.</t>
        </is>
      </c>
      <c r="D1537" s="15" t="n">
        <v>89.28</v>
      </c>
      <c r="E1537" s="16" t="n">
        <v>2</v>
      </c>
      <c r="F1537" s="16">
        <f>D1537*E1537</f>
        <v/>
      </c>
    </row>
    <row r="1538">
      <c r="A1538" s="13" t="inlineStr">
        <is>
          <t>0111</t>
        </is>
      </c>
      <c r="B1538" s="14" t="inlineStr">
        <is>
          <t>Carpenter 1st class</t>
        </is>
      </c>
      <c r="C1538" s="13" t="inlineStr">
        <is>
          <t>day</t>
        </is>
      </c>
      <c r="D1538" s="15" t="n">
        <v>28</v>
      </c>
      <c r="E1538" s="16" t="n">
        <v>738</v>
      </c>
      <c r="F1538" s="16">
        <f>D1538*E1538</f>
        <v/>
      </c>
    </row>
    <row r="1539">
      <c r="A1539" s="13" t="inlineStr">
        <is>
          <t>0114</t>
        </is>
      </c>
      <c r="B1539" s="14" t="inlineStr">
        <is>
          <t>Beldar</t>
        </is>
      </c>
      <c r="C1539" s="13" t="inlineStr">
        <is>
          <t>day</t>
        </is>
      </c>
      <c r="D1539" s="15" t="n">
        <v>23</v>
      </c>
      <c r="E1539" s="16" t="n">
        <v>558</v>
      </c>
      <c r="F1539" s="16">
        <f>D1539*E1539</f>
        <v/>
      </c>
    </row>
    <row r="1540">
      <c r="A1540" s="17" t="inlineStr">
        <is>
          <t>Resource Total (Material + Labour + Machinery, as printed)</t>
        </is>
      </c>
      <c r="B1540" s="18" t="n"/>
      <c r="C1540" s="18" t="n"/>
      <c r="D1540" s="18" t="n"/>
      <c r="E1540" s="18" t="n"/>
      <c r="F1540" s="19">
        <f>SUM(F1527:F1539)</f>
        <v/>
      </c>
    </row>
    <row r="1541">
      <c r="A1541" s="20" t="inlineStr">
        <is>
          <t>SAY (Rs.) — final DAR rate</t>
        </is>
      </c>
      <c r="B1541" s="21" t="n"/>
      <c r="C1541" s="21" t="n"/>
      <c r="D1541" s="21" t="n"/>
      <c r="E1541" s="21" t="n"/>
      <c r="F1541" s="22" t="n">
        <v>1880.95</v>
      </c>
    </row>
    <row r="1543" ht="28" customHeight="1">
      <c r="A1543" s="9" t="inlineStr">
        <is>
          <t>12.52.4</t>
        </is>
      </c>
      <c r="B1543" s="10" t="inlineStr">
        <is>
          <t>12.5 mm thick fully Perforated Gypsum Board tile made from plasterboard having glass fibre conforming to IS: 2095 part I, of size 595x595 mm</t>
        </is>
      </c>
      <c r="C1543" s="11" t="n"/>
      <c r="D1543" s="11" t="n"/>
      <c r="E1543" s="11" t="n"/>
      <c r="F1543" s="11" t="n"/>
    </row>
    <row r="1544">
      <c r="A1544" s="12" t="inlineStr">
        <is>
          <t>Rate basis: per sqm  (source: cost for 100 sqm)</t>
        </is>
      </c>
    </row>
    <row r="1545">
      <c r="A1545" s="5" t="inlineStr">
        <is>
          <t>Code</t>
        </is>
      </c>
      <c r="B1545" s="5" t="inlineStr">
        <is>
          <t>Description</t>
        </is>
      </c>
      <c r="C1545" s="5" t="inlineStr">
        <is>
          <t>Unit</t>
        </is>
      </c>
      <c r="D1545" s="5" t="inlineStr">
        <is>
          <t>Quantity</t>
        </is>
      </c>
      <c r="E1545" s="5" t="inlineStr">
        <is>
          <t>Rate (Rs.)</t>
        </is>
      </c>
      <c r="F1545" s="5" t="inlineStr">
        <is>
          <t>Amount (Rs.)</t>
        </is>
      </c>
    </row>
    <row r="1546">
      <c r="A1546" s="13" t="inlineStr">
        <is>
          <t>8602</t>
        </is>
      </c>
      <c r="B1546" s="14" t="inlineStr">
        <is>
          <t>Gypsum Tiles Fully Perforated Square edge of Size 595x595 mm and 12.5 mm thick</t>
        </is>
      </c>
      <c r="C1546" s="13" t="inlineStr">
        <is>
          <t>sqm</t>
        </is>
      </c>
      <c r="D1546" s="15" t="n">
        <v>105</v>
      </c>
      <c r="E1546" s="16" t="n">
        <v>375</v>
      </c>
      <c r="F1546" s="16">
        <f>D1546*E1546</f>
        <v/>
      </c>
    </row>
    <row r="1547">
      <c r="A1547" s="13" t="inlineStr">
        <is>
          <t>8611</t>
        </is>
      </c>
      <c r="B1547" s="14" t="inlineStr">
        <is>
          <t>Main T ceiling sections 24x38x0.3 mm (3 metre long)</t>
        </is>
      </c>
      <c r="C1547" s="13" t="inlineStr">
        <is>
          <t>each</t>
        </is>
      </c>
      <c r="D1547" s="15" t="n">
        <v>29.5</v>
      </c>
      <c r="E1547" s="16" t="n">
        <v>115</v>
      </c>
      <c r="F1547" s="16">
        <f>D1547*E1547</f>
        <v/>
      </c>
    </row>
    <row r="1548">
      <c r="A1548" s="13" t="inlineStr">
        <is>
          <t>8612</t>
        </is>
      </c>
      <c r="B1548" s="14" t="inlineStr">
        <is>
          <t>Perimeter wall angle 24x24x0.3mm (3 metre long)</t>
        </is>
      </c>
      <c r="C1548" s="13" t="inlineStr">
        <is>
          <t>each</t>
        </is>
      </c>
      <c r="D1548" s="15" t="n">
        <v>13.5</v>
      </c>
      <c r="E1548" s="16" t="n">
        <v>80</v>
      </c>
      <c r="F1548" s="16">
        <f>D1548*E1548</f>
        <v/>
      </c>
    </row>
    <row r="1549">
      <c r="A1549" s="13" t="inlineStr">
        <is>
          <t>8613</t>
        </is>
      </c>
      <c r="B1549" s="14" t="inlineStr">
        <is>
          <t>Intermediate cross T-section 24x25x0.3mm (1.2 mtrs long)</t>
        </is>
      </c>
      <c r="C1549" s="13" t="inlineStr">
        <is>
          <t>each</t>
        </is>
      </c>
      <c r="D1549" s="15" t="n">
        <v>147</v>
      </c>
      <c r="E1549" s="16" t="n">
        <v>35</v>
      </c>
      <c r="F1549" s="16">
        <f>D1549*E1549</f>
        <v/>
      </c>
    </row>
    <row r="1550">
      <c r="A1550" s="13" t="inlineStr">
        <is>
          <t>8614</t>
        </is>
      </c>
      <c r="B1550" s="14" t="inlineStr">
        <is>
          <t>Intermediate cross T-section 24x25x0.3mm (0.6 mtrs long)</t>
        </is>
      </c>
      <c r="C1550" s="13" t="inlineStr">
        <is>
          <t>each</t>
        </is>
      </c>
      <c r="D1550" s="15" t="n">
        <v>147</v>
      </c>
      <c r="E1550" s="16" t="n">
        <v>17</v>
      </c>
      <c r="F1550" s="16">
        <f>D1550*E1550</f>
        <v/>
      </c>
    </row>
    <row r="1551">
      <c r="A1551" s="13" t="inlineStr">
        <is>
          <t>8615</t>
        </is>
      </c>
      <c r="B1551" s="14" t="inlineStr">
        <is>
          <t>Hanger rod 4 mm thick</t>
        </is>
      </c>
      <c r="C1551" s="13" t="inlineStr">
        <is>
          <t>each</t>
        </is>
      </c>
      <c r="D1551" s="15" t="n">
        <v>72</v>
      </c>
      <c r="E1551" s="16" t="n">
        <v>8</v>
      </c>
      <c r="F1551" s="16">
        <f>D1551*E1551</f>
        <v/>
      </c>
    </row>
    <row r="1552">
      <c r="A1552" s="13" t="inlineStr">
        <is>
          <t>8616</t>
        </is>
      </c>
      <c r="B1552" s="14" t="inlineStr">
        <is>
          <t>Adjustment clip 85x30x0.8mm</t>
        </is>
      </c>
      <c r="C1552" s="13" t="inlineStr">
        <is>
          <t>each</t>
        </is>
      </c>
      <c r="D1552" s="15" t="n">
        <v>72</v>
      </c>
      <c r="E1552" s="16" t="n">
        <v>5</v>
      </c>
      <c r="F1552" s="16">
        <f>D1552*E1552</f>
        <v/>
      </c>
    </row>
    <row r="1553">
      <c r="A1553" s="13" t="inlineStr">
        <is>
          <t>8617</t>
        </is>
      </c>
      <c r="B1553" s="14" t="inlineStr">
        <is>
          <t>Soffit cleat (Size 27x37x25x1.60mm)</t>
        </is>
      </c>
      <c r="C1553" s="13" t="inlineStr">
        <is>
          <t>each</t>
        </is>
      </c>
      <c r="D1553" s="15" t="n">
        <v>72</v>
      </c>
      <c r="E1553" s="16" t="n">
        <v>4</v>
      </c>
      <c r="F1553" s="16">
        <f>D1553*E1553</f>
        <v/>
      </c>
    </row>
    <row r="1554">
      <c r="A1554" s="13" t="inlineStr">
        <is>
          <t>7388</t>
        </is>
      </c>
      <c r="B1554" s="14" t="inlineStr">
        <is>
          <t>Dash hold fastener 12.5 mm dia, 40 mm long with 6 mm dia bolt</t>
        </is>
      </c>
      <c r="C1554" s="13" t="inlineStr">
        <is>
          <t>each</t>
        </is>
      </c>
      <c r="D1554" s="15" t="n">
        <v>72</v>
      </c>
      <c r="E1554" s="16" t="n">
        <v>11</v>
      </c>
      <c r="F1554" s="16">
        <f>D1554*E1554</f>
        <v/>
      </c>
    </row>
    <row r="1555">
      <c r="A1555" s="13" t="inlineStr">
        <is>
          <t>9999</t>
        </is>
      </c>
      <c r="B1555" s="14" t="inlineStr">
        <is>
          <t>Sundries i.e. scaffolding etc.</t>
        </is>
      </c>
      <c r="C1555" s="13" t="inlineStr">
        <is>
          <t>L.S.</t>
        </is>
      </c>
      <c r="D1555" s="15" t="n">
        <v>187.95</v>
      </c>
      <c r="E1555" s="16" t="n">
        <v>2</v>
      </c>
      <c r="F1555" s="16">
        <f>D1555*E1555</f>
        <v/>
      </c>
    </row>
    <row r="1556">
      <c r="A1556" s="13" t="inlineStr">
        <is>
          <t>9977</t>
        </is>
      </c>
      <c r="B1556" s="14" t="inlineStr">
        <is>
          <t>Carriage of materials etc.</t>
        </is>
      </c>
      <c r="C1556" s="13" t="inlineStr">
        <is>
          <t>L.S.</t>
        </is>
      </c>
      <c r="D1556" s="15" t="n">
        <v>89.28</v>
      </c>
      <c r="E1556" s="16" t="n">
        <v>2</v>
      </c>
      <c r="F1556" s="16">
        <f>D1556*E1556</f>
        <v/>
      </c>
    </row>
    <row r="1557">
      <c r="A1557" s="13" t="inlineStr">
        <is>
          <t>0111</t>
        </is>
      </c>
      <c r="B1557" s="14" t="inlineStr">
        <is>
          <t>Carpenter 1st class</t>
        </is>
      </c>
      <c r="C1557" s="13" t="inlineStr">
        <is>
          <t>day</t>
        </is>
      </c>
      <c r="D1557" s="15" t="n">
        <v>28</v>
      </c>
      <c r="E1557" s="16" t="n">
        <v>738</v>
      </c>
      <c r="F1557" s="16">
        <f>D1557*E1557</f>
        <v/>
      </c>
    </row>
    <row r="1558">
      <c r="A1558" s="13" t="inlineStr">
        <is>
          <t>0114</t>
        </is>
      </c>
      <c r="B1558" s="14" t="inlineStr">
        <is>
          <t>Beldar</t>
        </is>
      </c>
      <c r="C1558" s="13" t="inlineStr">
        <is>
          <t>day</t>
        </is>
      </c>
      <c r="D1558" s="15" t="n">
        <v>23</v>
      </c>
      <c r="E1558" s="16" t="n">
        <v>558</v>
      </c>
      <c r="F1558" s="16">
        <f>D1558*E1558</f>
        <v/>
      </c>
    </row>
    <row r="1559">
      <c r="A1559" s="17" t="inlineStr">
        <is>
          <t>Resource Total (Material + Labour + Machinery, as printed)</t>
        </is>
      </c>
      <c r="B1559" s="18" t="n"/>
      <c r="C1559" s="18" t="n"/>
      <c r="D1559" s="18" t="n"/>
      <c r="E1559" s="18" t="n"/>
      <c r="F1559" s="19">
        <f>SUM(F1546:F1558)</f>
        <v/>
      </c>
    </row>
    <row r="1560">
      <c r="A1560" s="20" t="inlineStr">
        <is>
          <t>SAY (Rs.) — final DAR rate</t>
        </is>
      </c>
      <c r="B1560" s="21" t="n"/>
      <c r="C1560" s="21" t="n"/>
      <c r="D1560" s="21" t="n"/>
      <c r="E1560" s="21" t="n"/>
      <c r="F1560" s="22" t="n">
        <v>1171.5</v>
      </c>
    </row>
    <row r="1562" ht="28" customHeight="1">
      <c r="A1562" s="9" t="inlineStr">
        <is>
          <t>12.53</t>
        </is>
      </c>
      <c r="B1562" s="10" t="inlineStr">
        <is>
          <t xml:space="preserve">Providing and Fixing 15 mm thick densified tegular edged eco friendly light weight calcium silicate false ceiling tiles of approved texture </t>
        </is>
      </c>
      <c r="C1562" s="11" t="n"/>
      <c r="D1562" s="11" t="n"/>
      <c r="E1562" s="11" t="n"/>
      <c r="F1562" s="11" t="n"/>
    </row>
    <row r="1563">
      <c r="A1563" s="12" t="inlineStr">
        <is>
          <t>Rate basis: per sqm  (source: cost for 100 sqm)</t>
        </is>
      </c>
    </row>
    <row r="1564">
      <c r="A1564" s="5" t="inlineStr">
        <is>
          <t>Code</t>
        </is>
      </c>
      <c r="B1564" s="5" t="inlineStr">
        <is>
          <t>Description</t>
        </is>
      </c>
      <c r="C1564" s="5" t="inlineStr">
        <is>
          <t>Unit</t>
        </is>
      </c>
      <c r="D1564" s="5" t="inlineStr">
        <is>
          <t>Quantity</t>
        </is>
      </c>
      <c r="E1564" s="5" t="inlineStr">
        <is>
          <t>Rate (Rs.)</t>
        </is>
      </c>
      <c r="F1564" s="5" t="inlineStr">
        <is>
          <t>Amount (Rs.)</t>
        </is>
      </c>
    </row>
    <row r="1565">
      <c r="A1565" s="13" t="inlineStr">
        <is>
          <t>8589</t>
        </is>
      </c>
      <c r="B1565" s="14" t="inlineStr">
        <is>
          <t>Calcium Silicate tegular edged celling tiles 495x495 mm and 15 mm thick</t>
        </is>
      </c>
      <c r="C1565" s="13" t="inlineStr">
        <is>
          <t>sqm</t>
        </is>
      </c>
      <c r="D1565" s="15" t="n">
        <v>105</v>
      </c>
      <c r="E1565" s="16" t="n">
        <v>685</v>
      </c>
      <c r="F1565" s="16">
        <f>D1565*E1565</f>
        <v/>
      </c>
    </row>
    <row r="1566">
      <c r="A1566" s="13" t="inlineStr">
        <is>
          <t>8590</t>
        </is>
      </c>
      <c r="B1566" s="14" t="inlineStr">
        <is>
          <t>Galvanised Steel main Tee ceiling section Size 24x38x0.33mm (3.00 metre long)</t>
        </is>
      </c>
      <c r="C1566" s="13" t="inlineStr">
        <is>
          <t>each</t>
        </is>
      </c>
      <c r="D1566" s="15" t="n">
        <v>29.5</v>
      </c>
      <c r="E1566" s="16" t="n">
        <v>120</v>
      </c>
      <c r="F1566" s="16">
        <f>D1566*E1566</f>
        <v/>
      </c>
    </row>
    <row r="1567">
      <c r="A1567" s="13" t="inlineStr">
        <is>
          <t>8591</t>
        </is>
      </c>
      <c r="B1567" s="14" t="inlineStr">
        <is>
          <t>Galvanised Steel perimeter wall Angle Size 24 x 24 x 0.40 mm (3.00 metre long)</t>
        </is>
      </c>
      <c r="C1567" s="13" t="inlineStr">
        <is>
          <t>each</t>
        </is>
      </c>
      <c r="D1567" s="15" t="n">
        <v>13.5</v>
      </c>
      <c r="E1567" s="16" t="n">
        <v>65</v>
      </c>
      <c r="F1567" s="16">
        <f>D1567*E1567</f>
        <v/>
      </c>
    </row>
    <row r="1568">
      <c r="A1568" s="13" t="inlineStr">
        <is>
          <t>8592</t>
        </is>
      </c>
      <c r="B1568" s="14" t="inlineStr">
        <is>
          <t>Galvanised Steel intermediate cross T section Size 24 x 25 x 0.33 mm (1.2 metre long)</t>
        </is>
      </c>
      <c r="C1568" s="13" t="inlineStr">
        <is>
          <t>each</t>
        </is>
      </c>
      <c r="D1568" s="15" t="n">
        <v>147</v>
      </c>
      <c r="E1568" s="16" t="n">
        <v>40</v>
      </c>
      <c r="F1568" s="16">
        <f>D1568*E1568</f>
        <v/>
      </c>
    </row>
    <row r="1569">
      <c r="A1569" s="13" t="inlineStr">
        <is>
          <t>8593</t>
        </is>
      </c>
      <c r="B1569" s="14" t="inlineStr">
        <is>
          <t>Galvanised Steel intermediate cross T section Size 24 x 25 x 0.33. ( 0.6 metre long)</t>
        </is>
      </c>
      <c r="C1569" s="13" t="inlineStr">
        <is>
          <t>each</t>
        </is>
      </c>
      <c r="D1569" s="15" t="n">
        <v>147</v>
      </c>
      <c r="E1569" s="16" t="n">
        <v>20</v>
      </c>
      <c r="F1569" s="16">
        <f>D1569*E1569</f>
        <v/>
      </c>
    </row>
    <row r="1570">
      <c r="A1570" s="13" t="inlineStr">
        <is>
          <t>8615</t>
        </is>
      </c>
      <c r="B1570" s="14" t="inlineStr">
        <is>
          <t>Hanger rod 4 mm thick</t>
        </is>
      </c>
      <c r="C1570" s="13" t="inlineStr">
        <is>
          <t>each</t>
        </is>
      </c>
      <c r="D1570" s="15" t="n">
        <v>72</v>
      </c>
      <c r="E1570" s="16" t="n">
        <v>8</v>
      </c>
      <c r="F1570" s="16">
        <f>D1570*E1570</f>
        <v/>
      </c>
    </row>
    <row r="1571">
      <c r="A1571" s="13" t="inlineStr">
        <is>
          <t>8616</t>
        </is>
      </c>
      <c r="B1571" s="14" t="inlineStr">
        <is>
          <t>Adjustment clip 85x30x0.8mm</t>
        </is>
      </c>
      <c r="C1571" s="13" t="inlineStr">
        <is>
          <t>each</t>
        </is>
      </c>
      <c r="D1571" s="15" t="n">
        <v>72</v>
      </c>
      <c r="E1571" s="16" t="n">
        <v>5</v>
      </c>
      <c r="F1571" s="16">
        <f>D1571*E1571</f>
        <v/>
      </c>
    </row>
    <row r="1572">
      <c r="A1572" s="13" t="inlineStr">
        <is>
          <t>7388</t>
        </is>
      </c>
      <c r="B1572" s="14" t="inlineStr">
        <is>
          <t>Dash hold fastener 12.5 mm dia, 40 mm long with 6 mm dia bolt</t>
        </is>
      </c>
      <c r="C1572" s="13" t="inlineStr">
        <is>
          <t>each</t>
        </is>
      </c>
      <c r="D1572" s="15" t="n">
        <v>72</v>
      </c>
      <c r="E1572" s="16" t="n">
        <v>11</v>
      </c>
      <c r="F1572" s="16">
        <f>D1572*E1572</f>
        <v/>
      </c>
    </row>
    <row r="1573">
      <c r="A1573" s="13" t="inlineStr">
        <is>
          <t>8617</t>
        </is>
      </c>
      <c r="B1573" s="14" t="inlineStr">
        <is>
          <t>Soffit cleat (Size 27x37x25x1.60mm)</t>
        </is>
      </c>
      <c r="C1573" s="13" t="inlineStr">
        <is>
          <t>each</t>
        </is>
      </c>
      <c r="D1573" s="15" t="n">
        <v>72</v>
      </c>
      <c r="E1573" s="16" t="n">
        <v>4</v>
      </c>
      <c r="F1573" s="16">
        <f>D1573*E1573</f>
        <v/>
      </c>
    </row>
    <row r="1574">
      <c r="A1574" s="13" t="inlineStr">
        <is>
          <t>8595</t>
        </is>
      </c>
      <c r="B1574" s="14" t="inlineStr">
        <is>
          <t>Wooden screws with plastic rawl plugs 35x8 mm</t>
        </is>
      </c>
      <c r="C1574" s="13" t="inlineStr">
        <is>
          <t>each</t>
        </is>
      </c>
      <c r="D1574" s="15" t="n">
        <v>100</v>
      </c>
      <c r="E1574" s="16" t="n">
        <v>1</v>
      </c>
      <c r="F1574" s="16">
        <f>D1574*E1574</f>
        <v/>
      </c>
    </row>
    <row r="1575">
      <c r="A1575" s="13" t="inlineStr">
        <is>
          <t>9999</t>
        </is>
      </c>
      <c r="B1575" s="14" t="inlineStr">
        <is>
          <t>scaffolding etc.</t>
        </is>
      </c>
      <c r="C1575" s="13" t="inlineStr">
        <is>
          <t>L.S.</t>
        </is>
      </c>
      <c r="D1575" s="15" t="n">
        <v>498.65</v>
      </c>
      <c r="E1575" s="16" t="n">
        <v>2</v>
      </c>
      <c r="F1575" s="16">
        <f>D1575*E1575</f>
        <v/>
      </c>
    </row>
    <row r="1576">
      <c r="A1576" s="13" t="inlineStr">
        <is>
          <t>9977</t>
        </is>
      </c>
      <c r="B1576" s="14" t="inlineStr">
        <is>
          <t>Carriage of materials etc.</t>
        </is>
      </c>
      <c r="C1576" s="13" t="inlineStr">
        <is>
          <t>L.S.</t>
        </is>
      </c>
      <c r="D1576" s="15" t="n">
        <v>237.48</v>
      </c>
      <c r="E1576" s="16" t="n">
        <v>2</v>
      </c>
      <c r="F1576" s="16">
        <f>D1576*E1576</f>
        <v/>
      </c>
    </row>
    <row r="1577">
      <c r="A1577" s="13" t="inlineStr">
        <is>
          <t>9999</t>
        </is>
      </c>
      <c r="B1577" s="14" t="inlineStr">
        <is>
          <t>Sundries</t>
        </is>
      </c>
      <c r="C1577" s="13" t="inlineStr">
        <is>
          <t>L.S.</t>
        </is>
      </c>
      <c r="D1577" s="15" t="n">
        <v>310.7</v>
      </c>
      <c r="E1577" s="16" t="n">
        <v>2</v>
      </c>
      <c r="F1577" s="16">
        <f>D1577*E1577</f>
        <v/>
      </c>
    </row>
    <row r="1578">
      <c r="A1578" s="13" t="inlineStr">
        <is>
          <t>0111</t>
        </is>
      </c>
      <c r="B1578" s="14" t="inlineStr">
        <is>
          <t>Carpenter 1st class</t>
        </is>
      </c>
      <c r="C1578" s="13" t="inlineStr">
        <is>
          <t>day</t>
        </is>
      </c>
      <c r="D1578" s="15" t="n">
        <v>28</v>
      </c>
      <c r="E1578" s="16" t="n">
        <v>738</v>
      </c>
      <c r="F1578" s="16">
        <f>D1578*E1578</f>
        <v/>
      </c>
    </row>
    <row r="1579">
      <c r="A1579" s="13" t="inlineStr">
        <is>
          <t>0114</t>
        </is>
      </c>
      <c r="B1579" s="14" t="inlineStr">
        <is>
          <t>Beldar</t>
        </is>
      </c>
      <c r="C1579" s="13" t="inlineStr">
        <is>
          <t>day</t>
        </is>
      </c>
      <c r="D1579" s="15" t="n">
        <v>23</v>
      </c>
      <c r="E1579" s="16" t="n">
        <v>558</v>
      </c>
      <c r="F1579" s="16">
        <f>D1579*E1579</f>
        <v/>
      </c>
    </row>
    <row r="1580">
      <c r="A1580" s="17" t="inlineStr">
        <is>
          <t>Resource Total (Material + Labour + Machinery, as printed)</t>
        </is>
      </c>
      <c r="B1580" s="18" t="n"/>
      <c r="C1580" s="18" t="n"/>
      <c r="D1580" s="18" t="n"/>
      <c r="E1580" s="18" t="n"/>
      <c r="F1580" s="19">
        <f>SUM(F1565:F1579)</f>
        <v/>
      </c>
    </row>
    <row r="1581">
      <c r="A1581" s="20" t="inlineStr">
        <is>
          <t>SAY (Rs.) — final DAR rate</t>
        </is>
      </c>
      <c r="B1581" s="21" t="n"/>
      <c r="C1581" s="21" t="n"/>
      <c r="D1581" s="21" t="n"/>
      <c r="E1581" s="21" t="n"/>
      <c r="F1581" s="22" t="n">
        <v>1643.95</v>
      </c>
    </row>
    <row r="1583" ht="28" customHeight="1">
      <c r="A1583" s="9" t="inlineStr">
        <is>
          <t>12.54.1</t>
        </is>
      </c>
      <c r="B1583" s="10" t="inlineStr">
        <is>
          <t>GI Metal Ceiling Clip in plain Beveled edge global white color tiles of size 600x600 and 0.5 mm thick with 25 mm height, made of G I sheet h</t>
        </is>
      </c>
      <c r="C1583" s="11" t="n"/>
      <c r="D1583" s="11" t="n"/>
      <c r="E1583" s="11" t="n"/>
      <c r="F1583" s="11" t="n"/>
    </row>
    <row r="1584">
      <c r="A1584" s="12" t="inlineStr">
        <is>
          <t>Rate basis: per sqm  (source: cost for 100 sqm)</t>
        </is>
      </c>
    </row>
    <row r="1585">
      <c r="A1585" s="5" t="inlineStr">
        <is>
          <t>Code</t>
        </is>
      </c>
      <c r="B1585" s="5" t="inlineStr">
        <is>
          <t>Description</t>
        </is>
      </c>
      <c r="C1585" s="5" t="inlineStr">
        <is>
          <t>Unit</t>
        </is>
      </c>
      <c r="D1585" s="5" t="inlineStr">
        <is>
          <t>Quantity</t>
        </is>
      </c>
      <c r="E1585" s="5" t="inlineStr">
        <is>
          <t>Rate (Rs.)</t>
        </is>
      </c>
      <c r="F1585" s="5" t="inlineStr">
        <is>
          <t>Amount (Rs.)</t>
        </is>
      </c>
    </row>
    <row r="1586">
      <c r="A1586" s="13" t="inlineStr">
        <is>
          <t>8597</t>
        </is>
      </c>
      <c r="B1586" s="14" t="inlineStr">
        <is>
          <t>GI Metal Tile Clip in Plain Beveled edge global white colour tiles of size 600x600 mm and 0.5mm thick</t>
        </is>
      </c>
      <c r="C1586" s="13" t="inlineStr">
        <is>
          <t>sqm</t>
        </is>
      </c>
      <c r="D1586" s="15" t="n">
        <v>105</v>
      </c>
      <c r="E1586" s="16" t="n">
        <v>677</v>
      </c>
      <c r="F1586" s="16">
        <f>D1586*E1586</f>
        <v/>
      </c>
    </row>
    <row r="1587">
      <c r="A1587" s="13" t="inlineStr">
        <is>
          <t>8604</t>
        </is>
      </c>
      <c r="B1587" s="14" t="inlineStr">
        <is>
          <t>Spring T-section 24x34x0.45 mm (3.00 meter long)</t>
        </is>
      </c>
      <c r="C1587" s="13" t="inlineStr">
        <is>
          <t>metre</t>
        </is>
      </c>
      <c r="D1587" s="15" t="n">
        <v>60</v>
      </c>
      <c r="E1587" s="16" t="n">
        <v>190</v>
      </c>
      <c r="F1587" s="16">
        <f>D1587*E1587</f>
        <v/>
      </c>
    </row>
    <row r="1588">
      <c r="A1588" s="13" t="inlineStr">
        <is>
          <t>8605</t>
        </is>
      </c>
      <c r="B1588" s="14" t="inlineStr">
        <is>
          <t>C Wall angle section 20x30x20x 0.50 mm (3.00 meter long)</t>
        </is>
      </c>
      <c r="C1588" s="13" t="inlineStr">
        <is>
          <t>metre</t>
        </is>
      </c>
      <c r="D1588" s="15" t="n">
        <v>27.7</v>
      </c>
      <c r="E1588" s="16" t="n">
        <v>95</v>
      </c>
      <c r="F1588" s="16">
        <f>D1588*E1588</f>
        <v/>
      </c>
    </row>
    <row r="1589">
      <c r="A1589" s="13" t="inlineStr">
        <is>
          <t>8606</t>
        </is>
      </c>
      <c r="B1589" s="14" t="inlineStr">
        <is>
          <t>Main C Carrier Size 10x38x10x0.70mm (3.00 meter long)</t>
        </is>
      </c>
      <c r="C1589" s="13" t="inlineStr">
        <is>
          <t>metre</t>
        </is>
      </c>
      <c r="D1589" s="15" t="n">
        <v>33</v>
      </c>
      <c r="E1589" s="16" t="n">
        <v>115</v>
      </c>
      <c r="F1589" s="16">
        <f>D1589*E1589</f>
        <v/>
      </c>
    </row>
    <row r="1590">
      <c r="A1590" s="13" t="inlineStr">
        <is>
          <t>8607</t>
        </is>
      </c>
      <c r="B1590" s="14" t="inlineStr">
        <is>
          <t>Spring T-connector</t>
        </is>
      </c>
      <c r="C1590" s="13" t="inlineStr">
        <is>
          <t>each</t>
        </is>
      </c>
      <c r="D1590" s="15" t="n">
        <v>44</v>
      </c>
      <c r="E1590" s="16" t="n">
        <v>5</v>
      </c>
      <c r="F1590" s="16">
        <f>D1590*E1590</f>
        <v/>
      </c>
    </row>
    <row r="1591">
      <c r="A1591" s="13" t="inlineStr">
        <is>
          <t>8608</t>
        </is>
      </c>
      <c r="B1591" s="14" t="inlineStr">
        <is>
          <t>C Carrier Connector</t>
        </is>
      </c>
      <c r="C1591" s="13" t="inlineStr">
        <is>
          <t>each</t>
        </is>
      </c>
      <c r="D1591" s="15" t="n">
        <v>44</v>
      </c>
      <c r="E1591" s="16" t="n">
        <v>11</v>
      </c>
      <c r="F1591" s="16">
        <f>D1591*E1591</f>
        <v/>
      </c>
    </row>
    <row r="1592">
      <c r="A1592" s="13" t="inlineStr">
        <is>
          <t>8609</t>
        </is>
      </c>
      <c r="B1592" s="14" t="inlineStr">
        <is>
          <t>C Suspension Clip</t>
        </is>
      </c>
      <c r="C1592" s="13" t="inlineStr">
        <is>
          <t>each</t>
        </is>
      </c>
      <c r="D1592" s="15" t="n">
        <v>88</v>
      </c>
      <c r="E1592" s="16" t="n">
        <v>8</v>
      </c>
      <c r="F1592" s="16">
        <f>D1592*E1592</f>
        <v/>
      </c>
    </row>
    <row r="1593">
      <c r="A1593" s="13" t="inlineStr">
        <is>
          <t>8610</t>
        </is>
      </c>
      <c r="B1593" s="14" t="inlineStr">
        <is>
          <t>Wire Coupling Clip</t>
        </is>
      </c>
      <c r="C1593" s="13" t="inlineStr">
        <is>
          <t>each</t>
        </is>
      </c>
      <c r="D1593" s="15" t="n">
        <v>333</v>
      </c>
      <c r="E1593" s="16" t="n">
        <v>9</v>
      </c>
      <c r="F1593" s="16">
        <f>D1593*E1593</f>
        <v/>
      </c>
    </row>
    <row r="1594">
      <c r="A1594" s="13" t="inlineStr">
        <is>
          <t>8615</t>
        </is>
      </c>
      <c r="B1594" s="14" t="inlineStr">
        <is>
          <t>Hanger rod 4 mm thick</t>
        </is>
      </c>
      <c r="C1594" s="13" t="inlineStr">
        <is>
          <t>each</t>
        </is>
      </c>
      <c r="D1594" s="15" t="n">
        <v>80</v>
      </c>
      <c r="E1594" s="16" t="n">
        <v>8</v>
      </c>
      <c r="F1594" s="16">
        <f>D1594*E1594</f>
        <v/>
      </c>
    </row>
    <row r="1595">
      <c r="A1595" s="13" t="inlineStr">
        <is>
          <t>8616</t>
        </is>
      </c>
      <c r="B1595" s="14" t="inlineStr">
        <is>
          <t>Adjustment clip 85x30x0.8mm</t>
        </is>
      </c>
      <c r="C1595" s="13" t="inlineStr">
        <is>
          <t>each</t>
        </is>
      </c>
      <c r="D1595" s="15" t="n">
        <v>80</v>
      </c>
      <c r="E1595" s="16" t="n">
        <v>5</v>
      </c>
      <c r="F1595" s="16">
        <f>D1595*E1595</f>
        <v/>
      </c>
    </row>
    <row r="1596">
      <c r="A1596" s="13" t="inlineStr">
        <is>
          <t>8617</t>
        </is>
      </c>
      <c r="B1596" s="14" t="inlineStr">
        <is>
          <t>Soffit cleat (Size 27x37x25x1.60mm)</t>
        </is>
      </c>
      <c r="C1596" s="13" t="inlineStr">
        <is>
          <t>each</t>
        </is>
      </c>
      <c r="D1596" s="15" t="n">
        <v>80</v>
      </c>
      <c r="E1596" s="16" t="n">
        <v>4</v>
      </c>
      <c r="F1596" s="16">
        <f>D1596*E1596</f>
        <v/>
      </c>
    </row>
    <row r="1597">
      <c r="A1597" s="13" t="inlineStr">
        <is>
          <t>7388</t>
        </is>
      </c>
      <c r="B1597" s="14" t="inlineStr">
        <is>
          <t>Dash hold fastener 12.5 mm dia, 40 mm long with 6 mm dia bolt</t>
        </is>
      </c>
      <c r="C1597" s="13" t="inlineStr">
        <is>
          <t>each</t>
        </is>
      </c>
      <c r="D1597" s="15" t="n">
        <v>80</v>
      </c>
      <c r="E1597" s="16" t="n">
        <v>11</v>
      </c>
      <c r="F1597" s="16">
        <f>D1597*E1597</f>
        <v/>
      </c>
    </row>
    <row r="1598">
      <c r="A1598" s="13" t="inlineStr">
        <is>
          <t>9999</t>
        </is>
      </c>
      <c r="B1598" s="14" t="inlineStr">
        <is>
          <t>Sundries i.e. scaffolding etc.</t>
        </is>
      </c>
      <c r="C1598" s="13" t="inlineStr">
        <is>
          <t>L.S.</t>
        </is>
      </c>
      <c r="D1598" s="15" t="n">
        <v>188</v>
      </c>
      <c r="E1598" s="16" t="n">
        <v>2</v>
      </c>
      <c r="F1598" s="16">
        <f>D1598*E1598</f>
        <v/>
      </c>
    </row>
    <row r="1599">
      <c r="A1599" s="13" t="inlineStr">
        <is>
          <t>9977</t>
        </is>
      </c>
      <c r="B1599" s="14" t="inlineStr">
        <is>
          <t>Carriage of materials etc.</t>
        </is>
      </c>
      <c r="C1599" s="13" t="inlineStr">
        <is>
          <t>L.S.</t>
        </is>
      </c>
      <c r="D1599" s="15" t="n">
        <v>90</v>
      </c>
      <c r="E1599" s="16" t="n">
        <v>2</v>
      </c>
      <c r="F1599" s="16">
        <f>D1599*E1599</f>
        <v/>
      </c>
    </row>
    <row r="1600">
      <c r="A1600" s="13" t="inlineStr">
        <is>
          <t>0111</t>
        </is>
      </c>
      <c r="B1600" s="14" t="inlineStr">
        <is>
          <t>Carpenter 1st class</t>
        </is>
      </c>
      <c r="C1600" s="13" t="inlineStr">
        <is>
          <t>day</t>
        </is>
      </c>
      <c r="D1600" s="15" t="n">
        <v>28</v>
      </c>
      <c r="E1600" s="16" t="n">
        <v>738</v>
      </c>
      <c r="F1600" s="16">
        <f>D1600*E1600</f>
        <v/>
      </c>
    </row>
    <row r="1601">
      <c r="A1601" s="13" t="inlineStr">
        <is>
          <t>0114</t>
        </is>
      </c>
      <c r="B1601" s="14" t="inlineStr">
        <is>
          <t>Beldar</t>
        </is>
      </c>
      <c r="C1601" s="13" t="inlineStr">
        <is>
          <t>day</t>
        </is>
      </c>
      <c r="D1601" s="15" t="n">
        <v>23</v>
      </c>
      <c r="E1601" s="16" t="n">
        <v>558</v>
      </c>
      <c r="F1601" s="16">
        <f>D1601*E1601</f>
        <v/>
      </c>
    </row>
    <row r="1602">
      <c r="A1602" s="17" t="inlineStr">
        <is>
          <t>Resource Total (Material + Labour + Machinery, as printed)</t>
        </is>
      </c>
      <c r="B1602" s="18" t="n"/>
      <c r="C1602" s="18" t="n"/>
      <c r="D1602" s="18" t="n"/>
      <c r="E1602" s="18" t="n"/>
      <c r="F1602" s="19">
        <f>SUM(F1586:F1601)</f>
        <v/>
      </c>
    </row>
    <row r="1603">
      <c r="A1603" s="20" t="inlineStr">
        <is>
          <t>SAY (Rs.) — final DAR rate</t>
        </is>
      </c>
      <c r="B1603" s="21" t="n"/>
      <c r="C1603" s="21" t="n"/>
      <c r="D1603" s="21" t="n"/>
      <c r="E1603" s="21" t="n"/>
      <c r="F1603" s="22" t="n">
        <v>1734.1</v>
      </c>
    </row>
    <row r="1605" ht="28" customHeight="1">
      <c r="A1605" s="9" t="inlineStr">
        <is>
          <t>12.54.2</t>
        </is>
      </c>
      <c r="B1605" s="10" t="inlineStr">
        <is>
          <t>GI Metal Ceiling Clip in plain Beveled edge global white color tiles of size 600x600 and 0.5 mm thick with 25 mm height, made of G I sheet h</t>
        </is>
      </c>
      <c r="C1605" s="11" t="n"/>
      <c r="D1605" s="11" t="n"/>
      <c r="E1605" s="11" t="n"/>
      <c r="F1605" s="11" t="n"/>
    </row>
    <row r="1606">
      <c r="A1606" s="12" t="inlineStr">
        <is>
          <t>Rate basis: per sqm  (source: cost for 100 sqm)</t>
        </is>
      </c>
    </row>
    <row r="1607">
      <c r="A1607" s="5" t="inlineStr">
        <is>
          <t>Code</t>
        </is>
      </c>
      <c r="B1607" s="5" t="inlineStr">
        <is>
          <t>Description</t>
        </is>
      </c>
      <c r="C1607" s="5" t="inlineStr">
        <is>
          <t>Unit</t>
        </is>
      </c>
      <c r="D1607" s="5" t="inlineStr">
        <is>
          <t>Quantity</t>
        </is>
      </c>
      <c r="E1607" s="5" t="inlineStr">
        <is>
          <t>Rate (Rs.)</t>
        </is>
      </c>
      <c r="F1607" s="5" t="inlineStr">
        <is>
          <t>Amount (Rs.)</t>
        </is>
      </c>
    </row>
    <row r="1608">
      <c r="A1608" s="13" t="inlineStr">
        <is>
          <t>8598</t>
        </is>
      </c>
      <c r="B1608" s="14" t="inlineStr">
        <is>
          <t>GI Metal Tile Clip in Perforated Beveled edge global white colour tiles of size 600x600 mm and 0.5mm thick</t>
        </is>
      </c>
      <c r="C1608" s="13" t="inlineStr">
        <is>
          <t>sqm</t>
        </is>
      </c>
      <c r="D1608" s="15" t="n">
        <v>105</v>
      </c>
      <c r="E1608" s="16" t="n">
        <v>782</v>
      </c>
      <c r="F1608" s="16">
        <f>D1608*E1608</f>
        <v/>
      </c>
    </row>
    <row r="1609">
      <c r="A1609" s="13" t="inlineStr">
        <is>
          <t>8604</t>
        </is>
      </c>
      <c r="B1609" s="14" t="inlineStr">
        <is>
          <t>Spring T-section 24x34x0.45 mm (3.00 meter long)</t>
        </is>
      </c>
      <c r="C1609" s="13" t="inlineStr">
        <is>
          <t>metre</t>
        </is>
      </c>
      <c r="D1609" s="15" t="n">
        <v>60</v>
      </c>
      <c r="E1609" s="16" t="n">
        <v>190</v>
      </c>
      <c r="F1609" s="16">
        <f>D1609*E1609</f>
        <v/>
      </c>
    </row>
    <row r="1610">
      <c r="A1610" s="13" t="inlineStr">
        <is>
          <t>8605</t>
        </is>
      </c>
      <c r="B1610" s="14" t="inlineStr">
        <is>
          <t>C Wall angle section 20x30x20x 0.50 mm (3.00 meter long)</t>
        </is>
      </c>
      <c r="C1610" s="13" t="inlineStr">
        <is>
          <t>metre</t>
        </is>
      </c>
      <c r="D1610" s="15" t="n">
        <v>27.7</v>
      </c>
      <c r="E1610" s="16" t="n">
        <v>95</v>
      </c>
      <c r="F1610" s="16">
        <f>D1610*E1610</f>
        <v/>
      </c>
    </row>
    <row r="1611">
      <c r="A1611" s="13" t="inlineStr">
        <is>
          <t>8606</t>
        </is>
      </c>
      <c r="B1611" s="14" t="inlineStr">
        <is>
          <t>Main C Carrier Size 10x38x10x0.70mm (3.00 meter long)</t>
        </is>
      </c>
      <c r="C1611" s="13" t="inlineStr">
        <is>
          <t>metre</t>
        </is>
      </c>
      <c r="D1611" s="15" t="n">
        <v>33</v>
      </c>
      <c r="E1611" s="16" t="n">
        <v>115</v>
      </c>
      <c r="F1611" s="16">
        <f>D1611*E1611</f>
        <v/>
      </c>
    </row>
    <row r="1612">
      <c r="A1612" s="13" t="inlineStr">
        <is>
          <t>8607</t>
        </is>
      </c>
      <c r="B1612" s="14" t="inlineStr">
        <is>
          <t>Spring T-connector</t>
        </is>
      </c>
      <c r="C1612" s="13" t="inlineStr">
        <is>
          <t>each</t>
        </is>
      </c>
      <c r="D1612" s="15" t="n">
        <v>44</v>
      </c>
      <c r="E1612" s="16" t="n">
        <v>5</v>
      </c>
      <c r="F1612" s="16">
        <f>D1612*E1612</f>
        <v/>
      </c>
    </row>
    <row r="1613">
      <c r="A1613" s="13" t="inlineStr">
        <is>
          <t>8608</t>
        </is>
      </c>
      <c r="B1613" s="14" t="inlineStr">
        <is>
          <t>C Carrier Connector</t>
        </is>
      </c>
      <c r="C1613" s="13" t="inlineStr">
        <is>
          <t>each</t>
        </is>
      </c>
      <c r="D1613" s="15" t="n">
        <v>44</v>
      </c>
      <c r="E1613" s="16" t="n">
        <v>11</v>
      </c>
      <c r="F1613" s="16">
        <f>D1613*E1613</f>
        <v/>
      </c>
    </row>
    <row r="1614">
      <c r="A1614" s="13" t="inlineStr">
        <is>
          <t>8609</t>
        </is>
      </c>
      <c r="B1614" s="14" t="inlineStr">
        <is>
          <t>C Suspension Clip</t>
        </is>
      </c>
      <c r="C1614" s="13" t="inlineStr">
        <is>
          <t>each</t>
        </is>
      </c>
      <c r="D1614" s="15" t="n">
        <v>88</v>
      </c>
      <c r="E1614" s="16" t="n">
        <v>8</v>
      </c>
      <c r="F1614" s="16">
        <f>D1614*E1614</f>
        <v/>
      </c>
    </row>
    <row r="1615">
      <c r="A1615" s="13" t="inlineStr">
        <is>
          <t>8610</t>
        </is>
      </c>
      <c r="B1615" s="14" t="inlineStr">
        <is>
          <t>Wire Coupling Clip</t>
        </is>
      </c>
      <c r="C1615" s="13" t="inlineStr">
        <is>
          <t>each</t>
        </is>
      </c>
      <c r="D1615" s="15" t="n">
        <v>333</v>
      </c>
      <c r="E1615" s="16" t="n">
        <v>9</v>
      </c>
      <c r="F1615" s="16">
        <f>D1615*E1615</f>
        <v/>
      </c>
    </row>
    <row r="1616">
      <c r="A1616" s="13" t="inlineStr">
        <is>
          <t>8615</t>
        </is>
      </c>
      <c r="B1616" s="14" t="inlineStr">
        <is>
          <t>Hanger rod 4 mm thick</t>
        </is>
      </c>
      <c r="C1616" s="13" t="inlineStr">
        <is>
          <t>each</t>
        </is>
      </c>
      <c r="D1616" s="15" t="n">
        <v>80</v>
      </c>
      <c r="E1616" s="16" t="n">
        <v>8</v>
      </c>
      <c r="F1616" s="16">
        <f>D1616*E1616</f>
        <v/>
      </c>
    </row>
    <row r="1617">
      <c r="A1617" s="13" t="inlineStr">
        <is>
          <t>8616</t>
        </is>
      </c>
      <c r="B1617" s="14" t="inlineStr">
        <is>
          <t>Adjustment clip 85x30x0.8mm</t>
        </is>
      </c>
      <c r="C1617" s="13" t="inlineStr">
        <is>
          <t>each</t>
        </is>
      </c>
      <c r="D1617" s="15" t="n">
        <v>80</v>
      </c>
      <c r="E1617" s="16" t="n">
        <v>5</v>
      </c>
      <c r="F1617" s="16">
        <f>D1617*E1617</f>
        <v/>
      </c>
    </row>
    <row r="1618">
      <c r="A1618" s="13" t="inlineStr">
        <is>
          <t>8617</t>
        </is>
      </c>
      <c r="B1618" s="14" t="inlineStr">
        <is>
          <t>Soffit cleat (Size 27x37x25x1.60mm)</t>
        </is>
      </c>
      <c r="C1618" s="13" t="inlineStr">
        <is>
          <t>each</t>
        </is>
      </c>
      <c r="D1618" s="15" t="n">
        <v>80</v>
      </c>
      <c r="E1618" s="16" t="n">
        <v>4</v>
      </c>
      <c r="F1618" s="16">
        <f>D1618*E1618</f>
        <v/>
      </c>
    </row>
    <row r="1619">
      <c r="A1619" s="13" t="inlineStr">
        <is>
          <t>7388</t>
        </is>
      </c>
      <c r="B1619" s="14" t="inlineStr">
        <is>
          <t>Dash hold fastener 12.5 mm dia, 40 mm long with 6 mm dia bolt</t>
        </is>
      </c>
      <c r="C1619" s="13" t="inlineStr">
        <is>
          <t>each</t>
        </is>
      </c>
      <c r="D1619" s="15" t="n">
        <v>80</v>
      </c>
      <c r="E1619" s="16" t="n">
        <v>11</v>
      </c>
      <c r="F1619" s="16">
        <f>D1619*E1619</f>
        <v/>
      </c>
    </row>
    <row r="1620">
      <c r="A1620" s="13" t="inlineStr">
        <is>
          <t>9999</t>
        </is>
      </c>
      <c r="B1620" s="14" t="inlineStr">
        <is>
          <t>Sundries i.e. scaffolding etc.</t>
        </is>
      </c>
      <c r="C1620" s="13" t="inlineStr">
        <is>
          <t>L.S.</t>
        </is>
      </c>
      <c r="D1620" s="15" t="n">
        <v>188</v>
      </c>
      <c r="E1620" s="16" t="n">
        <v>2</v>
      </c>
      <c r="F1620" s="16">
        <f>D1620*E1620</f>
        <v/>
      </c>
    </row>
    <row r="1621">
      <c r="A1621" s="13" t="inlineStr">
        <is>
          <t>9977</t>
        </is>
      </c>
      <c r="B1621" s="14" t="inlineStr">
        <is>
          <t>Carriage of materials etc.</t>
        </is>
      </c>
      <c r="C1621" s="13" t="inlineStr">
        <is>
          <t>L.S.</t>
        </is>
      </c>
      <c r="D1621" s="15" t="n">
        <v>90</v>
      </c>
      <c r="E1621" s="16" t="n">
        <v>2</v>
      </c>
      <c r="F1621" s="16">
        <f>D1621*E1621</f>
        <v/>
      </c>
    </row>
    <row r="1622">
      <c r="A1622" s="13" t="inlineStr">
        <is>
          <t>0111</t>
        </is>
      </c>
      <c r="B1622" s="14" t="inlineStr">
        <is>
          <t>Carpenter 1st class</t>
        </is>
      </c>
      <c r="C1622" s="13" t="inlineStr">
        <is>
          <t>day</t>
        </is>
      </c>
      <c r="D1622" s="15" t="n">
        <v>28</v>
      </c>
      <c r="E1622" s="16" t="n">
        <v>738</v>
      </c>
      <c r="F1622" s="16">
        <f>D1622*E1622</f>
        <v/>
      </c>
    </row>
    <row r="1623">
      <c r="A1623" s="13" t="inlineStr">
        <is>
          <t>0114</t>
        </is>
      </c>
      <c r="B1623" s="14" t="inlineStr">
        <is>
          <t>Beldar</t>
        </is>
      </c>
      <c r="C1623" s="13" t="inlineStr">
        <is>
          <t>day</t>
        </is>
      </c>
      <c r="D1623" s="15" t="n">
        <v>23</v>
      </c>
      <c r="E1623" s="16" t="n">
        <v>558</v>
      </c>
      <c r="F1623" s="16">
        <f>D1623*E1623</f>
        <v/>
      </c>
    </row>
    <row r="1624">
      <c r="A1624" s="17" t="inlineStr">
        <is>
          <t>Resource Total (Material + Labour + Machinery, as printed)</t>
        </is>
      </c>
      <c r="B1624" s="18" t="n"/>
      <c r="C1624" s="18" t="n"/>
      <c r="D1624" s="18" t="n"/>
      <c r="E1624" s="18" t="n"/>
      <c r="F1624" s="19">
        <f>SUM(F1608:F1623)</f>
        <v/>
      </c>
    </row>
    <row r="1625">
      <c r="A1625" s="20" t="inlineStr">
        <is>
          <t>SAY (Rs.) — final DAR rate</t>
        </is>
      </c>
      <c r="B1625" s="21" t="n"/>
      <c r="C1625" s="21" t="n"/>
      <c r="D1625" s="21" t="n"/>
      <c r="E1625" s="21" t="n"/>
      <c r="F1625" s="22" t="n">
        <v>1881.6</v>
      </c>
    </row>
    <row r="1627" ht="28" customHeight="1">
      <c r="A1627" s="9" t="inlineStr">
        <is>
          <t>12.55</t>
        </is>
      </c>
      <c r="B1627" s="10" t="inlineStr">
        <is>
          <t xml:space="preserve">Providing and fixing Heat Resistant Terrace Tiles (300 mm x 300 mm x 20 mm) with SRI (solar refractive index) &gt; 78, solar reflection &gt; 0.70 </t>
        </is>
      </c>
      <c r="C1627" s="11" t="n"/>
      <c r="D1627" s="11" t="n"/>
      <c r="E1627" s="11" t="n"/>
      <c r="F1627" s="11" t="n"/>
    </row>
    <row r="1628">
      <c r="A1628" s="12" t="inlineStr">
        <is>
          <t>Rate basis: per sqm  (source: cost for 10 sqm)</t>
        </is>
      </c>
    </row>
    <row r="1629">
      <c r="A1629" s="5" t="inlineStr">
        <is>
          <t>Code</t>
        </is>
      </c>
      <c r="B1629" s="5" t="inlineStr">
        <is>
          <t>Description</t>
        </is>
      </c>
      <c r="C1629" s="5" t="inlineStr">
        <is>
          <t>Unit</t>
        </is>
      </c>
      <c r="D1629" s="5" t="inlineStr">
        <is>
          <t>Quantity</t>
        </is>
      </c>
      <c r="E1629" s="5" t="inlineStr">
        <is>
          <t>Rate (Rs.)</t>
        </is>
      </c>
      <c r="F1629" s="5" t="inlineStr">
        <is>
          <t>Amount (Rs.)</t>
        </is>
      </c>
    </row>
    <row r="1630">
      <c r="A1630" s="13" t="inlineStr">
        <is>
          <t>3.9</t>
        </is>
      </c>
      <c r="B1630" s="14" t="inlineStr">
        <is>
          <t>Rate as per SH: 3.9</t>
        </is>
      </c>
      <c r="C1630" s="13" t="inlineStr">
        <is>
          <t>cum</t>
        </is>
      </c>
      <c r="D1630" s="15" t="n">
        <v>0.224</v>
      </c>
      <c r="E1630" s="16" t="n">
        <v>4010.35</v>
      </c>
      <c r="F1630" s="16">
        <f>D1630*E1630</f>
        <v/>
      </c>
    </row>
    <row r="1631">
      <c r="A1631" s="13" t="inlineStr">
        <is>
          <t>1204</t>
        </is>
      </c>
      <c r="B1631" s="14" t="inlineStr">
        <is>
          <t>Precast heat resistant terrace tiles (size 300x300mm) and 20mm thick</t>
        </is>
      </c>
      <c r="C1631" s="13" t="inlineStr">
        <is>
          <t>sqm</t>
        </is>
      </c>
      <c r="D1631" s="15" t="n">
        <v>10.3</v>
      </c>
      <c r="E1631" s="16" t="n">
        <v>409</v>
      </c>
      <c r="F1631" s="16">
        <f>D1631*E1631</f>
        <v/>
      </c>
    </row>
    <row r="1632">
      <c r="A1632" s="13" t="inlineStr">
        <is>
          <t>0367</t>
        </is>
      </c>
      <c r="B1632" s="14" t="inlineStr">
        <is>
          <t>Portland Cement (OPC-43 grade)</t>
        </is>
      </c>
      <c r="C1632" s="13" t="inlineStr">
        <is>
          <t>tonne</t>
        </is>
      </c>
      <c r="D1632" s="15" t="n">
        <v>0.044</v>
      </c>
      <c r="E1632" s="16" t="n">
        <v>4940</v>
      </c>
      <c r="F1632" s="16">
        <f>D1632*E1632</f>
        <v/>
      </c>
    </row>
    <row r="1633">
      <c r="A1633" s="13" t="inlineStr">
        <is>
          <t>0368</t>
        </is>
      </c>
      <c r="B1633" s="14" t="inlineStr">
        <is>
          <t>White Cement</t>
        </is>
      </c>
      <c r="C1633" s="13" t="inlineStr">
        <is>
          <t>tonne</t>
        </is>
      </c>
      <c r="D1633" s="15" t="n">
        <v>0.044</v>
      </c>
      <c r="E1633" s="16" t="n">
        <v>11200</v>
      </c>
      <c r="F1633" s="16">
        <f>D1633*E1633</f>
        <v/>
      </c>
    </row>
    <row r="1634">
      <c r="A1634" s="13" t="inlineStr">
        <is>
          <t>2209</t>
        </is>
      </c>
      <c r="B1634" s="14" t="inlineStr">
        <is>
          <t>Carriage of Cement</t>
        </is>
      </c>
      <c r="C1634" s="13" t="inlineStr">
        <is>
          <t>tonne</t>
        </is>
      </c>
      <c r="D1634" s="15" t="n">
        <v>0.08799999999999999</v>
      </c>
      <c r="E1634" s="16" t="n">
        <v>92.23999999999999</v>
      </c>
      <c r="F1634" s="16">
        <f>D1634*E1634</f>
        <v/>
      </c>
    </row>
    <row r="1635">
      <c r="A1635" s="13" t="inlineStr">
        <is>
          <t>0875</t>
        </is>
      </c>
      <c r="B1635" s="14" t="inlineStr">
        <is>
          <t>Red, chocolate, orange, buff or yellow (red oxide of iron) light shade pigment</t>
        </is>
      </c>
      <c r="C1635" s="13" t="inlineStr">
        <is>
          <t>kilogram</t>
        </is>
      </c>
      <c r="D1635" s="15" t="n">
        <v>3.08</v>
      </c>
      <c r="E1635" s="16" t="n">
        <v>60</v>
      </c>
      <c r="F1635" s="16">
        <f>D1635*E1635</f>
        <v/>
      </c>
    </row>
    <row r="1636">
      <c r="A1636" s="13" t="inlineStr">
        <is>
          <t>0124</t>
        </is>
      </c>
      <c r="B1636" s="14" t="inlineStr">
        <is>
          <t>Mason (brick layer) 2nd class</t>
        </is>
      </c>
      <c r="C1636" s="13" t="inlineStr">
        <is>
          <t>day</t>
        </is>
      </c>
      <c r="D1636" s="15" t="n">
        <v>1.6</v>
      </c>
      <c r="E1636" s="16" t="n">
        <v>679</v>
      </c>
      <c r="F1636" s="16">
        <f>D1636*E1636</f>
        <v/>
      </c>
    </row>
    <row r="1637">
      <c r="A1637" s="13" t="inlineStr">
        <is>
          <t>0115</t>
        </is>
      </c>
      <c r="B1637" s="14" t="inlineStr">
        <is>
          <t>Coolie</t>
        </is>
      </c>
      <c r="C1637" s="13" t="inlineStr">
        <is>
          <t>day</t>
        </is>
      </c>
      <c r="D1637" s="15" t="n">
        <v>2</v>
      </c>
      <c r="E1637" s="16" t="n">
        <v>558</v>
      </c>
      <c r="F1637" s="16">
        <f>D1637*E1637</f>
        <v/>
      </c>
    </row>
    <row r="1638">
      <c r="A1638" s="13" t="inlineStr">
        <is>
          <t>0139</t>
        </is>
      </c>
      <c r="B1638" s="14" t="inlineStr">
        <is>
          <t>Skilled Beldar (for floor rubbing etc.)</t>
        </is>
      </c>
      <c r="C1638" s="13" t="inlineStr">
        <is>
          <t>day</t>
        </is>
      </c>
      <c r="D1638" s="15" t="n">
        <v>1</v>
      </c>
      <c r="E1638" s="16" t="n">
        <v>617</v>
      </c>
      <c r="F1638" s="16">
        <f>D1638*E1638</f>
        <v/>
      </c>
    </row>
    <row r="1639">
      <c r="A1639" s="13" t="inlineStr">
        <is>
          <t>0101</t>
        </is>
      </c>
      <c r="B1639" s="14" t="inlineStr">
        <is>
          <t>Bhisti</t>
        </is>
      </c>
      <c r="C1639" s="13" t="inlineStr">
        <is>
          <t>day</t>
        </is>
      </c>
      <c r="D1639" s="15" t="n">
        <v>1</v>
      </c>
      <c r="E1639" s="16" t="n">
        <v>617</v>
      </c>
      <c r="F1639" s="16">
        <f>D1639*E1639</f>
        <v/>
      </c>
    </row>
    <row r="1640">
      <c r="A1640" s="13" t="inlineStr">
        <is>
          <t>0013</t>
        </is>
      </c>
      <c r="B1640" s="14" t="inlineStr">
        <is>
          <t>Machine for rubbing of floors</t>
        </is>
      </c>
      <c r="C1640" s="13" t="inlineStr">
        <is>
          <t>day</t>
        </is>
      </c>
      <c r="D1640" s="15" t="n">
        <v>1.6</v>
      </c>
      <c r="E1640" s="16" t="n">
        <v>300</v>
      </c>
      <c r="F1640" s="16">
        <f>D1640*E1640</f>
        <v/>
      </c>
    </row>
    <row r="1641">
      <c r="A1641" s="13" t="inlineStr">
        <is>
          <t>9999</t>
        </is>
      </c>
      <c r="B1641" s="14" t="inlineStr">
        <is>
          <t>Sundries including carborandum stone etc.</t>
        </is>
      </c>
      <c r="C1641" s="13" t="inlineStr">
        <is>
          <t>L.S.</t>
        </is>
      </c>
      <c r="D1641" s="15" t="n">
        <v>169.98</v>
      </c>
      <c r="E1641" s="16" t="n">
        <v>2</v>
      </c>
      <c r="F1641" s="16">
        <f>D1641*E1641</f>
        <v/>
      </c>
    </row>
    <row r="1642">
      <c r="A1642" s="17" t="inlineStr">
        <is>
          <t>Resource Total (Material + Labour + Machinery, as printed)</t>
        </is>
      </c>
      <c r="B1642" s="18" t="n"/>
      <c r="C1642" s="18" t="n"/>
      <c r="D1642" s="18" t="n"/>
      <c r="E1642" s="18" t="n"/>
      <c r="F1642" s="19">
        <f>SUM(F1630:F1641)</f>
        <v/>
      </c>
    </row>
    <row r="1643">
      <c r="A1643" s="20" t="inlineStr">
        <is>
          <t>SAY (Rs.) — final DAR rate</t>
        </is>
      </c>
      <c r="B1643" s="21" t="n"/>
      <c r="C1643" s="21" t="n"/>
      <c r="D1643" s="21" t="n"/>
      <c r="E1643" s="21" t="n"/>
      <c r="F1643" s="22" t="n">
        <v>1374.1</v>
      </c>
    </row>
    <row r="1645" ht="28" customHeight="1">
      <c r="A1645" s="9" t="inlineStr">
        <is>
          <t>12.56</t>
        </is>
      </c>
      <c r="B1645" s="10" t="inlineStr">
        <is>
          <t>Providing and laying roof insulation with 40 mm thick impervious sprayed, closed cell free Rigid Polyurethane foam over deck insulation conf</t>
        </is>
      </c>
      <c r="C1645" s="11" t="n"/>
      <c r="D1645" s="11" t="n"/>
      <c r="E1645" s="11" t="n"/>
      <c r="F1645" s="11" t="n"/>
    </row>
    <row r="1646">
      <c r="A1646" s="12" t="inlineStr">
        <is>
          <t>Rate basis: per sqm  (source: cost for 1 sqm)</t>
        </is>
      </c>
    </row>
    <row r="1647">
      <c r="A1647" s="5" t="inlineStr">
        <is>
          <t>Code</t>
        </is>
      </c>
      <c r="B1647" s="5" t="inlineStr">
        <is>
          <t>Description</t>
        </is>
      </c>
      <c r="C1647" s="5" t="inlineStr">
        <is>
          <t>Unit</t>
        </is>
      </c>
      <c r="D1647" s="5" t="inlineStr">
        <is>
          <t>Quantity</t>
        </is>
      </c>
      <c r="E1647" s="5" t="inlineStr">
        <is>
          <t>Rate (Rs.)</t>
        </is>
      </c>
      <c r="F1647" s="5" t="inlineStr">
        <is>
          <t>Amount (Rs.)</t>
        </is>
      </c>
    </row>
    <row r="1648">
      <c r="A1648" s="13" t="inlineStr">
        <is>
          <t>7050</t>
        </is>
      </c>
      <c r="B1648" s="14" t="inlineStr">
        <is>
          <t>PU Primer</t>
        </is>
      </c>
      <c r="C1648" s="13" t="inlineStr">
        <is>
          <t>sqm</t>
        </is>
      </c>
      <c r="D1648" s="15" t="n">
        <v>1</v>
      </c>
      <c r="E1648" s="16" t="n">
        <v>60</v>
      </c>
      <c r="F1648" s="16">
        <f>D1648*E1648</f>
        <v/>
      </c>
    </row>
    <row r="1649">
      <c r="A1649" s="13" t="inlineStr">
        <is>
          <t>7051</t>
        </is>
      </c>
      <c r="B1649" s="14" t="inlineStr">
        <is>
          <t>40 mm (average) PU spray having 40-45 kg/m3 density</t>
        </is>
      </c>
      <c r="C1649" s="13" t="inlineStr">
        <is>
          <t>sqm</t>
        </is>
      </c>
      <c r="D1649" s="15" t="n">
        <v>1.1</v>
      </c>
      <c r="E1649" s="16" t="n">
        <v>400</v>
      </c>
      <c r="F1649" s="16">
        <f>D1649*E1649</f>
        <v/>
      </c>
    </row>
    <row r="1650">
      <c r="A1650" s="13" t="inlineStr">
        <is>
          <t>7052</t>
        </is>
      </c>
      <c r="B1650" s="14" t="inlineStr">
        <is>
          <t>GI wire netting 3/4" x 24 G</t>
        </is>
      </c>
      <c r="C1650" s="13" t="inlineStr">
        <is>
          <t>sqm</t>
        </is>
      </c>
      <c r="D1650" s="15" t="n">
        <v>1</v>
      </c>
      <c r="E1650" s="16" t="n">
        <v>26</v>
      </c>
      <c r="F1650" s="16">
        <f>D1650*E1650</f>
        <v/>
      </c>
    </row>
    <row r="1651">
      <c r="A1651" s="13" t="inlineStr">
        <is>
          <t>9999</t>
        </is>
      </c>
      <c r="B1651" s="14" t="inlineStr">
        <is>
          <t>Sundries</t>
        </is>
      </c>
      <c r="C1651" s="13" t="inlineStr">
        <is>
          <t>L.S.</t>
        </is>
      </c>
      <c r="D1651" s="15" t="n">
        <v>6.71</v>
      </c>
      <c r="E1651" s="16" t="n">
        <v>2</v>
      </c>
      <c r="F1651" s="16">
        <f>D1651*E1651</f>
        <v/>
      </c>
    </row>
    <row r="1652">
      <c r="A1652" s="13" t="inlineStr">
        <is>
          <t>9999</t>
        </is>
      </c>
      <c r="B1652" s="14" t="inlineStr">
        <is>
          <t>Polymerized mastic for all joints</t>
        </is>
      </c>
      <c r="C1652" s="13" t="inlineStr">
        <is>
          <t>L.S.</t>
        </is>
      </c>
      <c r="D1652" s="15" t="n">
        <v>20.13</v>
      </c>
      <c r="E1652" s="16" t="n">
        <v>2</v>
      </c>
      <c r="F1652" s="16">
        <f>D1652*E1652</f>
        <v/>
      </c>
    </row>
    <row r="1653">
      <c r="A1653" s="13" t="inlineStr">
        <is>
          <t>7053</t>
        </is>
      </c>
      <c r="B1653" s="14" t="inlineStr">
        <is>
          <t>400 G polythene sheet</t>
        </is>
      </c>
      <c r="C1653" s="13" t="inlineStr">
        <is>
          <t>sqm</t>
        </is>
      </c>
      <c r="D1653" s="15" t="n">
        <v>1</v>
      </c>
      <c r="E1653" s="16" t="n">
        <v>14</v>
      </c>
      <c r="F1653" s="16">
        <f>D1653*E1653</f>
        <v/>
      </c>
    </row>
    <row r="1654">
      <c r="A1654" s="13" t="inlineStr">
        <is>
          <t>9999</t>
        </is>
      </c>
      <c r="B1654" s="14" t="inlineStr">
        <is>
          <t>Cement</t>
        </is>
      </c>
      <c r="C1654" s="13" t="inlineStr">
        <is>
          <t>L.S.</t>
        </is>
      </c>
      <c r="D1654" s="15" t="n">
        <v>44.67</v>
      </c>
      <c r="E1654" s="16" t="n">
        <v>2</v>
      </c>
      <c r="F1654" s="16">
        <f>D1654*E1654</f>
        <v/>
      </c>
    </row>
    <row r="1655">
      <c r="A1655" s="13" t="inlineStr">
        <is>
          <t>9999</t>
        </is>
      </c>
      <c r="B1655" s="14" t="inlineStr">
        <is>
          <t>Graded stone</t>
        </is>
      </c>
      <c r="C1655" s="13" t="inlineStr">
        <is>
          <t>L.S.</t>
        </is>
      </c>
      <c r="D1655" s="15" t="n">
        <v>13.75</v>
      </c>
      <c r="E1655" s="16" t="n">
        <v>2</v>
      </c>
      <c r="F1655" s="16">
        <f>D1655*E1655</f>
        <v/>
      </c>
    </row>
    <row r="1656">
      <c r="A1656" s="13" t="inlineStr">
        <is>
          <t>9999</t>
        </is>
      </c>
      <c r="B1656" s="14" t="inlineStr">
        <is>
          <t>Sand</t>
        </is>
      </c>
      <c r="C1656" s="13" t="inlineStr">
        <is>
          <t>L.S.</t>
        </is>
      </c>
      <c r="D1656" s="15" t="n">
        <v>21.48</v>
      </c>
      <c r="E1656" s="16" t="n">
        <v>2</v>
      </c>
      <c r="F1656" s="16">
        <f>D1656*E1656</f>
        <v/>
      </c>
    </row>
    <row r="1657">
      <c r="A1657" s="13" t="inlineStr">
        <is>
          <t>9977</t>
        </is>
      </c>
      <c r="B1657" s="14" t="inlineStr">
        <is>
          <t>Carriage of material</t>
        </is>
      </c>
      <c r="C1657" s="13" t="inlineStr">
        <is>
          <t>L.S.</t>
        </is>
      </c>
      <c r="D1657" s="15" t="n">
        <v>16.78</v>
      </c>
      <c r="E1657" s="16" t="n">
        <v>2</v>
      </c>
      <c r="F1657" s="16">
        <f>D1657*E1657</f>
        <v/>
      </c>
    </row>
    <row r="1658">
      <c r="A1658" s="13" t="inlineStr">
        <is>
          <t>9999</t>
        </is>
      </c>
      <c r="B1658" s="14" t="inlineStr">
        <is>
          <t>For PU spray</t>
        </is>
      </c>
      <c r="C1658" s="13" t="inlineStr">
        <is>
          <t>L.S.</t>
        </is>
      </c>
      <c r="D1658" s="15" t="n">
        <v>80.54000000000001</v>
      </c>
      <c r="E1658" s="16" t="n">
        <v>2</v>
      </c>
      <c r="F1658" s="16">
        <f>D1658*E1658</f>
        <v/>
      </c>
    </row>
    <row r="1659">
      <c r="A1659" s="13" t="inlineStr">
        <is>
          <t>9999</t>
        </is>
      </c>
      <c r="B1659" s="14" t="inlineStr">
        <is>
          <t>For cement screed with Polythene sheet</t>
        </is>
      </c>
      <c r="C1659" s="13" t="inlineStr">
        <is>
          <t>L.S.</t>
        </is>
      </c>
      <c r="D1659" s="15" t="n">
        <v>53.69</v>
      </c>
      <c r="E1659" s="16" t="n">
        <v>2</v>
      </c>
      <c r="F1659" s="16">
        <f>D1659*E1659</f>
        <v/>
      </c>
    </row>
    <row r="1660">
      <c r="A1660" s="17" t="inlineStr">
        <is>
          <t>Resource Total (Material + Labour + Machinery, as printed)</t>
        </is>
      </c>
      <c r="B1660" s="18" t="n"/>
      <c r="C1660" s="18" t="n"/>
      <c r="D1660" s="18" t="n"/>
      <c r="E1660" s="18" t="n"/>
      <c r="F1660" s="19">
        <f>SUM(F1648:F1659)</f>
        <v/>
      </c>
    </row>
    <row r="1661">
      <c r="A1661" s="20" t="inlineStr">
        <is>
          <t>SAY (Rs.) — final DAR rate</t>
        </is>
      </c>
      <c r="B1661" s="21" t="n"/>
      <c r="C1661" s="21" t="n"/>
      <c r="D1661" s="21" t="n"/>
      <c r="E1661" s="21" t="n"/>
      <c r="F1661" s="22" t="n">
        <v>1412.2</v>
      </c>
    </row>
    <row r="1663" ht="28" customHeight="1">
      <c r="A1663" s="9" t="inlineStr">
        <is>
          <t>12.57</t>
        </is>
      </c>
      <c r="B1663" s="10" t="inlineStr">
        <is>
          <t>Providing and fixing thermal insulation with Resin Bonded Fibre glass wool conforming to IS: 8183 having density 24 kg/m3, 50 mm thick, wrap</t>
        </is>
      </c>
      <c r="C1663" s="11" t="n"/>
      <c r="D1663" s="11" t="n"/>
      <c r="E1663" s="11" t="n"/>
      <c r="F1663" s="11" t="n"/>
    </row>
    <row r="1664">
      <c r="A1664" s="12" t="inlineStr">
        <is>
          <t>Rate basis: per sqm  (source: cost for 10 sqm)</t>
        </is>
      </c>
    </row>
    <row r="1665">
      <c r="A1665" s="5" t="inlineStr">
        <is>
          <t>Code</t>
        </is>
      </c>
      <c r="B1665" s="5" t="inlineStr">
        <is>
          <t>Description</t>
        </is>
      </c>
      <c r="C1665" s="5" t="inlineStr">
        <is>
          <t>Unit</t>
        </is>
      </c>
      <c r="D1665" s="5" t="inlineStr">
        <is>
          <t>Quantity</t>
        </is>
      </c>
      <c r="E1665" s="5" t="inlineStr">
        <is>
          <t>Rate (Rs.)</t>
        </is>
      </c>
      <c r="F1665" s="5" t="inlineStr">
        <is>
          <t>Amount (Rs.)</t>
        </is>
      </c>
    </row>
    <row r="1666">
      <c r="A1666" s="13" t="inlineStr">
        <is>
          <t>7232</t>
        </is>
      </c>
      <c r="B1666" s="14" t="inlineStr">
        <is>
          <t>Resin Bonded Glass wool 24 kg/m³ 50 mm thick</t>
        </is>
      </c>
      <c r="C1666" s="13" t="inlineStr">
        <is>
          <t>sqm</t>
        </is>
      </c>
      <c r="D1666" s="15" t="n">
        <v>11</v>
      </c>
      <c r="E1666" s="16" t="n">
        <v>143</v>
      </c>
      <c r="F1666" s="16">
        <f>D1666*E1666</f>
        <v/>
      </c>
    </row>
    <row r="1667">
      <c r="A1667" s="13" t="inlineStr">
        <is>
          <t>9999</t>
        </is>
      </c>
      <c r="B1667" s="14" t="inlineStr">
        <is>
          <t>Sundries including GL wire 20 SWg and Virgin polythene bags 200 gram</t>
        </is>
      </c>
      <c r="C1667" s="13" t="inlineStr">
        <is>
          <t>L.S.</t>
        </is>
      </c>
      <c r="D1667" s="15" t="n">
        <v>52</v>
      </c>
      <c r="E1667" s="16" t="n">
        <v>2</v>
      </c>
      <c r="F1667" s="16">
        <f>D1667*E1667</f>
        <v/>
      </c>
    </row>
    <row r="1668">
      <c r="A1668" s="13" t="inlineStr">
        <is>
          <t>0111</t>
        </is>
      </c>
      <c r="B1668" s="14" t="inlineStr">
        <is>
          <t>Carpenter 1st class</t>
        </is>
      </c>
      <c r="C1668" s="13" t="inlineStr">
        <is>
          <t>day</t>
        </is>
      </c>
      <c r="D1668" s="15" t="n">
        <v>0.5</v>
      </c>
      <c r="E1668" s="16" t="n">
        <v>738</v>
      </c>
      <c r="F1668" s="16">
        <f>D1668*E1668</f>
        <v/>
      </c>
    </row>
    <row r="1669">
      <c r="A1669" s="13" t="inlineStr">
        <is>
          <t>0114</t>
        </is>
      </c>
      <c r="B1669" s="14" t="inlineStr">
        <is>
          <t>Beldar</t>
        </is>
      </c>
      <c r="C1669" s="13" t="inlineStr">
        <is>
          <t>day</t>
        </is>
      </c>
      <c r="D1669" s="15" t="n">
        <v>0.5</v>
      </c>
      <c r="E1669" s="16" t="n">
        <v>558</v>
      </c>
      <c r="F1669" s="16">
        <f>D1669*E1669</f>
        <v/>
      </c>
    </row>
    <row r="1670">
      <c r="A1670" s="13" t="inlineStr">
        <is>
          <t>9999</t>
        </is>
      </c>
      <c r="B1670" s="14" t="inlineStr">
        <is>
          <t>Sundries (screws and washers)</t>
        </is>
      </c>
      <c r="C1670" s="13" t="inlineStr">
        <is>
          <t>L.S.</t>
        </is>
      </c>
      <c r="D1670" s="15" t="n">
        <v>20</v>
      </c>
      <c r="E1670" s="16" t="n">
        <v>2</v>
      </c>
      <c r="F1670" s="16">
        <f>D1670*E1670</f>
        <v/>
      </c>
    </row>
    <row r="1671">
      <c r="A1671" s="17" t="inlineStr">
        <is>
          <t>Resource Total (Material + Labour + Machinery, as printed)</t>
        </is>
      </c>
      <c r="B1671" s="18" t="n"/>
      <c r="C1671" s="18" t="n"/>
      <c r="D1671" s="18" t="n"/>
      <c r="E1671" s="18" t="n"/>
      <c r="F1671" s="19">
        <f>SUM(F1666:F1670)</f>
        <v/>
      </c>
    </row>
    <row r="1672">
      <c r="A1672" s="20" t="inlineStr">
        <is>
          <t>SAY (Rs.) — final DAR rate</t>
        </is>
      </c>
      <c r="B1672" s="21" t="n"/>
      <c r="C1672" s="21" t="n"/>
      <c r="D1672" s="21" t="n"/>
      <c r="E1672" s="21" t="n"/>
      <c r="F1672" s="22" t="n">
        <v>316.4</v>
      </c>
    </row>
    <row r="1674" ht="28" customHeight="1">
      <c r="A1674" s="9" t="inlineStr">
        <is>
          <t>12.58.1</t>
        </is>
      </c>
      <c r="B1674" s="10" t="inlineStr">
        <is>
          <t>8 mm thick fully perforated calcium silicate board made with Calcareous &amp; Siliceous materials reinforced with cellulose fiber manufactured t</t>
        </is>
      </c>
      <c r="C1674" s="11" t="n"/>
      <c r="D1674" s="11" t="n"/>
      <c r="E1674" s="11" t="n"/>
      <c r="F1674" s="11" t="n"/>
    </row>
    <row r="1675">
      <c r="A1675" s="12" t="inlineStr">
        <is>
          <t>Rate basis: per sqm  (source: cost for 100 sqm)</t>
        </is>
      </c>
    </row>
    <row r="1676">
      <c r="A1676" s="5" t="inlineStr">
        <is>
          <t>Code</t>
        </is>
      </c>
      <c r="B1676" s="5" t="inlineStr">
        <is>
          <t>Description</t>
        </is>
      </c>
      <c r="C1676" s="5" t="inlineStr">
        <is>
          <t>Unit</t>
        </is>
      </c>
      <c r="D1676" s="5" t="inlineStr">
        <is>
          <t>Quantity</t>
        </is>
      </c>
      <c r="E1676" s="5" t="inlineStr">
        <is>
          <t>Rate (Rs.)</t>
        </is>
      </c>
      <c r="F1676" s="5" t="inlineStr">
        <is>
          <t>Amount (Rs.)</t>
        </is>
      </c>
    </row>
    <row r="1677">
      <c r="A1677" s="13" t="inlineStr">
        <is>
          <t>8784</t>
        </is>
      </c>
      <c r="B1677" s="14" t="inlineStr">
        <is>
          <t>8mm thick Calcium silicate perforated tiles of size 595 x595mm</t>
        </is>
      </c>
      <c r="C1677" s="13" t="inlineStr">
        <is>
          <t>sqm</t>
        </is>
      </c>
      <c r="D1677" s="15" t="n">
        <v>100.05</v>
      </c>
      <c r="E1677" s="16" t="n">
        <v>833</v>
      </c>
      <c r="F1677" s="16">
        <f>D1677*E1677</f>
        <v/>
      </c>
    </row>
    <row r="1678">
      <c r="A1678" s="13" t="inlineStr">
        <is>
          <t>8611</t>
        </is>
      </c>
      <c r="B1678" s="14" t="inlineStr">
        <is>
          <t>Main T ceiling sections 24x38x0.3 mm (3 metre long)</t>
        </is>
      </c>
      <c r="C1678" s="13" t="inlineStr">
        <is>
          <t>each</t>
        </is>
      </c>
      <c r="D1678" s="15" t="n">
        <v>29.5</v>
      </c>
      <c r="E1678" s="16" t="n">
        <v>115</v>
      </c>
      <c r="F1678" s="16">
        <f>D1678*E1678</f>
        <v/>
      </c>
    </row>
    <row r="1679">
      <c r="A1679" s="13" t="inlineStr">
        <is>
          <t>8612</t>
        </is>
      </c>
      <c r="B1679" s="14" t="inlineStr">
        <is>
          <t>Perimeter wall angle 24x24x0.3mm (3 metre long)</t>
        </is>
      </c>
      <c r="C1679" s="13" t="inlineStr">
        <is>
          <t>each</t>
        </is>
      </c>
      <c r="D1679" s="15" t="n">
        <v>13.5</v>
      </c>
      <c r="E1679" s="16" t="n">
        <v>80</v>
      </c>
      <c r="F1679" s="16">
        <f>D1679*E1679</f>
        <v/>
      </c>
    </row>
    <row r="1680">
      <c r="A1680" s="13" t="inlineStr">
        <is>
          <t>8613</t>
        </is>
      </c>
      <c r="B1680" s="14" t="inlineStr">
        <is>
          <t>Intermediate cross T-section 24x25x0.3mm (1.2 mtrs long)</t>
        </is>
      </c>
      <c r="C1680" s="13" t="inlineStr">
        <is>
          <t>each</t>
        </is>
      </c>
      <c r="D1680" s="15" t="n">
        <v>147</v>
      </c>
      <c r="E1680" s="16" t="n">
        <v>35</v>
      </c>
      <c r="F1680" s="16">
        <f>D1680*E1680</f>
        <v/>
      </c>
    </row>
    <row r="1681">
      <c r="A1681" s="13" t="inlineStr">
        <is>
          <t>8614</t>
        </is>
      </c>
      <c r="B1681" s="14" t="inlineStr">
        <is>
          <t>Intermediate cross T-section 24x25x0.3mm (0.6 mtrs long)</t>
        </is>
      </c>
      <c r="C1681" s="13" t="inlineStr">
        <is>
          <t>each</t>
        </is>
      </c>
      <c r="D1681" s="15" t="n">
        <v>147</v>
      </c>
      <c r="E1681" s="16" t="n">
        <v>17</v>
      </c>
      <c r="F1681" s="16">
        <f>D1681*E1681</f>
        <v/>
      </c>
    </row>
    <row r="1682">
      <c r="A1682" s="13" t="inlineStr">
        <is>
          <t>8615</t>
        </is>
      </c>
      <c r="B1682" s="14" t="inlineStr">
        <is>
          <t>Hanger rod 4 mm thick</t>
        </is>
      </c>
      <c r="C1682" s="13" t="inlineStr">
        <is>
          <t>each</t>
        </is>
      </c>
      <c r="D1682" s="15" t="n">
        <v>72</v>
      </c>
      <c r="E1682" s="16" t="n">
        <v>8</v>
      </c>
      <c r="F1682" s="16">
        <f>D1682*E1682</f>
        <v/>
      </c>
    </row>
    <row r="1683">
      <c r="A1683" s="13" t="inlineStr">
        <is>
          <t>8616</t>
        </is>
      </c>
      <c r="B1683" s="14" t="inlineStr">
        <is>
          <t>Adjustment clip 85x30x0.8mm</t>
        </is>
      </c>
      <c r="C1683" s="13" t="inlineStr">
        <is>
          <t>each</t>
        </is>
      </c>
      <c r="D1683" s="15" t="n">
        <v>72</v>
      </c>
      <c r="E1683" s="16" t="n">
        <v>5</v>
      </c>
      <c r="F1683" s="16">
        <f>D1683*E1683</f>
        <v/>
      </c>
    </row>
    <row r="1684">
      <c r="A1684" s="13" t="inlineStr">
        <is>
          <t>8617</t>
        </is>
      </c>
      <c r="B1684" s="14" t="inlineStr">
        <is>
          <t>Soffit cleat (Size 27x37x25x1.60mm)</t>
        </is>
      </c>
      <c r="C1684" s="13" t="inlineStr">
        <is>
          <t>each</t>
        </is>
      </c>
      <c r="D1684" s="15" t="n">
        <v>72</v>
      </c>
      <c r="E1684" s="16" t="n">
        <v>4</v>
      </c>
      <c r="F1684" s="16">
        <f>D1684*E1684</f>
        <v/>
      </c>
    </row>
    <row r="1685">
      <c r="A1685" s="13" t="inlineStr">
        <is>
          <t>7388</t>
        </is>
      </c>
      <c r="B1685" s="14" t="inlineStr">
        <is>
          <t>Dash hold fastener 12.5 mm dia, 40 mm long with 6 mm dia bolt</t>
        </is>
      </c>
      <c r="C1685" s="13" t="inlineStr">
        <is>
          <t>each</t>
        </is>
      </c>
      <c r="D1685" s="15" t="n">
        <v>72</v>
      </c>
      <c r="E1685" s="16" t="n">
        <v>11</v>
      </c>
      <c r="F1685" s="16">
        <f>D1685*E1685</f>
        <v/>
      </c>
    </row>
    <row r="1686">
      <c r="A1686" s="13" t="inlineStr">
        <is>
          <t>9977</t>
        </is>
      </c>
      <c r="B1686" s="14" t="inlineStr">
        <is>
          <t>Sundries</t>
        </is>
      </c>
      <c r="C1686" s="13" t="inlineStr">
        <is>
          <t>L.S.</t>
        </is>
      </c>
      <c r="D1686" s="15" t="n">
        <v>89.28</v>
      </c>
      <c r="E1686" s="16" t="n">
        <v>2</v>
      </c>
      <c r="F1686" s="16">
        <f>D1686*E1686</f>
        <v/>
      </c>
    </row>
    <row r="1687">
      <c r="A1687" s="13" t="inlineStr">
        <is>
          <t>9999</t>
        </is>
      </c>
      <c r="B1687" s="14" t="inlineStr">
        <is>
          <t>Sundries i.e scaffolding etc.</t>
        </is>
      </c>
      <c r="C1687" s="13" t="inlineStr">
        <is>
          <t>L.S.</t>
        </is>
      </c>
      <c r="D1687" s="15" t="n">
        <v>187.95</v>
      </c>
      <c r="E1687" s="16" t="n">
        <v>2</v>
      </c>
      <c r="F1687" s="16">
        <f>D1687*E1687</f>
        <v/>
      </c>
    </row>
    <row r="1688">
      <c r="A1688" s="13" t="inlineStr">
        <is>
          <t>0111</t>
        </is>
      </c>
      <c r="B1688" s="14" t="inlineStr">
        <is>
          <t>Carpenter 1st class</t>
        </is>
      </c>
      <c r="C1688" s="13" t="inlineStr">
        <is>
          <t>day</t>
        </is>
      </c>
      <c r="D1688" s="15" t="n">
        <v>28</v>
      </c>
      <c r="E1688" s="16" t="n">
        <v>738</v>
      </c>
      <c r="F1688" s="16">
        <f>D1688*E1688</f>
        <v/>
      </c>
    </row>
    <row r="1689">
      <c r="A1689" s="13" t="inlineStr">
        <is>
          <t>0114</t>
        </is>
      </c>
      <c r="B1689" s="14" t="inlineStr">
        <is>
          <t>Beldar</t>
        </is>
      </c>
      <c r="C1689" s="13" t="inlineStr">
        <is>
          <t>day</t>
        </is>
      </c>
      <c r="D1689" s="15" t="n">
        <v>23</v>
      </c>
      <c r="E1689" s="16" t="n">
        <v>558</v>
      </c>
      <c r="F1689" s="16">
        <f>D1689*E1689</f>
        <v/>
      </c>
    </row>
    <row r="1690">
      <c r="A1690" s="17" t="inlineStr">
        <is>
          <t>Resource Total (Material + Labour + Machinery, as printed)</t>
        </is>
      </c>
      <c r="B1690" s="18" t="n"/>
      <c r="C1690" s="18" t="n"/>
      <c r="D1690" s="18" t="n"/>
      <c r="E1690" s="18" t="n"/>
      <c r="F1690" s="19">
        <f>SUM(F1677:F1689)</f>
        <v/>
      </c>
    </row>
    <row r="1691">
      <c r="A1691" s="20" t="inlineStr">
        <is>
          <t>SAY (Rs.) — final DAR rate</t>
        </is>
      </c>
      <c r="B1691" s="21" t="n"/>
      <c r="C1691" s="21" t="n"/>
      <c r="D1691" s="21" t="n"/>
      <c r="E1691" s="21" t="n"/>
      <c r="F1691" s="22" t="n">
        <v>1759.75</v>
      </c>
    </row>
    <row r="1693" ht="28" customHeight="1">
      <c r="A1693" s="9" t="inlineStr">
        <is>
          <t>12.59.1</t>
        </is>
      </c>
      <c r="B1693" s="10" t="inlineStr">
        <is>
          <t>8 mm thick Calcium Silicate Board made with Calcareous &amp; Siliceous materials reinforced with cellulose fiber manufactured through autoclavin</t>
        </is>
      </c>
      <c r="C1693" s="11" t="n"/>
      <c r="D1693" s="11" t="n"/>
      <c r="E1693" s="11" t="n"/>
      <c r="F1693" s="11" t="n"/>
    </row>
    <row r="1694">
      <c r="A1694" s="12" t="inlineStr">
        <is>
          <t>Rate basis: per m  (source: cost for 10.8 m)</t>
        </is>
      </c>
    </row>
    <row r="1695">
      <c r="A1695" s="5" t="inlineStr">
        <is>
          <t>Code</t>
        </is>
      </c>
      <c r="B1695" s="5" t="inlineStr">
        <is>
          <t>Description</t>
        </is>
      </c>
      <c r="C1695" s="5" t="inlineStr">
        <is>
          <t>Unit</t>
        </is>
      </c>
      <c r="D1695" s="5" t="inlineStr">
        <is>
          <t>Quantity</t>
        </is>
      </c>
      <c r="E1695" s="5" t="inlineStr">
        <is>
          <t>Rate (Rs.)</t>
        </is>
      </c>
      <c r="F1695" s="5" t="inlineStr">
        <is>
          <t>Amount (Rs.)</t>
        </is>
      </c>
    </row>
    <row r="1696">
      <c r="A1696" s="13" t="inlineStr">
        <is>
          <t>8699</t>
        </is>
      </c>
      <c r="B1696" s="14" t="inlineStr">
        <is>
          <t>8 mm thick tapered edge calcium silicate board</t>
        </is>
      </c>
      <c r="C1696" s="13" t="inlineStr">
        <is>
          <t>sqm</t>
        </is>
      </c>
      <c r="D1696" s="15" t="n">
        <v>108.86</v>
      </c>
      <c r="E1696" s="16" t="n">
        <v>265</v>
      </c>
      <c r="F1696" s="16">
        <f>D1696*E1696</f>
        <v/>
      </c>
    </row>
    <row r="1697">
      <c r="A1697" s="13" t="inlineStr">
        <is>
          <t>7010</t>
        </is>
      </c>
      <c r="B1697" s="14" t="inlineStr">
        <is>
          <t>G.I Ceiling Section (80 x26mm x 26mm x10.5mm each lip x 0.55 mm)</t>
        </is>
      </c>
      <c r="C1697" s="13" t="inlineStr">
        <is>
          <t>metre</t>
        </is>
      </c>
      <c r="D1697" s="15" t="n">
        <v>238.14</v>
      </c>
      <c r="E1697" s="16" t="n">
        <v>46</v>
      </c>
      <c r="F1697" s="16">
        <f>D1697*E1697</f>
        <v/>
      </c>
    </row>
    <row r="1698">
      <c r="A1698" s="13" t="inlineStr">
        <is>
          <t>7011</t>
        </is>
      </c>
      <c r="B1698" s="14" t="inlineStr">
        <is>
          <t>Galvanised Steel perimetre Channel (Size 20x27x30x0.50mm)</t>
        </is>
      </c>
      <c r="C1698" s="13" t="inlineStr">
        <is>
          <t>metre</t>
        </is>
      </c>
      <c r="D1698" s="15" t="n">
        <v>41.84</v>
      </c>
      <c r="E1698" s="16" t="n">
        <v>22</v>
      </c>
      <c r="F1698" s="16">
        <f>D1698*E1698</f>
        <v/>
      </c>
    </row>
    <row r="1699">
      <c r="A1699" s="13" t="inlineStr">
        <is>
          <t>7012</t>
        </is>
      </c>
      <c r="B1699" s="14" t="inlineStr">
        <is>
          <t>Galvanised Steel intermediate Channel (Size 15x45x15x0.90mm)</t>
        </is>
      </c>
      <c r="C1699" s="13" t="inlineStr">
        <is>
          <t>metre</t>
        </is>
      </c>
      <c r="D1699" s="15" t="n">
        <v>90.72</v>
      </c>
      <c r="E1699" s="16" t="n">
        <v>38</v>
      </c>
      <c r="F1699" s="16">
        <f>D1699*E1699</f>
        <v/>
      </c>
    </row>
    <row r="1700">
      <c r="A1700" s="13" t="inlineStr">
        <is>
          <t>7013</t>
        </is>
      </c>
      <c r="B1700" s="14" t="inlineStr">
        <is>
          <t>Galvanised Steel angle hanger (Celling angle) (Size 25x10x0.50mm)</t>
        </is>
      </c>
      <c r="C1700" s="13" t="inlineStr">
        <is>
          <t>metre</t>
        </is>
      </c>
      <c r="D1700" s="15" t="n">
        <v>10.8</v>
      </c>
      <c r="E1700" s="16" t="n">
        <v>12</v>
      </c>
      <c r="F1700" s="16">
        <f>D1700*E1700</f>
        <v/>
      </c>
    </row>
    <row r="1701">
      <c r="A1701" s="13" t="inlineStr">
        <is>
          <t>7014</t>
        </is>
      </c>
      <c r="B1701" s="14" t="inlineStr">
        <is>
          <t>Galvanised Steel connecting clips (2.64mm dia and 230 mm long GI wire)</t>
        </is>
      </c>
      <c r="C1701" s="13" t="inlineStr">
        <is>
          <t>each</t>
        </is>
      </c>
      <c r="D1701" s="15" t="n">
        <v>189</v>
      </c>
      <c r="E1701" s="16" t="n">
        <v>4</v>
      </c>
      <c r="F1701" s="16">
        <f>D1701*E1701</f>
        <v/>
      </c>
    </row>
    <row r="1702">
      <c r="A1702" s="13" t="inlineStr">
        <is>
          <t>1022</t>
        </is>
      </c>
      <c r="B1702" s="14" t="inlineStr">
        <is>
          <t>Galvanised steel bolts &amp; nuts 6 mm dia and 25 mmlong round head with slots</t>
        </is>
      </c>
      <c r="C1702" s="13" t="inlineStr">
        <is>
          <t>10 Nos</t>
        </is>
      </c>
      <c r="D1702" s="15" t="n">
        <v>21.6</v>
      </c>
      <c r="E1702" s="16" t="n">
        <v>38</v>
      </c>
      <c r="F1702" s="16">
        <f>D1702*E1702</f>
        <v/>
      </c>
    </row>
    <row r="1703">
      <c r="A1703" s="13" t="inlineStr">
        <is>
          <t>8617</t>
        </is>
      </c>
      <c r="B1703" s="14" t="inlineStr">
        <is>
          <t>Soffit cleat (Size 27x37x25x1.60mm)</t>
        </is>
      </c>
      <c r="C1703" s="13" t="inlineStr">
        <is>
          <t>each</t>
        </is>
      </c>
      <c r="D1703" s="15" t="n">
        <v>72</v>
      </c>
      <c r="E1703" s="16" t="n">
        <v>4</v>
      </c>
      <c r="F1703" s="16">
        <f>D1703*E1703</f>
        <v/>
      </c>
    </row>
    <row r="1704">
      <c r="A1704" s="13" t="inlineStr">
        <is>
          <t>7020</t>
        </is>
      </c>
      <c r="B1704" s="14" t="inlineStr">
        <is>
          <t>All drive screws ( for gypsum board)</t>
        </is>
      </c>
      <c r="C1704" s="13" t="inlineStr">
        <is>
          <t>100 Nos</t>
        </is>
      </c>
      <c r="D1704" s="15" t="n">
        <v>10</v>
      </c>
      <c r="E1704" s="16" t="n">
        <v>58</v>
      </c>
      <c r="F1704" s="16">
        <f>D1704*E1704</f>
        <v/>
      </c>
    </row>
    <row r="1705">
      <c r="A1705" s="13" t="inlineStr">
        <is>
          <t>7016</t>
        </is>
      </c>
      <c r="B1705" s="14" t="inlineStr">
        <is>
          <t>Joint filler</t>
        </is>
      </c>
      <c r="C1705" s="13" t="inlineStr">
        <is>
          <t>kilogram</t>
        </is>
      </c>
      <c r="D1705" s="15" t="n">
        <v>22.81</v>
      </c>
      <c r="E1705" s="16" t="n">
        <v>26</v>
      </c>
      <c r="F1705" s="16">
        <f>D1705*E1705</f>
        <v/>
      </c>
    </row>
    <row r="1706">
      <c r="A1706" s="13" t="inlineStr">
        <is>
          <t>7017</t>
        </is>
      </c>
      <c r="B1706" s="14" t="inlineStr">
        <is>
          <t>Joint finisher</t>
        </is>
      </c>
      <c r="C1706" s="13" t="inlineStr">
        <is>
          <t>kilogram</t>
        </is>
      </c>
      <c r="D1706" s="15" t="n">
        <v>34.21</v>
      </c>
      <c r="E1706" s="16" t="n">
        <v>23</v>
      </c>
      <c r="F1706" s="16">
        <f>D1706*E1706</f>
        <v/>
      </c>
    </row>
    <row r="1707">
      <c r="A1707" s="13" t="inlineStr">
        <is>
          <t>7388</t>
        </is>
      </c>
      <c r="B1707" s="14" t="inlineStr">
        <is>
          <t>Dash hold fastener 12.5 mm dia, 40 mm long with 6 mm dia bolt</t>
        </is>
      </c>
      <c r="C1707" s="13" t="inlineStr">
        <is>
          <t>each</t>
        </is>
      </c>
      <c r="D1707" s="15" t="n">
        <v>72</v>
      </c>
      <c r="E1707" s="16" t="n">
        <v>11</v>
      </c>
      <c r="F1707" s="16">
        <f>D1707*E1707</f>
        <v/>
      </c>
    </row>
    <row r="1708">
      <c r="A1708" s="13" t="inlineStr">
        <is>
          <t>7021</t>
        </is>
      </c>
      <c r="B1708" s="14" t="inlineStr">
        <is>
          <t>Primer ( for gypsum board// calcium silicate board)</t>
        </is>
      </c>
      <c r="C1708" s="13" t="inlineStr">
        <is>
          <t>litre</t>
        </is>
      </c>
      <c r="D1708" s="15" t="n">
        <v>18.66</v>
      </c>
      <c r="E1708" s="16" t="n">
        <v>85</v>
      </c>
      <c r="F1708" s="16">
        <f>D1708*E1708</f>
        <v/>
      </c>
    </row>
    <row r="1709">
      <c r="A1709" s="13" t="inlineStr">
        <is>
          <t>9977</t>
        </is>
      </c>
      <c r="B1709" s="14" t="inlineStr">
        <is>
          <t>Carriage</t>
        </is>
      </c>
      <c r="C1709" s="13" t="inlineStr">
        <is>
          <t>L.S.</t>
        </is>
      </c>
      <c r="D1709" s="15" t="n">
        <v>447.2</v>
      </c>
      <c r="E1709" s="16" t="n">
        <v>2</v>
      </c>
      <c r="F1709" s="16">
        <f>D1709*E1709</f>
        <v/>
      </c>
    </row>
    <row r="1710">
      <c r="A1710" s="13" t="inlineStr">
        <is>
          <t>9999</t>
        </is>
      </c>
      <c r="B1710" s="14" t="inlineStr">
        <is>
          <t>Sundries i.e rawl plug, scaffolding etc.</t>
        </is>
      </c>
      <c r="C1710" s="13" t="inlineStr">
        <is>
          <t>L.S.</t>
        </is>
      </c>
      <c r="D1710" s="15" t="n">
        <v>807.3</v>
      </c>
      <c r="E1710" s="16" t="n">
        <v>2</v>
      </c>
      <c r="F1710" s="16">
        <f>D1710*E1710</f>
        <v/>
      </c>
    </row>
    <row r="1711">
      <c r="A1711" s="13" t="inlineStr">
        <is>
          <t>0112</t>
        </is>
      </c>
      <c r="B1711" s="14" t="inlineStr">
        <is>
          <t>Carpenter 2nd class</t>
        </is>
      </c>
      <c r="C1711" s="13" t="inlineStr">
        <is>
          <t>day</t>
        </is>
      </c>
      <c r="D1711" s="15" t="n">
        <v>31.1</v>
      </c>
      <c r="E1711" s="16" t="n">
        <v>679</v>
      </c>
      <c r="F1711" s="16">
        <f>D1711*E1711</f>
        <v/>
      </c>
    </row>
    <row r="1712">
      <c r="A1712" s="13" t="inlineStr">
        <is>
          <t>0114</t>
        </is>
      </c>
      <c r="B1712" s="14" t="inlineStr">
        <is>
          <t>Beldar</t>
        </is>
      </c>
      <c r="C1712" s="13" t="inlineStr">
        <is>
          <t>day</t>
        </is>
      </c>
      <c r="D1712" s="15" t="n">
        <v>31.1</v>
      </c>
      <c r="E1712" s="16" t="n">
        <v>558</v>
      </c>
      <c r="F1712" s="16">
        <f>D1712*E1712</f>
        <v/>
      </c>
    </row>
    <row r="1713">
      <c r="A1713" s="13" t="inlineStr">
        <is>
          <t>0131</t>
        </is>
      </c>
      <c r="B1713" s="14" t="inlineStr">
        <is>
          <t>Painter</t>
        </is>
      </c>
      <c r="C1713" s="13" t="inlineStr">
        <is>
          <t>day</t>
        </is>
      </c>
      <c r="D1713" s="15" t="n">
        <v>10.37</v>
      </c>
      <c r="E1713" s="16" t="n">
        <v>679</v>
      </c>
      <c r="F1713" s="16">
        <f>D1713*E1713</f>
        <v/>
      </c>
    </row>
    <row r="1714">
      <c r="A1714" s="17" t="inlineStr">
        <is>
          <t>Resource Total (Material + Labour + Machinery, as printed)</t>
        </is>
      </c>
      <c r="B1714" s="18" t="n"/>
      <c r="C1714" s="18" t="n"/>
      <c r="D1714" s="18" t="n"/>
      <c r="E1714" s="18" t="n"/>
      <c r="F1714" s="19">
        <f>SUM(F1696:F1713)</f>
        <v/>
      </c>
    </row>
    <row r="1715">
      <c r="A1715" s="20" t="inlineStr">
        <is>
          <t>SAY (Rs.) — final DAR rate</t>
        </is>
      </c>
      <c r="B1715" s="21" t="n"/>
      <c r="C1715" s="21" t="n"/>
      <c r="D1715" s="21" t="n"/>
      <c r="E1715" s="21" t="n"/>
      <c r="F1715" s="22" t="n">
        <v>1273.05</v>
      </c>
    </row>
    <row r="1717" ht="28" customHeight="1">
      <c r="A1717" s="9" t="inlineStr">
        <is>
          <t>12.60</t>
        </is>
      </c>
      <c r="B1717" s="10" t="inlineStr">
        <is>
          <t xml:space="preserve">Providing and fixing thermal insulation of ceiling (under deck insulation) with Resin Bonded Rockwool conforming to IS: 8183,density 48 kg/ </t>
        </is>
      </c>
      <c r="C1717" s="11" t="n"/>
      <c r="D1717" s="11" t="n"/>
      <c r="E1717" s="11" t="n"/>
      <c r="F1717" s="11" t="n"/>
    </row>
    <row r="1718">
      <c r="A1718" s="12" t="inlineStr">
        <is>
          <t>Rate basis: per sqm  (source: cost for 10 sqm)</t>
        </is>
      </c>
    </row>
    <row r="1719">
      <c r="A1719" s="5" t="inlineStr">
        <is>
          <t>Code</t>
        </is>
      </c>
      <c r="B1719" s="5" t="inlineStr">
        <is>
          <t>Description</t>
        </is>
      </c>
      <c r="C1719" s="5" t="inlineStr">
        <is>
          <t>Unit</t>
        </is>
      </c>
      <c r="D1719" s="5" t="inlineStr">
        <is>
          <t>Quantity</t>
        </is>
      </c>
      <c r="E1719" s="5" t="inlineStr">
        <is>
          <t>Rate (Rs.)</t>
        </is>
      </c>
      <c r="F1719" s="5" t="inlineStr">
        <is>
          <t>Amount (Rs.)</t>
        </is>
      </c>
    </row>
    <row r="1720">
      <c r="A1720" s="13" t="inlineStr">
        <is>
          <t>7273</t>
        </is>
      </c>
      <c r="B1720" s="14" t="inlineStr">
        <is>
          <t>Resin Bonded Rockwool 48 kg/m3</t>
        </is>
      </c>
      <c r="C1720" s="13" t="inlineStr">
        <is>
          <t>sqm</t>
        </is>
      </c>
      <c r="D1720" s="15" t="n">
        <v>11</v>
      </c>
      <c r="E1720" s="16" t="n">
        <v>120</v>
      </c>
      <c r="F1720" s="16">
        <f>D1720*E1720</f>
        <v/>
      </c>
    </row>
    <row r="1721">
      <c r="A1721" s="13" t="inlineStr">
        <is>
          <t>9999</t>
        </is>
      </c>
      <c r="B1721" s="14" t="inlineStr">
        <is>
          <t>Sundries including GI wire 20 SWG and polythene bags 200gms</t>
        </is>
      </c>
      <c r="C1721" s="13" t="inlineStr">
        <is>
          <t>L.S.</t>
        </is>
      </c>
      <c r="D1721" s="15" t="n">
        <v>104</v>
      </c>
      <c r="E1721" s="16" t="n">
        <v>2</v>
      </c>
      <c r="F1721" s="16">
        <f>D1721*E1721</f>
        <v/>
      </c>
    </row>
    <row r="1722">
      <c r="A1722" s="13" t="inlineStr">
        <is>
          <t>9999</t>
        </is>
      </c>
      <c r="B1722" s="14" t="inlineStr">
        <is>
          <t>GI chiken mesh 12.5mm x 24 SWG</t>
        </is>
      </c>
      <c r="C1722" s="13" t="inlineStr">
        <is>
          <t>L.S.</t>
        </is>
      </c>
      <c r="D1722" s="15" t="n">
        <v>351</v>
      </c>
      <c r="E1722" s="16" t="n">
        <v>2</v>
      </c>
      <c r="F1722" s="16">
        <f>D1722*E1722</f>
        <v/>
      </c>
    </row>
    <row r="1723">
      <c r="A1723" s="13" t="inlineStr">
        <is>
          <t>0111</t>
        </is>
      </c>
      <c r="B1723" s="14" t="inlineStr">
        <is>
          <t>Carpenter 1st class</t>
        </is>
      </c>
      <c r="C1723" s="13" t="inlineStr">
        <is>
          <t>day</t>
        </is>
      </c>
      <c r="D1723" s="15" t="n">
        <v>1</v>
      </c>
      <c r="E1723" s="16" t="n">
        <v>738</v>
      </c>
      <c r="F1723" s="16">
        <f>D1723*E1723</f>
        <v/>
      </c>
    </row>
    <row r="1724">
      <c r="A1724" s="13" t="inlineStr">
        <is>
          <t>0114</t>
        </is>
      </c>
      <c r="B1724" s="14" t="inlineStr">
        <is>
          <t>Beldar</t>
        </is>
      </c>
      <c r="C1724" s="13" t="inlineStr">
        <is>
          <t>day</t>
        </is>
      </c>
      <c r="D1724" s="15" t="n">
        <v>2</v>
      </c>
      <c r="E1724" s="16" t="n">
        <v>558</v>
      </c>
      <c r="F1724" s="16">
        <f>D1724*E1724</f>
        <v/>
      </c>
    </row>
    <row r="1725">
      <c r="A1725" s="17" t="inlineStr">
        <is>
          <t>Resource Total (Material + Labour + Machinery, as printed)</t>
        </is>
      </c>
      <c r="B1725" s="18" t="n"/>
      <c r="C1725" s="18" t="n"/>
      <c r="D1725" s="18" t="n"/>
      <c r="E1725" s="18" t="n"/>
      <c r="F1725" s="19">
        <f>SUM(F1720:F1724)</f>
        <v/>
      </c>
    </row>
    <row r="1726">
      <c r="A1726" s="20" t="inlineStr">
        <is>
          <t>SAY (Rs.) — final DAR rate</t>
        </is>
      </c>
      <c r="B1726" s="21" t="n"/>
      <c r="C1726" s="21" t="n"/>
      <c r="D1726" s="21" t="n"/>
      <c r="E1726" s="21" t="n"/>
      <c r="F1726" s="22" t="n">
        <v>546.4</v>
      </c>
    </row>
    <row r="1728" ht="28" customHeight="1">
      <c r="A1728" s="9" t="inlineStr">
        <is>
          <t>12.61</t>
        </is>
      </c>
      <c r="B1728" s="10" t="inlineStr">
        <is>
          <t xml:space="preserve">Providing and fixing thermal insulation with Resin bonded rock wool conforming to IS: 8183, density 48 kg/m3, 50 mm thick, wrapped in 200 G </t>
        </is>
      </c>
      <c r="C1728" s="11" t="n"/>
      <c r="D1728" s="11" t="n"/>
      <c r="E1728" s="11" t="n"/>
      <c r="F1728" s="11" t="n"/>
    </row>
    <row r="1729">
      <c r="A1729" s="12" t="inlineStr">
        <is>
          <t>Rate basis: per sqm  (source: cost for 10 sqm)</t>
        </is>
      </c>
    </row>
    <row r="1730">
      <c r="A1730" s="5" t="inlineStr">
        <is>
          <t>Code</t>
        </is>
      </c>
      <c r="B1730" s="5" t="inlineStr">
        <is>
          <t>Description</t>
        </is>
      </c>
      <c r="C1730" s="5" t="inlineStr">
        <is>
          <t>Unit</t>
        </is>
      </c>
      <c r="D1730" s="5" t="inlineStr">
        <is>
          <t>Quantity</t>
        </is>
      </c>
      <c r="E1730" s="5" t="inlineStr">
        <is>
          <t>Rate (Rs.)</t>
        </is>
      </c>
      <c r="F1730" s="5" t="inlineStr">
        <is>
          <t>Amount (Rs.)</t>
        </is>
      </c>
    </row>
    <row r="1731">
      <c r="A1731" s="13" t="inlineStr">
        <is>
          <t>7273</t>
        </is>
      </c>
      <c r="B1731" s="14" t="inlineStr">
        <is>
          <t>Resin Bonded Rockwool 48 kg/m3</t>
        </is>
      </c>
      <c r="C1731" s="13" t="inlineStr">
        <is>
          <t>sqm</t>
        </is>
      </c>
      <c r="D1731" s="15" t="n">
        <v>11</v>
      </c>
      <c r="E1731" s="16" t="n">
        <v>120</v>
      </c>
      <c r="F1731" s="16">
        <f>D1731*E1731</f>
        <v/>
      </c>
    </row>
    <row r="1732">
      <c r="A1732" s="13" t="inlineStr">
        <is>
          <t>9999</t>
        </is>
      </c>
      <c r="B1732" s="14" t="inlineStr">
        <is>
          <t>Sundries including GI wire 20 SWG and polythene bags 200gms</t>
        </is>
      </c>
      <c r="C1732" s="13" t="inlineStr">
        <is>
          <t>L.S.</t>
        </is>
      </c>
      <c r="D1732" s="15" t="n">
        <v>52</v>
      </c>
      <c r="E1732" s="16" t="n">
        <v>2</v>
      </c>
      <c r="F1732" s="16">
        <f>D1732*E1732</f>
        <v/>
      </c>
    </row>
    <row r="1733">
      <c r="A1733" s="13" t="inlineStr">
        <is>
          <t>0111</t>
        </is>
      </c>
      <c r="B1733" s="14" t="inlineStr">
        <is>
          <t>Carpenter 1st class</t>
        </is>
      </c>
      <c r="C1733" s="13" t="inlineStr">
        <is>
          <t>day</t>
        </is>
      </c>
      <c r="D1733" s="15" t="n">
        <v>0.5</v>
      </c>
      <c r="E1733" s="16" t="n">
        <v>738</v>
      </c>
      <c r="F1733" s="16">
        <f>D1733*E1733</f>
        <v/>
      </c>
    </row>
    <row r="1734">
      <c r="A1734" s="13" t="inlineStr">
        <is>
          <t>0114</t>
        </is>
      </c>
      <c r="B1734" s="14" t="inlineStr">
        <is>
          <t>Beldar</t>
        </is>
      </c>
      <c r="C1734" s="13" t="inlineStr">
        <is>
          <t>day</t>
        </is>
      </c>
      <c r="D1734" s="15" t="n">
        <v>0.5</v>
      </c>
      <c r="E1734" s="16" t="n">
        <v>558</v>
      </c>
      <c r="F1734" s="16">
        <f>D1734*E1734</f>
        <v/>
      </c>
    </row>
    <row r="1735">
      <c r="A1735" s="17" t="inlineStr">
        <is>
          <t>Resource Total (Material + Labour + Machinery, as printed)</t>
        </is>
      </c>
      <c r="B1735" s="18" t="n"/>
      <c r="C1735" s="18" t="n"/>
      <c r="D1735" s="18" t="n"/>
      <c r="E1735" s="18" t="n"/>
      <c r="F1735" s="19">
        <f>SUM(F1731:F1734)</f>
        <v/>
      </c>
    </row>
    <row r="1736">
      <c r="A1736" s="20" t="inlineStr">
        <is>
          <t>SAY (Rs.) — final DAR rate</t>
        </is>
      </c>
      <c r="B1736" s="21" t="n"/>
      <c r="C1736" s="21" t="n"/>
      <c r="D1736" s="21" t="n"/>
      <c r="E1736" s="21" t="n"/>
      <c r="F1736" s="22" t="n">
        <v>277.2</v>
      </c>
    </row>
    <row r="1738" ht="28" customHeight="1">
      <c r="A1738" s="9" t="inlineStr">
        <is>
          <t>12.62</t>
        </is>
      </c>
      <c r="B1738" s="10" t="inlineStr">
        <is>
          <t>Providing and fixing thermal insulation with Resin Bonded rock wool conforming to IS: 8183, having density 48 kg/m3,50 mm thick,wrapped in 2</t>
        </is>
      </c>
      <c r="C1738" s="11" t="n"/>
      <c r="D1738" s="11" t="n"/>
      <c r="E1738" s="11" t="n"/>
      <c r="F1738" s="11" t="n"/>
    </row>
    <row r="1739">
      <c r="A1739" s="12" t="inlineStr">
        <is>
          <t>Rate basis: per sqm  (source: cost for 10 sqm)</t>
        </is>
      </c>
    </row>
    <row r="1740">
      <c r="A1740" s="5" t="inlineStr">
        <is>
          <t>Code</t>
        </is>
      </c>
      <c r="B1740" s="5" t="inlineStr">
        <is>
          <t>Description</t>
        </is>
      </c>
      <c r="C1740" s="5" t="inlineStr">
        <is>
          <t>Unit</t>
        </is>
      </c>
      <c r="D1740" s="5" t="inlineStr">
        <is>
          <t>Quantity</t>
        </is>
      </c>
      <c r="E1740" s="5" t="inlineStr">
        <is>
          <t>Rate (Rs.)</t>
        </is>
      </c>
      <c r="F1740" s="5" t="inlineStr">
        <is>
          <t>Amount (Rs.)</t>
        </is>
      </c>
    </row>
    <row r="1741">
      <c r="A1741" s="13" t="inlineStr">
        <is>
          <t>7273</t>
        </is>
      </c>
      <c r="B1741" s="14" t="inlineStr">
        <is>
          <t>Resin Bonded Rockwool 48 kg/m3</t>
        </is>
      </c>
      <c r="C1741" s="13" t="inlineStr">
        <is>
          <t>sqm</t>
        </is>
      </c>
      <c r="D1741" s="15" t="n">
        <v>11</v>
      </c>
      <c r="E1741" s="16" t="n">
        <v>120</v>
      </c>
      <c r="F1741" s="16">
        <f>D1741*E1741</f>
        <v/>
      </c>
    </row>
    <row r="1742">
      <c r="A1742" s="13" t="inlineStr">
        <is>
          <t>9999</t>
        </is>
      </c>
      <c r="B1742" s="14" t="inlineStr">
        <is>
          <t>Sundries including GI wire 20 SWG and Virgin polythene bags 200 gram and Carriage</t>
        </is>
      </c>
      <c r="C1742" s="13" t="inlineStr">
        <is>
          <t>L.S.</t>
        </is>
      </c>
      <c r="D1742" s="15" t="n">
        <v>52</v>
      </c>
      <c r="E1742" s="16" t="n">
        <v>2</v>
      </c>
      <c r="F1742" s="16">
        <f>D1742*E1742</f>
        <v/>
      </c>
    </row>
    <row r="1743">
      <c r="A1743" s="13" t="inlineStr">
        <is>
          <t>0111</t>
        </is>
      </c>
      <c r="B1743" s="14" t="inlineStr">
        <is>
          <t>Carpenter 1st class</t>
        </is>
      </c>
      <c r="C1743" s="13" t="inlineStr">
        <is>
          <t>day</t>
        </is>
      </c>
      <c r="D1743" s="15" t="n">
        <v>0.5</v>
      </c>
      <c r="E1743" s="16" t="n">
        <v>738</v>
      </c>
      <c r="F1743" s="16">
        <f>D1743*E1743</f>
        <v/>
      </c>
    </row>
    <row r="1744">
      <c r="A1744" s="13" t="inlineStr">
        <is>
          <t>0114</t>
        </is>
      </c>
      <c r="B1744" s="14" t="inlineStr">
        <is>
          <t>Beldar</t>
        </is>
      </c>
      <c r="C1744" s="13" t="inlineStr">
        <is>
          <t>day</t>
        </is>
      </c>
      <c r="D1744" s="15" t="n">
        <v>0.5</v>
      </c>
      <c r="E1744" s="16" t="n">
        <v>558</v>
      </c>
      <c r="F1744" s="16">
        <f>D1744*E1744</f>
        <v/>
      </c>
    </row>
    <row r="1745">
      <c r="A1745" s="13" t="inlineStr">
        <is>
          <t>9999</t>
        </is>
      </c>
      <c r="B1745" s="14" t="inlineStr">
        <is>
          <t>Sundries (screws &amp; washers)</t>
        </is>
      </c>
      <c r="C1745" s="13" t="inlineStr">
        <is>
          <t>L.S.</t>
        </is>
      </c>
      <c r="D1745" s="15" t="n">
        <v>20</v>
      </c>
      <c r="E1745" s="16" t="n">
        <v>2</v>
      </c>
      <c r="F1745" s="16">
        <f>D1745*E1745</f>
        <v/>
      </c>
    </row>
    <row r="1746">
      <c r="A1746" s="17" t="inlineStr">
        <is>
          <t>Resource Total (Material + Labour + Machinery, as printed)</t>
        </is>
      </c>
      <c r="B1746" s="18" t="n"/>
      <c r="C1746" s="18" t="n"/>
      <c r="D1746" s="18" t="n"/>
      <c r="E1746" s="18" t="n"/>
      <c r="F1746" s="19">
        <f>SUM(F1741:F1745)</f>
        <v/>
      </c>
    </row>
    <row r="1747">
      <c r="A1747" s="20" t="inlineStr">
        <is>
          <t>SAY (Rs.) — final DAR rate</t>
        </is>
      </c>
      <c r="B1747" s="21" t="n"/>
      <c r="C1747" s="21" t="n"/>
      <c r="D1747" s="21" t="n"/>
      <c r="E1747" s="21" t="n"/>
      <c r="F1747" s="22" t="n">
        <v>282.55</v>
      </c>
    </row>
    <row r="1749" ht="28" customHeight="1">
      <c r="A1749" s="9" t="inlineStr">
        <is>
          <t>12.63</t>
        </is>
      </c>
      <c r="B1749" s="10" t="inlineStr">
        <is>
          <t>Providing and applying two coats of High Albedo paint having minimum Solar Reflective Index (SRI) 108 (with solar reflectance &amp; thermal emit</t>
        </is>
      </c>
      <c r="C1749" s="11" t="n"/>
      <c r="D1749" s="11" t="n"/>
      <c r="E1749" s="11" t="n"/>
      <c r="F1749" s="11" t="n"/>
    </row>
    <row r="1750">
      <c r="A1750" s="12" t="inlineStr">
        <is>
          <t>Rate basis: per Sqm  (source: cost for 10 Sqm)</t>
        </is>
      </c>
    </row>
    <row r="1751">
      <c r="A1751" s="5" t="inlineStr">
        <is>
          <t>Code</t>
        </is>
      </c>
      <c r="B1751" s="5" t="inlineStr">
        <is>
          <t>Description</t>
        </is>
      </c>
      <c r="C1751" s="5" t="inlineStr">
        <is>
          <t>Unit</t>
        </is>
      </c>
      <c r="D1751" s="5" t="inlineStr">
        <is>
          <t>Quantity</t>
        </is>
      </c>
      <c r="E1751" s="5" t="inlineStr">
        <is>
          <t>Rate (Rs.)</t>
        </is>
      </c>
      <c r="F1751" s="5" t="inlineStr">
        <is>
          <t>Amount (Rs.)</t>
        </is>
      </c>
    </row>
    <row r="1752">
      <c r="A1752" s="13" t="inlineStr">
        <is>
          <t>7238</t>
        </is>
      </c>
      <c r="B1752" s="14" t="inlineStr">
        <is>
          <t>High Albedo paint</t>
        </is>
      </c>
      <c r="C1752" s="13" t="inlineStr">
        <is>
          <t>kg</t>
        </is>
      </c>
      <c r="D1752" s="15" t="n">
        <v>7.17</v>
      </c>
      <c r="E1752" s="16" t="n">
        <v>230</v>
      </c>
      <c r="F1752" s="16">
        <f>D1752*E1752</f>
        <v/>
      </c>
    </row>
    <row r="1753">
      <c r="A1753" s="13" t="inlineStr">
        <is>
          <t>9977</t>
        </is>
      </c>
      <c r="B1753" s="14" t="inlineStr">
        <is>
          <t>Carriage of paint</t>
        </is>
      </c>
      <c r="C1753" s="13" t="inlineStr">
        <is>
          <t>L.S.</t>
        </is>
      </c>
      <c r="D1753" s="15" t="n">
        <v>4.53</v>
      </c>
      <c r="E1753" s="16" t="n">
        <v>2</v>
      </c>
      <c r="F1753" s="16">
        <f>D1753*E1753</f>
        <v/>
      </c>
    </row>
    <row r="1754">
      <c r="A1754" s="13" t="inlineStr">
        <is>
          <t>0114</t>
        </is>
      </c>
      <c r="B1754" s="14" t="inlineStr">
        <is>
          <t>Beldar (for cleanign the surface)</t>
        </is>
      </c>
      <c r="C1754" s="13" t="inlineStr">
        <is>
          <t>day</t>
        </is>
      </c>
      <c r="D1754" s="15" t="n">
        <v>0.54</v>
      </c>
      <c r="E1754" s="16" t="n">
        <v>558</v>
      </c>
      <c r="F1754" s="16">
        <f>D1754*E1754</f>
        <v/>
      </c>
    </row>
    <row r="1755">
      <c r="A1755" s="13" t="inlineStr">
        <is>
          <t>0131</t>
        </is>
      </c>
      <c r="B1755" s="14" t="inlineStr">
        <is>
          <t>Painter</t>
        </is>
      </c>
      <c r="C1755" s="13" t="inlineStr">
        <is>
          <t>day</t>
        </is>
      </c>
      <c r="D1755" s="15" t="n">
        <v>0.54</v>
      </c>
      <c r="E1755" s="16" t="n">
        <v>679</v>
      </c>
      <c r="F1755" s="16">
        <f>D1755*E1755</f>
        <v/>
      </c>
    </row>
    <row r="1756">
      <c r="A1756" s="13" t="inlineStr">
        <is>
          <t>9999</t>
        </is>
      </c>
      <c r="B1756" s="14" t="inlineStr">
        <is>
          <t>Sundries (Brushes &amp; T&amp;P etc.</t>
        </is>
      </c>
      <c r="C1756" s="13" t="inlineStr">
        <is>
          <t>L.S.</t>
        </is>
      </c>
      <c r="D1756" s="15" t="n">
        <v>13.52</v>
      </c>
      <c r="E1756" s="16" t="n">
        <v>2</v>
      </c>
      <c r="F1756" s="16">
        <f>D1756*E1756</f>
        <v/>
      </c>
    </row>
    <row r="1757">
      <c r="A1757" s="17" t="inlineStr">
        <is>
          <t>Resource Total (Material + Labour + Machinery, as printed)</t>
        </is>
      </c>
      <c r="B1757" s="18" t="n"/>
      <c r="C1757" s="18" t="n"/>
      <c r="D1757" s="18" t="n"/>
      <c r="E1757" s="18" t="n"/>
      <c r="F1757" s="19">
        <f>SUM(F1752:F1756)</f>
        <v/>
      </c>
    </row>
    <row r="1758">
      <c r="A1758" s="20" t="inlineStr">
        <is>
          <t>SAY (Rs.) — final DAR rate</t>
        </is>
      </c>
      <c r="B1758" s="21" t="n"/>
      <c r="C1758" s="21" t="n"/>
      <c r="D1758" s="21" t="n"/>
      <c r="E1758" s="21" t="n"/>
      <c r="F1758" s="22" t="n">
        <v>314.85</v>
      </c>
    </row>
  </sheetData>
  <mergeCells count="474">
    <mergeCell ref="A1380:F1380"/>
    <mergeCell ref="A394:F394"/>
    <mergeCell ref="B303:F303"/>
    <mergeCell ref="A429:E429"/>
    <mergeCell ref="A1169:E1169"/>
    <mergeCell ref="A1672:E1672"/>
    <mergeCell ref="A1584:F1584"/>
    <mergeCell ref="A493:E493"/>
    <mergeCell ref="A554:F554"/>
    <mergeCell ref="A1027:E1027"/>
    <mergeCell ref="A406:E406"/>
    <mergeCell ref="A1736:E1736"/>
    <mergeCell ref="A249:F249"/>
    <mergeCell ref="A185:E185"/>
    <mergeCell ref="A1544:F1544"/>
    <mergeCell ref="B515:F515"/>
    <mergeCell ref="A1431:E1431"/>
    <mergeCell ref="A1602:E1602"/>
    <mergeCell ref="A620:F620"/>
    <mergeCell ref="A1289:E1289"/>
    <mergeCell ref="A340:F340"/>
    <mergeCell ref="A1076:F1076"/>
    <mergeCell ref="A770:E770"/>
    <mergeCell ref="B1219:F1219"/>
    <mergeCell ref="B1123:F1123"/>
    <mergeCell ref="A584:E584"/>
    <mergeCell ref="A1149:E1149"/>
    <mergeCell ref="A261:E261"/>
    <mergeCell ref="A1320:E1320"/>
    <mergeCell ref="B1728:F1728"/>
    <mergeCell ref="B662:F662"/>
    <mergeCell ref="B1196:F1196"/>
    <mergeCell ref="B1323:F1323"/>
    <mergeCell ref="A325:E325"/>
    <mergeCell ref="B291:F291"/>
    <mergeCell ref="A659:E659"/>
    <mergeCell ref="A33:F33"/>
    <mergeCell ref="A1152:F1152"/>
    <mergeCell ref="A846:E846"/>
    <mergeCell ref="A1671:E1671"/>
    <mergeCell ref="A133:E133"/>
    <mergeCell ref="A910:E910"/>
    <mergeCell ref="A1750:F1750"/>
    <mergeCell ref="B88:F88"/>
    <mergeCell ref="A789:F789"/>
    <mergeCell ref="B688:F688"/>
    <mergeCell ref="A1083:E1083"/>
    <mergeCell ref="B1051:F1051"/>
    <mergeCell ref="B448:F448"/>
    <mergeCell ref="A1462:E1462"/>
    <mergeCell ref="B1105:F1105"/>
    <mergeCell ref="B1645:F1645"/>
    <mergeCell ref="A1035:E1035"/>
    <mergeCell ref="A445:E445"/>
    <mergeCell ref="A61:F61"/>
    <mergeCell ref="A801:E801"/>
    <mergeCell ref="A972:E972"/>
    <mergeCell ref="A1264:E1264"/>
    <mergeCell ref="A672:E672"/>
    <mergeCell ref="A536:E536"/>
    <mergeCell ref="B675:F675"/>
    <mergeCell ref="A154:F154"/>
    <mergeCell ref="A1312:E1312"/>
    <mergeCell ref="B935:F935"/>
    <mergeCell ref="A129:F129"/>
    <mergeCell ref="B272:F272"/>
    <mergeCell ref="A1142:F1142"/>
    <mergeCell ref="B975:F975"/>
    <mergeCell ref="A650:F650"/>
    <mergeCell ref="B136:F136"/>
    <mergeCell ref="A715:F715"/>
    <mergeCell ref="A867:E867"/>
    <mergeCell ref="A698:E698"/>
    <mergeCell ref="B1075:F1075"/>
    <mergeCell ref="B363:F363"/>
    <mergeCell ref="A1694:F1694"/>
    <mergeCell ref="A1559:E1559"/>
    <mergeCell ref="A1757:E1757"/>
    <mergeCell ref="A725:E725"/>
    <mergeCell ref="A1265:E1265"/>
    <mergeCell ref="A868:E868"/>
    <mergeCell ref="A224:E224"/>
    <mergeCell ref="A1:F1"/>
    <mergeCell ref="A741:F741"/>
    <mergeCell ref="A288:E288"/>
    <mergeCell ref="A728:F728"/>
    <mergeCell ref="B1449:F1449"/>
    <mergeCell ref="A1268:F1268"/>
    <mergeCell ref="A30:E30"/>
    <mergeCell ref="A805:F805"/>
    <mergeCell ref="B327:F327"/>
    <mergeCell ref="A273:F273"/>
    <mergeCell ref="B264:F264"/>
    <mergeCell ref="A753:E753"/>
    <mergeCell ref="A277:E277"/>
    <mergeCell ref="A375:E375"/>
    <mergeCell ref="A817:E817"/>
    <mergeCell ref="A944:E944"/>
    <mergeCell ref="A1102:E1102"/>
    <mergeCell ref="A390:E390"/>
    <mergeCell ref="A512:E512"/>
    <mergeCell ref="A583:E583"/>
    <mergeCell ref="A1338:E1338"/>
    <mergeCell ref="A883:F883"/>
    <mergeCell ref="A1313:E1313"/>
    <mergeCell ref="A973:E973"/>
    <mergeCell ref="A85:E85"/>
    <mergeCell ref="B1065:F1065"/>
    <mergeCell ref="B104:F104"/>
    <mergeCell ref="B315:F315"/>
    <mergeCell ref="B1434:F1434"/>
    <mergeCell ref="B1505:F1505"/>
    <mergeCell ref="A1193:E1193"/>
    <mergeCell ref="A1758:E1758"/>
    <mergeCell ref="A1168:E1168"/>
    <mergeCell ref="A1404:E1404"/>
    <mergeCell ref="A1502:E1502"/>
    <mergeCell ref="A409:F409"/>
    <mergeCell ref="A1026:E1026"/>
    <mergeCell ref="A1739:F1739"/>
    <mergeCell ref="B1663:F1663"/>
    <mergeCell ref="A976:F976"/>
    <mergeCell ref="B170:F170"/>
    <mergeCell ref="A1092:E1092"/>
    <mergeCell ref="B870:F870"/>
    <mergeCell ref="B913:F913"/>
    <mergeCell ref="A660:E660"/>
    <mergeCell ref="A818:E818"/>
    <mergeCell ref="A889:E889"/>
    <mergeCell ref="A1487:F1487"/>
    <mergeCell ref="A1729:F1729"/>
    <mergeCell ref="A93:E93"/>
    <mergeCell ref="A526:F526"/>
    <mergeCell ref="A391:E391"/>
    <mergeCell ref="A1217:E1217"/>
    <mergeCell ref="A1581:E1581"/>
    <mergeCell ref="A292:F292"/>
    <mergeCell ref="A1354:E1354"/>
    <mergeCell ref="A1124:F1124"/>
    <mergeCell ref="A1120:E1120"/>
    <mergeCell ref="B475:F475"/>
    <mergeCell ref="A457:E457"/>
    <mergeCell ref="A1405:E1405"/>
    <mergeCell ref="A2:F2"/>
    <mergeCell ref="A551:E551"/>
    <mergeCell ref="B539:F539"/>
    <mergeCell ref="B120:F120"/>
    <mergeCell ref="A246:E246"/>
    <mergeCell ref="A1072:E1072"/>
    <mergeCell ref="A1541:E1541"/>
    <mergeCell ref="A1049:E1049"/>
    <mergeCell ref="B1379:F1379"/>
    <mergeCell ref="A631:E631"/>
    <mergeCell ref="A904:F904"/>
    <mergeCell ref="A1073:E1073"/>
    <mergeCell ref="A312:E312"/>
    <mergeCell ref="A476:F476"/>
    <mergeCell ref="B788:F788"/>
    <mergeCell ref="B204:F204"/>
    <mergeCell ref="B1524:F1524"/>
    <mergeCell ref="A289:E289"/>
    <mergeCell ref="A516:F516"/>
    <mergeCell ref="A1408:F1408"/>
    <mergeCell ref="B4:F4"/>
    <mergeCell ref="B1395:F1395"/>
    <mergeCell ref="A201:E201"/>
    <mergeCell ref="A1450:F1450"/>
    <mergeCell ref="A105:F105"/>
    <mergeCell ref="A1062:E1062"/>
    <mergeCell ref="B1161:F1161"/>
    <mergeCell ref="B1171:F1171"/>
    <mergeCell ref="A933:E933"/>
    <mergeCell ref="A1660:E1660"/>
    <mergeCell ref="A699:E699"/>
    <mergeCell ref="A826:E826"/>
    <mergeCell ref="B1029:F1029"/>
    <mergeCell ref="A171:F171"/>
    <mergeCell ref="A223:E223"/>
    <mergeCell ref="A890:E890"/>
    <mergeCell ref="A1048:E1048"/>
    <mergeCell ref="A1292:F1292"/>
    <mergeCell ref="B128:F128"/>
    <mergeCell ref="B1181:F1181"/>
    <mergeCell ref="A1726:E1726"/>
    <mergeCell ref="B226:F226"/>
    <mergeCell ref="B649:F649"/>
    <mergeCell ref="B820:F820"/>
    <mergeCell ref="B947:F947"/>
    <mergeCell ref="A125:E125"/>
    <mergeCell ref="B1674:F1674"/>
    <mergeCell ref="B586:F586"/>
    <mergeCell ref="A348:E348"/>
    <mergeCell ref="A646:E646"/>
    <mergeCell ref="B924:F924"/>
    <mergeCell ref="A364:F364"/>
    <mergeCell ref="B1749:F1749"/>
    <mergeCell ref="A1139:E1139"/>
    <mergeCell ref="A349:E349"/>
    <mergeCell ref="A1642:E1642"/>
    <mergeCell ref="A1420:F1420"/>
    <mergeCell ref="A647:E647"/>
    <mergeCell ref="A1358:F1358"/>
    <mergeCell ref="A1162:F1162"/>
    <mergeCell ref="A712:E712"/>
    <mergeCell ref="A1316:F1316"/>
    <mergeCell ref="A113:F113"/>
    <mergeCell ref="A1337:E1337"/>
    <mergeCell ref="B248:F248"/>
    <mergeCell ref="A1208:E1208"/>
    <mergeCell ref="B1605:F1605"/>
    <mergeCell ref="A1735:E1735"/>
    <mergeCell ref="B339:F339"/>
    <mergeCell ref="A269:E269"/>
    <mergeCell ref="A738:E738"/>
    <mergeCell ref="A352:F352"/>
    <mergeCell ref="A1241:E1241"/>
    <mergeCell ref="A1661:E1661"/>
    <mergeCell ref="A262:E262"/>
    <mergeCell ref="B1003:F1003"/>
    <mergeCell ref="A1355:E1355"/>
    <mergeCell ref="A827:E827"/>
    <mergeCell ref="A802:E802"/>
    <mergeCell ref="A1369:F1369"/>
    <mergeCell ref="A1063:E1063"/>
    <mergeCell ref="B1095:F1095"/>
    <mergeCell ref="A102:E102"/>
    <mergeCell ref="A1603:E1603"/>
    <mergeCell ref="A948:F948"/>
    <mergeCell ref="A1000:E1000"/>
    <mergeCell ref="A245:E245"/>
    <mergeCell ref="A1675:F1675"/>
    <mergeCell ref="A205:F205"/>
    <mergeCell ref="A337:E337"/>
    <mergeCell ref="A914:F914"/>
    <mergeCell ref="A1521:E1521"/>
    <mergeCell ref="A1435:F1435"/>
    <mergeCell ref="A1606:F1606"/>
    <mergeCell ref="A168:E168"/>
    <mergeCell ref="B714:F714"/>
    <mergeCell ref="B431:F431"/>
    <mergeCell ref="B60:F60"/>
    <mergeCell ref="A413:E413"/>
    <mergeCell ref="B892:F892"/>
    <mergeCell ref="A1324:F1324"/>
    <mergeCell ref="A265:F265"/>
    <mergeCell ref="B495:F495"/>
    <mergeCell ref="A121:F121"/>
    <mergeCell ref="A428:E428"/>
    <mergeCell ref="A57:E57"/>
    <mergeCell ref="A1376:E1376"/>
    <mergeCell ref="A1447:E1447"/>
    <mergeCell ref="A1082:E1082"/>
    <mergeCell ref="A1240:E1240"/>
    <mergeCell ref="A663:F663"/>
    <mergeCell ref="A1747:E1747"/>
    <mergeCell ref="A932:E932"/>
    <mergeCell ref="B378:F378"/>
    <mergeCell ref="B1114:F1114"/>
    <mergeCell ref="B1543:F1543"/>
    <mergeCell ref="A925:F925"/>
    <mergeCell ref="B1141:F1141"/>
    <mergeCell ref="B1464:F1464"/>
    <mergeCell ref="A270:E270"/>
    <mergeCell ref="A689:F689"/>
    <mergeCell ref="B882:F882"/>
    <mergeCell ref="B460:F460"/>
    <mergeCell ref="A1377:E1377"/>
    <mergeCell ref="A449:F449"/>
    <mergeCell ref="A188:F188"/>
    <mergeCell ref="B740:F740"/>
    <mergeCell ref="A118:E118"/>
    <mergeCell ref="B1419:F1419"/>
    <mergeCell ref="B1717:F1717"/>
    <mergeCell ref="B829:F829"/>
    <mergeCell ref="A29:E29"/>
    <mergeCell ref="B1562:F1562"/>
    <mergeCell ref="B1627:F1627"/>
    <mergeCell ref="B1037:F1037"/>
    <mergeCell ref="A1560:E1560"/>
    <mergeCell ref="A550:E550"/>
    <mergeCell ref="A786:E786"/>
    <mergeCell ref="A202:E202"/>
    <mergeCell ref="A58:E58"/>
    <mergeCell ref="A635:F635"/>
    <mergeCell ref="A1690:E1690"/>
    <mergeCell ref="A871:F871"/>
    <mergeCell ref="A1624:E1624"/>
    <mergeCell ref="A1746:E1746"/>
    <mergeCell ref="A1540:E1540"/>
    <mergeCell ref="A785:E785"/>
    <mergeCell ref="A137:F137"/>
    <mergeCell ref="A379:F379"/>
    <mergeCell ref="A1148:E1148"/>
    <mergeCell ref="A1563:F1563"/>
    <mergeCell ref="A1106:F1106"/>
    <mergeCell ref="A1220:F1220"/>
    <mergeCell ref="A1321:E1321"/>
    <mergeCell ref="B1211:F1211"/>
    <mergeCell ref="A360:E360"/>
    <mergeCell ref="B1340:F1340"/>
    <mergeCell ref="B848:F848"/>
    <mergeCell ref="A1182:F1182"/>
    <mergeCell ref="B1486:F1486"/>
    <mergeCell ref="A86:E86"/>
    <mergeCell ref="A151:E151"/>
    <mergeCell ref="A1111:E1111"/>
    <mergeCell ref="A150:E150"/>
    <mergeCell ref="A1103:E1103"/>
    <mergeCell ref="A880:E880"/>
    <mergeCell ref="A513:E513"/>
    <mergeCell ref="A757:F757"/>
    <mergeCell ref="A1461:E1461"/>
    <mergeCell ref="A496:F496"/>
    <mergeCell ref="A1138:E1138"/>
    <mergeCell ref="A281:F281"/>
    <mergeCell ref="A1034:E1034"/>
    <mergeCell ref="A1017:F1017"/>
    <mergeCell ref="A711:E711"/>
    <mergeCell ref="A686:E686"/>
    <mergeCell ref="A821:F821"/>
    <mergeCell ref="A673:E673"/>
    <mergeCell ref="A316:F316"/>
    <mergeCell ref="B1368:F1368"/>
    <mergeCell ref="A89:F89"/>
    <mergeCell ref="B634:F634"/>
    <mergeCell ref="A1096:F1096"/>
    <mergeCell ref="B903:F903"/>
    <mergeCell ref="A1625:E1625"/>
    <mergeCell ref="A737:E737"/>
    <mergeCell ref="A1392:E1392"/>
    <mergeCell ref="A1416:E1416"/>
    <mergeCell ref="A1093:E1093"/>
    <mergeCell ref="A1158:E1158"/>
    <mergeCell ref="A432:F432"/>
    <mergeCell ref="A101:E101"/>
    <mergeCell ref="A1172:F1172"/>
    <mergeCell ref="B756:F756"/>
    <mergeCell ref="A1506:F1506"/>
    <mergeCell ref="A1628:F1628"/>
    <mergeCell ref="A1393:E1393"/>
    <mergeCell ref="A361:E361"/>
    <mergeCell ref="A1691:E1691"/>
    <mergeCell ref="A1030:F1030"/>
    <mergeCell ref="B393:F393"/>
    <mergeCell ref="B1583:F1583"/>
    <mergeCell ref="A1396:F1396"/>
    <mergeCell ref="B1291:F1291"/>
    <mergeCell ref="B32:F32"/>
    <mergeCell ref="B1085:F1085"/>
    <mergeCell ref="B153:F153"/>
    <mergeCell ref="B553:F553"/>
    <mergeCell ref="A879:E879"/>
    <mergeCell ref="A1121:E1121"/>
    <mergeCell ref="A300:E300"/>
    <mergeCell ref="A94:E94"/>
    <mergeCell ref="A458:E458"/>
    <mergeCell ref="A1484:E1484"/>
    <mergeCell ref="A587:F587"/>
    <mergeCell ref="A1646:F1646"/>
    <mergeCell ref="A523:E523"/>
    <mergeCell ref="A921:E921"/>
    <mergeCell ref="A1179:E1179"/>
    <mergeCell ref="A1341:F1341"/>
    <mergeCell ref="A5:F5"/>
    <mergeCell ref="A97:F97"/>
    <mergeCell ref="A849:F849"/>
    <mergeCell ref="A376:E376"/>
    <mergeCell ref="B408:F408"/>
    <mergeCell ref="B619:F619"/>
    <mergeCell ref="A313:E313"/>
    <mergeCell ref="A1366:E1366"/>
    <mergeCell ref="A405:E405"/>
    <mergeCell ref="B1267:F1267"/>
    <mergeCell ref="A184:E184"/>
    <mergeCell ref="A336:E336"/>
    <mergeCell ref="A911:E911"/>
    <mergeCell ref="A1178:E1178"/>
    <mergeCell ref="A901:E901"/>
    <mergeCell ref="A1159:E1159"/>
    <mergeCell ref="B1738:F1738"/>
    <mergeCell ref="A1432:E1432"/>
    <mergeCell ref="A769:E769"/>
    <mergeCell ref="A1038:F1038"/>
    <mergeCell ref="A446:E446"/>
    <mergeCell ref="A1115:F1115"/>
    <mergeCell ref="B96:F96"/>
    <mergeCell ref="A1052:F1052"/>
    <mergeCell ref="B701:F701"/>
    <mergeCell ref="B1357:F1357"/>
    <mergeCell ref="B1151:F1151"/>
    <mergeCell ref="A1483:E1483"/>
    <mergeCell ref="A522:E522"/>
    <mergeCell ref="A893:F893"/>
    <mergeCell ref="A301:E301"/>
    <mergeCell ref="A685:E685"/>
    <mergeCell ref="B525:F525"/>
    <mergeCell ref="B1693:F1693"/>
    <mergeCell ref="A830:F830"/>
    <mergeCell ref="A1066:F1066"/>
    <mergeCell ref="A616:E616"/>
    <mergeCell ref="A1129:E1129"/>
    <mergeCell ref="A1216:E1216"/>
    <mergeCell ref="B187:F187"/>
    <mergeCell ref="A304:F304"/>
    <mergeCell ref="A540:F540"/>
    <mergeCell ref="A1664:F1664"/>
    <mergeCell ref="A461:F461"/>
    <mergeCell ref="A936:F936"/>
    <mergeCell ref="A1197:F1197"/>
    <mergeCell ref="A617:E617"/>
    <mergeCell ref="A1643:E1643"/>
    <mergeCell ref="A227:F227"/>
    <mergeCell ref="B772:F772"/>
    <mergeCell ref="A1580:E1580"/>
    <mergeCell ref="B280:F280"/>
    <mergeCell ref="B351:F351"/>
    <mergeCell ref="B416:F416"/>
    <mergeCell ref="A1503:E1503"/>
    <mergeCell ref="B1016:F1016"/>
    <mergeCell ref="B1243:F1243"/>
    <mergeCell ref="A900:E900"/>
    <mergeCell ref="A492:E492"/>
    <mergeCell ref="A110:E110"/>
    <mergeCell ref="A473:E473"/>
    <mergeCell ref="A1725:E1725"/>
    <mergeCell ref="A1209:E1209"/>
    <mergeCell ref="A1013:E1013"/>
    <mergeCell ref="A472:E472"/>
    <mergeCell ref="A537:E537"/>
    <mergeCell ref="A1417:E1417"/>
    <mergeCell ref="A754:E754"/>
    <mergeCell ref="B1132:F1132"/>
    <mergeCell ref="A1112:E1112"/>
    <mergeCell ref="A1288:E1288"/>
    <mergeCell ref="A278:E278"/>
    <mergeCell ref="A1446:E1446"/>
    <mergeCell ref="B727:F727"/>
    <mergeCell ref="A676:F676"/>
    <mergeCell ref="A328:F328"/>
    <mergeCell ref="A1718:F1718"/>
    <mergeCell ref="A134:E134"/>
    <mergeCell ref="B804:F804"/>
    <mergeCell ref="A1212:F1212"/>
    <mergeCell ref="A922:E922"/>
    <mergeCell ref="A167:E167"/>
    <mergeCell ref="A1714:E1714"/>
    <mergeCell ref="A1130:E1130"/>
    <mergeCell ref="A702:F702"/>
    <mergeCell ref="A773:F773"/>
    <mergeCell ref="A632:E632"/>
    <mergeCell ref="A1001:E1001"/>
    <mergeCell ref="A1194:E1194"/>
    <mergeCell ref="A1365:E1365"/>
    <mergeCell ref="A1465:F1465"/>
    <mergeCell ref="A1244:F1244"/>
    <mergeCell ref="A1522:E1522"/>
    <mergeCell ref="A1133:F1133"/>
    <mergeCell ref="A1715:E1715"/>
    <mergeCell ref="A1004:F1004"/>
    <mergeCell ref="A1525:F1525"/>
    <mergeCell ref="B1315:F1315"/>
    <mergeCell ref="B112:F112"/>
    <mergeCell ref="B1407:F1407"/>
    <mergeCell ref="A414:E414"/>
    <mergeCell ref="A1014:E1014"/>
    <mergeCell ref="A126:E126"/>
    <mergeCell ref="A109:E109"/>
    <mergeCell ref="A324:E324"/>
    <mergeCell ref="A1086:F1086"/>
    <mergeCell ref="A945:E945"/>
    <mergeCell ref="A845:E845"/>
    <mergeCell ref="A117:E117"/>
    <mergeCell ref="A417:F417"/>
    <mergeCell ref="A724:E7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2026-09-18T02:38:38Z</dcterms:created>
  <dcterms:modified xmlns:dcterms="http://purl.org/dc/terms/" xmlns:xsi="http://www.w3.org/2001/XMLSchema-instance" xsi:type="dcterms:W3CDTF">2026-09-18T02:38:42Z</dcterms:modified>
</cp:coreProperties>
</file>