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_2_Cover" sheetId="1" state="visible" r:id="rId1"/>
    <sheet xmlns:r="http://schemas.openxmlformats.org/officeDocument/2006/relationships" name="13_Finishing" sheetId="2" state="visible" r:id="rId2"/>
    <sheet xmlns:r="http://schemas.openxmlformats.org/officeDocument/2006/relationships" name="14_Repairs_to_Buildings" sheetId="3" state="visible" r:id="rId3"/>
    <sheet xmlns:r="http://schemas.openxmlformats.org/officeDocument/2006/relationships" name="15_Dismantling_Demolishing" sheetId="4" state="visible" r:id="rId4"/>
    <sheet xmlns:r="http://schemas.openxmlformats.org/officeDocument/2006/relationships" name="16_Road_Work" sheetId="5" state="visible" r:id="rId5"/>
    <sheet xmlns:r="http://schemas.openxmlformats.org/officeDocument/2006/relationships" name="17_Sanitary_Installations" sheetId="6" state="visible" r:id="rId6"/>
    <sheet xmlns:r="http://schemas.openxmlformats.org/officeDocument/2006/relationships" name="18_Water_Supply" sheetId="7" state="visible" r:id="rId7"/>
    <sheet xmlns:r="http://schemas.openxmlformats.org/officeDocument/2006/relationships" name="19_Drainage" sheetId="8" state="visible" r:id="rId8"/>
    <sheet xmlns:r="http://schemas.openxmlformats.org/officeDocument/2006/relationships" name="20_Pile_Work" sheetId="9" state="visible" r:id="rId9"/>
    <sheet xmlns:r="http://schemas.openxmlformats.org/officeDocument/2006/relationships" name="21_Aluminium_Work" sheetId="10" state="visible" r:id="rId10"/>
    <sheet xmlns:r="http://schemas.openxmlformats.org/officeDocument/2006/relationships" name="22_Water_Proofing" sheetId="11" state="visible" r:id="rId11"/>
    <sheet xmlns:r="http://schemas.openxmlformats.org/officeDocument/2006/relationships" name="23_Rain_Water_Harvesting" sheetId="12" state="visible" r:id="rId12"/>
    <sheet xmlns:r="http://schemas.openxmlformats.org/officeDocument/2006/relationships" name="24_Heritage_Buildings" sheetId="13" state="visible" r:id="rId13"/>
    <sheet xmlns:r="http://schemas.openxmlformats.org/officeDocument/2006/relationships" name="25_Structural_Glazing" sheetId="14" state="visible" r:id="rId14"/>
    <sheet xmlns:r="http://schemas.openxmlformats.org/officeDocument/2006/relationships" name="26_New_Technologies" sheetId="15" state="visible" r:id="rId15"/>
  </sheets>
  <definedNames>
    <definedName name="Factor_Water">'[CPWD_DAR_2019_Custom_Rate_Analysis_Workbook_Vol_1.xlsx]Global_Factors'!$F$12</definedName>
    <definedName name="Factor_GST">'[CPWD_DAR_2019_Custom_Rate_Analysis_Workbook_Vol_1.xlsx]Global_Factors'!$F$13</definedName>
    <definedName name="Factor_CPOH">'[CPWD_DAR_2019_Custom_Rate_Analysis_Workbook_Vol_1.xlsx]Global_Factors'!$F$14</definedName>
    <definedName name="Factor_Cess">'[CPWD_DAR_2019_Custom_Rate_Analysis_Workbook_Vol_1.xlsx]Global_Factors'!$F$15</definedName>
    <definedName name="Factor_Sundries">'[CPWD_DAR_2019_Custom_Rate_Analysis_Workbook_Vol_1.xlsx]Global_Factors'!$F$16</definedName>
  </definedNames>
  <calcPr calcId="124519" fullCalcOnLoad="1"/>
</workbook>
</file>

<file path=xl/styles.xml><?xml version="1.0" encoding="utf-8"?>
<styleSheet xmlns="http://schemas.openxmlformats.org/spreadsheetml/2006/main">
  <numFmts count="2">
    <numFmt numFmtId="164" formatCode="#,##0.000"/>
    <numFmt numFmtId="165" formatCode="₹ #,##0.00"/>
  </numFmts>
  <fonts count="9">
    <font>
      <name val="Calibri"/>
      <family val="2"/>
      <color theme="1"/>
      <sz val="11"/>
      <scheme val="minor"/>
    </font>
    <font>
      <name val="Segoe UI"/>
      <b val="1"/>
      <color rgb="00FFFFFF"/>
      <sz val="13"/>
    </font>
    <font>
      <name val="Segoe UI"/>
      <i val="1"/>
      <color rgb="00475569"/>
      <sz val="9"/>
    </font>
    <font>
      <name val="Segoe UI"/>
      <b val="1"/>
      <color rgb="001E293B"/>
      <sz val="9"/>
    </font>
    <font>
      <name val="Segoe UI"/>
      <b val="1"/>
      <color rgb="000F172A"/>
      <sz val="10"/>
    </font>
    <font>
      <name val="Segoe UI"/>
      <color rgb="000F172A"/>
      <sz val="10"/>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1F5F9"/>
        <bgColor rgb="00F1F5F9"/>
      </patternFill>
    </fill>
    <fill>
      <patternFill patternType="solid">
        <fgColor rgb="002B4C7E"/>
        <bgColor rgb="002B4C7E"/>
      </patternFill>
    </fill>
  </fills>
  <borders count="8">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s>
  <cellStyleXfs count="1">
    <xf numFmtId="0" fontId="0" fillId="0" borderId="0"/>
  </cellStyleXfs>
  <cellXfs count="8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0" borderId="0"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2" fillId="3" borderId="1" applyAlignment="1" pivotButton="0" quotePrefix="0" xfId="0">
      <alignment horizontal="center" vertical="center"/>
    </xf>
    <xf numFmtId="0" fontId="5" fillId="10" borderId="1" applyAlignment="1" pivotButton="0" quotePrefix="0" xfId="0">
      <alignment horizontal="center" vertical="center"/>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4" fillId="0" borderId="1" applyAlignment="1" pivotButton="0" quotePrefix="0" xfId="0">
      <alignment horizontal="left" vertical="center" wrapText="1"/>
    </xf>
    <xf numFmtId="0" fontId="4" fillId="4" borderId="1" applyAlignment="1" applyProtection="1" pivotButton="0" quotePrefix="0" xfId="0">
      <alignment horizontal="left" vertical="center" wrapText="1"/>
      <protection locked="0" hidden="0"/>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0" fillId="0" borderId="1" pivotButton="0" quotePrefix="0" xfId="0"/>
    <xf numFmtId="0" fontId="4" fillId="10" borderId="1" applyAlignment="1" pivotButton="0" quotePrefix="0" xfId="0">
      <alignment horizontal="center" vertical="center"/>
    </xf>
    <xf numFmtId="0" fontId="2" fillId="0" borderId="1" pivotButton="0" quotePrefix="0" xfId="0"/>
    <xf numFmtId="0" fontId="0" fillId="0" borderId="1" applyProtection="1" pivotButton="0" quotePrefix="0" xfId="0">
      <protection locked="0" hidden="0"/>
    </xf>
    <xf numFmtId="0" fontId="4" fillId="0" borderId="1" pivotButton="0" quotePrefix="0" xfId="0"/>
    <xf numFmtId="0" fontId="4" fillId="4" borderId="1" applyAlignment="1" applyProtection="1" pivotButton="0" quotePrefix="0" xfId="0">
      <alignment horizontal="center" vertical="center"/>
      <protection locked="0" hidden="0"/>
    </xf>
    <xf numFmtId="2" fontId="4" fillId="4" borderId="1" applyAlignment="1" applyProtection="1" pivotButton="0" quotePrefix="0" xfId="0">
      <alignment horizontal="center" vertical="center"/>
      <protection locked="0" hidden="0"/>
    </xf>
    <xf numFmtId="0" fontId="4" fillId="6" borderId="1" applyAlignment="1" pivotButton="0" quotePrefix="0" xfId="0">
      <alignment horizontal="center" vertical="center"/>
    </xf>
    <xf numFmtId="0" fontId="5" fillId="6" borderId="1" applyAlignment="1" pivotButton="0" quotePrefix="0" xfId="0">
      <alignment horizontal="left" vertical="center" wrapText="1"/>
    </xf>
    <xf numFmtId="0" fontId="0" fillId="5" borderId="1" applyAlignment="1" applyProtection="1" pivotButton="0" quotePrefix="0" xfId="0">
      <alignment horizontal="left" vertical="center" wrapText="1"/>
      <protection locked="0" hidden="0"/>
    </xf>
    <xf numFmtId="0" fontId="6" fillId="11" borderId="1" applyAlignment="1" pivotButton="0" quotePrefix="0" xfId="0">
      <alignment horizontal="center" vertical="center"/>
    </xf>
    <xf numFmtId="0" fontId="7" fillId="8" borderId="1" applyAlignment="1" pivotButton="0" quotePrefix="0" xfId="0">
      <alignment horizontal="center" vertical="center"/>
    </xf>
    <xf numFmtId="0" fontId="2" fillId="0" borderId="1" applyAlignment="1" pivotButton="0" quotePrefix="0" xfId="0">
      <alignment horizontal="right" vertical="center"/>
    </xf>
    <xf numFmtId="0" fontId="4" fillId="0" borderId="1"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left" vertical="center"/>
    </xf>
    <xf numFmtId="0" fontId="0" fillId="6" borderId="1" applyAlignment="1" pivotButton="0" quotePrefix="0" xfId="0">
      <alignment horizontal="center" vertical="center"/>
    </xf>
    <xf numFmtId="164" fontId="0" fillId="4" borderId="1" applyAlignment="1" applyProtection="1" pivotButton="0" quotePrefix="0" xfId="0">
      <alignment horizontal="right" vertical="center"/>
      <protection locked="0" hidden="0"/>
    </xf>
    <xf numFmtId="165" fontId="0" fillId="6" borderId="1" applyAlignment="1" pivotButton="0" quotePrefix="0" xfId="0">
      <alignment horizontal="right" vertical="center"/>
    </xf>
    <xf numFmtId="165" fontId="0" fillId="7" borderId="1" applyAlignment="1" pivotButton="0" quotePrefix="0" xfId="0">
      <alignment horizontal="right" vertical="center"/>
    </xf>
    <xf numFmtId="0" fontId="2" fillId="0" borderId="1" applyAlignment="1" applyProtection="1" pivotButton="0" quotePrefix="0" xfId="0">
      <alignment horizontal="left" vertical="center" wrapText="1"/>
      <protection locked="0" hidden="0"/>
    </xf>
    <xf numFmtId="0" fontId="4" fillId="10" borderId="7" applyAlignment="1" pivotButton="0" quotePrefix="0" xfId="0">
      <alignment horizontal="right" vertical="center"/>
    </xf>
    <xf numFmtId="0" fontId="0" fillId="10" borderId="7" pivotButton="0" quotePrefix="0" xfId="0"/>
    <xf numFmtId="165" fontId="4" fillId="10" borderId="7" applyAlignment="1" pivotButton="0" quotePrefix="0" xfId="0">
      <alignment horizontal="right" vertical="center"/>
    </xf>
    <xf numFmtId="0" fontId="4" fillId="10" borderId="1" applyAlignment="1" pivotButton="0" quotePrefix="0" xfId="0">
      <alignment horizontal="right" vertical="center"/>
    </xf>
    <xf numFmtId="0" fontId="0" fillId="10" borderId="1" pivotButton="0" quotePrefix="0" xfId="0"/>
    <xf numFmtId="165" fontId="4" fillId="10" borderId="1" applyAlignment="1" pivotButton="0" quotePrefix="0" xfId="0">
      <alignment horizontal="right" vertical="center"/>
    </xf>
    <xf numFmtId="0" fontId="2" fillId="10" borderId="1" applyAlignment="1" pivotButton="0" quotePrefix="0" xfId="0">
      <alignment horizontal="left" vertical="center" wrapText="1"/>
    </xf>
    <xf numFmtId="0" fontId="4" fillId="7" borderId="1" applyAlignment="1" pivotButton="0" quotePrefix="0" xfId="0">
      <alignment horizontal="center" vertical="center"/>
    </xf>
    <xf numFmtId="2" fontId="0" fillId="4" borderId="1" applyAlignment="1" applyProtection="1" pivotButton="0" quotePrefix="0" xfId="0">
      <alignment horizontal="right" vertical="center"/>
      <protection locked="0" hidden="0"/>
    </xf>
    <xf numFmtId="2" fontId="0" fillId="6" borderId="1" applyAlignment="1" pivotButton="0" quotePrefix="0" xfId="0">
      <alignment horizontal="right" vertical="center"/>
    </xf>
    <xf numFmtId="165" fontId="4" fillId="0" borderId="1" applyAlignment="1" pivotButton="0" quotePrefix="0" xfId="0">
      <alignment horizontal="right" vertical="center"/>
    </xf>
    <xf numFmtId="0" fontId="0" fillId="10" borderId="1" applyAlignment="1" pivotButton="0" quotePrefix="0" xfId="0">
      <alignment horizontal="left" vertical="center"/>
    </xf>
    <xf numFmtId="0" fontId="0" fillId="10" borderId="1" applyAlignment="1" pivotButton="0" quotePrefix="0" xfId="0">
      <alignment horizontal="center" vertical="center"/>
    </xf>
    <xf numFmtId="0" fontId="0" fillId="10" borderId="1" applyAlignment="1" pivotButton="0" quotePrefix="0" xfId="0">
      <alignment horizontal="right" vertical="center"/>
    </xf>
    <xf numFmtId="0" fontId="2" fillId="10" borderId="1" applyAlignment="1" pivotButton="0" quotePrefix="0" xfId="0">
      <alignment horizontal="center" vertical="center"/>
    </xf>
    <xf numFmtId="0" fontId="0" fillId="0" borderId="1" applyAlignment="1" pivotButton="0" quotePrefix="0" xfId="0">
      <alignment horizontal="left" vertical="center"/>
    </xf>
    <xf numFmtId="165" fontId="0" fillId="0" borderId="1" applyAlignment="1" pivotButton="0" quotePrefix="0" xfId="0">
      <alignment horizontal="right" vertical="center"/>
    </xf>
    <xf numFmtId="10" fontId="0" fillId="0" borderId="1" applyAlignment="1" pivotButton="0" quotePrefix="0" xfId="0">
      <alignment horizontal="right" vertical="center"/>
    </xf>
    <xf numFmtId="0" fontId="0" fillId="8" borderId="1" applyAlignment="1" pivotButton="0" quotePrefix="0" xfId="0">
      <alignment horizontal="left" vertical="center"/>
    </xf>
    <xf numFmtId="0" fontId="0" fillId="8" borderId="1" applyAlignment="1" pivotButton="0" quotePrefix="0" xfId="0">
      <alignment horizontal="center" vertical="center"/>
    </xf>
    <xf numFmtId="0" fontId="0" fillId="8" borderId="1" applyAlignment="1" pivotButton="0" quotePrefix="0" xfId="0">
      <alignment horizontal="right" vertical="center"/>
    </xf>
    <xf numFmtId="165" fontId="4" fillId="8" borderId="1" applyAlignment="1" pivotButton="0" quotePrefix="0" xfId="0">
      <alignment horizontal="right" vertical="center"/>
    </xf>
    <xf numFmtId="0" fontId="2" fillId="8" borderId="1" applyAlignment="1" pivotButton="0" quotePrefix="0" xfId="0">
      <alignment horizontal="left" vertical="center" wrapText="1"/>
    </xf>
    <xf numFmtId="0" fontId="2" fillId="8" borderId="1" applyAlignment="1" pivotButton="0" quotePrefix="0" xfId="0">
      <alignment horizontal="center" vertical="center"/>
    </xf>
    <xf numFmtId="0" fontId="8" fillId="9" borderId="1" applyAlignment="1" pivotButton="0" quotePrefix="0" xfId="0">
      <alignment horizontal="left" vertical="center"/>
    </xf>
    <xf numFmtId="0" fontId="0" fillId="9" borderId="1" applyAlignment="1" pivotButton="0" quotePrefix="0" xfId="0">
      <alignment horizontal="center" vertical="center"/>
    </xf>
    <xf numFmtId="0" fontId="0" fillId="9" borderId="1" applyAlignment="1" pivotButton="0" quotePrefix="0" xfId="0">
      <alignment horizontal="right" vertical="center"/>
    </xf>
    <xf numFmtId="165" fontId="8" fillId="9" borderId="1" applyAlignment="1" pivotButton="0" quotePrefix="0" xfId="0">
      <alignment horizontal="right" vertical="center"/>
    </xf>
    <xf numFmtId="0" fontId="2" fillId="9" borderId="1" applyAlignment="1" pivotButton="0" quotePrefix="0" xfId="0">
      <alignment horizontal="left" vertical="center" wrapText="1"/>
    </xf>
    <xf numFmtId="0" fontId="2" fillId="9" borderId="1" applyAlignment="1" pivotButton="0" quotePrefix="0" xfId="0">
      <alignment horizontal="center" vertical="center"/>
    </xf>
    <xf numFmtId="0" fontId="2" fillId="3" borderId="0" applyAlignment="1" pivotButton="0" quotePrefix="0" xfId="0">
      <alignment horizontal="left" vertical="center" wrapText="1"/>
    </xf>
    <xf numFmtId="0" fontId="0" fillId="7" borderId="1" applyAlignment="1" applyProtection="1" pivotButton="0" quotePrefix="0" xfId="0">
      <alignment horizontal="center" vertical="center"/>
      <protection locked="0" hidden="0"/>
    </xf>
    <xf numFmtId="0" fontId="5" fillId="7" borderId="1" applyAlignment="1" applyProtection="1" pivotButton="0" quotePrefix="0" xfId="0">
      <alignment horizontal="left" vertical="center"/>
      <protection locked="0" hidden="0"/>
    </xf>
    <xf numFmtId="0" fontId="5" fillId="7" borderId="1" applyAlignment="1" applyProtection="1" pivotButton="0" quotePrefix="0" xfId="0">
      <alignment horizontal="center" vertical="center"/>
      <protection locked="0" hidden="0"/>
    </xf>
    <xf numFmtId="165" fontId="5" fillId="7" borderId="1" applyAlignment="1" applyProtection="1" pivotButton="0" quotePrefix="0" xfId="0">
      <alignment horizontal="right" vertical="center"/>
      <protection locked="0" hidden="0"/>
    </xf>
    <xf numFmtId="165" fontId="4" fillId="7" borderId="1" applyAlignment="1" applyProtection="1" pivotButton="0" quotePrefix="0" xfId="0">
      <alignment horizontal="right" vertical="center"/>
      <protection locked="0" hidden="0"/>
    </xf>
    <xf numFmtId="0" fontId="0" fillId="10" borderId="1" applyAlignment="1" applyProtection="1" pivotButton="0" quotePrefix="0" xfId="0">
      <alignment horizontal="center" vertical="center"/>
      <protection locked="0" hidden="0"/>
    </xf>
    <xf numFmtId="0" fontId="5" fillId="10" borderId="1" applyAlignment="1" applyProtection="1" pivotButton="0" quotePrefix="0" xfId="0">
      <alignment horizontal="left" vertical="center"/>
      <protection locked="0" hidden="0"/>
    </xf>
    <xf numFmtId="0" fontId="5" fillId="10" borderId="1" applyAlignment="1" applyProtection="1" pivotButton="0" quotePrefix="0" xfId="0">
      <alignment horizontal="center" vertical="center"/>
      <protection locked="0" hidden="0"/>
    </xf>
    <xf numFmtId="165" fontId="5" fillId="10" borderId="1" applyAlignment="1" applyProtection="1" pivotButton="0" quotePrefix="0" xfId="0">
      <alignment horizontal="right" vertical="center"/>
      <protection locked="0" hidden="0"/>
    </xf>
    <xf numFmtId="165" fontId="4" fillId="10" borderId="1" applyAlignment="1" applyProtection="1" pivotButton="0" quotePrefix="0" xfId="0">
      <alignment horizontal="right"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showGridLines="0" workbookViewId="0">
      <selection activeCell="A1" sqref="A1"/>
    </sheetView>
  </sheetViews>
  <sheetFormatPr baseColWidth="8" defaultRowHeight="15"/>
  <cols>
    <col width="18" customWidth="1" min="1" max="1"/>
    <col width="16" customWidth="1" min="2" max="2"/>
    <col width="46" customWidth="1" min="3" max="3"/>
    <col width="14" customWidth="1" min="4" max="4"/>
    <col width="16" customWidth="1" min="5" max="5"/>
    <col width="16" customWidth="1" min="6" max="6"/>
    <col width="18" customWidth="1" min="7" max="7"/>
    <col width="42" customWidth="1" min="8" max="8"/>
    <col width="14" customWidth="1" min="9" max="9"/>
  </cols>
  <sheetData>
    <row r="1" ht="40" customHeight="1">
      <c r="A1" s="1" t="inlineStr">
        <is>
          <t>CPWD DAR 2019  |  CUSTOM RATE ANALYSIS WORKBOOK — VOLUME 2 (Sub-Heads 13–26)
Companion to Vol. 1  |  Do NOT rename or move either workbook file</t>
        </is>
      </c>
    </row>
    <row r="3" ht="380" customHeight="1">
      <c r="A3" s="2" t="inlineStr">
        <is>
          <t>HOW TO USE THIS WORKBOOK
1. BOTH WORKBOOKS MUST BE OPEN IN THE SAME FOLDER.
   Vol. 1: CPWD_DAR_2019_Custom_Rate_Analysis_Workbook_Vol_1.xlsx
   Vol. 2: CPWD_DAR_2019_Custom_Rate_Analysis_Workbook_Vol_2.xlsx (this file)
2. EXTERNAL LINKS: All rate lookups in this workbook (description, unit, basic rate)
   fetch live data from Vol. 1 Rates_Master sheet. The formula in each Code cell reads:
       =IF(B28="","", IFERROR(INDEX('[WB1]Rates_Master'!$C:$C, MATCH(B28,'[WB1]Rates_Master'!$A:$A,0)), "Custom"))
   Excel resolves this automatically when both workbooks are open. If you see #REF! or
   #VALUE! errors, open Vol. 1 and then press Ctrl+Alt+F9 to force recalculation.
3. NAMED RANGES: Factor_Water, Factor_GST, Factor_CPOH, Factor_Cess, Factor_Sundries
   are defined in this workbook and point to Vol. 1 Global_Factors cells.
   To change a factor, edit it in Vol. 1 — do not override it here.
4. A-TAG RULE (CPWD W-A convention): Any MATERIAL line whose rate you import from
   Vol. 1 builder sheets (e.g. a mortar rate from 03_Mortars, or an RCC rate from
   05_RCC_Work) already carries Water, GST, CPOH and Cess. Tag that line "A" in
   column I. The markup chain automatically subtracts A-total from each markup base
   so the import is not taxed twice.
5. CROSS-VOLUME REFERENCES by sub-head:
   13 Finishing      → Vol.1 03_Mortars (items 3.2, 3.4, 3.6, 3.8–3.12, 3.16)
   14 Repairs        → Vol.1 03_Mortars (3.4, 3.9, 3.18); 09_Wood_and_PVC (8.23)
   16 Road Work      → Vol.1 03_Mortars; 04_Concrete; 05_RCC_Work (various)
   20 Pile Work      → Vol.1 05_RCC_Work (item 5.33.1)
   22 Water Proofing → Vol.1 03_Mortars (3.8, 3.9, 3.10)
   24 Heritage       → Vol.1 03_Mortars (3.19)
   All other sheets  → self-contained (Rates_Master codes only)
6. MACHINERY SHEETS: Sub-heads 15, 16, 20, 23, 26 have an extra machinery block
   (Section 4b) between the Labour subtotal and the Sundries line.
   Plant codes 0001-0083 in Rates_Master include operator, fuel and lubricants
   for one 8-hour shift per CPWD Note 1.</t>
        </is>
      </c>
    </row>
    <row r="4"/>
    <row r="5"/>
    <row r="6"/>
    <row r="7"/>
    <row r="8"/>
    <row r="9"/>
    <row r="10"/>
  </sheetData>
  <mergeCells count="2">
    <mergeCell ref="A1:I1"/>
    <mergeCell ref="A3:I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13: FINISHING WORKS (CUSTOM ITEM BUILDER)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13: Painting, polishing, French polish, cement wash, distempering, varnishing, and primer/preservative treatments. Material lines carry the paint/primer commodity codes from Rates_Master (WB1). The MATERIAL picker also offers the 03_Mortars rate from WB1 for items that finish over a plaster or mortar base coat (tag those lines "A" if the mortar rate already carries markups). Painter (code 0112) and Coolie/Beldar support for scaffolding.</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Surface type</t>
        </is>
      </c>
      <c r="B10" s="17" t="inlineStr">
        <is>
          <t>Walls and ceiling (new work)</t>
        </is>
      </c>
      <c r="C10" s="8" t="inlineStr">
        <is>
          <t>DRIVES COST</t>
        </is>
      </c>
      <c r="D10" s="18" t="inlineStr">
        <is>
          <t>-</t>
        </is>
      </c>
      <c r="E10" s="19" t="inlineStr">
        <is>
          <t>DRIVES COST. Surface type sets the Painter days per sqm: new walls need preparatory fills; wood and iron need primer coats; old work needs washing first.</t>
        </is>
      </c>
      <c r="F10" s="20" t="n"/>
      <c r="G10" s="20" t="n"/>
      <c r="H10" s="20" t="n"/>
      <c r="I10" s="20" t="n"/>
    </row>
    <row r="11" ht="32" customHeight="1">
      <c r="A11" s="16" t="inlineStr">
        <is>
          <t>Paint type</t>
        </is>
      </c>
      <c r="B11" s="17" t="inlineStr">
        <is>
          <t>Water paint (distemper)</t>
        </is>
      </c>
      <c r="C11" s="8" t="inlineStr">
        <is>
          <t>DRIVES COST</t>
        </is>
      </c>
      <c r="D11" s="18" t="inlineStr">
        <is>
          <t>-</t>
        </is>
      </c>
      <c r="E11" s="19" t="inlineStr">
        <is>
          <t>DRIVES COST. Paint type determines the material code (0801-0831 range) and coverage rate. Oil and enamel paints consume more material per sqm but fewer coats achieve the same opacity.</t>
        </is>
      </c>
      <c r="F11" s="20" t="n"/>
      <c r="G11" s="20" t="n"/>
      <c r="H11" s="20" t="n"/>
      <c r="I11" s="20" t="n"/>
    </row>
    <row r="12" ht="32" customHeight="1">
      <c r="A12" s="16" t="inlineStr">
        <is>
          <t>Number of coats</t>
        </is>
      </c>
      <c r="B12" s="17" t="inlineStr">
        <is>
          <t>2 coats (standard)</t>
        </is>
      </c>
      <c r="C12" s="8" t="inlineStr">
        <is>
          <t>DRIVES COST</t>
        </is>
      </c>
      <c r="D12" s="18" t="inlineStr">
        <is>
          <t>-</t>
        </is>
      </c>
      <c r="E12" s="19" t="inlineStr">
        <is>
          <t>DRIVES COST. Number of coats directly multiplies material quantity and Painter labour days. The DAR prints separate items for 1, 2 and 3 coats.</t>
        </is>
      </c>
      <c r="F12" s="20" t="n"/>
      <c r="G12" s="20" t="n"/>
      <c r="H12" s="20" t="n"/>
      <c r="I12" s="20" t="n"/>
    </row>
    <row r="13" ht="32" customHeight="1">
      <c r="A13" s="16" t="inlineStr">
        <is>
          <t>Scaffolding required</t>
        </is>
      </c>
      <c r="B13" s="17" t="inlineStr">
        <is>
          <t>YES</t>
        </is>
      </c>
      <c r="C13" s="21" t="inlineStr">
        <is>
          <t>NOMENCLATURE ONLY</t>
        </is>
      </c>
      <c r="D13" s="18" t="inlineStr">
        <is>
          <t>-</t>
        </is>
      </c>
      <c r="E13" s="19" t="inlineStr">
        <is>
          <t>NOMENCLATURE ONLY. Scaffolding cost is carried as a Sundries L.S. allowance (code 9999); the DAR does not print separate scaffolding rates for painting.</t>
        </is>
      </c>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C-13.01</t>
        </is>
      </c>
      <c r="C16" s="24" t="inlineStr">
        <is>
          <t>Batch Output Basis:</t>
        </is>
      </c>
      <c r="D16" s="26" t="n">
        <v>10</v>
      </c>
      <c r="E16" s="24" t="inlineStr">
        <is>
          <t>Output Unit:</t>
        </is>
      </c>
      <c r="F16" s="25" t="inlineStr">
        <is>
          <t>sqm</t>
        </is>
      </c>
      <c r="G16" s="24" t="inlineStr">
        <is>
          <t>Trade Sub-Head:</t>
        </is>
      </c>
      <c r="H16" s="27" t="inlineStr">
        <is>
          <t>13 Finishing</t>
        </is>
      </c>
      <c r="I16" s="22" t="inlineStr">
        <is>
          <t>Output Unit Note:</t>
        </is>
      </c>
    </row>
    <row r="17" ht="40" customHeight="1">
      <c r="A17" s="24" t="inlineStr">
        <is>
          <t>Assembled Item Nomenclature:</t>
        </is>
      </c>
      <c r="B17" s="28" t="inlineStr">
        <is>
          <t>Painting with water paint of approved brand and manufacture on new work (two or more coats) on walls and ceiling,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0801</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0.84</v>
      </c>
      <c r="F28" s="38">
        <f>IF(B28="","", IFERROR(INDEX('[CPWD_DAR_2019_Custom_Rate_Analysis_Workbook_Vol_1.xlsx]Rates_Master'!$E:$E, MATCH(B28, '[CPWD_DAR_2019_Custom_Rate_Analysis_Workbook_Vol_1.xlsx]Rates_Master'!$A:$A, 0)), 0))</f>
        <v/>
      </c>
      <c r="G28" s="39">
        <f>IF(OR(B28="", E28=""), 0, ROUND(E28 * F28, 2))</f>
        <v/>
      </c>
      <c r="H28" s="40" t="inlineStr">
        <is>
          <t>Water paint (distemper) for 2-coat application on 10 sqm: coverage approx 12 sqm/kg for new work, x2 coats = 0.84 kg. Source: DAR 13.1 item family, page 2.</t>
        </is>
      </c>
      <c r="I28" s="25" t="inlineStr"/>
    </row>
    <row r="29" ht="20" customHeight="1">
      <c r="A29" s="34" t="n">
        <v>2</v>
      </c>
      <c r="B29" s="25" t="inlineStr">
        <is>
          <t>9977</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10</v>
      </c>
      <c r="F29" s="38">
        <f>IF(B29="","", IFERROR(INDEX('[CPWD_DAR_2019_Custom_Rate_Analysis_Workbook_Vol_1.xlsx]Rates_Master'!$E:$E, MATCH(B29, '[CPWD_DAR_2019_Custom_Rate_Analysis_Workbook_Vol_1.xlsx]Rates_Master'!$A:$A, 0)), 0))</f>
        <v/>
      </c>
      <c r="G29" s="39">
        <f>IF(OR(B29="", E29=""), 0, ROUND(E29 * F29, 2))</f>
        <v/>
      </c>
      <c r="H29" s="40" t="inlineStr">
        <is>
          <t>Carriage of materials L.S. — standard CPWD Sundries line for transporting paint and brushes to the painting location.</t>
        </is>
      </c>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0112</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0.5</v>
      </c>
      <c r="F42" s="38">
        <f>IF(B42="","", IFERROR(INDEX('[CPWD_DAR_2019_Custom_Rate_Analysis_Workbook_Vol_1.xlsx]Rates_Master'!$E:$E, MATCH(B42, '[CPWD_DAR_2019_Custom_Rate_Analysis_Workbook_Vol_1.xlsx]Rates_Master'!$A:$A, 0)), 0))</f>
        <v/>
      </c>
      <c r="G42" s="39">
        <f>IF(OR(B42="", E42=""), 0, ROUND(E42 * F42, 2))</f>
        <v/>
      </c>
      <c r="H42" s="40" t="inlineStr">
        <is>
          <t>Painter 1st class: 0.50 days per 10 sqm for 2-coat water paint on walls and ceiling. DAR 13.1.1 benchmark.</t>
        </is>
      </c>
      <c r="I42" s="48" t="inlineStr"/>
    </row>
    <row r="43" ht="20" customHeight="1">
      <c r="A43" s="34" t="n">
        <v>2</v>
      </c>
      <c r="B43" s="25" t="inlineStr">
        <is>
          <t>0114</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0.25</v>
      </c>
      <c r="F43" s="38">
        <f>IF(B43="","", IFERROR(INDEX('[CPWD_DAR_2019_Custom_Rate_Analysis_Workbook_Vol_1.xlsx]Rates_Master'!$E:$E, MATCH(B43, '[CPWD_DAR_2019_Custom_Rate_Analysis_Workbook_Vol_1.xlsx]Rates_Master'!$A:$A, 0)), 0))</f>
        <v/>
      </c>
      <c r="G43" s="39">
        <f>IF(OR(B43="", E43=""), 0, ROUND(E43 * F43, 2))</f>
        <v/>
      </c>
      <c r="H43" s="40" t="inlineStr">
        <is>
          <t>Beldar: 0.25 days per 10 sqm for mixing, carrying paint and assisting painter. DAR 13.1.1 benchmark.</t>
        </is>
      </c>
      <c r="I43" s="48" t="inlineStr"/>
    </row>
    <row r="44" ht="20" customHeight="1">
      <c r="A44" s="34" t="n">
        <v>3</v>
      </c>
      <c r="B44" s="25" t="inlineStr"/>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c r="F44" s="38">
        <f>IF(B44="","", IFERROR(INDEX('[CPWD_DAR_2019_Custom_Rate_Analysis_Workbook_Vol_1.xlsx]Rates_Master'!$E:$E, MATCH(B44, '[CPWD_DAR_2019_Custom_Rate_Analysis_Workbook_Vol_1.xlsx]Rates_Master'!$A:$A, 0)), 0))</f>
        <v/>
      </c>
      <c r="G44" s="39">
        <f>IF(OR(B44="", E44=""), 0, ROUND(E44 * F44, 2))</f>
        <v/>
      </c>
      <c r="H44" s="40" t="inlineStr"/>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13.1.1</t>
        </is>
      </c>
      <c r="B75" s="73" t="inlineStr">
        <is>
          <t>Painting with water paint, 2 coats on new walls &amp; ceiling</t>
        </is>
      </c>
      <c r="C75" s="74" t="inlineStr">
        <is>
          <t>sqm</t>
        </is>
      </c>
      <c r="D75" s="74" t="n">
        <v>10</v>
      </c>
      <c r="E75" s="75" t="n">
        <v>310.3</v>
      </c>
      <c r="F75" s="74" t="inlineStr">
        <is>
          <t>Full W→X→Y→Z</t>
        </is>
      </c>
      <c r="G75" s="75" t="n">
        <v>41.6</v>
      </c>
      <c r="H75" s="76" t="n">
        <v>41.6</v>
      </c>
      <c r="I75" s="75" t="n"/>
    </row>
    <row r="76" ht="20" customHeight="1">
      <c r="A76" s="77" t="inlineStr">
        <is>
          <t>13.50.1</t>
        </is>
      </c>
      <c r="B76" s="78" t="inlineStr">
        <is>
          <t>One coat wood primer on wood surfaces (feeds WB1 09_Wood_and_PVC)</t>
        </is>
      </c>
      <c r="C76" s="79" t="inlineStr">
        <is>
          <t>sqm</t>
        </is>
      </c>
      <c r="D76" s="79" t="n">
        <v>10</v>
      </c>
      <c r="E76" s="80" t="n">
        <v>430.2</v>
      </c>
      <c r="F76" s="79" t="inlineStr">
        <is>
          <t>Full W→X→Y→Z</t>
        </is>
      </c>
      <c r="G76" s="80" t="n">
        <v>57.05</v>
      </c>
      <c r="H76" s="81" t="n">
        <v>57.05</v>
      </c>
      <c r="I76" s="80" t="n"/>
    </row>
    <row r="77" ht="20" customHeight="1">
      <c r="A77" s="72" t="inlineStr">
        <is>
          <t>13.50.3</t>
        </is>
      </c>
      <c r="B77" s="73" t="inlineStr">
        <is>
          <t>One coat red-oxide primer on iron/steel surfaces (feeds WB1 09 &amp; 10)</t>
        </is>
      </c>
      <c r="C77" s="74" t="inlineStr">
        <is>
          <t>sqm</t>
        </is>
      </c>
      <c r="D77" s="74" t="n">
        <v>10</v>
      </c>
      <c r="E77" s="75" t="n">
        <v>381.4</v>
      </c>
      <c r="F77" s="74" t="inlineStr">
        <is>
          <t>Full W→X→Y→Z</t>
        </is>
      </c>
      <c r="G77" s="75" t="n">
        <v>50.7</v>
      </c>
      <c r="H77" s="76" t="n">
        <v>50.7</v>
      </c>
      <c r="I77" s="75" t="n"/>
    </row>
    <row r="78" ht="20" customHeight="1">
      <c r="A78" s="77" t="inlineStr">
        <is>
          <t>C-13.04</t>
        </is>
      </c>
      <c r="B78" s="78" t="inlineStr">
        <is>
          <t>(Available for new custom item)</t>
        </is>
      </c>
      <c r="C78" s="79" t="inlineStr">
        <is>
          <t>sqm</t>
        </is>
      </c>
      <c r="D78" s="79" t="n">
        <v>10</v>
      </c>
      <c r="E78" s="80" t="n"/>
      <c r="F78" s="79" t="inlineStr">
        <is>
          <t>Full W→X→Y→Z</t>
        </is>
      </c>
      <c r="G78" s="80" t="n"/>
      <c r="H78" s="81" t="n"/>
      <c r="I78" s="80" t="n"/>
    </row>
    <row r="79" ht="20" customHeight="1">
      <c r="A79" s="72" t="inlineStr">
        <is>
          <t>C-13.05</t>
        </is>
      </c>
      <c r="B79" s="73" t="inlineStr">
        <is>
          <t>(Available for new custom item)</t>
        </is>
      </c>
      <c r="C79" s="74" t="inlineStr">
        <is>
          <t>sqm</t>
        </is>
      </c>
      <c r="D79" s="74" t="n">
        <v>10</v>
      </c>
      <c r="E79" s="75" t="n"/>
      <c r="F79" s="74" t="inlineStr">
        <is>
          <t>Full W→X→Y→Z</t>
        </is>
      </c>
      <c r="G79" s="75" t="n"/>
      <c r="H79" s="76" t="n"/>
      <c r="I79" s="75" t="n"/>
    </row>
    <row r="80" ht="20" customHeight="1">
      <c r="A80" s="77" t="inlineStr">
        <is>
          <t>C-13.06</t>
        </is>
      </c>
      <c r="B80" s="78" t="inlineStr">
        <is>
          <t>(Available for new custom item)</t>
        </is>
      </c>
      <c r="C80" s="79" t="inlineStr">
        <is>
          <t>sqm</t>
        </is>
      </c>
      <c r="D80" s="79" t="n">
        <v>10</v>
      </c>
      <c r="E80" s="80" t="n"/>
      <c r="F80" s="79" t="inlineStr">
        <is>
          <t>Full W→X→Y→Z</t>
        </is>
      </c>
      <c r="G80" s="80" t="n"/>
      <c r="H80" s="81" t="n"/>
      <c r="I80" s="80" t="n"/>
    </row>
    <row r="81" ht="20" customHeight="1">
      <c r="A81" s="72" t="inlineStr">
        <is>
          <t>C-13.07</t>
        </is>
      </c>
      <c r="B81" s="73" t="inlineStr">
        <is>
          <t>(Available for new custom item)</t>
        </is>
      </c>
      <c r="C81" s="74" t="inlineStr">
        <is>
          <t>sqm</t>
        </is>
      </c>
      <c r="D81" s="74" t="n">
        <v>10</v>
      </c>
      <c r="E81" s="75" t="n"/>
      <c r="F81" s="74" t="inlineStr">
        <is>
          <t>Full W→X→Y→Z</t>
        </is>
      </c>
      <c r="G81" s="75" t="n"/>
      <c r="H81" s="76" t="n"/>
      <c r="I81" s="75" t="n"/>
    </row>
    <row r="82" ht="20" customHeight="1">
      <c r="A82" s="77" t="inlineStr">
        <is>
          <t>C-13.08</t>
        </is>
      </c>
      <c r="B82" s="78" t="inlineStr">
        <is>
          <t>(Available for new custom item)</t>
        </is>
      </c>
      <c r="C82" s="79" t="inlineStr">
        <is>
          <t>sqm</t>
        </is>
      </c>
      <c r="D82" s="79" t="n">
        <v>10</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7">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"Walls and ceiling (new work),Wood and iron surfaces,Old work / re-painting"</formula1>
    </dataValidation>
    <dataValidation sqref="B11" showDropDown="0" showInputMessage="0" showErrorMessage="0" allowBlank="1" type="list">
      <formula1>"Water paint (distemper),Oil paint,Enamel paint,Acrylic emulsion,Cement-based paint"</formula1>
    </dataValidation>
    <dataValidation sqref="B12" showDropDown="0" showInputMessage="0" showErrorMessage="0" allowBlank="1" type="list">
      <formula1>"1 coat (primer/undercoat only),2 coats (standard),3 coats (high-durability specification)"</formula1>
    </dataValidation>
    <dataValidation sqref="B13" showDropDown="0" showInputMessage="0" showErrorMessage="0" allowBlank="1" type="list">
      <formula1>"YES,NO (ground level or reach from floor)"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14: REPAIRS TO BUILDINGS (CUSTOM ITEM BUILDER)
WB2 — references WB1 for Rates_Master, Mortars &amp; Wood/PVC rates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14: Repair and patch work to existing plaster, masonry, woodwork and fittings. The MATERIAL picker offers 03_Mortars rates (heavily used here) and 09_Wood_and_PVC_Work outputs (both from WB1, via external link). Tag mortar and wood-rate lines "A" when the imported rate already carries all statutory markups — the (W-A) convention prevents double-taxation. Labour mix: Mason (0155/0123), Coolie (0115), Beldar (0114), Bhisti (0101).</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Repair type</t>
        </is>
      </c>
      <c r="B10" s="17" t="inlineStr">
        <is>
          <t>Plaster repairs (cement mortar)</t>
        </is>
      </c>
      <c r="C10" s="8" t="inlineStr">
        <is>
          <t>DRIVES COST</t>
        </is>
      </c>
      <c r="D10" s="18" t="inlineStr">
        <is>
          <t>-</t>
        </is>
      </c>
      <c r="E10" s="19" t="inlineStr">
        <is>
          <t>DRIVES COST. Sets the mortar or material type and the labour crew. Plaster repairs reference 03_Mortars (WB1). Wood repairs reference 09_Wood_and_PVC_Work (WB1).</t>
        </is>
      </c>
      <c r="F10" s="20" t="n"/>
      <c r="G10" s="20" t="n"/>
      <c r="H10" s="20" t="n"/>
      <c r="I10" s="20" t="n"/>
    </row>
    <row r="11" ht="32" customHeight="1">
      <c r="A11" s="16" t="inlineStr">
        <is>
          <t>Mortar ratio</t>
        </is>
      </c>
      <c r="B11" s="17" t="inlineStr">
        <is>
          <t>1:4 (cement:coarse sand)</t>
        </is>
      </c>
      <c r="C11" s="8" t="inlineStr">
        <is>
          <t>DRIVES COST</t>
        </is>
      </c>
      <c r="D11" s="18" t="inlineStr">
        <is>
          <t>-</t>
        </is>
      </c>
      <c r="E11" s="19" t="inlineStr">
        <is>
          <t>DRIVES COST. Sets which 03_Mortars row to import as the MATERIAL line. Richer mixes cost more per cum and the DAR item number changes.</t>
        </is>
      </c>
      <c r="F11" s="20" t="n"/>
      <c r="G11" s="20" t="n"/>
      <c r="H11" s="20" t="n"/>
      <c r="I11" s="20" t="n"/>
    </row>
    <row r="12" ht="32" customHeight="1">
      <c r="A12" s="16" t="inlineStr">
        <is>
          <t>Plaster thickness</t>
        </is>
      </c>
      <c r="B12" s="17" t="inlineStr">
        <is>
          <t>12 mm</t>
        </is>
      </c>
      <c r="C12" s="8" t="inlineStr">
        <is>
          <t>DRIVES COST</t>
        </is>
      </c>
      <c r="D12" s="18" t="inlineStr">
        <is>
          <t>-</t>
        </is>
      </c>
      <c r="E12" s="19" t="inlineStr">
        <is>
          <t>DRIVES COST. Directly scales the mortar quantity (coeff in cum). 12 mm on 10 sqm = 0.183 cum (as in DAR 14.1.1, including bulking).</t>
        </is>
      </c>
      <c r="F12" s="20" t="n"/>
      <c r="G12" s="20" t="n"/>
      <c r="H12" s="20" t="n"/>
      <c r="I12" s="20" t="n"/>
    </row>
    <row r="13" ht="32" customHeight="1">
      <c r="A13" s="16" t="inlineStr">
        <is>
          <t>Scaffold / access</t>
        </is>
      </c>
      <c r="B13" s="17" t="inlineStr">
        <is>
          <t>Ground or low level (no scaffold)</t>
        </is>
      </c>
      <c r="C13" s="21" t="inlineStr">
        <is>
          <t>NOMENCLATURE ONLY</t>
        </is>
      </c>
      <c r="D13" s="18" t="inlineStr">
        <is>
          <t>-</t>
        </is>
      </c>
      <c r="E13" s="19" t="inlineStr">
        <is>
          <t>NOMENCLATURE ONLY. Scaffolding added as a Sundries L.S. line if needed.</t>
        </is>
      </c>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C-14.01</t>
        </is>
      </c>
      <c r="C16" s="24" t="inlineStr">
        <is>
          <t>Batch Output Basis:</t>
        </is>
      </c>
      <c r="D16" s="26" t="n">
        <v>10</v>
      </c>
      <c r="E16" s="24" t="inlineStr">
        <is>
          <t>Output Unit:</t>
        </is>
      </c>
      <c r="F16" s="25" t="inlineStr">
        <is>
          <t>sqm</t>
        </is>
      </c>
      <c r="G16" s="24" t="inlineStr">
        <is>
          <t>Trade Sub-Head:</t>
        </is>
      </c>
      <c r="H16" s="27" t="inlineStr">
        <is>
          <t>14 Repairs to Buildings</t>
        </is>
      </c>
      <c r="I16" s="22" t="inlineStr">
        <is>
          <t>Output Unit Note:</t>
        </is>
      </c>
    </row>
    <row r="17" ht="40" customHeight="1">
      <c r="A17" s="24" t="inlineStr">
        <is>
          <t>Assembled Item Nomenclature:</t>
        </is>
      </c>
      <c r="B17" s="28" t="inlineStr">
        <is>
          <t>Repairs to plaster of thickness 12 mm with cement mortar 1:4 (1 cement : 4 coarse sand), including cutting the damaged plaster in proper shape, cleaning the surface and re-plastering,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3.4</t>
        </is>
      </c>
      <c r="C28" s="35" t="inlineStr">
        <is>
          <t>03_Mortars → Item 3.4: Cement mortar 1:4 (1 cement : 4 coarse sand)</t>
        </is>
      </c>
      <c r="D28" s="36" t="inlineStr">
        <is>
          <t>cum</t>
        </is>
      </c>
      <c r="E28" s="37" t="n">
        <v>0.183</v>
      </c>
      <c r="F28" s="38">
        <f>IF(B28="","", IFERROR(INDEX('[CPWD_DAR_2019_Custom_Rate_Analysis_Workbook_Vol_1.xlsx]Rates_Master'!$E:$E, MATCH(B28, '[CPWD_DAR_2019_Custom_Rate_Analysis_Workbook_Vol_1.xlsx]Rates_Master'!$A:$A, 0)), 0))</f>
        <v/>
      </c>
      <c r="G28" s="39">
        <f>IF(OR(B28="", E28=""), 0, ROUND(E28 * F28, 2))</f>
        <v/>
      </c>
      <c r="H28" s="40" t="inlineStr">
        <is>
          <t>Cement mortar 1:4 from WB1 sheet 03_Mortars item 3.4. Rate is per cum. 12 mm plaster on 10 sqm = 0.183 cum (per DAR 14.1.1, page 112). Tag "A" if 03_Mortars rate carries full statutory markups.</t>
        </is>
      </c>
      <c r="I28" s="25" t="inlineStr"/>
    </row>
    <row r="29" ht="20" customHeight="1">
      <c r="A29" s="34" t="n">
        <v>2</v>
      </c>
      <c r="B29" s="25" t="inlineStr"/>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c r="F29" s="38">
        <f>IF(B29="","", IFERROR(INDEX('[CPWD_DAR_2019_Custom_Rate_Analysis_Workbook_Vol_1.xlsx]Rates_Master'!$E:$E, MATCH(B29, '[CPWD_DAR_2019_Custom_Rate_Analysis_Workbook_Vol_1.xlsx]Rates_Master'!$A:$A, 0)), 0))</f>
        <v/>
      </c>
      <c r="G29" s="39">
        <f>IF(OR(B29="", E29=""), 0, ROUND(E29 * F29, 2))</f>
        <v/>
      </c>
      <c r="H29" s="40" t="inlineStr"/>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0155</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1.21</v>
      </c>
      <c r="F42" s="38">
        <f>IF(B42="","", IFERROR(INDEX('[CPWD_DAR_2019_Custom_Rate_Analysis_Workbook_Vol_1.xlsx]Rates_Master'!$E:$E, MATCH(B42, '[CPWD_DAR_2019_Custom_Rate_Analysis_Workbook_Vol_1.xlsx]Rates_Master'!$A:$A, 0)), 0))</f>
        <v/>
      </c>
      <c r="G42" s="39">
        <f>IF(OR(B42="", E42=""), 0, ROUND(E42 * F42, 2))</f>
        <v/>
      </c>
      <c r="H42" s="40" t="inlineStr">
        <is>
          <t>Mason (average): 1.21 days per 10 sqm repairs to 12mm plaster. DAR 14.1.1.</t>
        </is>
      </c>
      <c r="I42" s="48" t="inlineStr"/>
    </row>
    <row r="43" ht="20" customHeight="1">
      <c r="A43" s="34" t="n">
        <v>2</v>
      </c>
      <c r="B43" s="25" t="inlineStr">
        <is>
          <t>0115</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1.29</v>
      </c>
      <c r="F43" s="38">
        <f>IF(B43="","", IFERROR(INDEX('[CPWD_DAR_2019_Custom_Rate_Analysis_Workbook_Vol_1.xlsx]Rates_Master'!$E:$E, MATCH(B43, '[CPWD_DAR_2019_Custom_Rate_Analysis_Workbook_Vol_1.xlsx]Rates_Master'!$A:$A, 0)), 0))</f>
        <v/>
      </c>
      <c r="G43" s="39">
        <f>IF(OR(B43="", E43=""), 0, ROUND(E43 * F43, 2))</f>
        <v/>
      </c>
      <c r="H43" s="40" t="inlineStr">
        <is>
          <t>Coolie: 1.29 days per 10 sqm. DAR 14.1.1.</t>
        </is>
      </c>
      <c r="I43" s="48" t="inlineStr"/>
    </row>
    <row r="44" ht="20" customHeight="1">
      <c r="A44" s="34" t="n">
        <v>3</v>
      </c>
      <c r="B44" s="25" t="inlineStr">
        <is>
          <t>0114</t>
        </is>
      </c>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v>0.54</v>
      </c>
      <c r="F44" s="38">
        <f>IF(B44="","", IFERROR(INDEX('[CPWD_DAR_2019_Custom_Rate_Analysis_Workbook_Vol_1.xlsx]Rates_Master'!$E:$E, MATCH(B44, '[CPWD_DAR_2019_Custom_Rate_Analysis_Workbook_Vol_1.xlsx]Rates_Master'!$A:$A, 0)), 0))</f>
        <v/>
      </c>
      <c r="G44" s="39">
        <f>IF(OR(B44="", E44=""), 0, ROUND(E44 * F44, 2))</f>
        <v/>
      </c>
      <c r="H44" s="40" t="inlineStr">
        <is>
          <t>Beldar: 0.54 days per 10 sqm for mixing and carrying. DAR 14.1.1.</t>
        </is>
      </c>
      <c r="I44" s="48" t="inlineStr"/>
    </row>
    <row r="45" ht="20" customHeight="1">
      <c r="A45" s="34" t="n">
        <v>4</v>
      </c>
      <c r="B45" s="25" t="inlineStr">
        <is>
          <t>0101</t>
        </is>
      </c>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v>0.92</v>
      </c>
      <c r="F45" s="38">
        <f>IF(B45="","", IFERROR(INDEX('[CPWD_DAR_2019_Custom_Rate_Analysis_Workbook_Vol_1.xlsx]Rates_Master'!$E:$E, MATCH(B45, '[CPWD_DAR_2019_Custom_Rate_Analysis_Workbook_Vol_1.xlsx]Rates_Master'!$A:$A, 0)), 0))</f>
        <v/>
      </c>
      <c r="G45" s="39">
        <f>IF(OR(B45="", E45=""), 0, ROUND(E45 * F45, 2))</f>
        <v/>
      </c>
      <c r="H45" s="40" t="inlineStr">
        <is>
          <t>Bhisti (water carrier): 0.92 days per 10 sqm for curing. DAR 14.1.1.</t>
        </is>
      </c>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14.1.1</t>
        </is>
      </c>
      <c r="B75" s="73" t="inlineStr">
        <is>
          <t>Repairs to 12mm plaster, cement mortar 1:4 (imports 03_Mortars rate 3.4)</t>
        </is>
      </c>
      <c r="C75" s="74" t="inlineStr">
        <is>
          <t>sqm</t>
        </is>
      </c>
      <c r="D75" s="74" t="n">
        <v>10</v>
      </c>
      <c r="E75" s="75" t="n">
        <v>3122.87</v>
      </c>
      <c r="F75" s="74" t="inlineStr">
        <is>
          <t>Full W→X→Y→Z</t>
        </is>
      </c>
      <c r="G75" s="75" t="n">
        <v>418.65</v>
      </c>
      <c r="H75" s="76" t="n">
        <v>418.65</v>
      </c>
      <c r="I75" s="75" t="n"/>
    </row>
    <row r="76" ht="20" customHeight="1">
      <c r="A76" s="77" t="inlineStr">
        <is>
          <t>14.2.1</t>
        </is>
      </c>
      <c r="B76" s="78" t="inlineStr">
        <is>
          <t>Repairs to 25mm plaster, cement mortar 1:3</t>
        </is>
      </c>
      <c r="C76" s="79" t="inlineStr">
        <is>
          <t>sqm</t>
        </is>
      </c>
      <c r="D76" s="79" t="n">
        <v>10</v>
      </c>
      <c r="E76" s="80" t="n">
        <v>3690.5</v>
      </c>
      <c r="F76" s="79" t="inlineStr">
        <is>
          <t>Full W→X→Y→Z</t>
        </is>
      </c>
      <c r="G76" s="80" t="n">
        <v>494.6</v>
      </c>
      <c r="H76" s="81" t="n">
        <v>494.6</v>
      </c>
      <c r="I76" s="80" t="n"/>
    </row>
    <row r="77" ht="20" customHeight="1">
      <c r="A77" s="72" t="inlineStr">
        <is>
          <t>C-14.03</t>
        </is>
      </c>
      <c r="B77" s="73" t="inlineStr">
        <is>
          <t>(Available for new custom item)</t>
        </is>
      </c>
      <c r="C77" s="74" t="inlineStr">
        <is>
          <t>sqm</t>
        </is>
      </c>
      <c r="D77" s="74" t="n">
        <v>10</v>
      </c>
      <c r="E77" s="75" t="n"/>
      <c r="F77" s="74" t="inlineStr">
        <is>
          <t>Full W→X→Y→Z</t>
        </is>
      </c>
      <c r="G77" s="75" t="n"/>
      <c r="H77" s="76" t="n"/>
      <c r="I77" s="75" t="n"/>
    </row>
    <row r="78" ht="20" customHeight="1">
      <c r="A78" s="77" t="inlineStr">
        <is>
          <t>C-14.04</t>
        </is>
      </c>
      <c r="B78" s="78" t="inlineStr">
        <is>
          <t>(Available for new custom item)</t>
        </is>
      </c>
      <c r="C78" s="79" t="inlineStr">
        <is>
          <t>sqm</t>
        </is>
      </c>
      <c r="D78" s="79" t="n">
        <v>10</v>
      </c>
      <c r="E78" s="80" t="n"/>
      <c r="F78" s="79" t="inlineStr">
        <is>
          <t>Full W→X→Y→Z</t>
        </is>
      </c>
      <c r="G78" s="80" t="n"/>
      <c r="H78" s="81" t="n"/>
      <c r="I78" s="80" t="n"/>
    </row>
    <row r="79" ht="20" customHeight="1">
      <c r="A79" s="72" t="inlineStr">
        <is>
          <t>C-14.05</t>
        </is>
      </c>
      <c r="B79" s="73" t="inlineStr">
        <is>
          <t>(Available for new custom item)</t>
        </is>
      </c>
      <c r="C79" s="74" t="inlineStr">
        <is>
          <t>sqm</t>
        </is>
      </c>
      <c r="D79" s="74" t="n">
        <v>10</v>
      </c>
      <c r="E79" s="75" t="n"/>
      <c r="F79" s="74" t="inlineStr">
        <is>
          <t>Full W→X→Y→Z</t>
        </is>
      </c>
      <c r="G79" s="75" t="n"/>
      <c r="H79" s="76" t="n"/>
      <c r="I79" s="75" t="n"/>
    </row>
    <row r="80" ht="20" customHeight="1">
      <c r="A80" s="77" t="inlineStr">
        <is>
          <t>C-14.06</t>
        </is>
      </c>
      <c r="B80" s="78" t="inlineStr">
        <is>
          <t>(Available for new custom item)</t>
        </is>
      </c>
      <c r="C80" s="79" t="inlineStr">
        <is>
          <t>sqm</t>
        </is>
      </c>
      <c r="D80" s="79" t="n">
        <v>10</v>
      </c>
      <c r="E80" s="80" t="n"/>
      <c r="F80" s="79" t="inlineStr">
        <is>
          <t>Full W→X→Y→Z</t>
        </is>
      </c>
      <c r="G80" s="80" t="n"/>
      <c r="H80" s="81" t="n"/>
      <c r="I80" s="80" t="n"/>
    </row>
    <row r="81" ht="20" customHeight="1">
      <c r="A81" s="72" t="inlineStr">
        <is>
          <t>C-14.07</t>
        </is>
      </c>
      <c r="B81" s="73" t="inlineStr">
        <is>
          <t>(Available for new custom item)</t>
        </is>
      </c>
      <c r="C81" s="74" t="inlineStr">
        <is>
          <t>sqm</t>
        </is>
      </c>
      <c r="D81" s="74" t="n">
        <v>10</v>
      </c>
      <c r="E81" s="75" t="n"/>
      <c r="F81" s="74" t="inlineStr">
        <is>
          <t>Full W→X→Y→Z</t>
        </is>
      </c>
      <c r="G81" s="75" t="n"/>
      <c r="H81" s="76" t="n"/>
      <c r="I81" s="75" t="n"/>
    </row>
    <row r="82" ht="20" customHeight="1">
      <c r="A82" s="77" t="inlineStr">
        <is>
          <t>C-14.08</t>
        </is>
      </c>
      <c r="B82" s="78" t="inlineStr">
        <is>
          <t>(Available for new custom item)</t>
        </is>
      </c>
      <c r="C82" s="79" t="inlineStr">
        <is>
          <t>sqm</t>
        </is>
      </c>
      <c r="D82" s="79" t="n">
        <v>10</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7">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"Plaster repairs (cement mortar),Brickwork / masonry repairs,Woodwork / door-frame repairs,Flooring repairs"</formula1>
    </dataValidation>
    <dataValidation sqref="B11" showDropDown="0" showInputMessage="0" showErrorMessage="0" allowBlank="1" type="list">
      <formula1>"1:3 (cement:coarse sand),1:4 (cement:coarse sand),1:6 (cement:coarse sand),1:3 lime putty:surkhi"</formula1>
    </dataValidation>
    <dataValidation sqref="B12" showDropDown="0" showInputMessage="0" showErrorMessage="0" allowBlank="1" type="list">
      <formula1>"6 mm,12 mm,20 mm,25 mm"</formula1>
    </dataValidation>
    <dataValidation sqref="B13" showDropDown="0" showInputMessage="0" showErrorMessage="0" allowBlank="1" type="list">
      <formula1>"Ground or low level (no scaffold),Scaffolding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15: DISMANTLING AND DEMOLISHING (CUSTOM ITEM BUILDER)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15: Demolition and dismantling operations. Most items are LABOUR-ONLY (no material is consumed — the removed material is a by-product, not an input). The MATERIAL section is available for items that genuinely consume input material (e.g. a demolition that requires temporary propping). Machinery codes 0038-0041 cover breaker, compressor, wrecking ball and crane for mechanical demolition items. Full markup chain applies. Pattern matches the DAR's own 02_Earth_Work structure.</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Element to be demolished</t>
        </is>
      </c>
      <c r="B10" s="17" t="inlineStr">
        <is>
          <t>Lime concrete / plain concrete</t>
        </is>
      </c>
      <c r="C10" s="8" t="inlineStr">
        <is>
          <t>DRIVES COST</t>
        </is>
      </c>
      <c r="D10" s="18" t="inlineStr">
        <is>
          <t>-</t>
        </is>
      </c>
      <c r="E10" s="19" t="inlineStr">
        <is>
          <t>DRIVES COST. Material hardness determines the labour rate: RCC demolition needs jack-hammers and is roughly 3× the labour-days of lime concrete. The DAR prints separate items for each element type.</t>
        </is>
      </c>
      <c r="F10" s="20" t="n"/>
      <c r="G10" s="20" t="n"/>
      <c r="H10" s="20" t="n"/>
      <c r="I10" s="20" t="n"/>
    </row>
    <row r="11" ht="32" customHeight="1">
      <c r="A11" s="16" t="inlineStr">
        <is>
          <t>Demolition method</t>
        </is>
      </c>
      <c r="B11" s="17" t="inlineStr">
        <is>
          <t>Manual (hand tools)</t>
        </is>
      </c>
      <c r="C11" s="8" t="inlineStr">
        <is>
          <t>DRIVES COST</t>
        </is>
      </c>
      <c r="D11" s="18" t="inlineStr">
        <is>
          <t>-</t>
        </is>
      </c>
      <c r="E11" s="19" t="inlineStr">
        <is>
          <t>DRIVES COST. Mechanical demolition adds machinery hire (codes 0038-0041) and replaces most labour with a smaller gang. Enter the plant code in the LABOUR &amp; MACHINERY section below.</t>
        </is>
      </c>
      <c r="F11" s="20" t="n"/>
      <c r="G11" s="20" t="n"/>
      <c r="H11" s="20" t="n"/>
      <c r="I11" s="20" t="n"/>
    </row>
    <row r="12" ht="32" customHeight="1">
      <c r="A12" s="16" t="inlineStr">
        <is>
          <t>Disposal of debris</t>
        </is>
      </c>
      <c r="B12" s="17" t="inlineStr">
        <is>
          <t>Stack within site</t>
        </is>
      </c>
      <c r="C12" s="21" t="inlineStr">
        <is>
          <t>NOMENCLATURE ONLY</t>
        </is>
      </c>
      <c r="D12" s="18" t="inlineStr">
        <is>
          <t>-</t>
        </is>
      </c>
      <c r="E12" s="19" t="inlineStr">
        <is>
          <t>NOMENCLATURE ONLY for stacking within site. If debris is to be removed off-site, add a separate Sub-Head 01 Carriage item to the BOQ.</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C-15.01</t>
        </is>
      </c>
      <c r="C16" s="24" t="inlineStr">
        <is>
          <t>Batch Output Basis:</t>
        </is>
      </c>
      <c r="D16" s="26" t="n">
        <v>1</v>
      </c>
      <c r="E16" s="24" t="inlineStr">
        <is>
          <t>Output Unit:</t>
        </is>
      </c>
      <c r="F16" s="25" t="inlineStr">
        <is>
          <t>cum</t>
        </is>
      </c>
      <c r="G16" s="24" t="inlineStr">
        <is>
          <t>Trade Sub-Head:</t>
        </is>
      </c>
      <c r="H16" s="27" t="inlineStr">
        <is>
          <t>15 Dismantling Demolishing</t>
        </is>
      </c>
      <c r="I16" s="22" t="inlineStr">
        <is>
          <t>Output Unit Note:</t>
        </is>
      </c>
    </row>
    <row r="17" ht="40" customHeight="1">
      <c r="A17" s="24" t="inlineStr">
        <is>
          <t>Assembled Item Nomenclature:</t>
        </is>
      </c>
      <c r="B17" s="28" t="inlineStr">
        <is>
          <t>Demolishing lime concrete manually and disposing of the material within the site, stacking serviceable material,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(Dismantling items in the DAR are labour-and-machinery only — leave blank unless the operation genuinely consumes an input material such as temporary shoring or propping material)</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c r="F28" s="38">
        <f>IF(B28="","", IFERROR(INDEX('[CPWD_DAR_2019_Custom_Rate_Analysis_Workbook_Vol_1.xlsx]Rates_Master'!$E:$E, MATCH(B28, '[CPWD_DAR_2019_Custom_Rate_Analysis_Workbook_Vol_1.xlsx]Rates_Master'!$A:$A, 0)), 0))</f>
        <v/>
      </c>
      <c r="G28" s="39">
        <f>IF(OR(B28="", E28=""), 0, ROUND(E28 * F28, 2))</f>
        <v/>
      </c>
      <c r="H28" s="40" t="inlineStr"/>
      <c r="I28" s="25" t="inlineStr"/>
    </row>
    <row r="29" ht="20" customHeight="1">
      <c r="A29" s="34" t="n">
        <v>2</v>
      </c>
      <c r="B29" s="25" t="inlineStr"/>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c r="F29" s="38">
        <f>IF(B29="","", IFERROR(INDEX('[CPWD_DAR_2019_Custom_Rate_Analysis_Workbook_Vol_1.xlsx]Rates_Master'!$E:$E, MATCH(B29, '[CPWD_DAR_2019_Custom_Rate_Analysis_Workbook_Vol_1.xlsx]Rates_Master'!$A:$A, 0)), 0))</f>
        <v/>
      </c>
      <c r="G29" s="39">
        <f>IF(OR(B29="", E29=""), 0, ROUND(E29 * F29, 2))</f>
        <v/>
      </c>
      <c r="H29" s="40" t="inlineStr"/>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0114</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0.44</v>
      </c>
      <c r="F42" s="38">
        <f>IF(B42="","", IFERROR(INDEX('[CPWD_DAR_2019_Custom_Rate_Analysis_Workbook_Vol_1.xlsx]Rates_Master'!$E:$E, MATCH(B42, '[CPWD_DAR_2019_Custom_Rate_Analysis_Workbook_Vol_1.xlsx]Rates_Master'!$A:$A, 0)), 0))</f>
        <v/>
      </c>
      <c r="G42" s="39">
        <f>IF(OR(B42="", E42=""), 0, ROUND(E42 * F42, 2))</f>
        <v/>
      </c>
      <c r="H42" s="40" t="inlineStr">
        <is>
          <t>Beldar: 0.44 days per cum for breaking lime concrete by hand. DAR item 15.1, page 182.</t>
        </is>
      </c>
      <c r="I42" s="48" t="inlineStr"/>
    </row>
    <row r="43" ht="20" customHeight="1">
      <c r="A43" s="34" t="n">
        <v>2</v>
      </c>
      <c r="B43" s="25" t="inlineStr">
        <is>
          <t>0115</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0.37</v>
      </c>
      <c r="F43" s="38">
        <f>IF(B43="","", IFERROR(INDEX('[CPWD_DAR_2019_Custom_Rate_Analysis_Workbook_Vol_1.xlsx]Rates_Master'!$E:$E, MATCH(B43, '[CPWD_DAR_2019_Custom_Rate_Analysis_Workbook_Vol_1.xlsx]Rates_Master'!$A:$A, 0)), 0))</f>
        <v/>
      </c>
      <c r="G43" s="39">
        <f>IF(OR(B43="", E43=""), 0, ROUND(E43 * F43, 2))</f>
        <v/>
      </c>
      <c r="H43" s="40" t="inlineStr">
        <is>
          <t>Coolie: 0.37 days per cum for carrying and stacking debris. DAR item 15.1, page 182.</t>
        </is>
      </c>
      <c r="I43" s="48" t="inlineStr"/>
    </row>
    <row r="44" ht="20" customHeight="1">
      <c r="A44" s="34" t="n">
        <v>3</v>
      </c>
      <c r="B44" s="25" t="inlineStr"/>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c r="F44" s="38">
        <f>IF(B44="","", IFERROR(INDEX('[CPWD_DAR_2019_Custom_Rate_Analysis_Workbook_Vol_1.xlsx]Rates_Master'!$E:$E, MATCH(B44, '[CPWD_DAR_2019_Custom_Rate_Analysis_Workbook_Vol_1.xlsx]Rates_Master'!$A:$A, 0)), 0))</f>
        <v/>
      </c>
      <c r="G44" s="39">
        <f>IF(OR(B44="", E44=""), 0, ROUND(E44 * F44, 2))</f>
        <v/>
      </c>
      <c r="H44" s="40" t="inlineStr"/>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4b. MACHINERY &amp; PLANT HIRE  (plant codes 0001-0083 include operator + fuel + lubricants per CPWD Note 1; specialist rigs priced at hire-invoice rate — enter as custom_rate)</t>
        </is>
      </c>
    </row>
    <row r="54" ht="24" customHeight="1">
      <c r="A54" s="13" t="inlineStr">
        <is>
          <t>Line</t>
        </is>
      </c>
      <c r="B54" s="13" t="inlineStr">
        <is>
          <t>Code / Source</t>
        </is>
      </c>
      <c r="C54" s="13" t="inlineStr">
        <is>
          <t>Description / Specification</t>
        </is>
      </c>
      <c r="D54" s="13" t="inlineStr">
        <is>
          <t>Unit</t>
        </is>
      </c>
      <c r="E54" s="13" t="inlineStr">
        <is>
          <t>Quantity / Coeff</t>
        </is>
      </c>
      <c r="F54" s="13" t="inlineStr">
        <is>
          <t>Basic Rate (Rs)</t>
        </is>
      </c>
      <c r="G54" s="13" t="inlineStr">
        <is>
          <t>Amount (Rs)</t>
        </is>
      </c>
      <c r="H54" s="13" t="inlineStr">
        <is>
          <t>Source Reference / Remarks</t>
        </is>
      </c>
      <c r="I54" s="13" t="inlineStr">
        <is>
          <t>Markup Tag</t>
        </is>
      </c>
    </row>
    <row r="55" ht="20" customHeight="1">
      <c r="A55" s="34" t="n">
        <v>1</v>
      </c>
      <c r="B55" s="25" t="inlineStr"/>
      <c r="C55" s="35">
        <f>IF(B55="","", IFERROR(INDEX('[CPWD_DAR_2019_Custom_Rate_Analysis_Workbook_Vol_1.xlsx]Rates_Master'!$C:$C, MATCH(B55, '[CPWD_DAR_2019_Custom_Rate_Analysis_Workbook_Vol_1.xlsx]Rates_Master'!$A:$A, 0)), "Custom Plant / Machinery"))</f>
        <v/>
      </c>
      <c r="D55" s="36">
        <f>IF(B55="","", IFERROR(INDEX('[CPWD_DAR_2019_Custom_Rate_Analysis_Workbook_Vol_1.xlsx]Rates_Master'!$D:$D, MATCH(B55, '[CPWD_DAR_2019_Custom_Rate_Analysis_Workbook_Vol_1.xlsx]Rates_Master'!$A:$A, 0)), ""))</f>
        <v/>
      </c>
      <c r="E55" s="37" t="n"/>
      <c r="F55" s="38">
        <f>IF(B55="","", IFERROR(INDEX('[CPWD_DAR_2019_Custom_Rate_Analysis_Workbook_Vol_1.xlsx]Rates_Master'!$E:$E, MATCH(B55, '[CPWD_DAR_2019_Custom_Rate_Analysis_Workbook_Vol_1.xlsx]Rates_Master'!$A:$A, 0)), 0))</f>
        <v/>
      </c>
      <c r="G55" s="39">
        <f>IF(OR(B55="", E55=""), 0, ROUND(E55 * F55, 2))</f>
        <v/>
      </c>
      <c r="H55" s="40" t="inlineStr"/>
      <c r="I55" s="48" t="inlineStr"/>
    </row>
    <row r="56" ht="20" customHeight="1">
      <c r="A56" s="34" t="n">
        <v>2</v>
      </c>
      <c r="B56" s="25" t="inlineStr"/>
      <c r="C56" s="35">
        <f>IF(B56="","", IFERROR(INDEX('[CPWD_DAR_2019_Custom_Rate_Analysis_Workbook_Vol_1.xlsx]Rates_Master'!$C:$C, MATCH(B56, '[CPWD_DAR_2019_Custom_Rate_Analysis_Workbook_Vol_1.xlsx]Rates_Master'!$A:$A, 0)), "Custom Plant / Machinery"))</f>
        <v/>
      </c>
      <c r="D56" s="36">
        <f>IF(B56="","", IFERROR(INDEX('[CPWD_DAR_2019_Custom_Rate_Analysis_Workbook_Vol_1.xlsx]Rates_Master'!$D:$D, MATCH(B56, '[CPWD_DAR_2019_Custom_Rate_Analysis_Workbook_Vol_1.xlsx]Rates_Master'!$A:$A, 0)), ""))</f>
        <v/>
      </c>
      <c r="E56" s="37" t="n"/>
      <c r="F56" s="38">
        <f>IF(B56="","", IFERROR(INDEX('[CPWD_DAR_2019_Custom_Rate_Analysis_Workbook_Vol_1.xlsx]Rates_Master'!$E:$E, MATCH(B56, '[CPWD_DAR_2019_Custom_Rate_Analysis_Workbook_Vol_1.xlsx]Rates_Master'!$A:$A, 0)), 0))</f>
        <v/>
      </c>
      <c r="G56" s="39">
        <f>IF(OR(B56="", E56=""), 0, ROUND(E56 * F56, 2))</f>
        <v/>
      </c>
      <c r="H56" s="40" t="inlineStr"/>
      <c r="I56" s="48" t="inlineStr"/>
    </row>
    <row r="57" ht="20" customHeight="1">
      <c r="A57" s="34" t="n">
        <v>3</v>
      </c>
      <c r="B57" s="25" t="inlineStr"/>
      <c r="C57" s="35">
        <f>IF(B57="","", IFERROR(INDEX('[CPWD_DAR_2019_Custom_Rate_Analysis_Workbook_Vol_1.xlsx]Rates_Master'!$C:$C, MATCH(B57, '[CPWD_DAR_2019_Custom_Rate_Analysis_Workbook_Vol_1.xlsx]Rates_Master'!$A:$A, 0)), "Custom Plant / Machinery"))</f>
        <v/>
      </c>
      <c r="D57" s="36">
        <f>IF(B57="","", IFERROR(INDEX('[CPWD_DAR_2019_Custom_Rate_Analysis_Workbook_Vol_1.xlsx]Rates_Master'!$D:$D, MATCH(B57, '[CPWD_DAR_2019_Custom_Rate_Analysis_Workbook_Vol_1.xlsx]Rates_Master'!$A:$A, 0)), ""))</f>
        <v/>
      </c>
      <c r="E57" s="37" t="n"/>
      <c r="F57" s="38">
        <f>IF(B57="","", IFERROR(INDEX('[CPWD_DAR_2019_Custom_Rate_Analysis_Workbook_Vol_1.xlsx]Rates_Master'!$E:$E, MATCH(B57, '[CPWD_DAR_2019_Custom_Rate_Analysis_Workbook_Vol_1.xlsx]Rates_Master'!$A:$A, 0)), 0))</f>
        <v/>
      </c>
      <c r="G57" s="39">
        <f>IF(OR(B57="", E57=""), 0, ROUND(E57 * F57, 2))</f>
        <v/>
      </c>
      <c r="H57" s="40" t="inlineStr"/>
      <c r="I57" s="48" t="inlineStr"/>
    </row>
    <row r="58" ht="20" customHeight="1">
      <c r="A58" s="34" t="n">
        <v>4</v>
      </c>
      <c r="B58" s="25" t="inlineStr"/>
      <c r="C58" s="35">
        <f>IF(B58="","", IFERROR(INDEX('[CPWD_DAR_2019_Custom_Rate_Analysis_Workbook_Vol_1.xlsx]Rates_Master'!$C:$C, MATCH(B58, '[CPWD_DAR_2019_Custom_Rate_Analysis_Workbook_Vol_1.xlsx]Rates_Master'!$A:$A, 0)), "Custom Plant / Machinery"))</f>
        <v/>
      </c>
      <c r="D58" s="36">
        <f>IF(B58="","", IFERROR(INDEX('[CPWD_DAR_2019_Custom_Rate_Analysis_Workbook_Vol_1.xlsx]Rates_Master'!$D:$D, MATCH(B58, '[CPWD_DAR_2019_Custom_Rate_Analysis_Workbook_Vol_1.xlsx]Rates_Master'!$A:$A, 0)), ""))</f>
        <v/>
      </c>
      <c r="E58" s="37" t="n"/>
      <c r="F58" s="38">
        <f>IF(B58="","", IFERROR(INDEX('[CPWD_DAR_2019_Custom_Rate_Analysis_Workbook_Vol_1.xlsx]Rates_Master'!$E:$E, MATCH(B58, '[CPWD_DAR_2019_Custom_Rate_Analysis_Workbook_Vol_1.xlsx]Rates_Master'!$A:$A, 0)), 0))</f>
        <v/>
      </c>
      <c r="G58" s="39">
        <f>IF(OR(B58="", E58=""), 0, ROUND(E58 * F58, 2))</f>
        <v/>
      </c>
      <c r="H58" s="40" t="inlineStr"/>
      <c r="I58" s="48" t="inlineStr"/>
    </row>
    <row r="59" ht="20" customHeight="1">
      <c r="A59" s="34" t="n">
        <v>5</v>
      </c>
      <c r="B59" s="25" t="inlineStr"/>
      <c r="C59" s="35">
        <f>IF(B59="","", IFERROR(INDEX('[CPWD_DAR_2019_Custom_Rate_Analysis_Workbook_Vol_1.xlsx]Rates_Master'!$C:$C, MATCH(B59, '[CPWD_DAR_2019_Custom_Rate_Analysis_Workbook_Vol_1.xlsx]Rates_Master'!$A:$A, 0)), "Custom Plant / Machinery"))</f>
        <v/>
      </c>
      <c r="D59" s="36">
        <f>IF(B59="","", IFERROR(INDEX('[CPWD_DAR_2019_Custom_Rate_Analysis_Workbook_Vol_1.xlsx]Rates_Master'!$D:$D, MATCH(B59, '[CPWD_DAR_2019_Custom_Rate_Analysis_Workbook_Vol_1.xlsx]Rates_Master'!$A:$A, 0)), ""))</f>
        <v/>
      </c>
      <c r="E59" s="37" t="n"/>
      <c r="F59" s="38">
        <f>IF(B59="","", IFERROR(INDEX('[CPWD_DAR_2019_Custom_Rate_Analysis_Workbook_Vol_1.xlsx]Rates_Master'!$E:$E, MATCH(B59, '[CPWD_DAR_2019_Custom_Rate_Analysis_Workbook_Vol_1.xlsx]Rates_Master'!$A:$A, 0)), 0))</f>
        <v/>
      </c>
      <c r="G59" s="39">
        <f>IF(OR(B59="", E59=""), 0, ROUND(E59 * F59, 2))</f>
        <v/>
      </c>
      <c r="H59" s="40" t="inlineStr"/>
      <c r="I59" s="48" t="inlineStr"/>
    </row>
    <row r="60" ht="20" customHeight="1">
      <c r="A60" s="34" t="n">
        <v>6</v>
      </c>
      <c r="B60" s="25" t="inlineStr"/>
      <c r="C60" s="35">
        <f>IF(B60="","", IFERROR(INDEX('[CPWD_DAR_2019_Custom_Rate_Analysis_Workbook_Vol_1.xlsx]Rates_Master'!$C:$C, MATCH(B60, '[CPWD_DAR_2019_Custom_Rate_Analysis_Workbook_Vol_1.xlsx]Rates_Master'!$A:$A, 0)), "Custom Plant / Machinery"))</f>
        <v/>
      </c>
      <c r="D60" s="36">
        <f>IF(B60="","", IFERROR(INDEX('[CPWD_DAR_2019_Custom_Rate_Analysis_Workbook_Vol_1.xlsx]Rates_Master'!$D:$D, MATCH(B60, '[CPWD_DAR_2019_Custom_Rate_Analysis_Workbook_Vol_1.xlsx]Rates_Master'!$A:$A, 0)), ""))</f>
        <v/>
      </c>
      <c r="E60" s="37" t="n"/>
      <c r="F60" s="38">
        <f>IF(B60="","", IFERROR(INDEX('[CPWD_DAR_2019_Custom_Rate_Analysis_Workbook_Vol_1.xlsx]Rates_Master'!$E:$E, MATCH(B60, '[CPWD_DAR_2019_Custom_Rate_Analysis_Workbook_Vol_1.xlsx]Rates_Master'!$A:$A, 0)), 0))</f>
        <v/>
      </c>
      <c r="G60" s="39">
        <f>IF(OR(B60="", E60=""), 0, ROUND(E60 * F60, 2))</f>
        <v/>
      </c>
      <c r="H60" s="40" t="inlineStr"/>
      <c r="I60" s="48" t="inlineStr"/>
    </row>
    <row r="61" ht="22" customHeight="1">
      <c r="A61" s="41" t="inlineStr">
        <is>
          <t>Subtotal Machinery &amp; Plant (Rs):</t>
        </is>
      </c>
      <c r="B61" s="42" t="n"/>
      <c r="C61" s="42" t="n"/>
      <c r="D61" s="42" t="n"/>
      <c r="E61" s="42" t="n"/>
      <c r="F61" s="42" t="n"/>
      <c r="G61" s="43">
        <f>SUM(G55:G60)</f>
        <v/>
      </c>
      <c r="H61" s="42" t="n"/>
      <c r="I61" s="42" t="n"/>
    </row>
    <row r="62" ht="24" customHeight="1">
      <c r="A62" s="12" t="inlineStr">
        <is>
          <t>5. SUNDRIES &amp; LUMP-SUM ALLOWANCES  (manual entry — the DAR gives no reproducible formula; use Sundries_Reference in WB1 to find a comparable item)</t>
        </is>
      </c>
    </row>
    <row r="63" ht="22" customHeight="1">
      <c r="A63" s="34" t="inlineStr">
        <is>
          <t>1</t>
        </is>
      </c>
      <c r="B63" s="33" t="inlineStr">
        <is>
          <t>9999</t>
        </is>
      </c>
      <c r="C63" s="20" t="inlineStr">
        <is>
          <t>Sundries (guided by Sundries_Reference sheet in WB1)</t>
        </is>
      </c>
      <c r="D63" s="34" t="inlineStr">
        <is>
          <t>L.S.</t>
        </is>
      </c>
      <c r="E63" s="49" t="n">
        <v>0</v>
      </c>
      <c r="F63" s="50">
        <f>Factor_Sundries</f>
        <v/>
      </c>
      <c r="G63" s="51">
        <f>ROUND(E63 * F63, 2)</f>
        <v/>
      </c>
      <c r="H63" s="22" t="inlineStr">
        <is>
          <t>Base L.S. allowance × Cost Index Multiplier (from WB1 Global_Factors via Factor_Sundries named range)</t>
        </is>
      </c>
      <c r="I63" s="20" t="n"/>
    </row>
    <row r="64"/>
    <row r="65" ht="24" customHeight="1">
      <c r="A65" s="12" t="inlineStr">
        <is>
          <t>6. STATUTORY MARKUPS &amp; FINAL RATE DERIVATION (CPWD DAR METHOD, WITH THE (W-A) EXCLUSION)</t>
        </is>
      </c>
    </row>
    <row r="66" ht="24" customHeight="1">
      <c r="A66" s="13" t="inlineStr">
        <is>
          <t>Step</t>
        </is>
      </c>
      <c r="B66" s="13" t="inlineStr">
        <is>
          <t>Component / Markup Description</t>
        </is>
      </c>
      <c r="C66" s="13" t="inlineStr">
        <is>
          <t>Apply? (YES/NO)</t>
        </is>
      </c>
      <c r="D66" s="13" t="inlineStr">
        <is>
          <t>Basis Applied</t>
        </is>
      </c>
      <c r="E66" s="13" t="inlineStr">
        <is>
          <t>Base Amount (Rs)</t>
        </is>
      </c>
      <c r="F66" s="13" t="inlineStr">
        <is>
          <t>Factor / %</t>
        </is>
      </c>
      <c r="G66" s="13" t="inlineStr">
        <is>
          <t>Amount (Rs)</t>
        </is>
      </c>
      <c r="H66" s="13" t="inlineStr">
        <is>
          <t>CPWD Statutory Rule &amp; Guidance Note</t>
        </is>
      </c>
      <c r="I66" s="13" t="inlineStr">
        <is>
          <t>A-Rule</t>
        </is>
      </c>
    </row>
    <row r="67" ht="24" customHeight="1">
      <c r="A67" s="21" t="inlineStr">
        <is>
          <t>W</t>
        </is>
      </c>
      <c r="B67" s="52" t="inlineStr">
        <is>
          <t>Base Direct Production Cost (Materials + Labour + Sundries)</t>
        </is>
      </c>
      <c r="C67" s="53" t="inlineStr">
        <is>
          <t>-</t>
        </is>
      </c>
      <c r="D67" s="53" t="inlineStr">
        <is>
          <t>Direct Sum</t>
        </is>
      </c>
      <c r="E67" s="54" t="inlineStr">
        <is>
          <t>-</t>
        </is>
      </c>
      <c r="F67" s="54" t="inlineStr">
        <is>
          <t>-</t>
        </is>
      </c>
      <c r="G67" s="46">
        <f>G38 + G52 + G61 + G63</f>
        <v/>
      </c>
      <c r="H67" s="47" t="inlineStr">
        <is>
          <t>Total direct cost of production (W); A-tagged imports included, exactly as the book totals it.</t>
        </is>
      </c>
      <c r="I67" s="55" t="inlineStr">
        <is>
          <t>includes A</t>
        </is>
      </c>
    </row>
    <row r="68" ht="24" customHeight="1">
      <c r="A68" s="33" t="inlineStr">
        <is>
          <t>X1</t>
        </is>
      </c>
      <c r="B68" s="56" t="inlineStr">
        <is>
          <t>Add Water Charges</t>
        </is>
      </c>
      <c r="C68" s="25" t="inlineStr">
        <is>
          <t>YES</t>
        </is>
      </c>
      <c r="D68" s="34" t="inlineStr">
        <is>
          <t>On (W - A)</t>
        </is>
      </c>
      <c r="E68" s="57">
        <f>G67 - G39</f>
        <v/>
      </c>
      <c r="F68" s="58">
        <f>Factor_Water</f>
        <v/>
      </c>
      <c r="G68" s="51">
        <f>IF(C68="YES", ROUND(E68 * F68, 2), 0)</f>
        <v/>
      </c>
      <c r="H68" s="19" t="inlineStr">
        <is>
          <t>CPWD Standard: 1% for curing &amp; site water. Toggle NO if dry item.</t>
        </is>
      </c>
      <c r="I68" s="18" t="inlineStr">
        <is>
          <t>net of A</t>
        </is>
      </c>
    </row>
    <row r="69" ht="24" customHeight="1">
      <c r="A69" s="21" t="inlineStr">
        <is>
          <t>X</t>
        </is>
      </c>
      <c r="B69" s="52" t="inlineStr">
        <is>
          <t>Subtotal "X" (W + Water Charges)</t>
        </is>
      </c>
      <c r="C69" s="53" t="inlineStr">
        <is>
          <t>-</t>
        </is>
      </c>
      <c r="D69" s="53" t="inlineStr">
        <is>
          <t>W + Water</t>
        </is>
      </c>
      <c r="E69" s="54" t="inlineStr">
        <is>
          <t>-</t>
        </is>
      </c>
      <c r="F69" s="54" t="inlineStr">
        <is>
          <t>-</t>
        </is>
      </c>
      <c r="G69" s="46">
        <f>G67 + G68</f>
        <v/>
      </c>
      <c r="H69" s="47" t="inlineStr">
        <is>
          <t>Compounded base for GST calculation.</t>
        </is>
      </c>
      <c r="I69" s="55" t="inlineStr">
        <is>
          <t>includes A</t>
        </is>
      </c>
    </row>
    <row r="70" ht="24" customHeight="1">
      <c r="A70" s="33" t="inlineStr">
        <is>
          <t>Y1</t>
        </is>
      </c>
      <c r="B70" s="56" t="inlineStr">
        <is>
          <t>Add GST on Works Contract</t>
        </is>
      </c>
      <c r="C70" s="25" t="inlineStr">
        <is>
          <t>YES</t>
        </is>
      </c>
      <c r="D70" s="34" t="inlineStr">
        <is>
          <t>On (X - A)</t>
        </is>
      </c>
      <c r="E70" s="57">
        <f>G69 - G39</f>
        <v/>
      </c>
      <c r="F70" s="58">
        <f>Factor_GST</f>
        <v/>
      </c>
      <c r="G70" s="51">
        <f>IF(C70="YES", ROUND(E70 * F70, 2), 0)</f>
        <v/>
      </c>
      <c r="H70" s="19" t="inlineStr">
        <is>
          <t>CPWD DAR 2019 factor 0.1405 (works contract). Toggle NO if tax exempt.</t>
        </is>
      </c>
      <c r="I70" s="18" t="inlineStr">
        <is>
          <t>net of A</t>
        </is>
      </c>
    </row>
    <row r="71" ht="24" customHeight="1">
      <c r="A71" s="21" t="inlineStr">
        <is>
          <t>Y</t>
        </is>
      </c>
      <c r="B71" s="52" t="inlineStr">
        <is>
          <t>Subtotal "Y" (X + GST)</t>
        </is>
      </c>
      <c r="C71" s="53" t="inlineStr">
        <is>
          <t>-</t>
        </is>
      </c>
      <c r="D71" s="53" t="inlineStr">
        <is>
          <t>X + GST</t>
        </is>
      </c>
      <c r="E71" s="54" t="inlineStr">
        <is>
          <t>-</t>
        </is>
      </c>
      <c r="F71" s="54" t="inlineStr">
        <is>
          <t>-</t>
        </is>
      </c>
      <c r="G71" s="46">
        <f>G69 + G70</f>
        <v/>
      </c>
      <c r="H71" s="47" t="inlineStr">
        <is>
          <t>Compounded base for Contractor Profit &amp; Overheads.</t>
        </is>
      </c>
      <c r="I71" s="55" t="inlineStr">
        <is>
          <t>includes A</t>
        </is>
      </c>
    </row>
    <row r="72" ht="24" customHeight="1">
      <c r="A72" s="33" t="inlineStr">
        <is>
          <t>Z1</t>
        </is>
      </c>
      <c r="B72" s="56" t="inlineStr">
        <is>
          <t>Add Contractor Profit &amp; Overheads (15% CPOH)</t>
        </is>
      </c>
      <c r="C72" s="25" t="inlineStr">
        <is>
          <t>YES</t>
        </is>
      </c>
      <c r="D72" s="34" t="inlineStr">
        <is>
          <t>On (Y - A)</t>
        </is>
      </c>
      <c r="E72" s="57">
        <f>G71 - G39</f>
        <v/>
      </c>
      <c r="F72" s="58">
        <f>Factor_CPOH</f>
        <v/>
      </c>
      <c r="G72" s="51">
        <f>IF(C72="YES", ROUND(E72 * F72, 2), 0)</f>
        <v/>
      </c>
      <c r="H72" s="19" t="inlineStr">
        <is>
          <t>Standard CPWD 15% allowance for site overheads, head-office costs &amp; margin.</t>
        </is>
      </c>
      <c r="I72" s="18" t="inlineStr">
        <is>
          <t>net of A</t>
        </is>
      </c>
    </row>
    <row r="73" ht="24" customHeight="1">
      <c r="A73" s="21" t="inlineStr">
        <is>
          <t>Z</t>
        </is>
      </c>
      <c r="B73" s="52" t="inlineStr">
        <is>
          <t>Subtotal "Z" (Y + CPOH)</t>
        </is>
      </c>
      <c r="C73" s="53" t="inlineStr">
        <is>
          <t>-</t>
        </is>
      </c>
      <c r="D73" s="53" t="inlineStr">
        <is>
          <t>Y + CPOH</t>
        </is>
      </c>
      <c r="E73" s="54" t="inlineStr">
        <is>
          <t>-</t>
        </is>
      </c>
      <c r="F73" s="54" t="inlineStr">
        <is>
          <t>-</t>
        </is>
      </c>
      <c r="G73" s="46">
        <f>G71 + G72</f>
        <v/>
      </c>
      <c r="H73" s="47" t="inlineStr">
        <is>
          <t>Compounded base for Labour Welfare Cess.</t>
        </is>
      </c>
      <c r="I73" s="55" t="inlineStr">
        <is>
          <t>includes A</t>
        </is>
      </c>
    </row>
    <row r="74" ht="24" customHeight="1">
      <c r="A74" s="33" t="inlineStr">
        <is>
          <t>Z2</t>
        </is>
      </c>
      <c r="B74" s="56" t="inlineStr">
        <is>
          <t>Add Labour Welfare Cess (1% BOCW Cess)</t>
        </is>
      </c>
      <c r="C74" s="25" t="inlineStr">
        <is>
          <t>YES</t>
        </is>
      </c>
      <c r="D74" s="34" t="inlineStr">
        <is>
          <t>On (Z - A)</t>
        </is>
      </c>
      <c r="E74" s="57">
        <f>G73 - G39</f>
        <v/>
      </c>
      <c r="F74" s="58">
        <f>Factor_Cess</f>
        <v/>
      </c>
      <c r="G74" s="51">
        <f>IF(C74="YES", ROUND(E74 * F74, 2), 0)</f>
        <v/>
      </c>
      <c r="H74" s="19" t="inlineStr">
        <is>
          <t>Statutory 1% Building and Other Construction Workers Welfare Cess.</t>
        </is>
      </c>
      <c r="I74" s="18" t="inlineStr">
        <is>
          <t>net of A</t>
        </is>
      </c>
    </row>
    <row r="75" ht="24" customHeight="1">
      <c r="A75" s="8" t="inlineStr">
        <is>
          <t>Cost</t>
        </is>
      </c>
      <c r="B75" s="59">
        <f>"Total Cost of Batch (" &amp; TEXT(D16, "0.00") &amp; " " &amp; F16 &amp; "):"</f>
        <v/>
      </c>
      <c r="C75" s="60" t="inlineStr">
        <is>
          <t>-</t>
        </is>
      </c>
      <c r="D75" s="60" t="inlineStr">
        <is>
          <t>Z + Cess</t>
        </is>
      </c>
      <c r="E75" s="61" t="inlineStr">
        <is>
          <t>-</t>
        </is>
      </c>
      <c r="F75" s="61" t="inlineStr">
        <is>
          <t>-</t>
        </is>
      </c>
      <c r="G75" s="62">
        <f>G73 + G74</f>
        <v/>
      </c>
      <c r="H75" s="63" t="inlineStr">
        <is>
          <t>Total evaluated cost for the batch size in the Panel 1 header row.</t>
        </is>
      </c>
      <c r="I75" s="64" t="inlineStr">
        <is>
          <t>-</t>
        </is>
      </c>
    </row>
    <row r="76" ht="24" customHeight="1">
      <c r="A76" s="21" t="inlineStr">
        <is>
          <t>Rate</t>
        </is>
      </c>
      <c r="B76" s="52">
        <f>"Analyzed Unit Rate per 1.00 " &amp; F16 &amp; ":"</f>
        <v/>
      </c>
      <c r="C76" s="53" t="inlineStr">
        <is>
          <t>-</t>
        </is>
      </c>
      <c r="D76" s="53" t="inlineStr">
        <is>
          <t>Cost / Batch Qty</t>
        </is>
      </c>
      <c r="E76" s="54" t="inlineStr">
        <is>
          <t>-</t>
        </is>
      </c>
      <c r="F76" s="54" t="inlineStr">
        <is>
          <t>-</t>
        </is>
      </c>
      <c r="G76" s="46">
        <f>ROUND(G75 / D16, 2)</f>
        <v/>
      </c>
      <c r="H76" s="47" t="inlineStr">
        <is>
          <t>Calculated cost per standard unit of measurement.</t>
        </is>
      </c>
      <c r="I76" s="55" t="inlineStr">
        <is>
          <t>-</t>
        </is>
      </c>
    </row>
    <row r="77" ht="30" customHeight="1">
      <c r="A77" s="9" t="inlineStr">
        <is>
          <t>SAY</t>
        </is>
      </c>
      <c r="B77" s="65">
        <f>"OFFICIAL SAY RATE (Rs per " &amp; F16 &amp; "):"</f>
        <v/>
      </c>
      <c r="C77" s="66" t="inlineStr">
        <is>
          <t>-</t>
        </is>
      </c>
      <c r="D77" s="66" t="inlineStr">
        <is>
          <t>MROUND to Rs 0.05</t>
        </is>
      </c>
      <c r="E77" s="67" t="inlineStr">
        <is>
          <t>-</t>
        </is>
      </c>
      <c r="F77" s="67" t="inlineStr">
        <is>
          <t>-</t>
        </is>
      </c>
      <c r="G77" s="68">
        <f>MROUND(G76, 0.05)</f>
        <v/>
      </c>
      <c r="H77" s="69" t="inlineStr">
        <is>
          <t>OFFICIAL CPWD ROUNDED RATE FOR TENDER SCHEDULES &amp; ESTIMATES. CPWD quotes Say rates to the nearest 5 paise — see the note directly below this row.</t>
        </is>
      </c>
      <c r="I77" s="70" t="inlineStr">
        <is>
          <t>-</t>
        </is>
      </c>
    </row>
    <row r="78" ht="44" customHeight="1">
      <c r="A78"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8" s="20" t="n"/>
      <c r="C78" s="20" t="n"/>
      <c r="D78" s="20" t="n"/>
      <c r="E78" s="20" t="n"/>
      <c r="F78" s="20" t="n"/>
      <c r="G78" s="20" t="n"/>
      <c r="H78" s="20" t="n"/>
      <c r="I78" s="20" t="n"/>
    </row>
    <row r="79"/>
    <row r="80" ht="24" customHeight="1">
      <c r="A80" s="12" t="inlineStr">
        <is>
          <t>7. RUNNING CUSTOM NON-DSR ITEMS LIBRARY FOR THIS TRADE</t>
        </is>
      </c>
    </row>
    <row r="81" ht="20" customHeight="1">
      <c r="A81" s="71" t="inlineStr">
        <is>
          <t>Log all completed custom rate analyses for this trade below. Items logged here maintain an internal project audit trail and can be referenced from other builder sheets.</t>
        </is>
      </c>
    </row>
    <row r="82" ht="24" customHeight="1">
      <c r="A82" s="13" t="inlineStr">
        <is>
          <t>Item Code</t>
        </is>
      </c>
      <c r="B82" s="13" t="inlineStr">
        <is>
          <t>Item Nomenclature / Specification</t>
        </is>
      </c>
      <c r="C82" s="13" t="inlineStr">
        <is>
          <t>Unit</t>
        </is>
      </c>
      <c r="D82" s="13" t="inlineStr">
        <is>
          <t>Output Basis</t>
        </is>
      </c>
      <c r="E82" s="13" t="inlineStr">
        <is>
          <t>Direct Cost W (Rs)</t>
        </is>
      </c>
      <c r="F82" s="13" t="inlineStr">
        <is>
          <t>Markups Applied</t>
        </is>
      </c>
      <c r="G82" s="13" t="inlineStr">
        <is>
          <t>Unit Rate (Rs)</t>
        </is>
      </c>
      <c r="H82" s="13" t="inlineStr">
        <is>
          <t>Say Rate (Rs)</t>
        </is>
      </c>
      <c r="I82" s="13" t="inlineStr">
        <is>
          <t>A-Total (Rs)</t>
        </is>
      </c>
    </row>
    <row r="83" ht="20" customHeight="1">
      <c r="A83" s="72" t="inlineStr">
        <is>
          <t>15.1</t>
        </is>
      </c>
      <c r="B83" s="73" t="inlineStr">
        <is>
          <t>Demolishing lime concrete manually, stacking debris within site</t>
        </is>
      </c>
      <c r="C83" s="74" t="inlineStr">
        <is>
          <t>cum</t>
        </is>
      </c>
      <c r="D83" s="74" t="n">
        <v>1</v>
      </c>
      <c r="E83" s="75" t="n">
        <v>454.06</v>
      </c>
      <c r="F83" s="74" t="inlineStr">
        <is>
          <t>Full W→X→Y→Z</t>
        </is>
      </c>
      <c r="G83" s="75" t="n">
        <v>607.8</v>
      </c>
      <c r="H83" s="76" t="n">
        <v>607.8</v>
      </c>
      <c r="I83" s="75" t="n"/>
    </row>
    <row r="84" ht="20" customHeight="1">
      <c r="A84" s="77" t="inlineStr">
        <is>
          <t>15.2.1</t>
        </is>
      </c>
      <c r="B84" s="78" t="inlineStr">
        <is>
          <t>Demolishing brick masonry in lime mortar, manual</t>
        </is>
      </c>
      <c r="C84" s="79" t="inlineStr">
        <is>
          <t>cum</t>
        </is>
      </c>
      <c r="D84" s="79" t="n">
        <v>1</v>
      </c>
      <c r="E84" s="80" t="n">
        <v>612.4</v>
      </c>
      <c r="F84" s="79" t="inlineStr">
        <is>
          <t>Full W→X→Y→Z</t>
        </is>
      </c>
      <c r="G84" s="80" t="n">
        <v>820.15</v>
      </c>
      <c r="H84" s="81" t="n">
        <v>820.15</v>
      </c>
      <c r="I84" s="80" t="n"/>
    </row>
    <row r="85" ht="20" customHeight="1">
      <c r="A85" s="72" t="inlineStr">
        <is>
          <t>15.6</t>
        </is>
      </c>
      <c r="B85" s="73" t="inlineStr">
        <is>
          <t>Demolishing RCC with pneumatic breaker — machinery + Beldar gang</t>
        </is>
      </c>
      <c r="C85" s="74" t="inlineStr">
        <is>
          <t>cum</t>
        </is>
      </c>
      <c r="D85" s="74" t="n">
        <v>1</v>
      </c>
      <c r="E85" s="75" t="n">
        <v>2870</v>
      </c>
      <c r="F85" s="74" t="inlineStr">
        <is>
          <t>Full W→X→Y→Z</t>
        </is>
      </c>
      <c r="G85" s="75" t="n">
        <v>3840</v>
      </c>
      <c r="H85" s="76" t="n">
        <v>3840</v>
      </c>
      <c r="I85" s="75" t="n"/>
    </row>
    <row r="86" ht="20" customHeight="1">
      <c r="A86" s="77" t="inlineStr">
        <is>
          <t>C-15.04</t>
        </is>
      </c>
      <c r="B86" s="78" t="inlineStr">
        <is>
          <t>(Available for new custom item)</t>
        </is>
      </c>
      <c r="C86" s="79" t="inlineStr">
        <is>
          <t>cum</t>
        </is>
      </c>
      <c r="D86" s="79" t="n">
        <v>1</v>
      </c>
      <c r="E86" s="80" t="n"/>
      <c r="F86" s="79" t="inlineStr">
        <is>
          <t>Full W→X→Y→Z</t>
        </is>
      </c>
      <c r="G86" s="80" t="n"/>
      <c r="H86" s="81" t="n"/>
      <c r="I86" s="80" t="n"/>
    </row>
    <row r="87" ht="20" customHeight="1">
      <c r="A87" s="72" t="inlineStr">
        <is>
          <t>C-15.05</t>
        </is>
      </c>
      <c r="B87" s="73" t="inlineStr">
        <is>
          <t>(Available for new custom item)</t>
        </is>
      </c>
      <c r="C87" s="74" t="inlineStr">
        <is>
          <t>cum</t>
        </is>
      </c>
      <c r="D87" s="74" t="n">
        <v>1</v>
      </c>
      <c r="E87" s="75" t="n"/>
      <c r="F87" s="74" t="inlineStr">
        <is>
          <t>Full W→X→Y→Z</t>
        </is>
      </c>
      <c r="G87" s="75" t="n"/>
      <c r="H87" s="76" t="n"/>
      <c r="I87" s="75" t="n"/>
    </row>
    <row r="88" ht="20" customHeight="1">
      <c r="A88" s="77" t="inlineStr">
        <is>
          <t>C-15.06</t>
        </is>
      </c>
      <c r="B88" s="78" t="inlineStr">
        <is>
          <t>(Available for new custom item)</t>
        </is>
      </c>
      <c r="C88" s="79" t="inlineStr">
        <is>
          <t>cum</t>
        </is>
      </c>
      <c r="D88" s="79" t="n">
        <v>1</v>
      </c>
      <c r="E88" s="80" t="n"/>
      <c r="F88" s="79" t="inlineStr">
        <is>
          <t>Full W→X→Y→Z</t>
        </is>
      </c>
      <c r="G88" s="80" t="n"/>
      <c r="H88" s="81" t="n"/>
      <c r="I88" s="80" t="n"/>
    </row>
    <row r="89" ht="20" customHeight="1">
      <c r="A89" s="72" t="inlineStr">
        <is>
          <t>C-15.07</t>
        </is>
      </c>
      <c r="B89" s="73" t="inlineStr">
        <is>
          <t>(Available for new custom item)</t>
        </is>
      </c>
      <c r="C89" s="74" t="inlineStr">
        <is>
          <t>cum</t>
        </is>
      </c>
      <c r="D89" s="74" t="n">
        <v>1</v>
      </c>
      <c r="E89" s="75" t="n"/>
      <c r="F89" s="74" t="inlineStr">
        <is>
          <t>Full W→X→Y→Z</t>
        </is>
      </c>
      <c r="G89" s="75" t="n"/>
      <c r="H89" s="76" t="n"/>
      <c r="I89" s="75" t="n"/>
    </row>
    <row r="90" ht="20" customHeight="1">
      <c r="A90" s="77" t="inlineStr">
        <is>
          <t>C-15.08</t>
        </is>
      </c>
      <c r="B90" s="78" t="inlineStr">
        <is>
          <t>(Available for new custom item)</t>
        </is>
      </c>
      <c r="C90" s="79" t="inlineStr">
        <is>
          <t>cum</t>
        </is>
      </c>
      <c r="D90" s="79" t="n">
        <v>1</v>
      </c>
      <c r="E90" s="80" t="n"/>
      <c r="F90" s="79" t="inlineStr">
        <is>
          <t>Full W→X→Y→Z</t>
        </is>
      </c>
      <c r="G90" s="80" t="n"/>
      <c r="H90" s="81" t="n"/>
      <c r="I90" s="80" t="n"/>
    </row>
  </sheetData>
  <sheetProtection selectLockedCells="0" selectUnlockedCells="0" sheet="1" objects="0" insertRows="1" insertHyperlinks="1" autoFilter="1" scenarios="0" formatColumns="1" deleteColumns="1" insertColumns="1" pivotTables="1" deleteRows="1" formatCells="1" formatRows="1" sort="1"/>
  <mergeCells count="30">
    <mergeCell ref="E21:I21"/>
    <mergeCell ref="A65:I65"/>
    <mergeCell ref="E12:I12"/>
    <mergeCell ref="B17:G17"/>
    <mergeCell ref="A80:I80"/>
    <mergeCell ref="A18:I18"/>
    <mergeCell ref="A3:I3"/>
    <mergeCell ref="E23:I23"/>
    <mergeCell ref="E14:I14"/>
    <mergeCell ref="A26:I26"/>
    <mergeCell ref="E20:I20"/>
    <mergeCell ref="E10:I10"/>
    <mergeCell ref="E13:I13"/>
    <mergeCell ref="E19:I19"/>
    <mergeCell ref="A8:I8"/>
    <mergeCell ref="A53:I53"/>
    <mergeCell ref="A62:I62"/>
    <mergeCell ref="E9:I9"/>
    <mergeCell ref="A38:F38"/>
    <mergeCell ref="A52:F52"/>
    <mergeCell ref="A81:I81"/>
    <mergeCell ref="E15:I15"/>
    <mergeCell ref="A40:I40"/>
    <mergeCell ref="E11:I11"/>
    <mergeCell ref="A39:F39"/>
    <mergeCell ref="A24:I24"/>
    <mergeCell ref="A1:I1"/>
    <mergeCell ref="A61:F61"/>
    <mergeCell ref="E22:I22"/>
    <mergeCell ref="A78:I78"/>
  </mergeCells>
  <dataValidations count="6">
    <dataValidation sqref="C68 C70 C72 C74"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"Lime concrete / plain concrete,RCC (reinforced concrete),Brick masonry,Stone masonry,Structural steelwork,Timber framework / roof,Flooring / tiles"</formula1>
    </dataValidation>
    <dataValidation sqref="B11" showDropDown="0" showInputMessage="0" showErrorMessage="0" allowBlank="1" type="list">
      <formula1>"Manual (hand tools),Mechanical — pneumatic breaker,Mechanical — wrecking ball / crane,Blasting (special approval)"</formula1>
    </dataValidation>
    <dataValidation sqref="B12" showDropDown="0" showInputMessage="0" showErrorMessage="0" allowBlank="1" type="list">
      <formula1>"Stack within site,Remove from site (add carriage item)"</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0"/>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16: ROAD WORK (CUSTOM ITEM BUILDER)
WB2 — references WB1 for Rates_Master, Mortars, Concrete &amp; RCC rates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16: Sub-base, WBM, bituminous surfaces, kerbs and footpaths. Machinery-heavy: plant codes 0001-0083 (roller, compactor, hot-mix plant, bitumen boiler) are in Rates_Master (WB1) and include operator, fuel and lubricants per CPWD Note 1. The MATERIAL picker offers 03_Mortars (for grouted items) from WB1. Multiple Concrete/RCC rates from Vol.1 items (4.1.x, 5.x) are referenced directly as intermediate rates — enter the published rate in the Basic Rate column and tag the line "A" if it already carries markups.</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Road layer</t>
        </is>
      </c>
      <c r="B10" s="17" t="inlineStr">
        <is>
          <t>Subgrade preparation</t>
        </is>
      </c>
      <c r="C10" s="8" t="inlineStr">
        <is>
          <t>DRIVES COST</t>
        </is>
      </c>
      <c r="D10" s="18" t="inlineStr">
        <is>
          <t>-</t>
        </is>
      </c>
      <c r="E10" s="19" t="inlineStr">
        <is>
          <t>DRIVES COST. Each layer has a different material, plant and labour profile. Subgrade: roller only. WBM: stone aggregate + roller. Bituminous layers: bitumen + hot-mix plant + paver + roller.</t>
        </is>
      </c>
      <c r="F10" s="20" t="n"/>
      <c r="G10" s="20" t="n"/>
      <c r="H10" s="20" t="n"/>
      <c r="I10" s="20" t="n"/>
    </row>
    <row r="11" ht="32" customHeight="1">
      <c r="A11" s="16" t="inlineStr">
        <is>
          <t>Compaction equipment</t>
        </is>
      </c>
      <c r="B11" s="17" t="inlineStr">
        <is>
          <t>Road roller 8-12 tonne (code 0003)</t>
        </is>
      </c>
      <c r="C11" s="8" t="inlineStr">
        <is>
          <t>DRIVES COST</t>
        </is>
      </c>
      <c r="D11" s="18" t="inlineStr">
        <is>
          <t>-</t>
        </is>
      </c>
      <c r="E11" s="19" t="inlineStr">
        <is>
          <t>DRIVES COST. Equipment code determines the hire rate. Rollers for pavement; plate compactors for kerbs and confined areas.</t>
        </is>
      </c>
      <c r="F11" s="20" t="n"/>
      <c r="G11" s="20" t="n"/>
      <c r="H11" s="20" t="n"/>
      <c r="I11" s="20" t="n"/>
    </row>
    <row r="12" ht="32" customHeight="1">
      <c r="A12" s="16" t="inlineStr">
        <is>
          <t>Carriage of materials included</t>
        </is>
      </c>
      <c r="B12" s="17" t="inlineStr">
        <is>
          <t>YES — use Sub-Head 01 rates as A-tagged material lines</t>
        </is>
      </c>
      <c r="C12" s="8" t="inlineStr">
        <is>
          <t>DRIVES COST</t>
        </is>
      </c>
      <c r="D12" s="18" t="inlineStr">
        <is>
          <t>-</t>
        </is>
      </c>
      <c r="E12" s="19" t="inlineStr">
        <is>
          <t>DRIVES COST. Most road items include carriage codes (22xx series) as A-tagged material lines. These carry all markups; the (W-A) rule excludes them from the markup base.</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C-16.01</t>
        </is>
      </c>
      <c r="C16" s="24" t="inlineStr">
        <is>
          <t>Batch Output Basis:</t>
        </is>
      </c>
      <c r="D16" s="26" t="n">
        <v>100</v>
      </c>
      <c r="E16" s="24" t="inlineStr">
        <is>
          <t>Output Unit:</t>
        </is>
      </c>
      <c r="F16" s="25" t="inlineStr">
        <is>
          <t>sqm</t>
        </is>
      </c>
      <c r="G16" s="24" t="inlineStr">
        <is>
          <t>Trade Sub-Head:</t>
        </is>
      </c>
      <c r="H16" s="27" t="inlineStr">
        <is>
          <t>16 Road Work</t>
        </is>
      </c>
      <c r="I16" s="22" t="inlineStr">
        <is>
          <t>Output Unit Note:</t>
        </is>
      </c>
    </row>
    <row r="17" ht="40" customHeight="1">
      <c r="A17" s="24" t="inlineStr">
        <is>
          <t>Assembled Item Nomenclature:</t>
        </is>
      </c>
      <c r="B17" s="28" t="inlineStr">
        <is>
          <t>Preparation and consolidation of subgrade including cutting / filling to required camber / gradient and rolling with road roller of 8 to 12 tonne capacity,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0007</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0.054</v>
      </c>
      <c r="F28" s="38">
        <f>IF(B28="","", IFERROR(INDEX('[CPWD_DAR_2019_Custom_Rate_Analysis_Workbook_Vol_1.xlsx]Rates_Master'!$E:$E, MATCH(B28, '[CPWD_DAR_2019_Custom_Rate_Analysis_Workbook_Vol_1.xlsx]Rates_Master'!$A:$A, 0)), 0))</f>
        <v/>
      </c>
      <c r="G28" s="39">
        <f>IF(OR(B28="", E28=""), 0, ROUND(E28 * F28, 2))</f>
        <v/>
      </c>
      <c r="H28" s="40" t="inlineStr">
        <is>
          <t>Hire charges of Diesel Road Roller 8-12t (half-shift): 0.054 days per 100 sqm for one pass. DAR 16.1, page 230. (Note: 0003 in the PDF but verified as 0007 in Rates_Master for this grade.)</t>
        </is>
      </c>
      <c r="I28" s="25" t="inlineStr"/>
    </row>
    <row r="29" ht="20" customHeight="1">
      <c r="A29" s="34" t="n">
        <v>2</v>
      </c>
      <c r="B29" s="25" t="inlineStr"/>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c r="F29" s="38">
        <f>IF(B29="","", IFERROR(INDEX('[CPWD_DAR_2019_Custom_Rate_Analysis_Workbook_Vol_1.xlsx]Rates_Master'!$E:$E, MATCH(B29, '[CPWD_DAR_2019_Custom_Rate_Analysis_Workbook_Vol_1.xlsx]Rates_Master'!$A:$A, 0)), 0))</f>
        <v/>
      </c>
      <c r="G29" s="39">
        <f>IF(OR(B29="", E29=""), 0, ROUND(E29 * F29, 2))</f>
        <v/>
      </c>
      <c r="H29" s="40" t="inlineStr"/>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0128</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1.8</v>
      </c>
      <c r="F42" s="38">
        <f>IF(B42="","", IFERROR(INDEX('[CPWD_DAR_2019_Custom_Rate_Analysis_Workbook_Vol_1.xlsx]Rates_Master'!$E:$E, MATCH(B42, '[CPWD_DAR_2019_Custom_Rate_Analysis_Workbook_Vol_1.xlsx]Rates_Master'!$A:$A, 0)), 0))</f>
        <v/>
      </c>
      <c r="G42" s="39">
        <f>IF(OR(B42="", E42=""), 0, ROUND(E42 * F42, 2))</f>
        <v/>
      </c>
      <c r="H42" s="40" t="inlineStr">
        <is>
          <t>Mate: 1.80 days per 100 sqm — supervising rolling &amp; trimming. DAR 16.1.</t>
        </is>
      </c>
      <c r="I42" s="48" t="inlineStr"/>
    </row>
    <row r="43" ht="20" customHeight="1">
      <c r="A43" s="34" t="n">
        <v>2</v>
      </c>
      <c r="B43" s="25" t="inlineStr">
        <is>
          <t>0115</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18</v>
      </c>
      <c r="F43" s="38">
        <f>IF(B43="","", IFERROR(INDEX('[CPWD_DAR_2019_Custom_Rate_Analysis_Workbook_Vol_1.xlsx]Rates_Master'!$E:$E, MATCH(B43, '[CPWD_DAR_2019_Custom_Rate_Analysis_Workbook_Vol_1.xlsx]Rates_Master'!$A:$A, 0)), 0))</f>
        <v/>
      </c>
      <c r="G43" s="39">
        <f>IF(OR(B43="", E43=""), 0, ROUND(E43 * F43, 2))</f>
        <v/>
      </c>
      <c r="H43" s="40" t="inlineStr">
        <is>
          <t>Coolie: 18.00 days per 100 sqm for earthwork, levelling &amp; compaction. DAR 16.1.</t>
        </is>
      </c>
      <c r="I43" s="48" t="inlineStr"/>
    </row>
    <row r="44" ht="20" customHeight="1">
      <c r="A44" s="34" t="n">
        <v>3</v>
      </c>
      <c r="B44" s="25" t="inlineStr">
        <is>
          <t>0114</t>
        </is>
      </c>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v>0.27</v>
      </c>
      <c r="F44" s="38">
        <f>IF(B44="","", IFERROR(INDEX('[CPWD_DAR_2019_Custom_Rate_Analysis_Workbook_Vol_1.xlsx]Rates_Master'!$E:$E, MATCH(B44, '[CPWD_DAR_2019_Custom_Rate_Analysis_Workbook_Vol_1.xlsx]Rates_Master'!$A:$A, 0)), 0))</f>
        <v/>
      </c>
      <c r="G44" s="39">
        <f>IF(OR(B44="", E44=""), 0, ROUND(E44 * F44, 2))</f>
        <v/>
      </c>
      <c r="H44" s="40" t="inlineStr">
        <is>
          <t>Beldar: 0.27 days per 100 sqm. DAR 16.1.</t>
        </is>
      </c>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4b. MACHINERY &amp; PLANT HIRE  (plant codes 0001-0083 include operator + fuel + lubricants per CPWD Note 1; specialist rigs priced at hire-invoice rate — enter as custom_rate)</t>
        </is>
      </c>
    </row>
    <row r="54" ht="24" customHeight="1">
      <c r="A54" s="13" t="inlineStr">
        <is>
          <t>Line</t>
        </is>
      </c>
      <c r="B54" s="13" t="inlineStr">
        <is>
          <t>Code / Source</t>
        </is>
      </c>
      <c r="C54" s="13" t="inlineStr">
        <is>
          <t>Description / Specification</t>
        </is>
      </c>
      <c r="D54" s="13" t="inlineStr">
        <is>
          <t>Unit</t>
        </is>
      </c>
      <c r="E54" s="13" t="inlineStr">
        <is>
          <t>Quantity / Coeff</t>
        </is>
      </c>
      <c r="F54" s="13" t="inlineStr">
        <is>
          <t>Basic Rate (Rs)</t>
        </is>
      </c>
      <c r="G54" s="13" t="inlineStr">
        <is>
          <t>Amount (Rs)</t>
        </is>
      </c>
      <c r="H54" s="13" t="inlineStr">
        <is>
          <t>Source Reference / Remarks</t>
        </is>
      </c>
      <c r="I54" s="13" t="inlineStr">
        <is>
          <t>Markup Tag</t>
        </is>
      </c>
    </row>
    <row r="55" ht="20" customHeight="1">
      <c r="A55" s="34" t="n">
        <v>1</v>
      </c>
      <c r="B55" s="25" t="inlineStr"/>
      <c r="C55" s="35">
        <f>IF(B55="","", IFERROR(INDEX('[CPWD_DAR_2019_Custom_Rate_Analysis_Workbook_Vol_1.xlsx]Rates_Master'!$C:$C, MATCH(B55, '[CPWD_DAR_2019_Custom_Rate_Analysis_Workbook_Vol_1.xlsx]Rates_Master'!$A:$A, 0)), "Custom Plant / Machinery"))</f>
        <v/>
      </c>
      <c r="D55" s="36">
        <f>IF(B55="","", IFERROR(INDEX('[CPWD_DAR_2019_Custom_Rate_Analysis_Workbook_Vol_1.xlsx]Rates_Master'!$D:$D, MATCH(B55, '[CPWD_DAR_2019_Custom_Rate_Analysis_Workbook_Vol_1.xlsx]Rates_Master'!$A:$A, 0)), ""))</f>
        <v/>
      </c>
      <c r="E55" s="37" t="n"/>
      <c r="F55" s="38">
        <f>IF(B55="","", IFERROR(INDEX('[CPWD_DAR_2019_Custom_Rate_Analysis_Workbook_Vol_1.xlsx]Rates_Master'!$E:$E, MATCH(B55, '[CPWD_DAR_2019_Custom_Rate_Analysis_Workbook_Vol_1.xlsx]Rates_Master'!$A:$A, 0)), 0))</f>
        <v/>
      </c>
      <c r="G55" s="39">
        <f>IF(OR(B55="", E55=""), 0, ROUND(E55 * F55, 2))</f>
        <v/>
      </c>
      <c r="H55" s="40" t="inlineStr"/>
      <c r="I55" s="48" t="inlineStr"/>
    </row>
    <row r="56" ht="20" customHeight="1">
      <c r="A56" s="34" t="n">
        <v>2</v>
      </c>
      <c r="B56" s="25" t="inlineStr"/>
      <c r="C56" s="35">
        <f>IF(B56="","", IFERROR(INDEX('[CPWD_DAR_2019_Custom_Rate_Analysis_Workbook_Vol_1.xlsx]Rates_Master'!$C:$C, MATCH(B56, '[CPWD_DAR_2019_Custom_Rate_Analysis_Workbook_Vol_1.xlsx]Rates_Master'!$A:$A, 0)), "Custom Plant / Machinery"))</f>
        <v/>
      </c>
      <c r="D56" s="36">
        <f>IF(B56="","", IFERROR(INDEX('[CPWD_DAR_2019_Custom_Rate_Analysis_Workbook_Vol_1.xlsx]Rates_Master'!$D:$D, MATCH(B56, '[CPWD_DAR_2019_Custom_Rate_Analysis_Workbook_Vol_1.xlsx]Rates_Master'!$A:$A, 0)), ""))</f>
        <v/>
      </c>
      <c r="E56" s="37" t="n"/>
      <c r="F56" s="38">
        <f>IF(B56="","", IFERROR(INDEX('[CPWD_DAR_2019_Custom_Rate_Analysis_Workbook_Vol_1.xlsx]Rates_Master'!$E:$E, MATCH(B56, '[CPWD_DAR_2019_Custom_Rate_Analysis_Workbook_Vol_1.xlsx]Rates_Master'!$A:$A, 0)), 0))</f>
        <v/>
      </c>
      <c r="G56" s="39">
        <f>IF(OR(B56="", E56=""), 0, ROUND(E56 * F56, 2))</f>
        <v/>
      </c>
      <c r="H56" s="40" t="inlineStr"/>
      <c r="I56" s="48" t="inlineStr"/>
    </row>
    <row r="57" ht="20" customHeight="1">
      <c r="A57" s="34" t="n">
        <v>3</v>
      </c>
      <c r="B57" s="25" t="inlineStr"/>
      <c r="C57" s="35">
        <f>IF(B57="","", IFERROR(INDEX('[CPWD_DAR_2019_Custom_Rate_Analysis_Workbook_Vol_1.xlsx]Rates_Master'!$C:$C, MATCH(B57, '[CPWD_DAR_2019_Custom_Rate_Analysis_Workbook_Vol_1.xlsx]Rates_Master'!$A:$A, 0)), "Custom Plant / Machinery"))</f>
        <v/>
      </c>
      <c r="D57" s="36">
        <f>IF(B57="","", IFERROR(INDEX('[CPWD_DAR_2019_Custom_Rate_Analysis_Workbook_Vol_1.xlsx]Rates_Master'!$D:$D, MATCH(B57, '[CPWD_DAR_2019_Custom_Rate_Analysis_Workbook_Vol_1.xlsx]Rates_Master'!$A:$A, 0)), ""))</f>
        <v/>
      </c>
      <c r="E57" s="37" t="n"/>
      <c r="F57" s="38">
        <f>IF(B57="","", IFERROR(INDEX('[CPWD_DAR_2019_Custom_Rate_Analysis_Workbook_Vol_1.xlsx]Rates_Master'!$E:$E, MATCH(B57, '[CPWD_DAR_2019_Custom_Rate_Analysis_Workbook_Vol_1.xlsx]Rates_Master'!$A:$A, 0)), 0))</f>
        <v/>
      </c>
      <c r="G57" s="39">
        <f>IF(OR(B57="", E57=""), 0, ROUND(E57 * F57, 2))</f>
        <v/>
      </c>
      <c r="H57" s="40" t="inlineStr"/>
      <c r="I57" s="48" t="inlineStr"/>
    </row>
    <row r="58" ht="20" customHeight="1">
      <c r="A58" s="34" t="n">
        <v>4</v>
      </c>
      <c r="B58" s="25" t="inlineStr"/>
      <c r="C58" s="35">
        <f>IF(B58="","", IFERROR(INDEX('[CPWD_DAR_2019_Custom_Rate_Analysis_Workbook_Vol_1.xlsx]Rates_Master'!$C:$C, MATCH(B58, '[CPWD_DAR_2019_Custom_Rate_Analysis_Workbook_Vol_1.xlsx]Rates_Master'!$A:$A, 0)), "Custom Plant / Machinery"))</f>
        <v/>
      </c>
      <c r="D58" s="36">
        <f>IF(B58="","", IFERROR(INDEX('[CPWD_DAR_2019_Custom_Rate_Analysis_Workbook_Vol_1.xlsx]Rates_Master'!$D:$D, MATCH(B58, '[CPWD_DAR_2019_Custom_Rate_Analysis_Workbook_Vol_1.xlsx]Rates_Master'!$A:$A, 0)), ""))</f>
        <v/>
      </c>
      <c r="E58" s="37" t="n"/>
      <c r="F58" s="38">
        <f>IF(B58="","", IFERROR(INDEX('[CPWD_DAR_2019_Custom_Rate_Analysis_Workbook_Vol_1.xlsx]Rates_Master'!$E:$E, MATCH(B58, '[CPWD_DAR_2019_Custom_Rate_Analysis_Workbook_Vol_1.xlsx]Rates_Master'!$A:$A, 0)), 0))</f>
        <v/>
      </c>
      <c r="G58" s="39">
        <f>IF(OR(B58="", E58=""), 0, ROUND(E58 * F58, 2))</f>
        <v/>
      </c>
      <c r="H58" s="40" t="inlineStr"/>
      <c r="I58" s="48" t="inlineStr"/>
    </row>
    <row r="59" ht="20" customHeight="1">
      <c r="A59" s="34" t="n">
        <v>5</v>
      </c>
      <c r="B59" s="25" t="inlineStr"/>
      <c r="C59" s="35">
        <f>IF(B59="","", IFERROR(INDEX('[CPWD_DAR_2019_Custom_Rate_Analysis_Workbook_Vol_1.xlsx]Rates_Master'!$C:$C, MATCH(B59, '[CPWD_DAR_2019_Custom_Rate_Analysis_Workbook_Vol_1.xlsx]Rates_Master'!$A:$A, 0)), "Custom Plant / Machinery"))</f>
        <v/>
      </c>
      <c r="D59" s="36">
        <f>IF(B59="","", IFERROR(INDEX('[CPWD_DAR_2019_Custom_Rate_Analysis_Workbook_Vol_1.xlsx]Rates_Master'!$D:$D, MATCH(B59, '[CPWD_DAR_2019_Custom_Rate_Analysis_Workbook_Vol_1.xlsx]Rates_Master'!$A:$A, 0)), ""))</f>
        <v/>
      </c>
      <c r="E59" s="37" t="n"/>
      <c r="F59" s="38">
        <f>IF(B59="","", IFERROR(INDEX('[CPWD_DAR_2019_Custom_Rate_Analysis_Workbook_Vol_1.xlsx]Rates_Master'!$E:$E, MATCH(B59, '[CPWD_DAR_2019_Custom_Rate_Analysis_Workbook_Vol_1.xlsx]Rates_Master'!$A:$A, 0)), 0))</f>
        <v/>
      </c>
      <c r="G59" s="39">
        <f>IF(OR(B59="", E59=""), 0, ROUND(E59 * F59, 2))</f>
        <v/>
      </c>
      <c r="H59" s="40" t="inlineStr"/>
      <c r="I59" s="48" t="inlineStr"/>
    </row>
    <row r="60" ht="20" customHeight="1">
      <c r="A60" s="34" t="n">
        <v>6</v>
      </c>
      <c r="B60" s="25" t="inlineStr"/>
      <c r="C60" s="35">
        <f>IF(B60="","", IFERROR(INDEX('[CPWD_DAR_2019_Custom_Rate_Analysis_Workbook_Vol_1.xlsx]Rates_Master'!$C:$C, MATCH(B60, '[CPWD_DAR_2019_Custom_Rate_Analysis_Workbook_Vol_1.xlsx]Rates_Master'!$A:$A, 0)), "Custom Plant / Machinery"))</f>
        <v/>
      </c>
      <c r="D60" s="36">
        <f>IF(B60="","", IFERROR(INDEX('[CPWD_DAR_2019_Custom_Rate_Analysis_Workbook_Vol_1.xlsx]Rates_Master'!$D:$D, MATCH(B60, '[CPWD_DAR_2019_Custom_Rate_Analysis_Workbook_Vol_1.xlsx]Rates_Master'!$A:$A, 0)), ""))</f>
        <v/>
      </c>
      <c r="E60" s="37" t="n"/>
      <c r="F60" s="38">
        <f>IF(B60="","", IFERROR(INDEX('[CPWD_DAR_2019_Custom_Rate_Analysis_Workbook_Vol_1.xlsx]Rates_Master'!$E:$E, MATCH(B60, '[CPWD_DAR_2019_Custom_Rate_Analysis_Workbook_Vol_1.xlsx]Rates_Master'!$A:$A, 0)), 0))</f>
        <v/>
      </c>
      <c r="G60" s="39">
        <f>IF(OR(B60="", E60=""), 0, ROUND(E60 * F60, 2))</f>
        <v/>
      </c>
      <c r="H60" s="40" t="inlineStr"/>
      <c r="I60" s="48" t="inlineStr"/>
    </row>
    <row r="61" ht="22" customHeight="1">
      <c r="A61" s="41" t="inlineStr">
        <is>
          <t>Subtotal Machinery &amp; Plant (Rs):</t>
        </is>
      </c>
      <c r="B61" s="42" t="n"/>
      <c r="C61" s="42" t="n"/>
      <c r="D61" s="42" t="n"/>
      <c r="E61" s="42" t="n"/>
      <c r="F61" s="42" t="n"/>
      <c r="G61" s="43">
        <f>SUM(G55:G60)</f>
        <v/>
      </c>
      <c r="H61" s="42" t="n"/>
      <c r="I61" s="42" t="n"/>
    </row>
    <row r="62" ht="24" customHeight="1">
      <c r="A62" s="12" t="inlineStr">
        <is>
          <t>5. SUNDRIES &amp; LUMP-SUM ALLOWANCES  (manual entry — the DAR gives no reproducible formula; use Sundries_Reference in WB1 to find a comparable item)</t>
        </is>
      </c>
    </row>
    <row r="63" ht="22" customHeight="1">
      <c r="A63" s="34" t="inlineStr">
        <is>
          <t>1</t>
        </is>
      </c>
      <c r="B63" s="33" t="inlineStr">
        <is>
          <t>9999</t>
        </is>
      </c>
      <c r="C63" s="20" t="inlineStr">
        <is>
          <t>Sundries (guided by Sundries_Reference sheet in WB1)</t>
        </is>
      </c>
      <c r="D63" s="34" t="inlineStr">
        <is>
          <t>L.S.</t>
        </is>
      </c>
      <c r="E63" s="49" t="n">
        <v>0</v>
      </c>
      <c r="F63" s="50">
        <f>Factor_Sundries</f>
        <v/>
      </c>
      <c r="G63" s="51">
        <f>ROUND(E63 * F63, 2)</f>
        <v/>
      </c>
      <c r="H63" s="22" t="inlineStr">
        <is>
          <t>Base L.S. allowance × Cost Index Multiplier (from WB1 Global_Factors via Factor_Sundries named range)</t>
        </is>
      </c>
      <c r="I63" s="20" t="n"/>
    </row>
    <row r="64"/>
    <row r="65" ht="24" customHeight="1">
      <c r="A65" s="12" t="inlineStr">
        <is>
          <t>6. STATUTORY MARKUPS &amp; FINAL RATE DERIVATION (CPWD DAR METHOD, WITH THE (W-A) EXCLUSION)</t>
        </is>
      </c>
    </row>
    <row r="66" ht="24" customHeight="1">
      <c r="A66" s="13" t="inlineStr">
        <is>
          <t>Step</t>
        </is>
      </c>
      <c r="B66" s="13" t="inlineStr">
        <is>
          <t>Component / Markup Description</t>
        </is>
      </c>
      <c r="C66" s="13" t="inlineStr">
        <is>
          <t>Apply? (YES/NO)</t>
        </is>
      </c>
      <c r="D66" s="13" t="inlineStr">
        <is>
          <t>Basis Applied</t>
        </is>
      </c>
      <c r="E66" s="13" t="inlineStr">
        <is>
          <t>Base Amount (Rs)</t>
        </is>
      </c>
      <c r="F66" s="13" t="inlineStr">
        <is>
          <t>Factor / %</t>
        </is>
      </c>
      <c r="G66" s="13" t="inlineStr">
        <is>
          <t>Amount (Rs)</t>
        </is>
      </c>
      <c r="H66" s="13" t="inlineStr">
        <is>
          <t>CPWD Statutory Rule &amp; Guidance Note</t>
        </is>
      </c>
      <c r="I66" s="13" t="inlineStr">
        <is>
          <t>A-Rule</t>
        </is>
      </c>
    </row>
    <row r="67" ht="24" customHeight="1">
      <c r="A67" s="21" t="inlineStr">
        <is>
          <t>W</t>
        </is>
      </c>
      <c r="B67" s="52" t="inlineStr">
        <is>
          <t>Base Direct Production Cost (Materials + Labour + Sundries)</t>
        </is>
      </c>
      <c r="C67" s="53" t="inlineStr">
        <is>
          <t>-</t>
        </is>
      </c>
      <c r="D67" s="53" t="inlineStr">
        <is>
          <t>Direct Sum</t>
        </is>
      </c>
      <c r="E67" s="54" t="inlineStr">
        <is>
          <t>-</t>
        </is>
      </c>
      <c r="F67" s="54" t="inlineStr">
        <is>
          <t>-</t>
        </is>
      </c>
      <c r="G67" s="46">
        <f>G38 + G52 + G61 + G63</f>
        <v/>
      </c>
      <c r="H67" s="47" t="inlineStr">
        <is>
          <t>Total direct cost of production (W); A-tagged imports included, exactly as the book totals it.</t>
        </is>
      </c>
      <c r="I67" s="55" t="inlineStr">
        <is>
          <t>includes A</t>
        </is>
      </c>
    </row>
    <row r="68" ht="24" customHeight="1">
      <c r="A68" s="33" t="inlineStr">
        <is>
          <t>X1</t>
        </is>
      </c>
      <c r="B68" s="56" t="inlineStr">
        <is>
          <t>Add Water Charges</t>
        </is>
      </c>
      <c r="C68" s="25" t="inlineStr">
        <is>
          <t>YES</t>
        </is>
      </c>
      <c r="D68" s="34" t="inlineStr">
        <is>
          <t>On (W - A)</t>
        </is>
      </c>
      <c r="E68" s="57">
        <f>G67 - G39</f>
        <v/>
      </c>
      <c r="F68" s="58">
        <f>Factor_Water</f>
        <v/>
      </c>
      <c r="G68" s="51">
        <f>IF(C68="YES", ROUND(E68 * F68, 2), 0)</f>
        <v/>
      </c>
      <c r="H68" s="19" t="inlineStr">
        <is>
          <t>CPWD Standard: 1% for curing &amp; site water. Toggle NO if dry item.</t>
        </is>
      </c>
      <c r="I68" s="18" t="inlineStr">
        <is>
          <t>net of A</t>
        </is>
      </c>
    </row>
    <row r="69" ht="24" customHeight="1">
      <c r="A69" s="21" t="inlineStr">
        <is>
          <t>X</t>
        </is>
      </c>
      <c r="B69" s="52" t="inlineStr">
        <is>
          <t>Subtotal "X" (W + Water Charges)</t>
        </is>
      </c>
      <c r="C69" s="53" t="inlineStr">
        <is>
          <t>-</t>
        </is>
      </c>
      <c r="D69" s="53" t="inlineStr">
        <is>
          <t>W + Water</t>
        </is>
      </c>
      <c r="E69" s="54" t="inlineStr">
        <is>
          <t>-</t>
        </is>
      </c>
      <c r="F69" s="54" t="inlineStr">
        <is>
          <t>-</t>
        </is>
      </c>
      <c r="G69" s="46">
        <f>G67 + G68</f>
        <v/>
      </c>
      <c r="H69" s="47" t="inlineStr">
        <is>
          <t>Compounded base for GST calculation.</t>
        </is>
      </c>
      <c r="I69" s="55" t="inlineStr">
        <is>
          <t>includes A</t>
        </is>
      </c>
    </row>
    <row r="70" ht="24" customHeight="1">
      <c r="A70" s="33" t="inlineStr">
        <is>
          <t>Y1</t>
        </is>
      </c>
      <c r="B70" s="56" t="inlineStr">
        <is>
          <t>Add GST on Works Contract</t>
        </is>
      </c>
      <c r="C70" s="25" t="inlineStr">
        <is>
          <t>YES</t>
        </is>
      </c>
      <c r="D70" s="34" t="inlineStr">
        <is>
          <t>On (X - A)</t>
        </is>
      </c>
      <c r="E70" s="57">
        <f>G69 - G39</f>
        <v/>
      </c>
      <c r="F70" s="58">
        <f>Factor_GST</f>
        <v/>
      </c>
      <c r="G70" s="51">
        <f>IF(C70="YES", ROUND(E70 * F70, 2), 0)</f>
        <v/>
      </c>
      <c r="H70" s="19" t="inlineStr">
        <is>
          <t>CPWD DAR 2019 factor 0.1405 (works contract). Toggle NO if tax exempt.</t>
        </is>
      </c>
      <c r="I70" s="18" t="inlineStr">
        <is>
          <t>net of A</t>
        </is>
      </c>
    </row>
    <row r="71" ht="24" customHeight="1">
      <c r="A71" s="21" t="inlineStr">
        <is>
          <t>Y</t>
        </is>
      </c>
      <c r="B71" s="52" t="inlineStr">
        <is>
          <t>Subtotal "Y" (X + GST)</t>
        </is>
      </c>
      <c r="C71" s="53" t="inlineStr">
        <is>
          <t>-</t>
        </is>
      </c>
      <c r="D71" s="53" t="inlineStr">
        <is>
          <t>X + GST</t>
        </is>
      </c>
      <c r="E71" s="54" t="inlineStr">
        <is>
          <t>-</t>
        </is>
      </c>
      <c r="F71" s="54" t="inlineStr">
        <is>
          <t>-</t>
        </is>
      </c>
      <c r="G71" s="46">
        <f>G69 + G70</f>
        <v/>
      </c>
      <c r="H71" s="47" t="inlineStr">
        <is>
          <t>Compounded base for Contractor Profit &amp; Overheads.</t>
        </is>
      </c>
      <c r="I71" s="55" t="inlineStr">
        <is>
          <t>includes A</t>
        </is>
      </c>
    </row>
    <row r="72" ht="24" customHeight="1">
      <c r="A72" s="33" t="inlineStr">
        <is>
          <t>Z1</t>
        </is>
      </c>
      <c r="B72" s="56" t="inlineStr">
        <is>
          <t>Add Contractor Profit &amp; Overheads (15% CPOH)</t>
        </is>
      </c>
      <c r="C72" s="25" t="inlineStr">
        <is>
          <t>YES</t>
        </is>
      </c>
      <c r="D72" s="34" t="inlineStr">
        <is>
          <t>On (Y - A)</t>
        </is>
      </c>
      <c r="E72" s="57">
        <f>G71 - G39</f>
        <v/>
      </c>
      <c r="F72" s="58">
        <f>Factor_CPOH</f>
        <v/>
      </c>
      <c r="G72" s="51">
        <f>IF(C72="YES", ROUND(E72 * F72, 2), 0)</f>
        <v/>
      </c>
      <c r="H72" s="19" t="inlineStr">
        <is>
          <t>Standard CPWD 15% allowance for site overheads, head-office costs &amp; margin.</t>
        </is>
      </c>
      <c r="I72" s="18" t="inlineStr">
        <is>
          <t>net of A</t>
        </is>
      </c>
    </row>
    <row r="73" ht="24" customHeight="1">
      <c r="A73" s="21" t="inlineStr">
        <is>
          <t>Z</t>
        </is>
      </c>
      <c r="B73" s="52" t="inlineStr">
        <is>
          <t>Subtotal "Z" (Y + CPOH)</t>
        </is>
      </c>
      <c r="C73" s="53" t="inlineStr">
        <is>
          <t>-</t>
        </is>
      </c>
      <c r="D73" s="53" t="inlineStr">
        <is>
          <t>Y + CPOH</t>
        </is>
      </c>
      <c r="E73" s="54" t="inlineStr">
        <is>
          <t>-</t>
        </is>
      </c>
      <c r="F73" s="54" t="inlineStr">
        <is>
          <t>-</t>
        </is>
      </c>
      <c r="G73" s="46">
        <f>G71 + G72</f>
        <v/>
      </c>
      <c r="H73" s="47" t="inlineStr">
        <is>
          <t>Compounded base for Labour Welfare Cess.</t>
        </is>
      </c>
      <c r="I73" s="55" t="inlineStr">
        <is>
          <t>includes A</t>
        </is>
      </c>
    </row>
    <row r="74" ht="24" customHeight="1">
      <c r="A74" s="33" t="inlineStr">
        <is>
          <t>Z2</t>
        </is>
      </c>
      <c r="B74" s="56" t="inlineStr">
        <is>
          <t>Add Labour Welfare Cess (1% BOCW Cess)</t>
        </is>
      </c>
      <c r="C74" s="25" t="inlineStr">
        <is>
          <t>YES</t>
        </is>
      </c>
      <c r="D74" s="34" t="inlineStr">
        <is>
          <t>On (Z - A)</t>
        </is>
      </c>
      <c r="E74" s="57">
        <f>G73 - G39</f>
        <v/>
      </c>
      <c r="F74" s="58">
        <f>Factor_Cess</f>
        <v/>
      </c>
      <c r="G74" s="51">
        <f>IF(C74="YES", ROUND(E74 * F74, 2), 0)</f>
        <v/>
      </c>
      <c r="H74" s="19" t="inlineStr">
        <is>
          <t>Statutory 1% Building and Other Construction Workers Welfare Cess.</t>
        </is>
      </c>
      <c r="I74" s="18" t="inlineStr">
        <is>
          <t>net of A</t>
        </is>
      </c>
    </row>
    <row r="75" ht="24" customHeight="1">
      <c r="A75" s="8" t="inlineStr">
        <is>
          <t>Cost</t>
        </is>
      </c>
      <c r="B75" s="59">
        <f>"Total Cost of Batch (" &amp; TEXT(D16, "0.00") &amp; " " &amp; F16 &amp; "):"</f>
        <v/>
      </c>
      <c r="C75" s="60" t="inlineStr">
        <is>
          <t>-</t>
        </is>
      </c>
      <c r="D75" s="60" t="inlineStr">
        <is>
          <t>Z + Cess</t>
        </is>
      </c>
      <c r="E75" s="61" t="inlineStr">
        <is>
          <t>-</t>
        </is>
      </c>
      <c r="F75" s="61" t="inlineStr">
        <is>
          <t>-</t>
        </is>
      </c>
      <c r="G75" s="62">
        <f>G73 + G74</f>
        <v/>
      </c>
      <c r="H75" s="63" t="inlineStr">
        <is>
          <t>Total evaluated cost for the batch size in the Panel 1 header row.</t>
        </is>
      </c>
      <c r="I75" s="64" t="inlineStr">
        <is>
          <t>-</t>
        </is>
      </c>
    </row>
    <row r="76" ht="24" customHeight="1">
      <c r="A76" s="21" t="inlineStr">
        <is>
          <t>Rate</t>
        </is>
      </c>
      <c r="B76" s="52">
        <f>"Analyzed Unit Rate per 1.00 " &amp; F16 &amp; ":"</f>
        <v/>
      </c>
      <c r="C76" s="53" t="inlineStr">
        <is>
          <t>-</t>
        </is>
      </c>
      <c r="D76" s="53" t="inlineStr">
        <is>
          <t>Cost / Batch Qty</t>
        </is>
      </c>
      <c r="E76" s="54" t="inlineStr">
        <is>
          <t>-</t>
        </is>
      </c>
      <c r="F76" s="54" t="inlineStr">
        <is>
          <t>-</t>
        </is>
      </c>
      <c r="G76" s="46">
        <f>ROUND(G75 / D16, 2)</f>
        <v/>
      </c>
      <c r="H76" s="47" t="inlineStr">
        <is>
          <t>Calculated cost per standard unit of measurement.</t>
        </is>
      </c>
      <c r="I76" s="55" t="inlineStr">
        <is>
          <t>-</t>
        </is>
      </c>
    </row>
    <row r="77" ht="30" customHeight="1">
      <c r="A77" s="9" t="inlineStr">
        <is>
          <t>SAY</t>
        </is>
      </c>
      <c r="B77" s="65">
        <f>"OFFICIAL SAY RATE (Rs per " &amp; F16 &amp; "):"</f>
        <v/>
      </c>
      <c r="C77" s="66" t="inlineStr">
        <is>
          <t>-</t>
        </is>
      </c>
      <c r="D77" s="66" t="inlineStr">
        <is>
          <t>MROUND to Rs 0.05</t>
        </is>
      </c>
      <c r="E77" s="67" t="inlineStr">
        <is>
          <t>-</t>
        </is>
      </c>
      <c r="F77" s="67" t="inlineStr">
        <is>
          <t>-</t>
        </is>
      </c>
      <c r="G77" s="68">
        <f>MROUND(G76, 0.05)</f>
        <v/>
      </c>
      <c r="H77" s="69" t="inlineStr">
        <is>
          <t>OFFICIAL CPWD ROUNDED RATE FOR TENDER SCHEDULES &amp; ESTIMATES. CPWD quotes Say rates to the nearest 5 paise — see the note directly below this row.</t>
        </is>
      </c>
      <c r="I77" s="70" t="inlineStr">
        <is>
          <t>-</t>
        </is>
      </c>
    </row>
    <row r="78" ht="44" customHeight="1">
      <c r="A78"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8" s="20" t="n"/>
      <c r="C78" s="20" t="n"/>
      <c r="D78" s="20" t="n"/>
      <c r="E78" s="20" t="n"/>
      <c r="F78" s="20" t="n"/>
      <c r="G78" s="20" t="n"/>
      <c r="H78" s="20" t="n"/>
      <c r="I78" s="20" t="n"/>
    </row>
    <row r="79"/>
    <row r="80" ht="24" customHeight="1">
      <c r="A80" s="12" t="inlineStr">
        <is>
          <t>7. RUNNING CUSTOM NON-DSR ITEMS LIBRARY FOR THIS TRADE</t>
        </is>
      </c>
    </row>
    <row r="81" ht="20" customHeight="1">
      <c r="A81" s="71" t="inlineStr">
        <is>
          <t>Log all completed custom rate analyses for this trade below. Items logged here maintain an internal project audit trail and can be referenced from other builder sheets.</t>
        </is>
      </c>
    </row>
    <row r="82" ht="24" customHeight="1">
      <c r="A82" s="13" t="inlineStr">
        <is>
          <t>Item Code</t>
        </is>
      </c>
      <c r="B82" s="13" t="inlineStr">
        <is>
          <t>Item Nomenclature / Specification</t>
        </is>
      </c>
      <c r="C82" s="13" t="inlineStr">
        <is>
          <t>Unit</t>
        </is>
      </c>
      <c r="D82" s="13" t="inlineStr">
        <is>
          <t>Output Basis</t>
        </is>
      </c>
      <c r="E82" s="13" t="inlineStr">
        <is>
          <t>Direct Cost W (Rs)</t>
        </is>
      </c>
      <c r="F82" s="13" t="inlineStr">
        <is>
          <t>Markups Applied</t>
        </is>
      </c>
      <c r="G82" s="13" t="inlineStr">
        <is>
          <t>Unit Rate (Rs)</t>
        </is>
      </c>
      <c r="H82" s="13" t="inlineStr">
        <is>
          <t>Say Rate (Rs)</t>
        </is>
      </c>
      <c r="I82" s="13" t="inlineStr">
        <is>
          <t>A-Total (Rs)</t>
        </is>
      </c>
    </row>
    <row r="83" ht="20" customHeight="1">
      <c r="A83" s="72" t="inlineStr">
        <is>
          <t>16.1</t>
        </is>
      </c>
      <c r="B83" s="73" t="inlineStr">
        <is>
          <t>Preparation &amp; consolidation of subgrade with 8-12t road roller</t>
        </is>
      </c>
      <c r="C83" s="74" t="inlineStr">
        <is>
          <t>sqm</t>
        </is>
      </c>
      <c r="D83" s="74" t="n">
        <v>100</v>
      </c>
      <c r="E83" s="75" t="n">
        <v>11510.91</v>
      </c>
      <c r="F83" s="74" t="inlineStr">
        <is>
          <t>Full W→X→Y→Z</t>
        </is>
      </c>
      <c r="G83" s="75" t="n">
        <v>154.15</v>
      </c>
      <c r="H83" s="76" t="n">
        <v>154.15</v>
      </c>
      <c r="I83" s="75" t="n"/>
    </row>
    <row r="84" ht="20" customHeight="1">
      <c r="A84" s="77" t="inlineStr">
        <is>
          <t>16.6</t>
        </is>
      </c>
      <c r="B84" s="78" t="inlineStr">
        <is>
          <t>WBM sub-base 75mm thick, 63mm stone aggregate, rolled</t>
        </is>
      </c>
      <c r="C84" s="79" t="inlineStr">
        <is>
          <t>sqm</t>
        </is>
      </c>
      <c r="D84" s="79" t="n">
        <v>100</v>
      </c>
      <c r="E84" s="80" t="n">
        <v>32400</v>
      </c>
      <c r="F84" s="79" t="inlineStr">
        <is>
          <t>Full W→X→Y→Z</t>
        </is>
      </c>
      <c r="G84" s="80" t="n">
        <v>433.7</v>
      </c>
      <c r="H84" s="81" t="n">
        <v>433.7</v>
      </c>
      <c r="I84" s="80" t="n"/>
    </row>
    <row r="85" ht="20" customHeight="1">
      <c r="A85" s="72" t="inlineStr">
        <is>
          <t>C-16.03</t>
        </is>
      </c>
      <c r="B85" s="73" t="inlineStr">
        <is>
          <t>(Available for new custom item)</t>
        </is>
      </c>
      <c r="C85" s="74" t="inlineStr">
        <is>
          <t>sqm</t>
        </is>
      </c>
      <c r="D85" s="74" t="n">
        <v>100</v>
      </c>
      <c r="E85" s="75" t="n"/>
      <c r="F85" s="74" t="inlineStr">
        <is>
          <t>Full W→X→Y→Z</t>
        </is>
      </c>
      <c r="G85" s="75" t="n"/>
      <c r="H85" s="76" t="n"/>
      <c r="I85" s="75" t="n"/>
    </row>
    <row r="86" ht="20" customHeight="1">
      <c r="A86" s="77" t="inlineStr">
        <is>
          <t>C-16.04</t>
        </is>
      </c>
      <c r="B86" s="78" t="inlineStr">
        <is>
          <t>(Available for new custom item)</t>
        </is>
      </c>
      <c r="C86" s="79" t="inlineStr">
        <is>
          <t>sqm</t>
        </is>
      </c>
      <c r="D86" s="79" t="n">
        <v>100</v>
      </c>
      <c r="E86" s="80" t="n"/>
      <c r="F86" s="79" t="inlineStr">
        <is>
          <t>Full W→X→Y→Z</t>
        </is>
      </c>
      <c r="G86" s="80" t="n"/>
      <c r="H86" s="81" t="n"/>
      <c r="I86" s="80" t="n"/>
    </row>
    <row r="87" ht="20" customHeight="1">
      <c r="A87" s="72" t="inlineStr">
        <is>
          <t>C-16.05</t>
        </is>
      </c>
      <c r="B87" s="73" t="inlineStr">
        <is>
          <t>(Available for new custom item)</t>
        </is>
      </c>
      <c r="C87" s="74" t="inlineStr">
        <is>
          <t>sqm</t>
        </is>
      </c>
      <c r="D87" s="74" t="n">
        <v>100</v>
      </c>
      <c r="E87" s="75" t="n"/>
      <c r="F87" s="74" t="inlineStr">
        <is>
          <t>Full W→X→Y→Z</t>
        </is>
      </c>
      <c r="G87" s="75" t="n"/>
      <c r="H87" s="76" t="n"/>
      <c r="I87" s="75" t="n"/>
    </row>
    <row r="88" ht="20" customHeight="1">
      <c r="A88" s="77" t="inlineStr">
        <is>
          <t>C-16.06</t>
        </is>
      </c>
      <c r="B88" s="78" t="inlineStr">
        <is>
          <t>(Available for new custom item)</t>
        </is>
      </c>
      <c r="C88" s="79" t="inlineStr">
        <is>
          <t>sqm</t>
        </is>
      </c>
      <c r="D88" s="79" t="n">
        <v>100</v>
      </c>
      <c r="E88" s="80" t="n"/>
      <c r="F88" s="79" t="inlineStr">
        <is>
          <t>Full W→X→Y→Z</t>
        </is>
      </c>
      <c r="G88" s="80" t="n"/>
      <c r="H88" s="81" t="n"/>
      <c r="I88" s="80" t="n"/>
    </row>
    <row r="89" ht="20" customHeight="1">
      <c r="A89" s="72" t="inlineStr">
        <is>
          <t>C-16.07</t>
        </is>
      </c>
      <c r="B89" s="73" t="inlineStr">
        <is>
          <t>(Available for new custom item)</t>
        </is>
      </c>
      <c r="C89" s="74" t="inlineStr">
        <is>
          <t>sqm</t>
        </is>
      </c>
      <c r="D89" s="74" t="n">
        <v>100</v>
      </c>
      <c r="E89" s="75" t="n"/>
      <c r="F89" s="74" t="inlineStr">
        <is>
          <t>Full W→X→Y→Z</t>
        </is>
      </c>
      <c r="G89" s="75" t="n"/>
      <c r="H89" s="76" t="n"/>
      <c r="I89" s="75" t="n"/>
    </row>
    <row r="90" ht="20" customHeight="1">
      <c r="A90" s="77" t="inlineStr">
        <is>
          <t>C-16.08</t>
        </is>
      </c>
      <c r="B90" s="78" t="inlineStr">
        <is>
          <t>(Available for new custom item)</t>
        </is>
      </c>
      <c r="C90" s="79" t="inlineStr">
        <is>
          <t>sqm</t>
        </is>
      </c>
      <c r="D90" s="79" t="n">
        <v>100</v>
      </c>
      <c r="E90" s="80" t="n"/>
      <c r="F90" s="79" t="inlineStr">
        <is>
          <t>Full W→X→Y→Z</t>
        </is>
      </c>
      <c r="G90" s="80" t="n"/>
      <c r="H90" s="81" t="n"/>
      <c r="I90" s="80" t="n"/>
    </row>
  </sheetData>
  <sheetProtection selectLockedCells="0" selectUnlockedCells="0" sheet="1" objects="0" insertRows="1" insertHyperlinks="1" autoFilter="1" scenarios="0" formatColumns="1" deleteColumns="1" insertColumns="1" pivotTables="1" deleteRows="1" formatCells="1" formatRows="1" sort="1"/>
  <mergeCells count="30">
    <mergeCell ref="E21:I21"/>
    <mergeCell ref="A65:I65"/>
    <mergeCell ref="E12:I12"/>
    <mergeCell ref="B17:G17"/>
    <mergeCell ref="A80:I80"/>
    <mergeCell ref="A18:I18"/>
    <mergeCell ref="A3:I3"/>
    <mergeCell ref="E23:I23"/>
    <mergeCell ref="E14:I14"/>
    <mergeCell ref="A26:I26"/>
    <mergeCell ref="E20:I20"/>
    <mergeCell ref="E10:I10"/>
    <mergeCell ref="E13:I13"/>
    <mergeCell ref="E19:I19"/>
    <mergeCell ref="A8:I8"/>
    <mergeCell ref="A53:I53"/>
    <mergeCell ref="A62:I62"/>
    <mergeCell ref="E9:I9"/>
    <mergeCell ref="A38:F38"/>
    <mergeCell ref="A52:F52"/>
    <mergeCell ref="A81:I81"/>
    <mergeCell ref="E15:I15"/>
    <mergeCell ref="A40:I40"/>
    <mergeCell ref="E11:I11"/>
    <mergeCell ref="A39:F39"/>
    <mergeCell ref="A24:I24"/>
    <mergeCell ref="A1:I1"/>
    <mergeCell ref="A61:F61"/>
    <mergeCell ref="E22:I22"/>
    <mergeCell ref="A78:I78"/>
  </mergeCells>
  <dataValidations count="6">
    <dataValidation sqref="C68 C70 C72 C74"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"Subgrade preparation,Sub-base (WBM / GSB),Bituminous prime coat,Bituminous tack coat,Bituminous macadam (BM),Dense bituminous macadam (DBM),Wearing course (SDBC / BC),Cement concrete pavement"</formula1>
    </dataValidation>
    <dataValidation sqref="B11" showDropDown="0" showInputMessage="0" showErrorMessage="0" allowBlank="1" type="list">
      <formula1>"Road roller 8-12 tonne (code 0003),Vibratory compactor (code 0002),Plate compactor (code 0004),Pneumatic roller"</formula1>
    </dataValidation>
    <dataValidation sqref="B12" showDropDown="0" showInputMessage="0" showErrorMessage="0" allowBlank="1" type="list">
      <formula1>"YES — use Sub-Head 01 rates as A-tagged material lines,NO — materials delivered to site"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17: SANITARY INSTALLATIONS (CUSTOM ITEM BUILDER)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17: WC pans, wash basins, urinals, baths, shower trays, cisterns, and their traps and fixtures. Material lines carry the sanitary-ware commodity codes (1x xx / 7x xx range) from Rates_Master (WB1). Cement/sand for jointing and grout are added as Sundries L.S. (code 9999). Labour: Fitter 1st class (0116), Mason brick-layer (0123), Beldar (0114). Carriage of materials is a separate Sundries L.S. line (code 9977).</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Fixture type</t>
        </is>
      </c>
      <c r="B10" s="17" t="inlineStr">
        <is>
          <t>WC pan — Orissa pattern</t>
        </is>
      </c>
      <c r="C10" s="8" t="inlineStr">
        <is>
          <t>DRIVES COST</t>
        </is>
      </c>
      <c r="D10" s="18" t="inlineStr">
        <is>
          <t>-</t>
        </is>
      </c>
      <c r="E10" s="19" t="inlineStr">
        <is>
          <t>DRIVES COST. Sets the main fixture code and flushing/trap codes. Each fixture family has distinct codes in Rates_Master.</t>
        </is>
      </c>
      <c r="F10" s="20" t="n"/>
      <c r="G10" s="20" t="n"/>
      <c r="H10" s="20" t="n"/>
      <c r="I10" s="20" t="n"/>
    </row>
    <row r="11" ht="32" customHeight="1">
      <c r="A11" s="16" t="inlineStr">
        <is>
          <t>Material</t>
        </is>
      </c>
      <c r="B11" s="17" t="inlineStr">
        <is>
          <t>White vitreous china</t>
        </is>
      </c>
      <c r="C11" s="8" t="inlineStr">
        <is>
          <t>DRIVES COST</t>
        </is>
      </c>
      <c r="D11" s="18" t="inlineStr">
        <is>
          <t>-</t>
        </is>
      </c>
      <c r="E11" s="19" t="inlineStr">
        <is>
          <t>DRIVES COST. Material grade determines the fixture code and rate. Coloured fittings are 15-30% costlier than white.</t>
        </is>
      </c>
      <c r="F11" s="20" t="n"/>
      <c r="G11" s="20" t="n"/>
      <c r="H11" s="20" t="n"/>
      <c r="I11" s="20" t="n"/>
    </row>
    <row r="12" ht="32" customHeight="1">
      <c r="A12" s="16" t="inlineStr">
        <is>
          <t>Flushing cistern type</t>
        </is>
      </c>
      <c r="B12" s="17" t="inlineStr">
        <is>
          <t>PVC cistern 10 L</t>
        </is>
      </c>
      <c r="C12" s="8" t="inlineStr">
        <is>
          <t>DRIVES COST</t>
        </is>
      </c>
      <c r="D12" s="18" t="inlineStr">
        <is>
          <t>-</t>
        </is>
      </c>
      <c r="E12" s="19" t="inlineStr">
        <is>
          <t>DRIVES COST. Cistern type is a separate material line. Code 7358 = PVC cistern 10 L @ Rs 575.00.</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C-17.01</t>
        </is>
      </c>
      <c r="C16" s="24" t="inlineStr">
        <is>
          <t>Batch Output Basis:</t>
        </is>
      </c>
      <c r="D16" s="26" t="n">
        <v>1</v>
      </c>
      <c r="E16" s="24" t="inlineStr">
        <is>
          <t>Output Unit:</t>
        </is>
      </c>
      <c r="F16" s="25" t="inlineStr">
        <is>
          <t>each</t>
        </is>
      </c>
      <c r="G16" s="24" t="inlineStr">
        <is>
          <t>Trade Sub-Head:</t>
        </is>
      </c>
      <c r="H16" s="27" t="inlineStr">
        <is>
          <t>17 Sanitary Installations</t>
        </is>
      </c>
      <c r="I16" s="22" t="inlineStr">
        <is>
          <t>Output Unit Note:</t>
        </is>
      </c>
    </row>
    <row r="17" ht="40" customHeight="1">
      <c r="A17" s="24" t="inlineStr">
        <is>
          <t>Assembled Item Nomenclature:</t>
        </is>
      </c>
      <c r="B17" s="28" t="inlineStr">
        <is>
          <t>Providing and fixing white vitreous china Orissa pattern water closet pan with 100 mm dia S.C.I. trap with vent horn and P.V.C. flushing cistern 10 litres capacity with fittings and fixtures,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1954</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1</v>
      </c>
      <c r="F28" s="38">
        <f>IF(B28="","", IFERROR(INDEX('[CPWD_DAR_2019_Custom_Rate_Analysis_Workbook_Vol_1.xlsx]Rates_Master'!$E:$E, MATCH(B28, '[CPWD_DAR_2019_Custom_Rate_Analysis_Workbook_Vol_1.xlsx]Rates_Master'!$A:$A, 0)), 0))</f>
        <v/>
      </c>
      <c r="G28" s="39">
        <f>IF(OR(B28="", E28=""), 0, ROUND(E28 * F28, 2))</f>
        <v/>
      </c>
      <c r="H28" s="40" t="inlineStr">
        <is>
          <t>WC pan — Vitreous china Orissa type: 1 each. DAR 17.1.1, page 374.</t>
        </is>
      </c>
      <c r="I28" s="25" t="inlineStr"/>
    </row>
    <row r="29" ht="20" customHeight="1">
      <c r="A29" s="34" t="n">
        <v>2</v>
      </c>
      <c r="B29" s="25" t="inlineStr">
        <is>
          <t>7358</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1</v>
      </c>
      <c r="F29" s="38">
        <f>IF(B29="","", IFERROR(INDEX('[CPWD_DAR_2019_Custom_Rate_Analysis_Workbook_Vol_1.xlsx]Rates_Master'!$E:$E, MATCH(B29, '[CPWD_DAR_2019_Custom_Rate_Analysis_Workbook_Vol_1.xlsx]Rates_Master'!$A:$A, 0)), 0))</f>
        <v/>
      </c>
      <c r="G29" s="39">
        <f>IF(OR(B29="", E29=""), 0, ROUND(E29 * F29, 2))</f>
        <v/>
      </c>
      <c r="H29" s="40" t="inlineStr">
        <is>
          <t>PVC flushing cistern 10 L with fittings: 1 each. DAR 17.1.1.</t>
        </is>
      </c>
      <c r="I29" s="25" t="inlineStr"/>
    </row>
    <row r="30" ht="20" customHeight="1">
      <c r="A30" s="34" t="n">
        <v>3</v>
      </c>
      <c r="B30" s="25" t="inlineStr">
        <is>
          <t>1896</t>
        </is>
      </c>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v>1</v>
      </c>
      <c r="F30" s="38">
        <f>IF(B30="","", IFERROR(INDEX('[CPWD_DAR_2019_Custom_Rate_Analysis_Workbook_Vol_1.xlsx]Rates_Master'!$E:$E, MATCH(B30, '[CPWD_DAR_2019_Custom_Rate_Analysis_Workbook_Vol_1.xlsx]Rates_Master'!$A:$A, 0)), 0))</f>
        <v/>
      </c>
      <c r="G30" s="39">
        <f>IF(OR(B30="", E30=""), 0, ROUND(E30 * F30, 2))</f>
        <v/>
      </c>
      <c r="H30" s="40" t="inlineStr">
        <is>
          <t>100 mm SCI trap with vent horn: 1 each. DAR 17.1.1.</t>
        </is>
      </c>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0116</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1.25</v>
      </c>
      <c r="F42" s="38">
        <f>IF(B42="","", IFERROR(INDEX('[CPWD_DAR_2019_Custom_Rate_Analysis_Workbook_Vol_1.xlsx]Rates_Master'!$E:$E, MATCH(B42, '[CPWD_DAR_2019_Custom_Rate_Analysis_Workbook_Vol_1.xlsx]Rates_Master'!$A:$A, 0)), 0))</f>
        <v/>
      </c>
      <c r="G42" s="39">
        <f>IF(OR(B42="", E42=""), 0, ROUND(E42 * F42, 2))</f>
        <v/>
      </c>
      <c r="H42" s="40" t="inlineStr">
        <is>
          <t>Fitter grade 1: 1.25 days per WC installation. DAR 17.1.1.</t>
        </is>
      </c>
      <c r="I42" s="48" t="inlineStr"/>
    </row>
    <row r="43" ht="20" customHeight="1">
      <c r="A43" s="34" t="n">
        <v>2</v>
      </c>
      <c r="B43" s="25" t="inlineStr">
        <is>
          <t>0123</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0.5</v>
      </c>
      <c r="F43" s="38">
        <f>IF(B43="","", IFERROR(INDEX('[CPWD_DAR_2019_Custom_Rate_Analysis_Workbook_Vol_1.xlsx]Rates_Master'!$E:$E, MATCH(B43, '[CPWD_DAR_2019_Custom_Rate_Analysis_Workbook_Vol_1.xlsx]Rates_Master'!$A:$A, 0)), 0))</f>
        <v/>
      </c>
      <c r="G43" s="39">
        <f>IF(OR(B43="", E43=""), 0, ROUND(E43 * F43, 2))</f>
        <v/>
      </c>
      <c r="H43" s="40" t="inlineStr">
        <is>
          <t>Mason brick-layer 1st class: 0.50 days for floor-cutting &amp; grouting. DAR 17.1.1.</t>
        </is>
      </c>
      <c r="I43" s="48" t="inlineStr"/>
    </row>
    <row r="44" ht="20" customHeight="1">
      <c r="A44" s="34" t="n">
        <v>3</v>
      </c>
      <c r="B44" s="25" t="inlineStr">
        <is>
          <t>0114</t>
        </is>
      </c>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v>1</v>
      </c>
      <c r="F44" s="38">
        <f>IF(B44="","", IFERROR(INDEX('[CPWD_DAR_2019_Custom_Rate_Analysis_Workbook_Vol_1.xlsx]Rates_Master'!$E:$E, MATCH(B44, '[CPWD_DAR_2019_Custom_Rate_Analysis_Workbook_Vol_1.xlsx]Rates_Master'!$A:$A, 0)), 0))</f>
        <v/>
      </c>
      <c r="G44" s="39">
        <f>IF(OR(B44="", E44=""), 0, ROUND(E44 * F44, 2))</f>
        <v/>
      </c>
      <c r="H44" s="40" t="inlineStr">
        <is>
          <t>Beldar: 1.00 day for carrying, mixing and assisting. DAR 17.1.1.</t>
        </is>
      </c>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17.1.1</t>
        </is>
      </c>
      <c r="B75" s="73" t="inlineStr">
        <is>
          <t>White vitreous china Orissa WC + PVC cistern 10L + 100mm SCI trap</t>
        </is>
      </c>
      <c r="C75" s="74" t="inlineStr">
        <is>
          <t>each</t>
        </is>
      </c>
      <c r="D75" s="74" t="n">
        <v>1</v>
      </c>
      <c r="E75" s="75" t="n">
        <v>4052.14</v>
      </c>
      <c r="F75" s="74" t="inlineStr">
        <is>
          <t>Full W→X→Y→Z</t>
        </is>
      </c>
      <c r="G75" s="75" t="n">
        <v>5425</v>
      </c>
      <c r="H75" s="76" t="n">
        <v>5425</v>
      </c>
      <c r="I75" s="75" t="n"/>
    </row>
    <row r="76" ht="20" customHeight="1">
      <c r="A76" s="77" t="inlineStr">
        <is>
          <t>17.4.1</t>
        </is>
      </c>
      <c r="B76" s="78" t="inlineStr">
        <is>
          <t>White vitreous china wash basin 550x400mm with pillar cock &amp; waste</t>
        </is>
      </c>
      <c r="C76" s="79" t="inlineStr">
        <is>
          <t>each</t>
        </is>
      </c>
      <c r="D76" s="79" t="n">
        <v>1</v>
      </c>
      <c r="E76" s="80" t="n">
        <v>3180</v>
      </c>
      <c r="F76" s="79" t="inlineStr">
        <is>
          <t>Full W→X→Y→Z</t>
        </is>
      </c>
      <c r="G76" s="80" t="n">
        <v>4260</v>
      </c>
      <c r="H76" s="81" t="n">
        <v>4260</v>
      </c>
      <c r="I76" s="80" t="n"/>
    </row>
    <row r="77" ht="20" customHeight="1">
      <c r="A77" s="72" t="inlineStr">
        <is>
          <t>C-17.03</t>
        </is>
      </c>
      <c r="B77" s="73" t="inlineStr">
        <is>
          <t>(Available for new custom item)</t>
        </is>
      </c>
      <c r="C77" s="74" t="inlineStr">
        <is>
          <t>each</t>
        </is>
      </c>
      <c r="D77" s="74" t="n">
        <v>1</v>
      </c>
      <c r="E77" s="75" t="n"/>
      <c r="F77" s="74" t="inlineStr">
        <is>
          <t>Full W→X→Y→Z</t>
        </is>
      </c>
      <c r="G77" s="75" t="n"/>
      <c r="H77" s="76" t="n"/>
      <c r="I77" s="75" t="n"/>
    </row>
    <row r="78" ht="20" customHeight="1">
      <c r="A78" s="77" t="inlineStr">
        <is>
          <t>C-17.04</t>
        </is>
      </c>
      <c r="B78" s="78" t="inlineStr">
        <is>
          <t>(Available for new custom item)</t>
        </is>
      </c>
      <c r="C78" s="79" t="inlineStr">
        <is>
          <t>each</t>
        </is>
      </c>
      <c r="D78" s="79" t="n">
        <v>1</v>
      </c>
      <c r="E78" s="80" t="n"/>
      <c r="F78" s="79" t="inlineStr">
        <is>
          <t>Full W→X→Y→Z</t>
        </is>
      </c>
      <c r="G78" s="80" t="n"/>
      <c r="H78" s="81" t="n"/>
      <c r="I78" s="80" t="n"/>
    </row>
    <row r="79" ht="20" customHeight="1">
      <c r="A79" s="72" t="inlineStr">
        <is>
          <t>C-17.05</t>
        </is>
      </c>
      <c r="B79" s="73" t="inlineStr">
        <is>
          <t>(Available for new custom item)</t>
        </is>
      </c>
      <c r="C79" s="74" t="inlineStr">
        <is>
          <t>each</t>
        </is>
      </c>
      <c r="D79" s="74" t="n">
        <v>1</v>
      </c>
      <c r="E79" s="75" t="n"/>
      <c r="F79" s="74" t="inlineStr">
        <is>
          <t>Full W→X→Y→Z</t>
        </is>
      </c>
      <c r="G79" s="75" t="n"/>
      <c r="H79" s="76" t="n"/>
      <c r="I79" s="75" t="n"/>
    </row>
    <row r="80" ht="20" customHeight="1">
      <c r="A80" s="77" t="inlineStr">
        <is>
          <t>C-17.06</t>
        </is>
      </c>
      <c r="B80" s="78" t="inlineStr">
        <is>
          <t>(Available for new custom item)</t>
        </is>
      </c>
      <c r="C80" s="79" t="inlineStr">
        <is>
          <t>each</t>
        </is>
      </c>
      <c r="D80" s="79" t="n">
        <v>1</v>
      </c>
      <c r="E80" s="80" t="n"/>
      <c r="F80" s="79" t="inlineStr">
        <is>
          <t>Full W→X→Y→Z</t>
        </is>
      </c>
      <c r="G80" s="80" t="n"/>
      <c r="H80" s="81" t="n"/>
      <c r="I80" s="80" t="n"/>
    </row>
    <row r="81" ht="20" customHeight="1">
      <c r="A81" s="72" t="inlineStr">
        <is>
          <t>C-17.07</t>
        </is>
      </c>
      <c r="B81" s="73" t="inlineStr">
        <is>
          <t>(Available for new custom item)</t>
        </is>
      </c>
      <c r="C81" s="74" t="inlineStr">
        <is>
          <t>each</t>
        </is>
      </c>
      <c r="D81" s="74" t="n">
        <v>1</v>
      </c>
      <c r="E81" s="75" t="n"/>
      <c r="F81" s="74" t="inlineStr">
        <is>
          <t>Full W→X→Y→Z</t>
        </is>
      </c>
      <c r="G81" s="75" t="n"/>
      <c r="H81" s="76" t="n"/>
      <c r="I81" s="75" t="n"/>
    </row>
    <row r="82" ht="20" customHeight="1">
      <c r="A82" s="77" t="inlineStr">
        <is>
          <t>C-17.08</t>
        </is>
      </c>
      <c r="B82" s="78" t="inlineStr">
        <is>
          <t>(Available for new custom item)</t>
        </is>
      </c>
      <c r="C82" s="79" t="inlineStr">
        <is>
          <t>each</t>
        </is>
      </c>
      <c r="D82" s="79" t="n">
        <v>1</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6">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"WC pan — Orissa pattern,WC pan — European water closet,Wash basin,Urinal (bowl),Bath (cast iron / acrylic),Shower tray,Kitchen sink"</formula1>
    </dataValidation>
    <dataValidation sqref="B11" showDropDown="0" showInputMessage="0" showErrorMessage="0" allowBlank="1" type="list">
      <formula1>"White vitreous china,Coloured vitreous china,Stainless steel,Cast iron (enamel coated),Acrylic / fibreglass"</formula1>
    </dataValidation>
    <dataValidation sqref="B12" showDropDown="0" showInputMessage="0" showErrorMessage="0" allowBlank="1" type="list">
      <formula1>"PVC cistern 10 L (code 7358),CI high-level cistern,Concealed cistern,None (manual flush)"</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18: WATER SUPPLY (CUSTOM ITEM BUILDER)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18: Water-supply pipe and fitting installation. The book's standard method: pipe cost is first computed as a "P" sub-total, then 30% is added for fittings and wastage (30 × P / 100), matching the DAR's own formula on page 488. The wastage helper row (below MATERIAL sub-total) does this automatically. Labour: Fitter 1st class (0116), Asst Fitter (0117), Beldar (0114). Cement/sand for jointing goes in Sundries L.S.</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Pipe material</t>
        </is>
      </c>
      <c r="B10" s="17" t="inlineStr">
        <is>
          <t>PE-AL-PE composite (code 8300 series)</t>
        </is>
      </c>
      <c r="C10" s="8" t="inlineStr">
        <is>
          <t>DRIVES COST</t>
        </is>
      </c>
      <c r="D10" s="18" t="inlineStr">
        <is>
          <t>-</t>
        </is>
      </c>
      <c r="E10" s="19" t="inlineStr">
        <is>
          <t>DRIVES COST. Sets the pipe code from Rates_Master. GI, CPVC and UPVC codes are in the 7x xx range; PE-AL-PE in 8300 series.</t>
        </is>
      </c>
      <c r="F10" s="20" t="n"/>
      <c r="G10" s="20" t="n"/>
      <c r="H10" s="20" t="n"/>
      <c r="I10" s="20" t="n"/>
    </row>
    <row r="11" ht="32" customHeight="1">
      <c r="A11" s="16" t="inlineStr">
        <is>
          <t>Pipe size (OD)</t>
        </is>
      </c>
      <c r="B11" s="17" t="inlineStr">
        <is>
          <t>16 mm OD (1216 series)</t>
        </is>
      </c>
      <c r="C11" s="8" t="inlineStr">
        <is>
          <t>DRIVES COST</t>
        </is>
      </c>
      <c r="D11" s="18" t="inlineStr">
        <is>
          <t>-</t>
        </is>
      </c>
      <c r="E11" s="19" t="inlineStr">
        <is>
          <t>DRIVES COST. Each size has a distinct code and rate per metre. Rates grow roughly with the square of diameter.</t>
        </is>
      </c>
      <c r="F11" s="20" t="n"/>
      <c r="G11" s="20" t="n"/>
      <c r="H11" s="20" t="n"/>
      <c r="I11" s="20" t="n"/>
    </row>
    <row r="12" ht="32" customHeight="1">
      <c r="A12" s="16" t="inlineStr">
        <is>
          <t>Fittings &amp; wastage allowance</t>
        </is>
      </c>
      <c r="B12" s="17" t="inlineStr">
        <is>
          <t>30% on pipe cost (DAR standard)</t>
        </is>
      </c>
      <c r="C12" s="8" t="inlineStr">
        <is>
          <t>DRIVES COST</t>
        </is>
      </c>
      <c r="D12" s="18" t="inlineStr">
        <is>
          <t>-</t>
        </is>
      </c>
      <c r="E12" s="19" t="inlineStr">
        <is>
          <t>DRIVES COST. DAR standard is 30% of the pipe line total (P). The wastage helper row computes this automatically. Change the % in the Panel 2 driver row if site conditions justify it.</t>
        </is>
      </c>
      <c r="F12" s="20" t="n"/>
      <c r="G12" s="20" t="n"/>
      <c r="H12" s="20" t="n"/>
      <c r="I12" s="20" t="n"/>
    </row>
    <row r="13" ht="32" customHeight="1">
      <c r="A13" s="16" t="inlineStr">
        <is>
          <t>Testing included</t>
        </is>
      </c>
      <c r="B13" s="17" t="inlineStr">
        <is>
          <t>YES (hydraulic test)</t>
        </is>
      </c>
      <c r="C13" s="21" t="inlineStr">
        <is>
          <t>NOMENCLATURE ONLY</t>
        </is>
      </c>
      <c r="D13" s="18" t="inlineStr">
        <is>
          <t>-</t>
        </is>
      </c>
      <c r="E13" s="19" t="inlineStr">
        <is>
          <t>NOMENCLATURE ONLY. Hydraulic testing labour is folded into the Fitter days — the DAR does not price it separately.</t>
        </is>
      </c>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C-18.01</t>
        </is>
      </c>
      <c r="C16" s="24" t="inlineStr">
        <is>
          <t>Batch Output Basis:</t>
        </is>
      </c>
      <c r="D16" s="26" t="n">
        <v>10</v>
      </c>
      <c r="E16" s="24" t="inlineStr">
        <is>
          <t>Output Unit:</t>
        </is>
      </c>
      <c r="F16" s="25" t="inlineStr">
        <is>
          <t>metre</t>
        </is>
      </c>
      <c r="G16" s="24" t="inlineStr">
        <is>
          <t>Trade Sub-Head:</t>
        </is>
      </c>
      <c r="H16" s="27" t="inlineStr">
        <is>
          <t>18 Water Supply</t>
        </is>
      </c>
      <c r="I16" s="22" t="inlineStr">
        <is>
          <t>Output Unit Note:</t>
        </is>
      </c>
    </row>
    <row r="17" ht="40" customHeight="1">
      <c r="A17" s="24" t="inlineStr">
        <is>
          <t>Assembled Item Nomenclature:</t>
        </is>
      </c>
      <c r="B17" s="28" t="inlineStr">
        <is>
          <t>Providing and fixing PE-AL-PE composite pressure pipe 16 mm OD with necessary fittings, clamps and accessories including cutting, jointing and testing,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30" customHeight="1">
      <c r="A20" s="16" t="inlineStr">
        <is>
          <t>Fittings &amp; wastage % (of pipe cost P)</t>
        </is>
      </c>
      <c r="B20" s="25" t="n">
        <v>30</v>
      </c>
      <c r="C20" s="34" t="inlineStr">
        <is>
          <t>%</t>
        </is>
      </c>
      <c r="D20" s="18" t="inlineStr">
        <is>
          <t>-</t>
        </is>
      </c>
      <c r="E20" s="19" t="inlineStr">
        <is>
          <t>DAR standard is 30 x P / 100, per page 488. Change here if your specification allows a different allowance. This scales the fittings line in the MATERIAL block.</t>
        </is>
      </c>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8300</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10</v>
      </c>
      <c r="F28" s="38">
        <f>IF(B28="","", IFERROR(INDEX('[CPWD_DAR_2019_Custom_Rate_Analysis_Workbook_Vol_1.xlsx]Rates_Master'!$E:$E, MATCH(B28, '[CPWD_DAR_2019_Custom_Rate_Analysis_Workbook_Vol_1.xlsx]Rates_Master'!$A:$A, 0)), 0))</f>
        <v/>
      </c>
      <c r="G28" s="39">
        <f>IF(OR(B28="", E28=""), 0, ROUND(E28 * F28, 2))</f>
        <v/>
      </c>
      <c r="H28" s="40" t="inlineStr">
        <is>
          <t>PE-AL-PE composite pipe 1216 (16 mm OD): 10 metre at Rs 62.00/m. DAR 18.1.1, page 488. This is the "P" pipe-cost sub-total line. The 30% fittings add-on is handled in Panel 2 / the wastage helper.</t>
        </is>
      </c>
      <c r="I28" s="25" t="inlineStr"/>
    </row>
    <row r="29" ht="20" customHeight="1">
      <c r="A29" s="34" t="n">
        <v>2</v>
      </c>
      <c r="B29" s="25" t="inlineStr"/>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c r="F29" s="38">
        <f>IF(B29="","", IFERROR(INDEX('[CPWD_DAR_2019_Custom_Rate_Analysis_Workbook_Vol_1.xlsx]Rates_Master'!$E:$E, MATCH(B29, '[CPWD_DAR_2019_Custom_Rate_Analysis_Workbook_Vol_1.xlsx]Rates_Master'!$A:$A, 0)), 0))</f>
        <v/>
      </c>
      <c r="G29" s="39">
        <f>IF(OR(B29="", E29=""), 0, ROUND(E29 * F29, 2))</f>
        <v/>
      </c>
      <c r="H29" s="40" t="inlineStr"/>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0116</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0.33</v>
      </c>
      <c r="F42" s="38">
        <f>IF(B42="","", IFERROR(INDEX('[CPWD_DAR_2019_Custom_Rate_Analysis_Workbook_Vol_1.xlsx]Rates_Master'!$E:$E, MATCH(B42, '[CPWD_DAR_2019_Custom_Rate_Analysis_Workbook_Vol_1.xlsx]Rates_Master'!$A:$A, 0)), 0))</f>
        <v/>
      </c>
      <c r="G42" s="39">
        <f>IF(OR(B42="", E42=""), 0, ROUND(E42 * F42, 2))</f>
        <v/>
      </c>
      <c r="H42" s="40" t="inlineStr">
        <is>
          <t>Fitter grade 1: 0.33 days per 10 m of 16mm PE-AL-PE pipe. DAR 18.1.1.</t>
        </is>
      </c>
      <c r="I42" s="48" t="inlineStr"/>
    </row>
    <row r="43" ht="20" customHeight="1">
      <c r="A43" s="34" t="n">
        <v>2</v>
      </c>
      <c r="B43" s="25" t="inlineStr">
        <is>
          <t>0117</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0.66</v>
      </c>
      <c r="F43" s="38">
        <f>IF(B43="","", IFERROR(INDEX('[CPWD_DAR_2019_Custom_Rate_Analysis_Workbook_Vol_1.xlsx]Rates_Master'!$E:$E, MATCH(B43, '[CPWD_DAR_2019_Custom_Rate_Analysis_Workbook_Vol_1.xlsx]Rates_Master'!$A:$A, 0)), 0))</f>
        <v/>
      </c>
      <c r="G43" s="39">
        <f>IF(OR(B43="", E43=""), 0, ROUND(E43 * F43, 2))</f>
        <v/>
      </c>
      <c r="H43" s="40" t="inlineStr">
        <is>
          <t>Asst Fitter / Fitter 2nd class: 0.66 days per 10 m. DAR 18.1.1.</t>
        </is>
      </c>
      <c r="I43" s="48" t="inlineStr"/>
    </row>
    <row r="44" ht="20" customHeight="1">
      <c r="A44" s="34" t="n">
        <v>3</v>
      </c>
      <c r="B44" s="25" t="inlineStr">
        <is>
          <t>0114</t>
        </is>
      </c>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v>0.66</v>
      </c>
      <c r="F44" s="38">
        <f>IF(B44="","", IFERROR(INDEX('[CPWD_DAR_2019_Custom_Rate_Analysis_Workbook_Vol_1.xlsx]Rates_Master'!$E:$E, MATCH(B44, '[CPWD_DAR_2019_Custom_Rate_Analysis_Workbook_Vol_1.xlsx]Rates_Master'!$A:$A, 0)), 0))</f>
        <v/>
      </c>
      <c r="G44" s="39">
        <f>IF(OR(B44="", E44=""), 0, ROUND(E44 * F44, 2))</f>
        <v/>
      </c>
      <c r="H44" s="40" t="inlineStr">
        <is>
          <t>Beldar: 0.66 days per 10 m. DAR 18.1.1.</t>
        </is>
      </c>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18.1.1</t>
        </is>
      </c>
      <c r="B75" s="73" t="inlineStr">
        <is>
          <t>PE-AL-PE composite pipe 16mm OD + 30% fittings &amp; wastage</t>
        </is>
      </c>
      <c r="C75" s="74" t="inlineStr">
        <is>
          <t>metre</t>
        </is>
      </c>
      <c r="D75" s="74" t="n">
        <v>10</v>
      </c>
      <c r="E75" s="75" t="n">
        <v>1871.42</v>
      </c>
      <c r="F75" s="74" t="inlineStr">
        <is>
          <t>Full W→X→Y→Z</t>
        </is>
      </c>
      <c r="G75" s="75" t="n">
        <v>250.55</v>
      </c>
      <c r="H75" s="76" t="n">
        <v>250.55</v>
      </c>
      <c r="I75" s="75" t="n"/>
    </row>
    <row r="76" ht="20" customHeight="1">
      <c r="A76" s="77" t="inlineStr">
        <is>
          <t>18.78</t>
        </is>
      </c>
      <c r="B76" s="78" t="inlineStr">
        <is>
          <t>Chase cutting in RCC/brick wall for concealed pipe (feeds WB1 Cladding)</t>
        </is>
      </c>
      <c r="C76" s="79" t="inlineStr">
        <is>
          <t>metre</t>
        </is>
      </c>
      <c r="D76" s="79" t="n">
        <v>1</v>
      </c>
      <c r="E76" s="80" t="n">
        <v>115.3</v>
      </c>
      <c r="F76" s="79" t="inlineStr">
        <is>
          <t>Full W→X→Y→Z</t>
        </is>
      </c>
      <c r="G76" s="80" t="n">
        <v>154.15</v>
      </c>
      <c r="H76" s="81" t="n">
        <v>154.15</v>
      </c>
      <c r="I76" s="80" t="n"/>
    </row>
    <row r="77" ht="20" customHeight="1">
      <c r="A77" s="72" t="inlineStr">
        <is>
          <t>C-18.03</t>
        </is>
      </c>
      <c r="B77" s="73" t="inlineStr">
        <is>
          <t>(Available for new custom item)</t>
        </is>
      </c>
      <c r="C77" s="74" t="inlineStr">
        <is>
          <t>metre</t>
        </is>
      </c>
      <c r="D77" s="74" t="n">
        <v>10</v>
      </c>
      <c r="E77" s="75" t="n"/>
      <c r="F77" s="74" t="inlineStr">
        <is>
          <t>Full W→X→Y→Z</t>
        </is>
      </c>
      <c r="G77" s="75" t="n"/>
      <c r="H77" s="76" t="n"/>
      <c r="I77" s="75" t="n"/>
    </row>
    <row r="78" ht="20" customHeight="1">
      <c r="A78" s="77" t="inlineStr">
        <is>
          <t>C-18.04</t>
        </is>
      </c>
      <c r="B78" s="78" t="inlineStr">
        <is>
          <t>(Available for new custom item)</t>
        </is>
      </c>
      <c r="C78" s="79" t="inlineStr">
        <is>
          <t>metre</t>
        </is>
      </c>
      <c r="D78" s="79" t="n">
        <v>10</v>
      </c>
      <c r="E78" s="80" t="n"/>
      <c r="F78" s="79" t="inlineStr">
        <is>
          <t>Full W→X→Y→Z</t>
        </is>
      </c>
      <c r="G78" s="80" t="n"/>
      <c r="H78" s="81" t="n"/>
      <c r="I78" s="80" t="n"/>
    </row>
    <row r="79" ht="20" customHeight="1">
      <c r="A79" s="72" t="inlineStr">
        <is>
          <t>C-18.05</t>
        </is>
      </c>
      <c r="B79" s="73" t="inlineStr">
        <is>
          <t>(Available for new custom item)</t>
        </is>
      </c>
      <c r="C79" s="74" t="inlineStr">
        <is>
          <t>metre</t>
        </is>
      </c>
      <c r="D79" s="74" t="n">
        <v>10</v>
      </c>
      <c r="E79" s="75" t="n"/>
      <c r="F79" s="74" t="inlineStr">
        <is>
          <t>Full W→X→Y→Z</t>
        </is>
      </c>
      <c r="G79" s="75" t="n"/>
      <c r="H79" s="76" t="n"/>
      <c r="I79" s="75" t="n"/>
    </row>
    <row r="80" ht="20" customHeight="1">
      <c r="A80" s="77" t="inlineStr">
        <is>
          <t>C-18.06</t>
        </is>
      </c>
      <c r="B80" s="78" t="inlineStr">
        <is>
          <t>(Available for new custom item)</t>
        </is>
      </c>
      <c r="C80" s="79" t="inlineStr">
        <is>
          <t>metre</t>
        </is>
      </c>
      <c r="D80" s="79" t="n">
        <v>10</v>
      </c>
      <c r="E80" s="80" t="n"/>
      <c r="F80" s="79" t="inlineStr">
        <is>
          <t>Full W→X→Y→Z</t>
        </is>
      </c>
      <c r="G80" s="80" t="n"/>
      <c r="H80" s="81" t="n"/>
      <c r="I80" s="80" t="n"/>
    </row>
    <row r="81" ht="20" customHeight="1">
      <c r="A81" s="72" t="inlineStr">
        <is>
          <t>C-18.07</t>
        </is>
      </c>
      <c r="B81" s="73" t="inlineStr">
        <is>
          <t>(Available for new custom item)</t>
        </is>
      </c>
      <c r="C81" s="74" t="inlineStr">
        <is>
          <t>metre</t>
        </is>
      </c>
      <c r="D81" s="74" t="n">
        <v>10</v>
      </c>
      <c r="E81" s="75" t="n"/>
      <c r="F81" s="74" t="inlineStr">
        <is>
          <t>Full W→X→Y→Z</t>
        </is>
      </c>
      <c r="G81" s="75" t="n"/>
      <c r="H81" s="76" t="n"/>
      <c r="I81" s="75" t="n"/>
    </row>
    <row r="82" ht="20" customHeight="1">
      <c r="A82" s="77" t="inlineStr">
        <is>
          <t>C-18.08</t>
        </is>
      </c>
      <c r="B82" s="78" t="inlineStr">
        <is>
          <t>(Available for new custom item)</t>
        </is>
      </c>
      <c r="C82" s="79" t="inlineStr">
        <is>
          <t>metre</t>
        </is>
      </c>
      <c r="D82" s="79" t="n">
        <v>10</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7">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"PE-AL-PE composite (code 8300 series),GI pipe (medium grade),CPVC pipe,UPVC pipe,CI/DI pipe (heavy duty),MS pipe (welded)"</formula1>
    </dataValidation>
    <dataValidation sqref="B11" showDropDown="0" showInputMessage="0" showErrorMessage="0" allowBlank="1" type="list">
      <formula1>"16 mm,20 mm,25 mm,32 mm,40 mm,50 mm,63 mm,75 mm,90 mm,110 mm"</formula1>
    </dataValidation>
    <dataValidation sqref="B12" showDropDown="0" showInputMessage="0" showErrorMessage="0" allowBlank="1" type="list">
      <formula1>"30% on pipe cost (DAR standard),20% (simple straight run),40% (complex distribution)"</formula1>
    </dataValidation>
    <dataValidation sqref="B13" showDropDown="0" showInputMessage="0" showErrorMessage="0" allowBlank="1" type="list">
      <formula1>"YES (hydraulic test),NO (pre-tested pipeline)"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19: DRAINAGE (CUSTOM ITEM BUILDER)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19: Stoneware, RCC, CI and HDPE drain-pipe laying and jointing. The book's standard method: add 10% to the pipe count and carriage for breakage allowance (stated explicitly in the item analysis). Material lines: SW pipe (1854/1855/1856), cement (0367), sand (0983), spun yarn (1881). Carriage codes (2224/2225/2226/2228) are A-tagged. Labour: Mason (0123), Beldar (0114), Bhisti (0101).</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Pipe type</t>
        </is>
      </c>
      <c r="B10" s="17" t="inlineStr">
        <is>
          <t>SW pipe grade A (code 1854)</t>
        </is>
      </c>
      <c r="C10" s="8" t="inlineStr">
        <is>
          <t>DRIVES COST</t>
        </is>
      </c>
      <c r="D10" s="18" t="inlineStr">
        <is>
          <t>-</t>
        </is>
      </c>
      <c r="E10" s="19" t="inlineStr">
        <is>
          <t>DRIVES COST. Sets the pipe code, rate and the breakage/wastage %. SW pipes use 10% allowance; RCC pipes use 5%.</t>
        </is>
      </c>
      <c r="F10" s="20" t="n"/>
      <c r="G10" s="20" t="n"/>
      <c r="H10" s="20" t="n"/>
      <c r="I10" s="20" t="n"/>
    </row>
    <row r="11" ht="32" customHeight="1">
      <c r="A11" s="16" t="inlineStr">
        <is>
          <t>Pipe diameter</t>
        </is>
      </c>
      <c r="B11" s="17" t="inlineStr">
        <is>
          <t>100 mm</t>
        </is>
      </c>
      <c r="C11" s="8" t="inlineStr">
        <is>
          <t>DRIVES COST</t>
        </is>
      </c>
      <c r="D11" s="18" t="inlineStr">
        <is>
          <t>-</t>
        </is>
      </c>
      <c r="E11" s="19" t="inlineStr">
        <is>
          <t>DRIVES COST. Larger diameters need more cement/sand for jointing and more Beldar-days for bedding.</t>
        </is>
      </c>
      <c r="F11" s="20" t="n"/>
      <c r="G11" s="20" t="n"/>
      <c r="H11" s="20" t="n"/>
      <c r="I11" s="20" t="n"/>
    </row>
    <row r="12" ht="32" customHeight="1">
      <c r="A12" s="16" t="inlineStr">
        <is>
          <t>Breakage allowance</t>
        </is>
      </c>
      <c r="B12" s="17" t="inlineStr">
        <is>
          <t>10% (SW pipe DAR standard)</t>
        </is>
      </c>
      <c r="C12" s="8" t="inlineStr">
        <is>
          <t>DRIVES COST</t>
        </is>
      </c>
      <c r="D12" s="18" t="inlineStr">
        <is>
          <t>-</t>
        </is>
      </c>
      <c r="E12" s="19" t="inlineStr">
        <is>
          <t>DRIVES COST. Add this % to both the pipe quantity and its carriage line. The Panel 2 driver below scales the effective pipe quantity automatically.</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C-19.01</t>
        </is>
      </c>
      <c r="C16" s="24" t="inlineStr">
        <is>
          <t>Batch Output Basis:</t>
        </is>
      </c>
      <c r="D16" s="26" t="n">
        <v>100</v>
      </c>
      <c r="E16" s="24" t="inlineStr">
        <is>
          <t>Output Unit:</t>
        </is>
      </c>
      <c r="F16" s="25" t="inlineStr">
        <is>
          <t>metre</t>
        </is>
      </c>
      <c r="G16" s="24" t="inlineStr">
        <is>
          <t>Trade Sub-Head:</t>
        </is>
      </c>
      <c r="H16" s="27" t="inlineStr">
        <is>
          <t>19 Drainage</t>
        </is>
      </c>
      <c r="I16" s="22" t="inlineStr">
        <is>
          <t>Output Unit Note:</t>
        </is>
      </c>
    </row>
    <row r="17" ht="40" customHeight="1">
      <c r="A17" s="24" t="inlineStr">
        <is>
          <t>Assembled Item Nomenclature:</t>
        </is>
      </c>
      <c r="B17" s="28" t="inlineStr">
        <is>
          <t>Providing, laying and jointing stoneware pipe grade A (60 cm effective length) including excavation in ordinary soil and refilling, jointing with cement and spun yarn,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1854</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55</v>
      </c>
      <c r="F28" s="38">
        <f>IF(B28="","", IFERROR(INDEX('[CPWD_DAR_2019_Custom_Rate_Analysis_Workbook_Vol_1.xlsx]Rates_Master'!$E:$E, MATCH(B28, '[CPWD_DAR_2019_Custom_Rate_Analysis_Workbook_Vol_1.xlsx]Rates_Master'!$A:$A, 0)), 0))</f>
        <v/>
      </c>
      <c r="G28" s="39">
        <f>IF(OR(B28="", E28=""), 0, ROUND(E28 * F28, 2))</f>
        <v/>
      </c>
      <c r="H28" s="40" t="inlineStr">
        <is>
          <t>SW pipe grade A, 60 cm effective length: 55 lengths per 100 metre run + 10% breakage = 55 pieces effective (DAR 19.1.1 uses 55 x 60 cm = 33 m + 10% rounded to the 100 m basis). Page 756.</t>
        </is>
      </c>
      <c r="I28" s="25" t="inlineStr"/>
    </row>
    <row r="29" ht="20" customHeight="1">
      <c r="A29" s="34" t="n">
        <v>2</v>
      </c>
      <c r="B29" s="25" t="inlineStr">
        <is>
          <t>0367</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0.019</v>
      </c>
      <c r="F29" s="38">
        <f>IF(B29="","", IFERROR(INDEX('[CPWD_DAR_2019_Custom_Rate_Analysis_Workbook_Vol_1.xlsx]Rates_Master'!$E:$E, MATCH(B29, '[CPWD_DAR_2019_Custom_Rate_Analysis_Workbook_Vol_1.xlsx]Rates_Master'!$A:$A, 0)), 0))</f>
        <v/>
      </c>
      <c r="G29" s="39">
        <f>IF(OR(B29="", E29=""), 0, ROUND(E29 * F29, 2))</f>
        <v/>
      </c>
      <c r="H29" s="40" t="inlineStr">
        <is>
          <t>Portland cement OPC-43: 0.019 tonne for 50 joints per 100 m run (0.38 kg/joint). DAR 19.1.1.</t>
        </is>
      </c>
      <c r="I29" s="25" t="inlineStr"/>
    </row>
    <row r="30" ht="20" customHeight="1">
      <c r="A30" s="34" t="n">
        <v>3</v>
      </c>
      <c r="B30" s="25" t="inlineStr">
        <is>
          <t>0983</t>
        </is>
      </c>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v>0.01</v>
      </c>
      <c r="F30" s="38">
        <f>IF(B30="","", IFERROR(INDEX('[CPWD_DAR_2019_Custom_Rate_Analysis_Workbook_Vol_1.xlsx]Rates_Master'!$E:$E, MATCH(B30, '[CPWD_DAR_2019_Custom_Rate_Analysis_Workbook_Vol_1.xlsx]Rates_Master'!$A:$A, 0)), 0))</f>
        <v/>
      </c>
      <c r="G30" s="39">
        <f>IF(OR(B30="", E30=""), 0, ROUND(E30 * F30, 2))</f>
        <v/>
      </c>
      <c r="H30" s="40" t="inlineStr">
        <is>
          <t>Fine sand zone IV: 0.01 cum for joint mortar. DAR 19.1.1.</t>
        </is>
      </c>
      <c r="I30" s="25" t="inlineStr"/>
    </row>
    <row r="31" ht="20" customHeight="1">
      <c r="A31" s="34" t="n">
        <v>4</v>
      </c>
      <c r="B31" s="25" t="inlineStr">
        <is>
          <t>1881</t>
        </is>
      </c>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v>4.5</v>
      </c>
      <c r="F31" s="38">
        <f>IF(B31="","", IFERROR(INDEX('[CPWD_DAR_2019_Custom_Rate_Analysis_Workbook_Vol_1.xlsx]Rates_Master'!$E:$E, MATCH(B31, '[CPWD_DAR_2019_Custom_Rate_Analysis_Workbook_Vol_1.xlsx]Rates_Master'!$A:$A, 0)), 0))</f>
        <v/>
      </c>
      <c r="G31" s="39">
        <f>IF(OR(B31="", E31=""), 0, ROUND(E31 * F31, 2))</f>
        <v/>
      </c>
      <c r="H31" s="40" t="inlineStr">
        <is>
          <t>Spun yarn: 4.50 kg for caulking 50 joints. DAR 19.1.1.</t>
        </is>
      </c>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0123</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1.5</v>
      </c>
      <c r="F42" s="38">
        <f>IF(B42="","", IFERROR(INDEX('[CPWD_DAR_2019_Custom_Rate_Analysis_Workbook_Vol_1.xlsx]Rates_Master'!$E:$E, MATCH(B42, '[CPWD_DAR_2019_Custom_Rate_Analysis_Workbook_Vol_1.xlsx]Rates_Master'!$A:$A, 0)), 0))</f>
        <v/>
      </c>
      <c r="G42" s="39">
        <f>IF(OR(B42="", E42=""), 0, ROUND(E42 * F42, 2))</f>
        <v/>
      </c>
      <c r="H42" s="40" t="inlineStr">
        <is>
          <t>Mason brick-layer 1st class: 1.50 days per 100 m for laying and jointing. DAR 19.1.1.</t>
        </is>
      </c>
      <c r="I42" s="48" t="inlineStr"/>
    </row>
    <row r="43" ht="20" customHeight="1">
      <c r="A43" s="34" t="n">
        <v>2</v>
      </c>
      <c r="B43" s="25" t="inlineStr">
        <is>
          <t>0114</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3</v>
      </c>
      <c r="F43" s="38">
        <f>IF(B43="","", IFERROR(INDEX('[CPWD_DAR_2019_Custom_Rate_Analysis_Workbook_Vol_1.xlsx]Rates_Master'!$E:$E, MATCH(B43, '[CPWD_DAR_2019_Custom_Rate_Analysis_Workbook_Vol_1.xlsx]Rates_Master'!$A:$A, 0)), 0))</f>
        <v/>
      </c>
      <c r="G43" s="39">
        <f>IF(OR(B43="", E43=""), 0, ROUND(E43 * F43, 2))</f>
        <v/>
      </c>
      <c r="H43" s="40" t="inlineStr">
        <is>
          <t>Beldar: 3.00 days per 100 m for bedding, backfilling and compacting. DAR 19.1.1.</t>
        </is>
      </c>
      <c r="I43" s="48" t="inlineStr"/>
    </row>
    <row r="44" ht="20" customHeight="1">
      <c r="A44" s="34" t="n">
        <v>3</v>
      </c>
      <c r="B44" s="25" t="inlineStr">
        <is>
          <t>0101</t>
        </is>
      </c>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v>0.6</v>
      </c>
      <c r="F44" s="38">
        <f>IF(B44="","", IFERROR(INDEX('[CPWD_DAR_2019_Custom_Rate_Analysis_Workbook_Vol_1.xlsx]Rates_Master'!$E:$E, MATCH(B44, '[CPWD_DAR_2019_Custom_Rate_Analysis_Workbook_Vol_1.xlsx]Rates_Master'!$A:$A, 0)), 0))</f>
        <v/>
      </c>
      <c r="G44" s="39">
        <f>IF(OR(B44="", E44=""), 0, ROUND(E44 * F44, 2))</f>
        <v/>
      </c>
      <c r="H44" s="40" t="inlineStr">
        <is>
          <t>Bhisti: 0.60 days per 100 m for curing water. DAR 19.1.1.</t>
        </is>
      </c>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19.1.1</t>
        </is>
      </c>
      <c r="B75" s="73" t="inlineStr">
        <is>
          <t>SW pipe 100mm grade A, laid &amp; jointed with cement &amp; spun yarn, +10% breakage</t>
        </is>
      </c>
      <c r="C75" s="74" t="inlineStr">
        <is>
          <t>metre</t>
        </is>
      </c>
      <c r="D75" s="74" t="n">
        <v>100</v>
      </c>
      <c r="E75" s="75" t="n">
        <v>9420</v>
      </c>
      <c r="F75" s="74" t="inlineStr">
        <is>
          <t>Full W→X→Y→Z</t>
        </is>
      </c>
      <c r="G75" s="75" t="n">
        <v>126.15</v>
      </c>
      <c r="H75" s="76" t="n">
        <v>126.15</v>
      </c>
      <c r="I75" s="75" t="n"/>
    </row>
    <row r="76" ht="20" customHeight="1">
      <c r="A76" s="77" t="inlineStr">
        <is>
          <t>19.1.2</t>
        </is>
      </c>
      <c r="B76" s="78" t="inlineStr">
        <is>
          <t>SW pipe 150mm grade A, laid &amp; jointed</t>
        </is>
      </c>
      <c r="C76" s="79" t="inlineStr">
        <is>
          <t>metre</t>
        </is>
      </c>
      <c r="D76" s="79" t="n">
        <v>100</v>
      </c>
      <c r="E76" s="80" t="n">
        <v>16380</v>
      </c>
      <c r="F76" s="79" t="inlineStr">
        <is>
          <t>Full W→X→Y→Z</t>
        </is>
      </c>
      <c r="G76" s="80" t="n">
        <v>219.4</v>
      </c>
      <c r="H76" s="81" t="n">
        <v>219.4</v>
      </c>
      <c r="I76" s="80" t="n"/>
    </row>
    <row r="77" ht="20" customHeight="1">
      <c r="A77" s="72" t="inlineStr">
        <is>
          <t>C-19.03</t>
        </is>
      </c>
      <c r="B77" s="73" t="inlineStr">
        <is>
          <t>(Available for new custom item)</t>
        </is>
      </c>
      <c r="C77" s="74" t="inlineStr">
        <is>
          <t>metre</t>
        </is>
      </c>
      <c r="D77" s="74" t="n">
        <v>100</v>
      </c>
      <c r="E77" s="75" t="n"/>
      <c r="F77" s="74" t="inlineStr">
        <is>
          <t>Full W→X→Y→Z</t>
        </is>
      </c>
      <c r="G77" s="75" t="n"/>
      <c r="H77" s="76" t="n"/>
      <c r="I77" s="75" t="n"/>
    </row>
    <row r="78" ht="20" customHeight="1">
      <c r="A78" s="77" t="inlineStr">
        <is>
          <t>C-19.04</t>
        </is>
      </c>
      <c r="B78" s="78" t="inlineStr">
        <is>
          <t>(Available for new custom item)</t>
        </is>
      </c>
      <c r="C78" s="79" t="inlineStr">
        <is>
          <t>metre</t>
        </is>
      </c>
      <c r="D78" s="79" t="n">
        <v>100</v>
      </c>
      <c r="E78" s="80" t="n"/>
      <c r="F78" s="79" t="inlineStr">
        <is>
          <t>Full W→X→Y→Z</t>
        </is>
      </c>
      <c r="G78" s="80" t="n"/>
      <c r="H78" s="81" t="n"/>
      <c r="I78" s="80" t="n"/>
    </row>
    <row r="79" ht="20" customHeight="1">
      <c r="A79" s="72" t="inlineStr">
        <is>
          <t>C-19.05</t>
        </is>
      </c>
      <c r="B79" s="73" t="inlineStr">
        <is>
          <t>(Available for new custom item)</t>
        </is>
      </c>
      <c r="C79" s="74" t="inlineStr">
        <is>
          <t>metre</t>
        </is>
      </c>
      <c r="D79" s="74" t="n">
        <v>100</v>
      </c>
      <c r="E79" s="75" t="n"/>
      <c r="F79" s="74" t="inlineStr">
        <is>
          <t>Full W→X→Y→Z</t>
        </is>
      </c>
      <c r="G79" s="75" t="n"/>
      <c r="H79" s="76" t="n"/>
      <c r="I79" s="75" t="n"/>
    </row>
    <row r="80" ht="20" customHeight="1">
      <c r="A80" s="77" t="inlineStr">
        <is>
          <t>C-19.06</t>
        </is>
      </c>
      <c r="B80" s="78" t="inlineStr">
        <is>
          <t>(Available for new custom item)</t>
        </is>
      </c>
      <c r="C80" s="79" t="inlineStr">
        <is>
          <t>metre</t>
        </is>
      </c>
      <c r="D80" s="79" t="n">
        <v>100</v>
      </c>
      <c r="E80" s="80" t="n"/>
      <c r="F80" s="79" t="inlineStr">
        <is>
          <t>Full W→X→Y→Z</t>
        </is>
      </c>
      <c r="G80" s="80" t="n"/>
      <c r="H80" s="81" t="n"/>
      <c r="I80" s="80" t="n"/>
    </row>
    <row r="81" ht="20" customHeight="1">
      <c r="A81" s="72" t="inlineStr">
        <is>
          <t>C-19.07</t>
        </is>
      </c>
      <c r="B81" s="73" t="inlineStr">
        <is>
          <t>(Available for new custom item)</t>
        </is>
      </c>
      <c r="C81" s="74" t="inlineStr">
        <is>
          <t>metre</t>
        </is>
      </c>
      <c r="D81" s="74" t="n">
        <v>100</v>
      </c>
      <c r="E81" s="75" t="n"/>
      <c r="F81" s="74" t="inlineStr">
        <is>
          <t>Full W→X→Y→Z</t>
        </is>
      </c>
      <c r="G81" s="75" t="n"/>
      <c r="H81" s="76" t="n"/>
      <c r="I81" s="75" t="n"/>
    </row>
    <row r="82" ht="20" customHeight="1">
      <c r="A82" s="77" t="inlineStr">
        <is>
          <t>C-19.08</t>
        </is>
      </c>
      <c r="B82" s="78" t="inlineStr">
        <is>
          <t>(Available for new custom item)</t>
        </is>
      </c>
      <c r="C82" s="79" t="inlineStr">
        <is>
          <t>metre</t>
        </is>
      </c>
      <c r="D82" s="79" t="n">
        <v>100</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6">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"SW pipe grade A (code 1854),SW pipe grade B (code 1855),RCC NP2 pipe,RCC NP3 pipe,CI/DI drainage pipe,HDPE drainage pipe,PVC drainage pipe"</formula1>
    </dataValidation>
    <dataValidation sqref="B11" showDropDown="0" showInputMessage="0" showErrorMessage="0" allowBlank="1" type="list">
      <formula1>"100 mm,150 mm,200 mm,250 mm,300 mm,375 mm,450 mm,600 mm"</formula1>
    </dataValidation>
    <dataValidation sqref="B12" showDropDown="0" showInputMessage="0" showErrorMessage="0" allowBlank="1" type="list">
      <formula1>"5% (RCC/CI pipes),10% (SW pipe DAR standard)"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0"/>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20: PILE WORK (CUSTOM ITEM BUILDER)
WB2 — references WB1 for Rates_Master, RCC Work rate (05_RCC_Work)</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20: Driven precast RCC piles and bored cast-in-situ piles. The concrete-in-pile component is imported as an A-tagged MATERIAL line using item 5.33.1 from WB1 sheet 05_RCC_Work (rate per cum). Machinery block: hydraulic piling rig (0024), lifting crane (0025), bentonite pump (0026), diesel generator (0027/0028). CI pile shoe (7181) and MS clamps (7182) are standard material items. Labour: pile driving team codes 7246-7253.</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Pile type</t>
        </is>
      </c>
      <c r="B10" s="17" t="inlineStr">
        <is>
          <t>Driven precast RCC pile</t>
        </is>
      </c>
      <c r="C10" s="8" t="inlineStr">
        <is>
          <t>DRIVES COST</t>
        </is>
      </c>
      <c r="D10" s="18" t="inlineStr">
        <is>
          <t>-</t>
        </is>
      </c>
      <c r="E10" s="19" t="inlineStr">
        <is>
          <t>DRIVES COST. Driven piles need CI shoe and clamps; bored piles need bentonite pump and casing. Plant codes differ accordingly.</t>
        </is>
      </c>
      <c r="F10" s="20" t="n"/>
      <c r="G10" s="20" t="n"/>
      <c r="H10" s="20" t="n"/>
      <c r="I10" s="20" t="n"/>
    </row>
    <row r="11" ht="32" customHeight="1">
      <c r="A11" s="16" t="inlineStr">
        <is>
          <t>Pile diameter</t>
        </is>
      </c>
      <c r="B11" s="17" t="inlineStr">
        <is>
          <t>400 mm</t>
        </is>
      </c>
      <c r="C11" s="8" t="inlineStr">
        <is>
          <t>DRIVES COST</t>
        </is>
      </c>
      <c r="D11" s="18" t="inlineStr">
        <is>
          <t>-</t>
        </is>
      </c>
      <c r="E11" s="19" t="inlineStr">
        <is>
          <t>DRIVES COST. Sets the RCC volume per metre, the shoe weight and the driving rig productivity (trips per shift reduces for larger diameters).</t>
        </is>
      </c>
      <c r="F11" s="20" t="n"/>
      <c r="G11" s="20" t="n"/>
      <c r="H11" s="20" t="n"/>
      <c r="I11" s="20" t="n"/>
    </row>
    <row r="12" ht="32" customHeight="1">
      <c r="A12" s="16" t="inlineStr">
        <is>
          <t>Pile length</t>
        </is>
      </c>
      <c r="B12" s="17" t="inlineStr">
        <is>
          <t>10 m (standard)</t>
        </is>
      </c>
      <c r="C12" s="8" t="inlineStr">
        <is>
          <t>DRIVES COST</t>
        </is>
      </c>
      <c r="D12" s="18" t="inlineStr">
        <is>
          <t>-</t>
        </is>
      </c>
      <c r="E12" s="19" t="inlineStr">
        <is>
          <t>DRIVES COST. Determines total RCC cum per pile (π/4 × dia² × length), shoe/clamp weight (fixed per pile) and rig hire days.</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C-20.01</t>
        </is>
      </c>
      <c r="C16" s="24" t="inlineStr">
        <is>
          <t>Batch Output Basis:</t>
        </is>
      </c>
      <c r="D16" s="26" t="n">
        <v>1</v>
      </c>
      <c r="E16" s="24" t="inlineStr">
        <is>
          <t>Output Unit:</t>
        </is>
      </c>
      <c r="F16" s="25" t="inlineStr">
        <is>
          <t>pile</t>
        </is>
      </c>
      <c r="G16" s="24" t="inlineStr">
        <is>
          <t>Trade Sub-Head:</t>
        </is>
      </c>
      <c r="H16" s="27" t="inlineStr">
        <is>
          <t>20 Pile Work</t>
        </is>
      </c>
      <c r="I16" s="22" t="inlineStr">
        <is>
          <t>Output Unit Note:</t>
        </is>
      </c>
    </row>
    <row r="17" ht="40" customHeight="1">
      <c r="A17" s="24" t="inlineStr">
        <is>
          <t>Assembled Item Nomenclature:</t>
        </is>
      </c>
      <c r="B17" s="28" t="inlineStr">
        <is>
          <t>Providing, driving with hydraulic pile driving rig and testing pre-cast RCC pile 400 mm diameter, including cost of RCC, pile shoe, clamps and all handling,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5.33.1</t>
        </is>
      </c>
      <c r="C28" s="35" t="inlineStr">
        <is>
          <t>WB1 05_RCC_Work → Item 5.33.1: RCC M-25 including formwork</t>
        </is>
      </c>
      <c r="D28" s="36" t="inlineStr">
        <is>
          <t>cum</t>
        </is>
      </c>
      <c r="E28" s="37" t="n">
        <v>2.51</v>
      </c>
      <c r="F28" s="38">
        <f>IF(B28="","", IFERROR(INDEX('[CPWD_DAR_2019_Custom_Rate_Analysis_Workbook_Vol_1.xlsx]Rates_Master'!$E:$E, MATCH(B28, '[CPWD_DAR_2019_Custom_Rate_Analysis_Workbook_Vol_1.xlsx]Rates_Master'!$A:$A, 0)), 0))</f>
        <v/>
      </c>
      <c r="G28" s="39">
        <f>IF(OR(B28="", E28=""), 0, ROUND(E28 * F28, 2))</f>
        <v/>
      </c>
      <c r="H28" s="40" t="inlineStr">
        <is>
          <t>RCC M-25 (1:1:2 nominal mix) from WB1 sheet 05_RCC_Work, item 5.33.1: 2.51 cum per 400mm dia × 10m pile (π/4 × 0.4² × 10 × 1.25 bulking). DAR 20.1.1, page 858. Tag "A" — this rate includes all markups.</t>
        </is>
      </c>
      <c r="I28" s="25" t="inlineStr"/>
    </row>
    <row r="29" ht="20" customHeight="1">
      <c r="A29" s="34" t="n">
        <v>2</v>
      </c>
      <c r="B29" s="25" t="inlineStr">
        <is>
          <t>7181</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80</v>
      </c>
      <c r="F29" s="38">
        <f>IF(B29="","", IFERROR(INDEX('[CPWD_DAR_2019_Custom_Rate_Analysis_Workbook_Vol_1.xlsx]Rates_Master'!$E:$E, MATCH(B29, '[CPWD_DAR_2019_Custom_Rate_Analysis_Workbook_Vol_1.xlsx]Rates_Master'!$A:$A, 0)), 0))</f>
        <v/>
      </c>
      <c r="G29" s="39">
        <f>IF(OR(B29="", E29=""), 0, ROUND(E29 * F29, 2))</f>
        <v/>
      </c>
      <c r="H29" s="40" t="inlineStr">
        <is>
          <t>CI pile shoe 80 kg per pile: 80 kg × 1 pile. DAR 20.1.1.</t>
        </is>
      </c>
      <c r="I29" s="25" t="inlineStr"/>
    </row>
    <row r="30" ht="20" customHeight="1">
      <c r="A30" s="34" t="n">
        <v>3</v>
      </c>
      <c r="B30" s="25" t="inlineStr">
        <is>
          <t>7182</t>
        </is>
      </c>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v>35</v>
      </c>
      <c r="F30" s="38">
        <f>IF(B30="","", IFERROR(INDEX('[CPWD_DAR_2019_Custom_Rate_Analysis_Workbook_Vol_1.xlsx]Rates_Master'!$E:$E, MATCH(B30, '[CPWD_DAR_2019_Custom_Rate_Analysis_Workbook_Vol_1.xlsx]Rates_Master'!$A:$A, 0)), 0))</f>
        <v/>
      </c>
      <c r="G30" s="39">
        <f>IF(OR(B30="", E30=""), 0, ROUND(E30 * F30, 2))</f>
        <v/>
      </c>
      <c r="H30" s="40" t="inlineStr">
        <is>
          <t>MS clamps for pile shoe 35 kg per pile. DAR 20.1.1.</t>
        </is>
      </c>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0130</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0.5</v>
      </c>
      <c r="F42" s="38">
        <f>IF(B42="","", IFERROR(INDEX('[CPWD_DAR_2019_Custom_Rate_Analysis_Workbook_Vol_1.xlsx]Rates_Master'!$E:$E, MATCH(B42, '[CPWD_DAR_2019_Custom_Rate_Analysis_Workbook_Vol_1.xlsx]Rates_Master'!$A:$A, 0)), 0))</f>
        <v/>
      </c>
      <c r="G42" s="39">
        <f>IF(OR(B42="", E42=""), 0, ROUND(E42 * F42, 2))</f>
        <v/>
      </c>
      <c r="H42" s="40" t="inlineStr">
        <is>
          <t>Mason 1st class: 0.50 days per pile for pile-head preparation. DAR 20.1.1.</t>
        </is>
      </c>
      <c r="I42" s="48" t="inlineStr"/>
    </row>
    <row r="43" ht="20" customHeight="1">
      <c r="A43" s="34" t="n">
        <v>2</v>
      </c>
      <c r="B43" s="25" t="inlineStr">
        <is>
          <t>0114</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2</v>
      </c>
      <c r="F43" s="38">
        <f>IF(B43="","", IFERROR(INDEX('[CPWD_DAR_2019_Custom_Rate_Analysis_Workbook_Vol_1.xlsx]Rates_Master'!$E:$E, MATCH(B43, '[CPWD_DAR_2019_Custom_Rate_Analysis_Workbook_Vol_1.xlsx]Rates_Master'!$A:$A, 0)), 0))</f>
        <v/>
      </c>
      <c r="G43" s="39">
        <f>IF(OR(B43="", E43=""), 0, ROUND(E43 * F43, 2))</f>
        <v/>
      </c>
      <c r="H43" s="40" t="inlineStr">
        <is>
          <t>Beldar: 2.00 days per pile for reinforcement, concreting and assistance.</t>
        </is>
      </c>
      <c r="I43" s="48" t="inlineStr"/>
    </row>
    <row r="44" ht="20" customHeight="1">
      <c r="A44" s="34" t="n">
        <v>3</v>
      </c>
      <c r="B44" s="25" t="inlineStr"/>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c r="F44" s="38">
        <f>IF(B44="","", IFERROR(INDEX('[CPWD_DAR_2019_Custom_Rate_Analysis_Workbook_Vol_1.xlsx]Rates_Master'!$E:$E, MATCH(B44, '[CPWD_DAR_2019_Custom_Rate_Analysis_Workbook_Vol_1.xlsx]Rates_Master'!$A:$A, 0)), 0))</f>
        <v/>
      </c>
      <c r="G44" s="39">
        <f>IF(OR(B44="", E44=""), 0, ROUND(E44 * F44, 2))</f>
        <v/>
      </c>
      <c r="H44" s="40" t="inlineStr"/>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4b. MACHINERY &amp; PLANT HIRE  (plant codes 0001-0083 include operator + fuel + lubricants per CPWD Note 1; specialist rigs priced at hire-invoice rate — enter as custom_rate)</t>
        </is>
      </c>
    </row>
    <row r="54" ht="24" customHeight="1">
      <c r="A54" s="13" t="inlineStr">
        <is>
          <t>Line</t>
        </is>
      </c>
      <c r="B54" s="13" t="inlineStr">
        <is>
          <t>Code / Source</t>
        </is>
      </c>
      <c r="C54" s="13" t="inlineStr">
        <is>
          <t>Description / Specification</t>
        </is>
      </c>
      <c r="D54" s="13" t="inlineStr">
        <is>
          <t>Unit</t>
        </is>
      </c>
      <c r="E54" s="13" t="inlineStr">
        <is>
          <t>Quantity / Coeff</t>
        </is>
      </c>
      <c r="F54" s="13" t="inlineStr">
        <is>
          <t>Basic Rate (Rs)</t>
        </is>
      </c>
      <c r="G54" s="13" t="inlineStr">
        <is>
          <t>Amount (Rs)</t>
        </is>
      </c>
      <c r="H54" s="13" t="inlineStr">
        <is>
          <t>Source Reference / Remarks</t>
        </is>
      </c>
      <c r="I54" s="13" t="inlineStr">
        <is>
          <t>Markup Tag</t>
        </is>
      </c>
    </row>
    <row r="55" ht="20" customHeight="1">
      <c r="A55" s="34" t="n">
        <v>1</v>
      </c>
      <c r="B55" s="25" t="inlineStr">
        <is>
          <t>0024</t>
        </is>
      </c>
      <c r="C55" s="35">
        <f>IF(B55="","", IFERROR(INDEX('[CPWD_DAR_2019_Custom_Rate_Analysis_Workbook_Vol_1.xlsx]Rates_Master'!$C:$C, MATCH(B55, '[CPWD_DAR_2019_Custom_Rate_Analysis_Workbook_Vol_1.xlsx]Rates_Master'!$A:$A, 0)), "Custom Plant / Machinery"))</f>
        <v/>
      </c>
      <c r="D55" s="36">
        <f>IF(B55="","", IFERROR(INDEX('[CPWD_DAR_2019_Custom_Rate_Analysis_Workbook_Vol_1.xlsx]Rates_Master'!$D:$D, MATCH(B55, '[CPWD_DAR_2019_Custom_Rate_Analysis_Workbook_Vol_1.xlsx]Rates_Master'!$A:$A, 0)), ""))</f>
        <v/>
      </c>
      <c r="E55" s="37" t="n">
        <v>0.36</v>
      </c>
      <c r="F55" s="38">
        <f>IF(B55="","", IFERROR(INDEX('[CPWD_DAR_2019_Custom_Rate_Analysis_Workbook_Vol_1.xlsx]Rates_Master'!$E:$E, MATCH(B55, '[CPWD_DAR_2019_Custom_Rate_Analysis_Workbook_Vol_1.xlsx]Rates_Master'!$A:$A, 0)), 0))</f>
        <v/>
      </c>
      <c r="G55" s="39">
        <f>IF(OR(B55="", E55=""), 0, ROUND(E55 * F55, 2))</f>
        <v/>
      </c>
      <c r="H55" s="40" t="inlineStr">
        <is>
          <t>Hire &amp; running charges of hydraulic piling rig: 0.36 days per pile (assumes ~2.8 piles/day for 400mm dia). DAR 20.1.1, page 858.</t>
        </is>
      </c>
      <c r="I55" s="48" t="inlineStr"/>
    </row>
    <row r="56" ht="20" customHeight="1">
      <c r="A56" s="34" t="n">
        <v>2</v>
      </c>
      <c r="B56" s="25" t="inlineStr">
        <is>
          <t>0025</t>
        </is>
      </c>
      <c r="C56" s="35">
        <f>IF(B56="","", IFERROR(INDEX('[CPWD_DAR_2019_Custom_Rate_Analysis_Workbook_Vol_1.xlsx]Rates_Master'!$C:$C, MATCH(B56, '[CPWD_DAR_2019_Custom_Rate_Analysis_Workbook_Vol_1.xlsx]Rates_Master'!$A:$A, 0)), "Custom Plant / Machinery"))</f>
        <v/>
      </c>
      <c r="D56" s="36">
        <f>IF(B56="","", IFERROR(INDEX('[CPWD_DAR_2019_Custom_Rate_Analysis_Workbook_Vol_1.xlsx]Rates_Master'!$D:$D, MATCH(B56, '[CPWD_DAR_2019_Custom_Rate_Analysis_Workbook_Vol_1.xlsx]Rates_Master'!$A:$A, 0)), ""))</f>
        <v/>
      </c>
      <c r="E56" s="37" t="n">
        <v>0.06</v>
      </c>
      <c r="F56" s="38">
        <f>IF(B56="","", IFERROR(INDEX('[CPWD_DAR_2019_Custom_Rate_Analysis_Workbook_Vol_1.xlsx]Rates_Master'!$E:$E, MATCH(B56, '[CPWD_DAR_2019_Custom_Rate_Analysis_Workbook_Vol_1.xlsx]Rates_Master'!$A:$A, 0)), 0))</f>
        <v/>
      </c>
      <c r="G56" s="39">
        <f>IF(OR(B56="", E56=""), 0, ROUND(E56 * F56, 2))</f>
        <v/>
      </c>
      <c r="H56" s="40" t="inlineStr">
        <is>
          <t>Hire &amp; running charges of light pile-driving / lifting equipment: 0.06 days per pile for crane positioning. DAR 20.1.1.</t>
        </is>
      </c>
      <c r="I56" s="48" t="inlineStr"/>
    </row>
    <row r="57" ht="20" customHeight="1">
      <c r="A57" s="34" t="n">
        <v>3</v>
      </c>
      <c r="B57" s="25" t="inlineStr"/>
      <c r="C57" s="35">
        <f>IF(B57="","", IFERROR(INDEX('[CPWD_DAR_2019_Custom_Rate_Analysis_Workbook_Vol_1.xlsx]Rates_Master'!$C:$C, MATCH(B57, '[CPWD_DAR_2019_Custom_Rate_Analysis_Workbook_Vol_1.xlsx]Rates_Master'!$A:$A, 0)), "Custom Plant / Machinery"))</f>
        <v/>
      </c>
      <c r="D57" s="36">
        <f>IF(B57="","", IFERROR(INDEX('[CPWD_DAR_2019_Custom_Rate_Analysis_Workbook_Vol_1.xlsx]Rates_Master'!$D:$D, MATCH(B57, '[CPWD_DAR_2019_Custom_Rate_Analysis_Workbook_Vol_1.xlsx]Rates_Master'!$A:$A, 0)), ""))</f>
        <v/>
      </c>
      <c r="E57" s="37" t="n"/>
      <c r="F57" s="38">
        <f>IF(B57="","", IFERROR(INDEX('[CPWD_DAR_2019_Custom_Rate_Analysis_Workbook_Vol_1.xlsx]Rates_Master'!$E:$E, MATCH(B57, '[CPWD_DAR_2019_Custom_Rate_Analysis_Workbook_Vol_1.xlsx]Rates_Master'!$A:$A, 0)), 0))</f>
        <v/>
      </c>
      <c r="G57" s="39">
        <f>IF(OR(B57="", E57=""), 0, ROUND(E57 * F57, 2))</f>
        <v/>
      </c>
      <c r="H57" s="40" t="inlineStr"/>
      <c r="I57" s="48" t="inlineStr"/>
    </row>
    <row r="58" ht="20" customHeight="1">
      <c r="A58" s="34" t="n">
        <v>4</v>
      </c>
      <c r="B58" s="25" t="inlineStr"/>
      <c r="C58" s="35">
        <f>IF(B58="","", IFERROR(INDEX('[CPWD_DAR_2019_Custom_Rate_Analysis_Workbook_Vol_1.xlsx]Rates_Master'!$C:$C, MATCH(B58, '[CPWD_DAR_2019_Custom_Rate_Analysis_Workbook_Vol_1.xlsx]Rates_Master'!$A:$A, 0)), "Custom Plant / Machinery"))</f>
        <v/>
      </c>
      <c r="D58" s="36">
        <f>IF(B58="","", IFERROR(INDEX('[CPWD_DAR_2019_Custom_Rate_Analysis_Workbook_Vol_1.xlsx]Rates_Master'!$D:$D, MATCH(B58, '[CPWD_DAR_2019_Custom_Rate_Analysis_Workbook_Vol_1.xlsx]Rates_Master'!$A:$A, 0)), ""))</f>
        <v/>
      </c>
      <c r="E58" s="37" t="n"/>
      <c r="F58" s="38">
        <f>IF(B58="","", IFERROR(INDEX('[CPWD_DAR_2019_Custom_Rate_Analysis_Workbook_Vol_1.xlsx]Rates_Master'!$E:$E, MATCH(B58, '[CPWD_DAR_2019_Custom_Rate_Analysis_Workbook_Vol_1.xlsx]Rates_Master'!$A:$A, 0)), 0))</f>
        <v/>
      </c>
      <c r="G58" s="39">
        <f>IF(OR(B58="", E58=""), 0, ROUND(E58 * F58, 2))</f>
        <v/>
      </c>
      <c r="H58" s="40" t="inlineStr"/>
      <c r="I58" s="48" t="inlineStr"/>
    </row>
    <row r="59" ht="20" customHeight="1">
      <c r="A59" s="34" t="n">
        <v>5</v>
      </c>
      <c r="B59" s="25" t="inlineStr"/>
      <c r="C59" s="35">
        <f>IF(B59="","", IFERROR(INDEX('[CPWD_DAR_2019_Custom_Rate_Analysis_Workbook_Vol_1.xlsx]Rates_Master'!$C:$C, MATCH(B59, '[CPWD_DAR_2019_Custom_Rate_Analysis_Workbook_Vol_1.xlsx]Rates_Master'!$A:$A, 0)), "Custom Plant / Machinery"))</f>
        <v/>
      </c>
      <c r="D59" s="36">
        <f>IF(B59="","", IFERROR(INDEX('[CPWD_DAR_2019_Custom_Rate_Analysis_Workbook_Vol_1.xlsx]Rates_Master'!$D:$D, MATCH(B59, '[CPWD_DAR_2019_Custom_Rate_Analysis_Workbook_Vol_1.xlsx]Rates_Master'!$A:$A, 0)), ""))</f>
        <v/>
      </c>
      <c r="E59" s="37" t="n"/>
      <c r="F59" s="38">
        <f>IF(B59="","", IFERROR(INDEX('[CPWD_DAR_2019_Custom_Rate_Analysis_Workbook_Vol_1.xlsx]Rates_Master'!$E:$E, MATCH(B59, '[CPWD_DAR_2019_Custom_Rate_Analysis_Workbook_Vol_1.xlsx]Rates_Master'!$A:$A, 0)), 0))</f>
        <v/>
      </c>
      <c r="G59" s="39">
        <f>IF(OR(B59="", E59=""), 0, ROUND(E59 * F59, 2))</f>
        <v/>
      </c>
      <c r="H59" s="40" t="inlineStr"/>
      <c r="I59" s="48" t="inlineStr"/>
    </row>
    <row r="60" ht="20" customHeight="1">
      <c r="A60" s="34" t="n">
        <v>6</v>
      </c>
      <c r="B60" s="25" t="inlineStr"/>
      <c r="C60" s="35">
        <f>IF(B60="","", IFERROR(INDEX('[CPWD_DAR_2019_Custom_Rate_Analysis_Workbook_Vol_1.xlsx]Rates_Master'!$C:$C, MATCH(B60, '[CPWD_DAR_2019_Custom_Rate_Analysis_Workbook_Vol_1.xlsx]Rates_Master'!$A:$A, 0)), "Custom Plant / Machinery"))</f>
        <v/>
      </c>
      <c r="D60" s="36">
        <f>IF(B60="","", IFERROR(INDEX('[CPWD_DAR_2019_Custom_Rate_Analysis_Workbook_Vol_1.xlsx]Rates_Master'!$D:$D, MATCH(B60, '[CPWD_DAR_2019_Custom_Rate_Analysis_Workbook_Vol_1.xlsx]Rates_Master'!$A:$A, 0)), ""))</f>
        <v/>
      </c>
      <c r="E60" s="37" t="n"/>
      <c r="F60" s="38">
        <f>IF(B60="","", IFERROR(INDEX('[CPWD_DAR_2019_Custom_Rate_Analysis_Workbook_Vol_1.xlsx]Rates_Master'!$E:$E, MATCH(B60, '[CPWD_DAR_2019_Custom_Rate_Analysis_Workbook_Vol_1.xlsx]Rates_Master'!$A:$A, 0)), 0))</f>
        <v/>
      </c>
      <c r="G60" s="39">
        <f>IF(OR(B60="", E60=""), 0, ROUND(E60 * F60, 2))</f>
        <v/>
      </c>
      <c r="H60" s="40" t="inlineStr"/>
      <c r="I60" s="48" t="inlineStr"/>
    </row>
    <row r="61" ht="22" customHeight="1">
      <c r="A61" s="41" t="inlineStr">
        <is>
          <t>Subtotal Machinery &amp; Plant (Rs):</t>
        </is>
      </c>
      <c r="B61" s="42" t="n"/>
      <c r="C61" s="42" t="n"/>
      <c r="D61" s="42" t="n"/>
      <c r="E61" s="42" t="n"/>
      <c r="F61" s="42" t="n"/>
      <c r="G61" s="43">
        <f>SUM(G55:G60)</f>
        <v/>
      </c>
      <c r="H61" s="42" t="n"/>
      <c r="I61" s="42" t="n"/>
    </row>
    <row r="62" ht="24" customHeight="1">
      <c r="A62" s="12" t="inlineStr">
        <is>
          <t>5. SUNDRIES &amp; LUMP-SUM ALLOWANCES  (manual entry — the DAR gives no reproducible formula; use Sundries_Reference in WB1 to find a comparable item)</t>
        </is>
      </c>
    </row>
    <row r="63" ht="22" customHeight="1">
      <c r="A63" s="34" t="inlineStr">
        <is>
          <t>1</t>
        </is>
      </c>
      <c r="B63" s="33" t="inlineStr">
        <is>
          <t>9999</t>
        </is>
      </c>
      <c r="C63" s="20" t="inlineStr">
        <is>
          <t>Sundries (guided by Sundries_Reference sheet in WB1)</t>
        </is>
      </c>
      <c r="D63" s="34" t="inlineStr">
        <is>
          <t>L.S.</t>
        </is>
      </c>
      <c r="E63" s="49" t="n">
        <v>0</v>
      </c>
      <c r="F63" s="50">
        <f>Factor_Sundries</f>
        <v/>
      </c>
      <c r="G63" s="51">
        <f>ROUND(E63 * F63, 2)</f>
        <v/>
      </c>
      <c r="H63" s="22" t="inlineStr">
        <is>
          <t>Base L.S. allowance × Cost Index Multiplier (from WB1 Global_Factors via Factor_Sundries named range)</t>
        </is>
      </c>
      <c r="I63" s="20" t="n"/>
    </row>
    <row r="64"/>
    <row r="65" ht="24" customHeight="1">
      <c r="A65" s="12" t="inlineStr">
        <is>
          <t>6. STATUTORY MARKUPS &amp; FINAL RATE DERIVATION (CPWD DAR METHOD, WITH THE (W-A) EXCLUSION)</t>
        </is>
      </c>
    </row>
    <row r="66" ht="24" customHeight="1">
      <c r="A66" s="13" t="inlineStr">
        <is>
          <t>Step</t>
        </is>
      </c>
      <c r="B66" s="13" t="inlineStr">
        <is>
          <t>Component / Markup Description</t>
        </is>
      </c>
      <c r="C66" s="13" t="inlineStr">
        <is>
          <t>Apply? (YES/NO)</t>
        </is>
      </c>
      <c r="D66" s="13" t="inlineStr">
        <is>
          <t>Basis Applied</t>
        </is>
      </c>
      <c r="E66" s="13" t="inlineStr">
        <is>
          <t>Base Amount (Rs)</t>
        </is>
      </c>
      <c r="F66" s="13" t="inlineStr">
        <is>
          <t>Factor / %</t>
        </is>
      </c>
      <c r="G66" s="13" t="inlineStr">
        <is>
          <t>Amount (Rs)</t>
        </is>
      </c>
      <c r="H66" s="13" t="inlineStr">
        <is>
          <t>CPWD Statutory Rule &amp; Guidance Note</t>
        </is>
      </c>
      <c r="I66" s="13" t="inlineStr">
        <is>
          <t>A-Rule</t>
        </is>
      </c>
    </row>
    <row r="67" ht="24" customHeight="1">
      <c r="A67" s="21" t="inlineStr">
        <is>
          <t>W</t>
        </is>
      </c>
      <c r="B67" s="52" t="inlineStr">
        <is>
          <t>Base Direct Production Cost (Materials + Labour + Sundries)</t>
        </is>
      </c>
      <c r="C67" s="53" t="inlineStr">
        <is>
          <t>-</t>
        </is>
      </c>
      <c r="D67" s="53" t="inlineStr">
        <is>
          <t>Direct Sum</t>
        </is>
      </c>
      <c r="E67" s="54" t="inlineStr">
        <is>
          <t>-</t>
        </is>
      </c>
      <c r="F67" s="54" t="inlineStr">
        <is>
          <t>-</t>
        </is>
      </c>
      <c r="G67" s="46">
        <f>G38 + G52 + G61 + G63</f>
        <v/>
      </c>
      <c r="H67" s="47" t="inlineStr">
        <is>
          <t>Total direct cost of production (W); A-tagged imports included, exactly as the book totals it.</t>
        </is>
      </c>
      <c r="I67" s="55" t="inlineStr">
        <is>
          <t>includes A</t>
        </is>
      </c>
    </row>
    <row r="68" ht="24" customHeight="1">
      <c r="A68" s="33" t="inlineStr">
        <is>
          <t>X1</t>
        </is>
      </c>
      <c r="B68" s="56" t="inlineStr">
        <is>
          <t>Add Water Charges</t>
        </is>
      </c>
      <c r="C68" s="25" t="inlineStr">
        <is>
          <t>YES</t>
        </is>
      </c>
      <c r="D68" s="34" t="inlineStr">
        <is>
          <t>On (W - A)</t>
        </is>
      </c>
      <c r="E68" s="57">
        <f>G67 - G39</f>
        <v/>
      </c>
      <c r="F68" s="58">
        <f>Factor_Water</f>
        <v/>
      </c>
      <c r="G68" s="51">
        <f>IF(C68="YES", ROUND(E68 * F68, 2), 0)</f>
        <v/>
      </c>
      <c r="H68" s="19" t="inlineStr">
        <is>
          <t>CPWD Standard: 1% for curing &amp; site water. Toggle NO if dry item.</t>
        </is>
      </c>
      <c r="I68" s="18" t="inlineStr">
        <is>
          <t>net of A</t>
        </is>
      </c>
    </row>
    <row r="69" ht="24" customHeight="1">
      <c r="A69" s="21" t="inlineStr">
        <is>
          <t>X</t>
        </is>
      </c>
      <c r="B69" s="52" t="inlineStr">
        <is>
          <t>Subtotal "X" (W + Water Charges)</t>
        </is>
      </c>
      <c r="C69" s="53" t="inlineStr">
        <is>
          <t>-</t>
        </is>
      </c>
      <c r="D69" s="53" t="inlineStr">
        <is>
          <t>W + Water</t>
        </is>
      </c>
      <c r="E69" s="54" t="inlineStr">
        <is>
          <t>-</t>
        </is>
      </c>
      <c r="F69" s="54" t="inlineStr">
        <is>
          <t>-</t>
        </is>
      </c>
      <c r="G69" s="46">
        <f>G67 + G68</f>
        <v/>
      </c>
      <c r="H69" s="47" t="inlineStr">
        <is>
          <t>Compounded base for GST calculation.</t>
        </is>
      </c>
      <c r="I69" s="55" t="inlineStr">
        <is>
          <t>includes A</t>
        </is>
      </c>
    </row>
    <row r="70" ht="24" customHeight="1">
      <c r="A70" s="33" t="inlineStr">
        <is>
          <t>Y1</t>
        </is>
      </c>
      <c r="B70" s="56" t="inlineStr">
        <is>
          <t>Add GST on Works Contract</t>
        </is>
      </c>
      <c r="C70" s="25" t="inlineStr">
        <is>
          <t>YES</t>
        </is>
      </c>
      <c r="D70" s="34" t="inlineStr">
        <is>
          <t>On (X - A)</t>
        </is>
      </c>
      <c r="E70" s="57">
        <f>G69 - G39</f>
        <v/>
      </c>
      <c r="F70" s="58">
        <f>Factor_GST</f>
        <v/>
      </c>
      <c r="G70" s="51">
        <f>IF(C70="YES", ROUND(E70 * F70, 2), 0)</f>
        <v/>
      </c>
      <c r="H70" s="19" t="inlineStr">
        <is>
          <t>CPWD DAR 2019 factor 0.1405 (works contract). Toggle NO if tax exempt.</t>
        </is>
      </c>
      <c r="I70" s="18" t="inlineStr">
        <is>
          <t>net of A</t>
        </is>
      </c>
    </row>
    <row r="71" ht="24" customHeight="1">
      <c r="A71" s="21" t="inlineStr">
        <is>
          <t>Y</t>
        </is>
      </c>
      <c r="B71" s="52" t="inlineStr">
        <is>
          <t>Subtotal "Y" (X + GST)</t>
        </is>
      </c>
      <c r="C71" s="53" t="inlineStr">
        <is>
          <t>-</t>
        </is>
      </c>
      <c r="D71" s="53" t="inlineStr">
        <is>
          <t>X + GST</t>
        </is>
      </c>
      <c r="E71" s="54" t="inlineStr">
        <is>
          <t>-</t>
        </is>
      </c>
      <c r="F71" s="54" t="inlineStr">
        <is>
          <t>-</t>
        </is>
      </c>
      <c r="G71" s="46">
        <f>G69 + G70</f>
        <v/>
      </c>
      <c r="H71" s="47" t="inlineStr">
        <is>
          <t>Compounded base for Contractor Profit &amp; Overheads.</t>
        </is>
      </c>
      <c r="I71" s="55" t="inlineStr">
        <is>
          <t>includes A</t>
        </is>
      </c>
    </row>
    <row r="72" ht="24" customHeight="1">
      <c r="A72" s="33" t="inlineStr">
        <is>
          <t>Z1</t>
        </is>
      </c>
      <c r="B72" s="56" t="inlineStr">
        <is>
          <t>Add Contractor Profit &amp; Overheads (15% CPOH)</t>
        </is>
      </c>
      <c r="C72" s="25" t="inlineStr">
        <is>
          <t>YES</t>
        </is>
      </c>
      <c r="D72" s="34" t="inlineStr">
        <is>
          <t>On (Y - A)</t>
        </is>
      </c>
      <c r="E72" s="57">
        <f>G71 - G39</f>
        <v/>
      </c>
      <c r="F72" s="58">
        <f>Factor_CPOH</f>
        <v/>
      </c>
      <c r="G72" s="51">
        <f>IF(C72="YES", ROUND(E72 * F72, 2), 0)</f>
        <v/>
      </c>
      <c r="H72" s="19" t="inlineStr">
        <is>
          <t>Standard CPWD 15% allowance for site overheads, head-office costs &amp; margin.</t>
        </is>
      </c>
      <c r="I72" s="18" t="inlineStr">
        <is>
          <t>net of A</t>
        </is>
      </c>
    </row>
    <row r="73" ht="24" customHeight="1">
      <c r="A73" s="21" t="inlineStr">
        <is>
          <t>Z</t>
        </is>
      </c>
      <c r="B73" s="52" t="inlineStr">
        <is>
          <t>Subtotal "Z" (Y + CPOH)</t>
        </is>
      </c>
      <c r="C73" s="53" t="inlineStr">
        <is>
          <t>-</t>
        </is>
      </c>
      <c r="D73" s="53" t="inlineStr">
        <is>
          <t>Y + CPOH</t>
        </is>
      </c>
      <c r="E73" s="54" t="inlineStr">
        <is>
          <t>-</t>
        </is>
      </c>
      <c r="F73" s="54" t="inlineStr">
        <is>
          <t>-</t>
        </is>
      </c>
      <c r="G73" s="46">
        <f>G71 + G72</f>
        <v/>
      </c>
      <c r="H73" s="47" t="inlineStr">
        <is>
          <t>Compounded base for Labour Welfare Cess.</t>
        </is>
      </c>
      <c r="I73" s="55" t="inlineStr">
        <is>
          <t>includes A</t>
        </is>
      </c>
    </row>
    <row r="74" ht="24" customHeight="1">
      <c r="A74" s="33" t="inlineStr">
        <is>
          <t>Z2</t>
        </is>
      </c>
      <c r="B74" s="56" t="inlineStr">
        <is>
          <t>Add Labour Welfare Cess (1% BOCW Cess)</t>
        </is>
      </c>
      <c r="C74" s="25" t="inlineStr">
        <is>
          <t>YES</t>
        </is>
      </c>
      <c r="D74" s="34" t="inlineStr">
        <is>
          <t>On (Z - A)</t>
        </is>
      </c>
      <c r="E74" s="57">
        <f>G73 - G39</f>
        <v/>
      </c>
      <c r="F74" s="58">
        <f>Factor_Cess</f>
        <v/>
      </c>
      <c r="G74" s="51">
        <f>IF(C74="YES", ROUND(E74 * F74, 2), 0)</f>
        <v/>
      </c>
      <c r="H74" s="19" t="inlineStr">
        <is>
          <t>Statutory 1% Building and Other Construction Workers Welfare Cess.</t>
        </is>
      </c>
      <c r="I74" s="18" t="inlineStr">
        <is>
          <t>net of A</t>
        </is>
      </c>
    </row>
    <row r="75" ht="24" customHeight="1">
      <c r="A75" s="8" t="inlineStr">
        <is>
          <t>Cost</t>
        </is>
      </c>
      <c r="B75" s="59">
        <f>"Total Cost of Batch (" &amp; TEXT(D16, "0.00") &amp; " " &amp; F16 &amp; "):"</f>
        <v/>
      </c>
      <c r="C75" s="60" t="inlineStr">
        <is>
          <t>-</t>
        </is>
      </c>
      <c r="D75" s="60" t="inlineStr">
        <is>
          <t>Z + Cess</t>
        </is>
      </c>
      <c r="E75" s="61" t="inlineStr">
        <is>
          <t>-</t>
        </is>
      </c>
      <c r="F75" s="61" t="inlineStr">
        <is>
          <t>-</t>
        </is>
      </c>
      <c r="G75" s="62">
        <f>G73 + G74</f>
        <v/>
      </c>
      <c r="H75" s="63" t="inlineStr">
        <is>
          <t>Total evaluated cost for the batch size in the Panel 1 header row.</t>
        </is>
      </c>
      <c r="I75" s="64" t="inlineStr">
        <is>
          <t>-</t>
        </is>
      </c>
    </row>
    <row r="76" ht="24" customHeight="1">
      <c r="A76" s="21" t="inlineStr">
        <is>
          <t>Rate</t>
        </is>
      </c>
      <c r="B76" s="52">
        <f>"Analyzed Unit Rate per 1.00 " &amp; F16 &amp; ":"</f>
        <v/>
      </c>
      <c r="C76" s="53" t="inlineStr">
        <is>
          <t>-</t>
        </is>
      </c>
      <c r="D76" s="53" t="inlineStr">
        <is>
          <t>Cost / Batch Qty</t>
        </is>
      </c>
      <c r="E76" s="54" t="inlineStr">
        <is>
          <t>-</t>
        </is>
      </c>
      <c r="F76" s="54" t="inlineStr">
        <is>
          <t>-</t>
        </is>
      </c>
      <c r="G76" s="46">
        <f>ROUND(G75 / D16, 2)</f>
        <v/>
      </c>
      <c r="H76" s="47" t="inlineStr">
        <is>
          <t>Calculated cost per standard unit of measurement.</t>
        </is>
      </c>
      <c r="I76" s="55" t="inlineStr">
        <is>
          <t>-</t>
        </is>
      </c>
    </row>
    <row r="77" ht="30" customHeight="1">
      <c r="A77" s="9" t="inlineStr">
        <is>
          <t>SAY</t>
        </is>
      </c>
      <c r="B77" s="65">
        <f>"OFFICIAL SAY RATE (Rs per " &amp; F16 &amp; "):"</f>
        <v/>
      </c>
      <c r="C77" s="66" t="inlineStr">
        <is>
          <t>-</t>
        </is>
      </c>
      <c r="D77" s="66" t="inlineStr">
        <is>
          <t>MROUND to Rs 0.05</t>
        </is>
      </c>
      <c r="E77" s="67" t="inlineStr">
        <is>
          <t>-</t>
        </is>
      </c>
      <c r="F77" s="67" t="inlineStr">
        <is>
          <t>-</t>
        </is>
      </c>
      <c r="G77" s="68">
        <f>MROUND(G76, 0.05)</f>
        <v/>
      </c>
      <c r="H77" s="69" t="inlineStr">
        <is>
          <t>OFFICIAL CPWD ROUNDED RATE FOR TENDER SCHEDULES &amp; ESTIMATES. CPWD quotes Say rates to the nearest 5 paise — see the note directly below this row.</t>
        </is>
      </c>
      <c r="I77" s="70" t="inlineStr">
        <is>
          <t>-</t>
        </is>
      </c>
    </row>
    <row r="78" ht="44" customHeight="1">
      <c r="A78"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8" s="20" t="n"/>
      <c r="C78" s="20" t="n"/>
      <c r="D78" s="20" t="n"/>
      <c r="E78" s="20" t="n"/>
      <c r="F78" s="20" t="n"/>
      <c r="G78" s="20" t="n"/>
      <c r="H78" s="20" t="n"/>
      <c r="I78" s="20" t="n"/>
    </row>
    <row r="79"/>
    <row r="80" ht="24" customHeight="1">
      <c r="A80" s="12" t="inlineStr">
        <is>
          <t>7. RUNNING CUSTOM NON-DSR ITEMS LIBRARY FOR THIS TRADE</t>
        </is>
      </c>
    </row>
    <row r="81" ht="20" customHeight="1">
      <c r="A81" s="71" t="inlineStr">
        <is>
          <t>Log all completed custom rate analyses for this trade below. Items logged here maintain an internal project audit trail and can be referenced from other builder sheets.</t>
        </is>
      </c>
    </row>
    <row r="82" ht="24" customHeight="1">
      <c r="A82" s="13" t="inlineStr">
        <is>
          <t>Item Code</t>
        </is>
      </c>
      <c r="B82" s="13" t="inlineStr">
        <is>
          <t>Item Nomenclature / Specification</t>
        </is>
      </c>
      <c r="C82" s="13" t="inlineStr">
        <is>
          <t>Unit</t>
        </is>
      </c>
      <c r="D82" s="13" t="inlineStr">
        <is>
          <t>Output Basis</t>
        </is>
      </c>
      <c r="E82" s="13" t="inlineStr">
        <is>
          <t>Direct Cost W (Rs)</t>
        </is>
      </c>
      <c r="F82" s="13" t="inlineStr">
        <is>
          <t>Markups Applied</t>
        </is>
      </c>
      <c r="G82" s="13" t="inlineStr">
        <is>
          <t>Unit Rate (Rs)</t>
        </is>
      </c>
      <c r="H82" s="13" t="inlineStr">
        <is>
          <t>Say Rate (Rs)</t>
        </is>
      </c>
      <c r="I82" s="13" t="inlineStr">
        <is>
          <t>A-Total (Rs)</t>
        </is>
      </c>
    </row>
    <row r="83" ht="20" customHeight="1">
      <c r="A83" s="72" t="inlineStr">
        <is>
          <t>20.1.1</t>
        </is>
      </c>
      <c r="B83" s="73" t="inlineStr">
        <is>
          <t>400mm dia driven precast RCC pile, 10m length (incl. RCC, shoe, clamps)</t>
        </is>
      </c>
      <c r="C83" s="74" t="inlineStr">
        <is>
          <t>pile</t>
        </is>
      </c>
      <c r="D83" s="74" t="n">
        <v>1</v>
      </c>
      <c r="E83" s="75" t="n">
        <v>37240.38</v>
      </c>
      <c r="F83" s="74" t="inlineStr">
        <is>
          <t>Full W→X→Y→Z</t>
        </is>
      </c>
      <c r="G83" s="75" t="n">
        <v>49895</v>
      </c>
      <c r="H83" s="76" t="n">
        <v>49895</v>
      </c>
      <c r="I83" s="75" t="n"/>
    </row>
    <row r="84" ht="20" customHeight="1">
      <c r="A84" s="77" t="inlineStr">
        <is>
          <t>20.3.1</t>
        </is>
      </c>
      <c r="B84" s="78" t="inlineStr">
        <is>
          <t>450mm dia bored cast-in-situ pile, 12m depth, bentonite method</t>
        </is>
      </c>
      <c r="C84" s="79" t="inlineStr">
        <is>
          <t>pile</t>
        </is>
      </c>
      <c r="D84" s="79" t="n">
        <v>1</v>
      </c>
      <c r="E84" s="80" t="n">
        <v>52000</v>
      </c>
      <c r="F84" s="79" t="inlineStr">
        <is>
          <t>Full W→X→Y→Z</t>
        </is>
      </c>
      <c r="G84" s="80" t="n">
        <v>69670</v>
      </c>
      <c r="H84" s="81" t="n">
        <v>69670</v>
      </c>
      <c r="I84" s="80" t="n"/>
    </row>
    <row r="85" ht="20" customHeight="1">
      <c r="A85" s="72" t="inlineStr">
        <is>
          <t>C-20.03</t>
        </is>
      </c>
      <c r="B85" s="73" t="inlineStr">
        <is>
          <t>(Available for new custom item)</t>
        </is>
      </c>
      <c r="C85" s="74" t="inlineStr">
        <is>
          <t>pile</t>
        </is>
      </c>
      <c r="D85" s="74" t="n">
        <v>1</v>
      </c>
      <c r="E85" s="75" t="n"/>
      <c r="F85" s="74" t="inlineStr">
        <is>
          <t>Full W→X→Y→Z</t>
        </is>
      </c>
      <c r="G85" s="75" t="n"/>
      <c r="H85" s="76" t="n"/>
      <c r="I85" s="75" t="n"/>
    </row>
    <row r="86" ht="20" customHeight="1">
      <c r="A86" s="77" t="inlineStr">
        <is>
          <t>C-20.04</t>
        </is>
      </c>
      <c r="B86" s="78" t="inlineStr">
        <is>
          <t>(Available for new custom item)</t>
        </is>
      </c>
      <c r="C86" s="79" t="inlineStr">
        <is>
          <t>pile</t>
        </is>
      </c>
      <c r="D86" s="79" t="n">
        <v>1</v>
      </c>
      <c r="E86" s="80" t="n"/>
      <c r="F86" s="79" t="inlineStr">
        <is>
          <t>Full W→X→Y→Z</t>
        </is>
      </c>
      <c r="G86" s="80" t="n"/>
      <c r="H86" s="81" t="n"/>
      <c r="I86" s="80" t="n"/>
    </row>
    <row r="87" ht="20" customHeight="1">
      <c r="A87" s="72" t="inlineStr">
        <is>
          <t>C-20.05</t>
        </is>
      </c>
      <c r="B87" s="73" t="inlineStr">
        <is>
          <t>(Available for new custom item)</t>
        </is>
      </c>
      <c r="C87" s="74" t="inlineStr">
        <is>
          <t>pile</t>
        </is>
      </c>
      <c r="D87" s="74" t="n">
        <v>1</v>
      </c>
      <c r="E87" s="75" t="n"/>
      <c r="F87" s="74" t="inlineStr">
        <is>
          <t>Full W→X→Y→Z</t>
        </is>
      </c>
      <c r="G87" s="75" t="n"/>
      <c r="H87" s="76" t="n"/>
      <c r="I87" s="75" t="n"/>
    </row>
    <row r="88" ht="20" customHeight="1">
      <c r="A88" s="77" t="inlineStr">
        <is>
          <t>C-20.06</t>
        </is>
      </c>
      <c r="B88" s="78" t="inlineStr">
        <is>
          <t>(Available for new custom item)</t>
        </is>
      </c>
      <c r="C88" s="79" t="inlineStr">
        <is>
          <t>pile</t>
        </is>
      </c>
      <c r="D88" s="79" t="n">
        <v>1</v>
      </c>
      <c r="E88" s="80" t="n"/>
      <c r="F88" s="79" t="inlineStr">
        <is>
          <t>Full W→X→Y→Z</t>
        </is>
      </c>
      <c r="G88" s="80" t="n"/>
      <c r="H88" s="81" t="n"/>
      <c r="I88" s="80" t="n"/>
    </row>
    <row r="89" ht="20" customHeight="1">
      <c r="A89" s="72" t="inlineStr">
        <is>
          <t>C-20.07</t>
        </is>
      </c>
      <c r="B89" s="73" t="inlineStr">
        <is>
          <t>(Available for new custom item)</t>
        </is>
      </c>
      <c r="C89" s="74" t="inlineStr">
        <is>
          <t>pile</t>
        </is>
      </c>
      <c r="D89" s="74" t="n">
        <v>1</v>
      </c>
      <c r="E89" s="75" t="n"/>
      <c r="F89" s="74" t="inlineStr">
        <is>
          <t>Full W→X→Y→Z</t>
        </is>
      </c>
      <c r="G89" s="75" t="n"/>
      <c r="H89" s="76" t="n"/>
      <c r="I89" s="75" t="n"/>
    </row>
    <row r="90" ht="20" customHeight="1">
      <c r="A90" s="77" t="inlineStr">
        <is>
          <t>C-20.08</t>
        </is>
      </c>
      <c r="B90" s="78" t="inlineStr">
        <is>
          <t>(Available for new custom item)</t>
        </is>
      </c>
      <c r="C90" s="79" t="inlineStr">
        <is>
          <t>pile</t>
        </is>
      </c>
      <c r="D90" s="79" t="n">
        <v>1</v>
      </c>
      <c r="E90" s="80" t="n"/>
      <c r="F90" s="79" t="inlineStr">
        <is>
          <t>Full W→X→Y→Z</t>
        </is>
      </c>
      <c r="G90" s="80" t="n"/>
      <c r="H90" s="81" t="n"/>
      <c r="I90" s="80" t="n"/>
    </row>
  </sheetData>
  <sheetProtection selectLockedCells="0" selectUnlockedCells="0" sheet="1" objects="0" insertRows="1" insertHyperlinks="1" autoFilter="1" scenarios="0" formatColumns="1" deleteColumns="1" insertColumns="1" pivotTables="1" deleteRows="1" formatCells="1" formatRows="1" sort="1"/>
  <mergeCells count="30">
    <mergeCell ref="E21:I21"/>
    <mergeCell ref="A65:I65"/>
    <mergeCell ref="E12:I12"/>
    <mergeCell ref="B17:G17"/>
    <mergeCell ref="A80:I80"/>
    <mergeCell ref="A18:I18"/>
    <mergeCell ref="A3:I3"/>
    <mergeCell ref="E23:I23"/>
    <mergeCell ref="E14:I14"/>
    <mergeCell ref="A26:I26"/>
    <mergeCell ref="E20:I20"/>
    <mergeCell ref="E10:I10"/>
    <mergeCell ref="E13:I13"/>
    <mergeCell ref="E19:I19"/>
    <mergeCell ref="A8:I8"/>
    <mergeCell ref="A53:I53"/>
    <mergeCell ref="A62:I62"/>
    <mergeCell ref="E9:I9"/>
    <mergeCell ref="A38:F38"/>
    <mergeCell ref="A52:F52"/>
    <mergeCell ref="A81:I81"/>
    <mergeCell ref="E15:I15"/>
    <mergeCell ref="A40:I40"/>
    <mergeCell ref="E11:I11"/>
    <mergeCell ref="A39:F39"/>
    <mergeCell ref="A24:I24"/>
    <mergeCell ref="A1:I1"/>
    <mergeCell ref="A61:F61"/>
    <mergeCell ref="E22:I22"/>
    <mergeCell ref="A78:I78"/>
  </mergeCells>
  <dataValidations count="6">
    <dataValidation sqref="C68 C70 C72 C74"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"Driven precast RCC pile,Bored cast-in-situ pile (bentonite),Bored cast-in-situ pile (dry boring),Driven steel H-pile"</formula1>
    </dataValidation>
    <dataValidation sqref="B11" showDropDown="0" showInputMessage="0" showErrorMessage="0" allowBlank="1" type="list">
      <formula1>"250 mm,300 mm,350 mm,400 mm,450 mm,500 mm,600 mm,750 mm"</formula1>
    </dataValidation>
    <dataValidation sqref="B12" showDropDown="0" showInputMessage="0" showErrorMessage="0" allowBlank="1" type="list">
      <formula1>"6 m,8 m,10 m (standard),12 m,15 m,20 m"</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21: ALUMINIUM WORK (CUSTOM ITEM BUILDER)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21: Aluminium door/window frames, grilles, cladding sections. Material lines: weight of Al section per sqm (code 7306 — Al T/L sections at Rs 190/kg) plus anodising (7389) or powder-coating (7392). CP brass screws and other fittings are separate material lines. The book computes all weights in kg/sqm for the specified section profile. Labour: Fitter 1st class (0116), Skilled Beldar (0119), Coolie (0114).</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Section type</t>
        </is>
      </c>
      <c r="B10" s="17" t="inlineStr">
        <is>
          <t>T or L sections (standard)</t>
        </is>
      </c>
      <c r="C10" s="8" t="inlineStr">
        <is>
          <t>DRIVES COST</t>
        </is>
      </c>
      <c r="D10" s="18" t="inlineStr">
        <is>
          <t>-</t>
        </is>
      </c>
      <c r="E10" s="19" t="inlineStr">
        <is>
          <t>DRIVES COST. Sets the Al code (7306/7347/7348) and the kg/sqm weight coefficient. Section weight governs both material cost and anodising cost (anodising is billed per kg, not per sqm).</t>
        </is>
      </c>
      <c r="F10" s="20" t="n"/>
      <c r="G10" s="20" t="n"/>
      <c r="H10" s="20" t="n"/>
      <c r="I10" s="20" t="n"/>
    </row>
    <row r="11" ht="32" customHeight="1">
      <c r="A11" s="16" t="inlineStr">
        <is>
          <t>Surface treatment</t>
        </is>
      </c>
      <c r="B11" s="17" t="inlineStr">
        <is>
          <t>Anodised 15 microns (code 7389)</t>
        </is>
      </c>
      <c r="C11" s="8" t="inlineStr">
        <is>
          <t>DRIVES COST</t>
        </is>
      </c>
      <c r="D11" s="18" t="inlineStr">
        <is>
          <t>-</t>
        </is>
      </c>
      <c r="E11" s="19" t="inlineStr">
        <is>
          <t>DRIVES COST. Treatment is billed per kg of Al section at the Rates_Master rate for the respective code.</t>
        </is>
      </c>
      <c r="F11" s="20" t="n"/>
      <c r="G11" s="20" t="n"/>
      <c r="H11" s="20" t="n"/>
      <c r="I11" s="20" t="n"/>
    </row>
    <row r="12" ht="32" customHeight="1">
      <c r="A12" s="16" t="inlineStr">
        <is>
          <t>Portion type</t>
        </is>
      </c>
      <c r="B12" s="17" t="inlineStr">
        <is>
          <t>Fixed portion</t>
        </is>
      </c>
      <c r="C12" s="8" t="inlineStr">
        <is>
          <t>DRIVES COST</t>
        </is>
      </c>
      <c r="D12" s="18" t="inlineStr">
        <is>
          <t>-</t>
        </is>
      </c>
      <c r="E12" s="19" t="inlineStr">
        <is>
          <t>DRIVES COST. Openable and sliding portions require additional hardware (hinges, handles, tracks) which are separate material lines.</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C-21.01</t>
        </is>
      </c>
      <c r="C16" s="24" t="inlineStr">
        <is>
          <t>Batch Output Basis:</t>
        </is>
      </c>
      <c r="D16" s="26" t="n">
        <v>1</v>
      </c>
      <c r="E16" s="24" t="inlineStr">
        <is>
          <t>Output Unit:</t>
        </is>
      </c>
      <c r="F16" s="25" t="inlineStr">
        <is>
          <t>sqm</t>
        </is>
      </c>
      <c r="G16" s="24" t="inlineStr">
        <is>
          <t>Trade Sub-Head:</t>
        </is>
      </c>
      <c r="H16" s="27" t="inlineStr">
        <is>
          <t>21 Aluminium Work</t>
        </is>
      </c>
      <c r="I16" s="22" t="inlineStr">
        <is>
          <t>Output Unit Note:</t>
        </is>
      </c>
    </row>
    <row r="17" ht="40" customHeight="1">
      <c r="A17" s="24" t="inlineStr">
        <is>
          <t>Assembled Item Nomenclature:</t>
        </is>
      </c>
      <c r="B17" s="28" t="inlineStr">
        <is>
          <t>Providing and fixing anodised aluminium (anodised to required shade) T or L sections for fixed portion of window/ventilator, including necessary fittings,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7306</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42.02</v>
      </c>
      <c r="F28" s="38">
        <f>IF(B28="","", IFERROR(INDEX('[CPWD_DAR_2019_Custom_Rate_Analysis_Workbook_Vol_1.xlsx]Rates_Master'!$E:$E, MATCH(B28, '[CPWD_DAR_2019_Custom_Rate_Analysis_Workbook_Vol_1.xlsx]Rates_Master'!$A:$A, 0)), 0))</f>
        <v/>
      </c>
      <c r="G28" s="39">
        <f>IF(OR(B28="", E28=""), 0, ROUND(E28 * F28, 2))</f>
        <v/>
      </c>
      <c r="H28" s="40" t="inlineStr">
        <is>
          <t>Aluminium T or L sections: 42.02 kg per sqm of fixed window frame (section weight + frame weight). DAR 21.1.1.1, page 890.</t>
        </is>
      </c>
      <c r="I28" s="25" t="inlineStr"/>
    </row>
    <row r="29" ht="20" customHeight="1">
      <c r="A29" s="34" t="n">
        <v>2</v>
      </c>
      <c r="B29" s="25" t="inlineStr">
        <is>
          <t>7389</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42.02</v>
      </c>
      <c r="F29" s="38">
        <f>IF(B29="","", IFERROR(INDEX('[CPWD_DAR_2019_Custom_Rate_Analysis_Workbook_Vol_1.xlsx]Rates_Master'!$E:$E, MATCH(B29, '[CPWD_DAR_2019_Custom_Rate_Analysis_Workbook_Vol_1.xlsx]Rates_Master'!$A:$A, 0)), 0))</f>
        <v/>
      </c>
      <c r="G29" s="39">
        <f>IF(OR(B29="", E29=""), 0, ROUND(E29 * F29, 2))</f>
        <v/>
      </c>
      <c r="H29" s="40" t="inlineStr">
        <is>
          <t>Anodising 15 microns: 42.02 kg (same weight as section). DAR 21.1.1.1. Rate = Rs 38/kg.</t>
        </is>
      </c>
      <c r="I29" s="25" t="inlineStr"/>
    </row>
    <row r="30" ht="20" customHeight="1">
      <c r="A30" s="34" t="n">
        <v>3</v>
      </c>
      <c r="B30" s="25" t="inlineStr">
        <is>
          <t>0589</t>
        </is>
      </c>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v>0.72</v>
      </c>
      <c r="F30" s="38">
        <f>IF(B30="","", IFERROR(INDEX('[CPWD_DAR_2019_Custom_Rate_Analysis_Workbook_Vol_1.xlsx]Rates_Master'!$E:$E, MATCH(B30, '[CPWD_DAR_2019_Custom_Rate_Analysis_Workbook_Vol_1.xlsx]Rates_Master'!$A:$A, 0)), 0))</f>
        <v/>
      </c>
      <c r="G30" s="39">
        <f>IF(OR(B30="", E30=""), 0, ROUND(E30 * F30, 2))</f>
        <v/>
      </c>
      <c r="H30" s="40" t="inlineStr">
        <is>
          <t>CP brass screws 20mm: 0.72 per 100 Nos for cleating. DAR 21.1.1.1.</t>
        </is>
      </c>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0116</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1</v>
      </c>
      <c r="F42" s="38">
        <f>IF(B42="","", IFERROR(INDEX('[CPWD_DAR_2019_Custom_Rate_Analysis_Workbook_Vol_1.xlsx]Rates_Master'!$E:$E, MATCH(B42, '[CPWD_DAR_2019_Custom_Rate_Analysis_Workbook_Vol_1.xlsx]Rates_Master'!$A:$A, 0)), 0))</f>
        <v/>
      </c>
      <c r="G42" s="39">
        <f>IF(OR(B42="", E42=""), 0, ROUND(E42 * F42, 2))</f>
        <v/>
      </c>
      <c r="H42" s="40" t="inlineStr">
        <is>
          <t>Fitter grade 1: 1.00 day per sqm for cutting, drilling, fixing. DAR 21.1.1.1.</t>
        </is>
      </c>
      <c r="I42" s="48" t="inlineStr"/>
    </row>
    <row r="43" ht="20" customHeight="1">
      <c r="A43" s="34" t="n">
        <v>2</v>
      </c>
      <c r="B43" s="25" t="inlineStr">
        <is>
          <t>0119</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0.5</v>
      </c>
      <c r="F43" s="38">
        <f>IF(B43="","", IFERROR(INDEX('[CPWD_DAR_2019_Custom_Rate_Analysis_Workbook_Vol_1.xlsx]Rates_Master'!$E:$E, MATCH(B43, '[CPWD_DAR_2019_Custom_Rate_Analysis_Workbook_Vol_1.xlsx]Rates_Master'!$A:$A, 0)), 0))</f>
        <v/>
      </c>
      <c r="G43" s="39">
        <f>IF(OR(B43="", E43=""), 0, ROUND(E43 * F43, 2))</f>
        <v/>
      </c>
      <c r="H43" s="40" t="inlineStr">
        <is>
          <t>Skilled Beldar: 0.50 days per sqm for assisting fitter. DAR 21.1.1.1.</t>
        </is>
      </c>
      <c r="I43" s="48" t="inlineStr"/>
    </row>
    <row r="44" ht="20" customHeight="1">
      <c r="A44" s="34" t="n">
        <v>3</v>
      </c>
      <c r="B44" s="25" t="inlineStr"/>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c r="F44" s="38">
        <f>IF(B44="","", IFERROR(INDEX('[CPWD_DAR_2019_Custom_Rate_Analysis_Workbook_Vol_1.xlsx]Rates_Master'!$E:$E, MATCH(B44, '[CPWD_DAR_2019_Custom_Rate_Analysis_Workbook_Vol_1.xlsx]Rates_Master'!$A:$A, 0)), 0))</f>
        <v/>
      </c>
      <c r="G44" s="39">
        <f>IF(OR(B44="", E44=""), 0, ROUND(E44 * F44, 2))</f>
        <v/>
      </c>
      <c r="H44" s="40" t="inlineStr"/>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21.1.1.1</t>
        </is>
      </c>
      <c r="B75" s="73" t="inlineStr">
        <is>
          <t>Anodised Al T/L sections 42.02 kg/sqm, fixed portion, 15-micron anodising</t>
        </is>
      </c>
      <c r="C75" s="74" t="inlineStr">
        <is>
          <t>sqm</t>
        </is>
      </c>
      <c r="D75" s="74" t="n">
        <v>1</v>
      </c>
      <c r="E75" s="75" t="n">
        <v>9803.959999999999</v>
      </c>
      <c r="F75" s="74" t="inlineStr">
        <is>
          <t>Full W→X→Y→Z</t>
        </is>
      </c>
      <c r="G75" s="75" t="n">
        <v>13135</v>
      </c>
      <c r="H75" s="76" t="n">
        <v>13135</v>
      </c>
      <c r="I75" s="75" t="n"/>
    </row>
    <row r="76" ht="20" customHeight="1">
      <c r="A76" s="77" t="inlineStr">
        <is>
          <t>21.1.1.3</t>
        </is>
      </c>
      <c r="B76" s="78" t="inlineStr">
        <is>
          <t>Powder-coated Al sections 42.02 kg/sqm, fixed, 50-micron coating</t>
        </is>
      </c>
      <c r="C76" s="79" t="inlineStr">
        <is>
          <t>sqm</t>
        </is>
      </c>
      <c r="D76" s="79" t="n">
        <v>1</v>
      </c>
      <c r="E76" s="80" t="n">
        <v>10218</v>
      </c>
      <c r="F76" s="79" t="inlineStr">
        <is>
          <t>Full W→X→Y→Z</t>
        </is>
      </c>
      <c r="G76" s="80" t="n">
        <v>13690</v>
      </c>
      <c r="H76" s="81" t="n">
        <v>13690</v>
      </c>
      <c r="I76" s="80" t="n"/>
    </row>
    <row r="77" ht="20" customHeight="1">
      <c r="A77" s="72" t="inlineStr">
        <is>
          <t>C-21.03</t>
        </is>
      </c>
      <c r="B77" s="73" t="inlineStr">
        <is>
          <t>(Available for new custom item)</t>
        </is>
      </c>
      <c r="C77" s="74" t="inlineStr">
        <is>
          <t>sqm</t>
        </is>
      </c>
      <c r="D77" s="74" t="n">
        <v>1</v>
      </c>
      <c r="E77" s="75" t="n"/>
      <c r="F77" s="74" t="inlineStr">
        <is>
          <t>Full W→X→Y→Z</t>
        </is>
      </c>
      <c r="G77" s="75" t="n"/>
      <c r="H77" s="76" t="n"/>
      <c r="I77" s="75" t="n"/>
    </row>
    <row r="78" ht="20" customHeight="1">
      <c r="A78" s="77" t="inlineStr">
        <is>
          <t>C-21.04</t>
        </is>
      </c>
      <c r="B78" s="78" t="inlineStr">
        <is>
          <t>(Available for new custom item)</t>
        </is>
      </c>
      <c r="C78" s="79" t="inlineStr">
        <is>
          <t>sqm</t>
        </is>
      </c>
      <c r="D78" s="79" t="n">
        <v>1</v>
      </c>
      <c r="E78" s="80" t="n"/>
      <c r="F78" s="79" t="inlineStr">
        <is>
          <t>Full W→X→Y→Z</t>
        </is>
      </c>
      <c r="G78" s="80" t="n"/>
      <c r="H78" s="81" t="n"/>
      <c r="I78" s="80" t="n"/>
    </row>
    <row r="79" ht="20" customHeight="1">
      <c r="A79" s="72" t="inlineStr">
        <is>
          <t>C-21.05</t>
        </is>
      </c>
      <c r="B79" s="73" t="inlineStr">
        <is>
          <t>(Available for new custom item)</t>
        </is>
      </c>
      <c r="C79" s="74" t="inlineStr">
        <is>
          <t>sqm</t>
        </is>
      </c>
      <c r="D79" s="74" t="n">
        <v>1</v>
      </c>
      <c r="E79" s="75" t="n"/>
      <c r="F79" s="74" t="inlineStr">
        <is>
          <t>Full W→X→Y→Z</t>
        </is>
      </c>
      <c r="G79" s="75" t="n"/>
      <c r="H79" s="76" t="n"/>
      <c r="I79" s="75" t="n"/>
    </row>
    <row r="80" ht="20" customHeight="1">
      <c r="A80" s="77" t="inlineStr">
        <is>
          <t>C-21.06</t>
        </is>
      </c>
      <c r="B80" s="78" t="inlineStr">
        <is>
          <t>(Available for new custom item)</t>
        </is>
      </c>
      <c r="C80" s="79" t="inlineStr">
        <is>
          <t>sqm</t>
        </is>
      </c>
      <c r="D80" s="79" t="n">
        <v>1</v>
      </c>
      <c r="E80" s="80" t="n"/>
      <c r="F80" s="79" t="inlineStr">
        <is>
          <t>Full W→X→Y→Z</t>
        </is>
      </c>
      <c r="G80" s="80" t="n"/>
      <c r="H80" s="81" t="n"/>
      <c r="I80" s="80" t="n"/>
    </row>
    <row r="81" ht="20" customHeight="1">
      <c r="A81" s="72" t="inlineStr">
        <is>
          <t>C-21.07</t>
        </is>
      </c>
      <c r="B81" s="73" t="inlineStr">
        <is>
          <t>(Available for new custom item)</t>
        </is>
      </c>
      <c r="C81" s="74" t="inlineStr">
        <is>
          <t>sqm</t>
        </is>
      </c>
      <c r="D81" s="74" t="n">
        <v>1</v>
      </c>
      <c r="E81" s="75" t="n"/>
      <c r="F81" s="74" t="inlineStr">
        <is>
          <t>Full W→X→Y→Z</t>
        </is>
      </c>
      <c r="G81" s="75" t="n"/>
      <c r="H81" s="76" t="n"/>
      <c r="I81" s="75" t="n"/>
    </row>
    <row r="82" ht="20" customHeight="1">
      <c r="A82" s="77" t="inlineStr">
        <is>
          <t>C-21.08</t>
        </is>
      </c>
      <c r="B82" s="78" t="inlineStr">
        <is>
          <t>(Available for new custom item)</t>
        </is>
      </c>
      <c r="C82" s="79" t="inlineStr">
        <is>
          <t>sqm</t>
        </is>
      </c>
      <c r="D82" s="79" t="n">
        <v>1</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6">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"T or L sections (standard),Z sections (sliding),H sections (frame junction),Hollow box sections,Equal angle sections"</formula1>
    </dataValidation>
    <dataValidation sqref="B11" showDropDown="0" showInputMessage="0" showErrorMessage="0" allowBlank="1" type="list">
      <formula1>"Anodised 15 microns (code 7389),Powder coated 50 microns (code 7392),Mill finish (no treatment)"</formula1>
    </dataValidation>
    <dataValidation sqref="B12" showDropDown="0" showInputMessage="0" showErrorMessage="0" allowBlank="1" type="list">
      <formula1>"Fixed portion,Openable portion (additional fittings),Sliding portion (tracks &amp; rollers)"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22: WATER PROOFING (CUSTOM ITEM BUILDER)
WB2 — references WB1 for Rates_Master &amp; Mortars rate (03_Mortars)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22: Integral waterproofing, APP/SBS membrane systems, crystalline compounds, and china-mosaic / kota-stone protective layers. The MATERIAL picker offers 03_Mortars rates from WB1 (bedding mortar and slurry lines — codes 3.8, 3.9, 3.10 — are heavily used here). Tag mortar lines "A" where the imported rate already carries full markups. Labour: Mason (0123), Beldar (0114), Bhisti (0101). Waterproofing compound codes: 7427-7429, 8501-8513.</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WP system type</t>
        </is>
      </c>
      <c r="B10" s="17" t="inlineStr">
        <is>
          <t>Kota stone with mortar bedding</t>
        </is>
      </c>
      <c r="C10" s="8" t="inlineStr">
        <is>
          <t>DRIVES COST</t>
        </is>
      </c>
      <c r="D10" s="18" t="inlineStr">
        <is>
          <t>-</t>
        </is>
      </c>
      <c r="E10" s="19" t="inlineStr">
        <is>
          <t>DRIVES COST. Membrane systems have high material cost, few labour days. Stone/mosaic systems have moderate material, higher labour for bedding.</t>
        </is>
      </c>
      <c r="F10" s="20" t="n"/>
      <c r="G10" s="20" t="n"/>
      <c r="H10" s="20" t="n"/>
      <c r="I10" s="20" t="n"/>
    </row>
    <row r="11" ht="32" customHeight="1">
      <c r="A11" s="16" t="inlineStr">
        <is>
          <t>Bedding mortar ratio</t>
        </is>
      </c>
      <c r="B11" s="17" t="inlineStr">
        <is>
          <t>1:3 (cement mortar, item 3.8)</t>
        </is>
      </c>
      <c r="C11" s="8" t="inlineStr">
        <is>
          <t>DRIVES COST</t>
        </is>
      </c>
      <c r="D11" s="18" t="inlineStr">
        <is>
          <t>-</t>
        </is>
      </c>
      <c r="E11" s="19" t="inlineStr">
        <is>
          <t>DRIVES COST. Sets the 03_Mortars cross-reference item from WB1. Richer ratios add cost; slurry is used for final pointing layer.</t>
        </is>
      </c>
      <c r="F11" s="20" t="n"/>
      <c r="G11" s="20" t="n"/>
      <c r="H11" s="20" t="n"/>
      <c r="I11" s="20" t="n"/>
    </row>
    <row r="12" ht="20" customHeight="1">
      <c r="A12" s="22" t="inlineStr">
        <is>
          <t>(spare - add a further scope clause here)</t>
        </is>
      </c>
      <c r="B12" s="23" t="n"/>
      <c r="C12" s="20" t="n"/>
      <c r="D12" s="20" t="n"/>
      <c r="E12" s="20" t="n"/>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C-22.01</t>
        </is>
      </c>
      <c r="C16" s="24" t="inlineStr">
        <is>
          <t>Batch Output Basis:</t>
        </is>
      </c>
      <c r="D16" s="26" t="n">
        <v>10</v>
      </c>
      <c r="E16" s="24" t="inlineStr">
        <is>
          <t>Output Unit:</t>
        </is>
      </c>
      <c r="F16" s="25" t="inlineStr">
        <is>
          <t>sqm</t>
        </is>
      </c>
      <c r="G16" s="24" t="inlineStr">
        <is>
          <t>Trade Sub-Head:</t>
        </is>
      </c>
      <c r="H16" s="27" t="inlineStr">
        <is>
          <t>22 Water Proofing</t>
        </is>
      </c>
      <c r="I16" s="22" t="inlineStr">
        <is>
          <t>Output Unit Note:</t>
        </is>
      </c>
    </row>
    <row r="17" ht="40" customHeight="1">
      <c r="A17" s="24" t="inlineStr">
        <is>
          <t>Assembled Item Nomenclature:</t>
        </is>
      </c>
      <c r="B17" s="28" t="inlineStr">
        <is>
          <t>Providing and laying integral waterproofing treatment with rough kota stone 25 mm thick over RCC roof slab including bedding with cement mortar 1:3 and pointing with white cement,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3.8</t>
        </is>
      </c>
      <c r="C28" s="35" t="inlineStr">
        <is>
          <t>WB1 03_Mortars → Item 3.8: Cement mortar 1:3 (bedding)</t>
        </is>
      </c>
      <c r="D28" s="36" t="inlineStr">
        <is>
          <t>cum</t>
        </is>
      </c>
      <c r="E28" s="37" t="n">
        <v>0.25</v>
      </c>
      <c r="F28" s="38">
        <f>IF(B28="","", IFERROR(INDEX('[CPWD_DAR_2019_Custom_Rate_Analysis_Workbook_Vol_1.xlsx]Rates_Master'!$E:$E, MATCH(B28, '[CPWD_DAR_2019_Custom_Rate_Analysis_Workbook_Vol_1.xlsx]Rates_Master'!$A:$A, 0)), 0))</f>
        <v/>
      </c>
      <c r="G28" s="39">
        <f>IF(OR(B28="", E28=""), 0, ROUND(E28 * F28, 2))</f>
        <v/>
      </c>
      <c r="H28" s="40" t="inlineStr">
        <is>
          <t>Cement mortar 1:3 from WB1 sheet 03_Mortars, item 3.8: 0.25 cum (10 sqm × 25mm kota = 0.25 cum). DAR 22.1.1, page 922. Tag "A" if 03_Mortars rate includes full markups.</t>
        </is>
      </c>
      <c r="I28" s="25" t="inlineStr"/>
    </row>
    <row r="29" ht="20" customHeight="1">
      <c r="A29" s="34" t="n">
        <v>2</v>
      </c>
      <c r="B29" s="25" t="inlineStr">
        <is>
          <t>1169</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11</v>
      </c>
      <c r="F29" s="38">
        <f>IF(B29="","", IFERROR(INDEX('[CPWD_DAR_2019_Custom_Rate_Analysis_Workbook_Vol_1.xlsx]Rates_Master'!$E:$E, MATCH(B29, '[CPWD_DAR_2019_Custom_Rate_Analysis_Workbook_Vol_1.xlsx]Rates_Master'!$A:$A, 0)), 0))</f>
        <v/>
      </c>
      <c r="G29" s="39">
        <f>IF(OR(B29="", E29=""), 0, ROUND(E29 * F29, 2))</f>
        <v/>
      </c>
      <c r="H29" s="40" t="inlineStr">
        <is>
          <t>Kota stone slab 25mm thick (rough): 11 sqm (10 sqm + 10% wastage). DAR 22.1.1. Rate = Rs 301/sqm.</t>
        </is>
      </c>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0123</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1.5</v>
      </c>
      <c r="F42" s="38">
        <f>IF(B42="","", IFERROR(INDEX('[CPWD_DAR_2019_Custom_Rate_Analysis_Workbook_Vol_1.xlsx]Rates_Master'!$E:$E, MATCH(B42, '[CPWD_DAR_2019_Custom_Rate_Analysis_Workbook_Vol_1.xlsx]Rates_Master'!$A:$A, 0)), 0))</f>
        <v/>
      </c>
      <c r="G42" s="39">
        <f>IF(OR(B42="", E42=""), 0, ROUND(E42 * F42, 2))</f>
        <v/>
      </c>
      <c r="H42" s="40" t="inlineStr">
        <is>
          <t>Mason 1st class: 1.50 days per 10 sqm for kota stone laying and pointing.</t>
        </is>
      </c>
      <c r="I42" s="48" t="inlineStr"/>
    </row>
    <row r="43" ht="20" customHeight="1">
      <c r="A43" s="34" t="n">
        <v>2</v>
      </c>
      <c r="B43" s="25" t="inlineStr">
        <is>
          <t>0114</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2</v>
      </c>
      <c r="F43" s="38">
        <f>IF(B43="","", IFERROR(INDEX('[CPWD_DAR_2019_Custom_Rate_Analysis_Workbook_Vol_1.xlsx]Rates_Master'!$E:$E, MATCH(B43, '[CPWD_DAR_2019_Custom_Rate_Analysis_Workbook_Vol_1.xlsx]Rates_Master'!$A:$A, 0)), 0))</f>
        <v/>
      </c>
      <c r="G43" s="39">
        <f>IF(OR(B43="", E43=""), 0, ROUND(E43 * F43, 2))</f>
        <v/>
      </c>
      <c r="H43" s="40" t="inlineStr">
        <is>
          <t>Beldar: 2.00 days per 10 sqm for mixing, carrying and cleaning.</t>
        </is>
      </c>
      <c r="I43" s="48" t="inlineStr"/>
    </row>
    <row r="44" ht="20" customHeight="1">
      <c r="A44" s="34" t="n">
        <v>3</v>
      </c>
      <c r="B44" s="25" t="inlineStr">
        <is>
          <t>0101</t>
        </is>
      </c>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v>0.5</v>
      </c>
      <c r="F44" s="38">
        <f>IF(B44="","", IFERROR(INDEX('[CPWD_DAR_2019_Custom_Rate_Analysis_Workbook_Vol_1.xlsx]Rates_Master'!$E:$E, MATCH(B44, '[CPWD_DAR_2019_Custom_Rate_Analysis_Workbook_Vol_1.xlsx]Rates_Master'!$A:$A, 0)), 0))</f>
        <v/>
      </c>
      <c r="G44" s="39">
        <f>IF(OR(B44="", E44=""), 0, ROUND(E44 * F44, 2))</f>
        <v/>
      </c>
      <c r="H44" s="40" t="inlineStr">
        <is>
          <t>Bhisti: 0.50 days per 10 sqm for curing water.</t>
        </is>
      </c>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22.1.1</t>
        </is>
      </c>
      <c r="B75" s="73" t="inlineStr">
        <is>
          <t>Integral WP — rough kota stone 25mm on CM 1:3, including pointing</t>
        </is>
      </c>
      <c r="C75" s="74" t="inlineStr">
        <is>
          <t>sqm</t>
        </is>
      </c>
      <c r="D75" s="74" t="n">
        <v>10</v>
      </c>
      <c r="E75" s="75" t="n">
        <v>4537.17</v>
      </c>
      <c r="F75" s="74" t="inlineStr">
        <is>
          <t>Full W→X→Y→Z</t>
        </is>
      </c>
      <c r="G75" s="75" t="n">
        <v>607.65</v>
      </c>
      <c r="H75" s="76" t="n">
        <v>607.65</v>
      </c>
      <c r="I75" s="75" t="n"/>
    </row>
    <row r="76" ht="20" customHeight="1">
      <c r="A76" s="77" t="inlineStr">
        <is>
          <t>22.5</t>
        </is>
      </c>
      <c r="B76" s="78" t="inlineStr">
        <is>
          <t>APP bituminous membrane WP, single layer, torch applied</t>
        </is>
      </c>
      <c r="C76" s="79" t="inlineStr">
        <is>
          <t>sqm</t>
        </is>
      </c>
      <c r="D76" s="79" t="n">
        <v>10</v>
      </c>
      <c r="E76" s="80" t="n">
        <v>3820</v>
      </c>
      <c r="F76" s="79" t="inlineStr">
        <is>
          <t>Full W→X→Y→Z</t>
        </is>
      </c>
      <c r="G76" s="80" t="n">
        <v>511.75</v>
      </c>
      <c r="H76" s="81" t="n">
        <v>511.75</v>
      </c>
      <c r="I76" s="80" t="n"/>
    </row>
    <row r="77" ht="20" customHeight="1">
      <c r="A77" s="72" t="inlineStr">
        <is>
          <t>C-22.03</t>
        </is>
      </c>
      <c r="B77" s="73" t="inlineStr">
        <is>
          <t>(Available for new custom item)</t>
        </is>
      </c>
      <c r="C77" s="74" t="inlineStr">
        <is>
          <t>sqm</t>
        </is>
      </c>
      <c r="D77" s="74" t="n">
        <v>10</v>
      </c>
      <c r="E77" s="75" t="n"/>
      <c r="F77" s="74" t="inlineStr">
        <is>
          <t>Full W→X→Y→Z</t>
        </is>
      </c>
      <c r="G77" s="75" t="n"/>
      <c r="H77" s="76" t="n"/>
      <c r="I77" s="75" t="n"/>
    </row>
    <row r="78" ht="20" customHeight="1">
      <c r="A78" s="77" t="inlineStr">
        <is>
          <t>C-22.04</t>
        </is>
      </c>
      <c r="B78" s="78" t="inlineStr">
        <is>
          <t>(Available for new custom item)</t>
        </is>
      </c>
      <c r="C78" s="79" t="inlineStr">
        <is>
          <t>sqm</t>
        </is>
      </c>
      <c r="D78" s="79" t="n">
        <v>10</v>
      </c>
      <c r="E78" s="80" t="n"/>
      <c r="F78" s="79" t="inlineStr">
        <is>
          <t>Full W→X→Y→Z</t>
        </is>
      </c>
      <c r="G78" s="80" t="n"/>
      <c r="H78" s="81" t="n"/>
      <c r="I78" s="80" t="n"/>
    </row>
    <row r="79" ht="20" customHeight="1">
      <c r="A79" s="72" t="inlineStr">
        <is>
          <t>C-22.05</t>
        </is>
      </c>
      <c r="B79" s="73" t="inlineStr">
        <is>
          <t>(Available for new custom item)</t>
        </is>
      </c>
      <c r="C79" s="74" t="inlineStr">
        <is>
          <t>sqm</t>
        </is>
      </c>
      <c r="D79" s="74" t="n">
        <v>10</v>
      </c>
      <c r="E79" s="75" t="n"/>
      <c r="F79" s="74" t="inlineStr">
        <is>
          <t>Full W→X→Y→Z</t>
        </is>
      </c>
      <c r="G79" s="75" t="n"/>
      <c r="H79" s="76" t="n"/>
      <c r="I79" s="75" t="n"/>
    </row>
    <row r="80" ht="20" customHeight="1">
      <c r="A80" s="77" t="inlineStr">
        <is>
          <t>C-22.06</t>
        </is>
      </c>
      <c r="B80" s="78" t="inlineStr">
        <is>
          <t>(Available for new custom item)</t>
        </is>
      </c>
      <c r="C80" s="79" t="inlineStr">
        <is>
          <t>sqm</t>
        </is>
      </c>
      <c r="D80" s="79" t="n">
        <v>10</v>
      </c>
      <c r="E80" s="80" t="n"/>
      <c r="F80" s="79" t="inlineStr">
        <is>
          <t>Full W→X→Y→Z</t>
        </is>
      </c>
      <c r="G80" s="80" t="n"/>
      <c r="H80" s="81" t="n"/>
      <c r="I80" s="80" t="n"/>
    </row>
    <row r="81" ht="20" customHeight="1">
      <c r="A81" s="72" t="inlineStr">
        <is>
          <t>C-22.07</t>
        </is>
      </c>
      <c r="B81" s="73" t="inlineStr">
        <is>
          <t>(Available for new custom item)</t>
        </is>
      </c>
      <c r="C81" s="74" t="inlineStr">
        <is>
          <t>sqm</t>
        </is>
      </c>
      <c r="D81" s="74" t="n">
        <v>10</v>
      </c>
      <c r="E81" s="75" t="n"/>
      <c r="F81" s="74" t="inlineStr">
        <is>
          <t>Full W→X→Y→Z</t>
        </is>
      </c>
      <c r="G81" s="75" t="n"/>
      <c r="H81" s="76" t="n"/>
      <c r="I81" s="75" t="n"/>
    </row>
    <row r="82" ht="20" customHeight="1">
      <c r="A82" s="77" t="inlineStr">
        <is>
          <t>C-22.08</t>
        </is>
      </c>
      <c r="B82" s="78" t="inlineStr">
        <is>
          <t>(Available for new custom item)</t>
        </is>
      </c>
      <c r="C82" s="79" t="inlineStr">
        <is>
          <t>sqm</t>
        </is>
      </c>
      <c r="D82" s="79" t="n">
        <v>10</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5">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"Kota stone with mortar bedding (integral WP),APP/SBS bituminous membrane (single layer),APP/SBS bituminous membrane (double layer),Crystalline waterproofing compound,Acrylic / polymer coating,China mosaic with mortar"</formula1>
    </dataValidation>
    <dataValidation sqref="B11" showDropDown="0" showInputMessage="0" showErrorMessage="0" allowBlank="1" type="list">
      <formula1>"1:3 (cement mortar, item 3.8),1:4 (cement mortar, item 3.4),White cement slurry (item 3.10)"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0"/>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23: RAIN WATER HARVESTING &amp; TUBEWELLS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23: Borewell drilling, casing pipe installation, pump sets and recharge structures for rainwater harvesting. Machinery-heavy: Hydraulic excavator 3D (0020), diesel truck (0005), drilling rig (assumed separate hire not in Rates_Master for specialised rigs). Material lines: casing pipes (7744-7765 series), MS well screen. Labour: Skilled well-sinker/driller from site-specific gang or Coolie/Beldar for manual works.</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Bore diameter</t>
        </is>
      </c>
      <c r="B10" s="17" t="inlineStr">
        <is>
          <t>300 mm dia</t>
        </is>
      </c>
      <c r="C10" s="8" t="inlineStr">
        <is>
          <t>DRIVES COST</t>
        </is>
      </c>
      <c r="D10" s="18" t="inlineStr">
        <is>
          <t>-</t>
        </is>
      </c>
      <c r="E10" s="19" t="inlineStr">
        <is>
          <t>DRIVES COST. Larger bores need heavier rigs and take longer. Rig hire cost per day is the same; productivity (m/day) reduces.</t>
        </is>
      </c>
      <c r="F10" s="20" t="n"/>
      <c r="G10" s="20" t="n"/>
      <c r="H10" s="20" t="n"/>
      <c r="I10" s="20" t="n"/>
    </row>
    <row r="11" ht="32" customHeight="1">
      <c r="A11" s="16" t="inlineStr">
        <is>
          <t>Soil / rock type</t>
        </is>
      </c>
      <c r="B11" s="17" t="inlineStr">
        <is>
          <t>All types of soil</t>
        </is>
      </c>
      <c r="C11" s="8" t="inlineStr">
        <is>
          <t>DRIVES COST</t>
        </is>
      </c>
      <c r="D11" s="18" t="inlineStr">
        <is>
          <t>-</t>
        </is>
      </c>
      <c r="E11" s="19" t="inlineStr">
        <is>
          <t>DRIVES COST. Hard rock needs DTH hammers and compressor — separate plant code. The DAR prints separate items for soil and rock.</t>
        </is>
      </c>
      <c r="F11" s="20" t="n"/>
      <c r="G11" s="20" t="n"/>
      <c r="H11" s="20" t="n"/>
      <c r="I11" s="20" t="n"/>
    </row>
    <row r="12" ht="32" customHeight="1">
      <c r="A12" s="16" t="inlineStr">
        <is>
          <t>Machine transport (to site)</t>
        </is>
      </c>
      <c r="B12" s="17" t="inlineStr">
        <is>
          <t>YES — included in rig days</t>
        </is>
      </c>
      <c r="C12" s="8" t="inlineStr">
        <is>
          <t>DRIVES COST</t>
        </is>
      </c>
      <c r="D12" s="18" t="inlineStr">
        <is>
          <t>-</t>
        </is>
      </c>
      <c r="E12" s="19" t="inlineStr">
        <is>
          <t>DRIVES COST. DAR item 23.1.1 assumes 2 × 30 km round trips for a 140 m bore = 0.4286 truck days. Adjust for actual distance in Panel 2.</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C-23.01</t>
        </is>
      </c>
      <c r="C16" s="24" t="inlineStr">
        <is>
          <t>Batch Output Basis:</t>
        </is>
      </c>
      <c r="D16" s="26" t="n">
        <v>1</v>
      </c>
      <c r="E16" s="24" t="inlineStr">
        <is>
          <t>Output Unit:</t>
        </is>
      </c>
      <c r="F16" s="25" t="inlineStr">
        <is>
          <t>metre</t>
        </is>
      </c>
      <c r="G16" s="24" t="inlineStr">
        <is>
          <t>Trade Sub-Head:</t>
        </is>
      </c>
      <c r="H16" s="27" t="inlineStr">
        <is>
          <t>23 Rain Water Harvesting</t>
        </is>
      </c>
      <c r="I16" s="22" t="inlineStr">
        <is>
          <t>Output Unit Note:</t>
        </is>
      </c>
    </row>
    <row r="17" ht="40" customHeight="1">
      <c r="A17" s="24" t="inlineStr">
        <is>
          <t>Assembled Item Nomenclature:</t>
        </is>
      </c>
      <c r="B17" s="28" t="inlineStr">
        <is>
          <t>Boring/drilling bore well of required depth in all types of soil of 300 mm dia using hydraulic boring machine including transportation of boring machine to site and back,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7744</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1</v>
      </c>
      <c r="F28" s="38">
        <f>IF(B28="","", IFERROR(INDEX('[CPWD_DAR_2019_Custom_Rate_Analysis_Workbook_Vol_1.xlsx]Rates_Master'!$E:$E, MATCH(B28, '[CPWD_DAR_2019_Custom_Rate_Analysis_Workbook_Vol_1.xlsx]Rates_Master'!$A:$A, 0)), 0))</f>
        <v/>
      </c>
      <c r="G28" s="39">
        <f>IF(OR(B28="", E28=""), 0, ROUND(E28 * F28, 2))</f>
        <v/>
      </c>
      <c r="H28" s="40" t="inlineStr">
        <is>
          <t>MS casing pipe for borewell (per metre): standard mild-steel lined casing. Rate from Rates_Master code 7744.</t>
        </is>
      </c>
      <c r="I28" s="25" t="inlineStr"/>
    </row>
    <row r="29" ht="20" customHeight="1">
      <c r="A29" s="34" t="n">
        <v>2</v>
      </c>
      <c r="B29" s="25" t="inlineStr"/>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c r="F29" s="38">
        <f>IF(B29="","", IFERROR(INDEX('[CPWD_DAR_2019_Custom_Rate_Analysis_Workbook_Vol_1.xlsx]Rates_Master'!$E:$E, MATCH(B29, '[CPWD_DAR_2019_Custom_Rate_Analysis_Workbook_Vol_1.xlsx]Rates_Master'!$A:$A, 0)), 0))</f>
        <v/>
      </c>
      <c r="G29" s="39">
        <f>IF(OR(B29="", E29=""), 0, ROUND(E29 * F29, 2))</f>
        <v/>
      </c>
      <c r="H29" s="40" t="inlineStr"/>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0113</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0.054</v>
      </c>
      <c r="F42" s="38">
        <f>IF(B42="","", IFERROR(INDEX('[CPWD_DAR_2019_Custom_Rate_Analysis_Workbook_Vol_1.xlsx]Rates_Master'!$E:$E, MATCH(B42, '[CPWD_DAR_2019_Custom_Rate_Analysis_Workbook_Vol_1.xlsx]Rates_Master'!$A:$A, 0)), 0))</f>
        <v/>
      </c>
      <c r="G42" s="39">
        <f>IF(OR(B42="", E42=""), 0, ROUND(E42 * F42, 2))</f>
        <v/>
      </c>
      <c r="H42" s="40" t="inlineStr">
        <is>
          <t>Chowkidar (security/site attendant): 0.054 days per metre during boring operations. DAR 23.1.1.1, page 948.</t>
        </is>
      </c>
      <c r="I42" s="48" t="inlineStr"/>
    </row>
    <row r="43" ht="20" customHeight="1">
      <c r="A43" s="34" t="n">
        <v>2</v>
      </c>
      <c r="B43" s="25" t="inlineStr">
        <is>
          <t>0114</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0.2</v>
      </c>
      <c r="F43" s="38">
        <f>IF(B43="","", IFERROR(INDEX('[CPWD_DAR_2019_Custom_Rate_Analysis_Workbook_Vol_1.xlsx]Rates_Master'!$E:$E, MATCH(B43, '[CPWD_DAR_2019_Custom_Rate_Analysis_Workbook_Vol_1.xlsx]Rates_Master'!$A:$A, 0)), 0))</f>
        <v/>
      </c>
      <c r="G43" s="39">
        <f>IF(OR(B43="", E43=""), 0, ROUND(E43 * F43, 2))</f>
        <v/>
      </c>
      <c r="H43" s="40" t="inlineStr">
        <is>
          <t>Beldar: 0.20 days per metre for assistance, pipe handling and site cleanup.</t>
        </is>
      </c>
      <c r="I43" s="48" t="inlineStr"/>
    </row>
    <row r="44" ht="20" customHeight="1">
      <c r="A44" s="34" t="n">
        <v>3</v>
      </c>
      <c r="B44" s="25" t="inlineStr"/>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c r="F44" s="38">
        <f>IF(B44="","", IFERROR(INDEX('[CPWD_DAR_2019_Custom_Rate_Analysis_Workbook_Vol_1.xlsx]Rates_Master'!$E:$E, MATCH(B44, '[CPWD_DAR_2019_Custom_Rate_Analysis_Workbook_Vol_1.xlsx]Rates_Master'!$A:$A, 0)), 0))</f>
        <v/>
      </c>
      <c r="G44" s="39">
        <f>IF(OR(B44="", E44=""), 0, ROUND(E44 * F44, 2))</f>
        <v/>
      </c>
      <c r="H44" s="40" t="inlineStr"/>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4b. MACHINERY &amp; PLANT HIRE  (plant codes 0001-0083 include operator + fuel + lubricants per CPWD Note 1; specialist rigs priced at hire-invoice rate — enter as custom_rate)</t>
        </is>
      </c>
    </row>
    <row r="54" ht="24" customHeight="1">
      <c r="A54" s="13" t="inlineStr">
        <is>
          <t>Line</t>
        </is>
      </c>
      <c r="B54" s="13" t="inlineStr">
        <is>
          <t>Code / Source</t>
        </is>
      </c>
      <c r="C54" s="13" t="inlineStr">
        <is>
          <t>Description / Specification</t>
        </is>
      </c>
      <c r="D54" s="13" t="inlineStr">
        <is>
          <t>Unit</t>
        </is>
      </c>
      <c r="E54" s="13" t="inlineStr">
        <is>
          <t>Quantity / Coeff</t>
        </is>
      </c>
      <c r="F54" s="13" t="inlineStr">
        <is>
          <t>Basic Rate (Rs)</t>
        </is>
      </c>
      <c r="G54" s="13" t="inlineStr">
        <is>
          <t>Amount (Rs)</t>
        </is>
      </c>
      <c r="H54" s="13" t="inlineStr">
        <is>
          <t>Source Reference / Remarks</t>
        </is>
      </c>
      <c r="I54" s="13" t="inlineStr">
        <is>
          <t>Markup Tag</t>
        </is>
      </c>
    </row>
    <row r="55" ht="20" customHeight="1">
      <c r="A55" s="34" t="n">
        <v>1</v>
      </c>
      <c r="B55" s="25" t="inlineStr">
        <is>
          <t>0020</t>
        </is>
      </c>
      <c r="C55" s="35">
        <f>IF(B55="","", IFERROR(INDEX('[CPWD_DAR_2019_Custom_Rate_Analysis_Workbook_Vol_1.xlsx]Rates_Master'!$C:$C, MATCH(B55, '[CPWD_DAR_2019_Custom_Rate_Analysis_Workbook_Vol_1.xlsx]Rates_Master'!$A:$A, 0)), "Custom Plant / Machinery"))</f>
        <v/>
      </c>
      <c r="D55" s="36">
        <f>IF(B55="","", IFERROR(INDEX('[CPWD_DAR_2019_Custom_Rate_Analysis_Workbook_Vol_1.xlsx]Rates_Master'!$D:$D, MATCH(B55, '[CPWD_DAR_2019_Custom_Rate_Analysis_Workbook_Vol_1.xlsx]Rates_Master'!$A:$A, 0)), ""))</f>
        <v/>
      </c>
      <c r="E55" s="37" t="n">
        <v>1</v>
      </c>
      <c r="F55" s="38">
        <f>IF(B55="","", IFERROR(INDEX('[CPWD_DAR_2019_Custom_Rate_Analysis_Workbook_Vol_1.xlsx]Rates_Master'!$E:$E, MATCH(B55, '[CPWD_DAR_2019_Custom_Rate_Analysis_Workbook_Vol_1.xlsx]Rates_Master'!$A:$A, 0)), 0))</f>
        <v/>
      </c>
      <c r="G55" s="39">
        <f>IF(OR(B55="", E55=""), 0, ROUND(E55 * F55, 2))</f>
        <v/>
      </c>
      <c r="H55" s="40" t="inlineStr">
        <is>
          <t>Hydraulic Excavator 3D with borewell attachment: 1.00 day per metre is the base unit (actual productivity depends on soil type and depth). For 140m bore one rig day ≈ 5-8 m. DAR 23.1.1.1.</t>
        </is>
      </c>
      <c r="I55" s="48" t="inlineStr"/>
    </row>
    <row r="56" ht="20" customHeight="1">
      <c r="A56" s="34" t="n">
        <v>2</v>
      </c>
      <c r="B56" s="25" t="inlineStr">
        <is>
          <t>0005</t>
        </is>
      </c>
      <c r="C56" s="35">
        <f>IF(B56="","", IFERROR(INDEX('[CPWD_DAR_2019_Custom_Rate_Analysis_Workbook_Vol_1.xlsx]Rates_Master'!$C:$C, MATCH(B56, '[CPWD_DAR_2019_Custom_Rate_Analysis_Workbook_Vol_1.xlsx]Rates_Master'!$A:$A, 0)), "Custom Plant / Machinery"))</f>
        <v/>
      </c>
      <c r="D56" s="36">
        <f>IF(B56="","", IFERROR(INDEX('[CPWD_DAR_2019_Custom_Rate_Analysis_Workbook_Vol_1.xlsx]Rates_Master'!$D:$D, MATCH(B56, '[CPWD_DAR_2019_Custom_Rate_Analysis_Workbook_Vol_1.xlsx]Rates_Master'!$A:$A, 0)), ""))</f>
        <v/>
      </c>
      <c r="E56" s="37" t="n">
        <v>0.4286</v>
      </c>
      <c r="F56" s="38">
        <f>IF(B56="","", IFERROR(INDEX('[CPWD_DAR_2019_Custom_Rate_Analysis_Workbook_Vol_1.xlsx]Rates_Master'!$E:$E, MATCH(B56, '[CPWD_DAR_2019_Custom_Rate_Analysis_Workbook_Vol_1.xlsx]Rates_Master'!$A:$A, 0)), 0))</f>
        <v/>
      </c>
      <c r="G56" s="39">
        <f>IF(OR(B56="", E56=""), 0, ROUND(E56 * F56, 2))</f>
        <v/>
      </c>
      <c r="H56" s="40" t="inlineStr">
        <is>
          <t>Diesel truck — transportation of drilling rig to/from site: 0.4286 days = 2 × 30 km / 140 m bore assumption. DAR 23.1.1.1.</t>
        </is>
      </c>
      <c r="I56" s="48" t="inlineStr"/>
    </row>
    <row r="57" ht="20" customHeight="1">
      <c r="A57" s="34" t="n">
        <v>3</v>
      </c>
      <c r="B57" s="25" t="inlineStr"/>
      <c r="C57" s="35">
        <f>IF(B57="","", IFERROR(INDEX('[CPWD_DAR_2019_Custom_Rate_Analysis_Workbook_Vol_1.xlsx]Rates_Master'!$C:$C, MATCH(B57, '[CPWD_DAR_2019_Custom_Rate_Analysis_Workbook_Vol_1.xlsx]Rates_Master'!$A:$A, 0)), "Custom Plant / Machinery"))</f>
        <v/>
      </c>
      <c r="D57" s="36">
        <f>IF(B57="","", IFERROR(INDEX('[CPWD_DAR_2019_Custom_Rate_Analysis_Workbook_Vol_1.xlsx]Rates_Master'!$D:$D, MATCH(B57, '[CPWD_DAR_2019_Custom_Rate_Analysis_Workbook_Vol_1.xlsx]Rates_Master'!$A:$A, 0)), ""))</f>
        <v/>
      </c>
      <c r="E57" s="37" t="n"/>
      <c r="F57" s="38">
        <f>IF(B57="","", IFERROR(INDEX('[CPWD_DAR_2019_Custom_Rate_Analysis_Workbook_Vol_1.xlsx]Rates_Master'!$E:$E, MATCH(B57, '[CPWD_DAR_2019_Custom_Rate_Analysis_Workbook_Vol_1.xlsx]Rates_Master'!$A:$A, 0)), 0))</f>
        <v/>
      </c>
      <c r="G57" s="39">
        <f>IF(OR(B57="", E57=""), 0, ROUND(E57 * F57, 2))</f>
        <v/>
      </c>
      <c r="H57" s="40" t="inlineStr"/>
      <c r="I57" s="48" t="inlineStr"/>
    </row>
    <row r="58" ht="20" customHeight="1">
      <c r="A58" s="34" t="n">
        <v>4</v>
      </c>
      <c r="B58" s="25" t="inlineStr"/>
      <c r="C58" s="35">
        <f>IF(B58="","", IFERROR(INDEX('[CPWD_DAR_2019_Custom_Rate_Analysis_Workbook_Vol_1.xlsx]Rates_Master'!$C:$C, MATCH(B58, '[CPWD_DAR_2019_Custom_Rate_Analysis_Workbook_Vol_1.xlsx]Rates_Master'!$A:$A, 0)), "Custom Plant / Machinery"))</f>
        <v/>
      </c>
      <c r="D58" s="36">
        <f>IF(B58="","", IFERROR(INDEX('[CPWD_DAR_2019_Custom_Rate_Analysis_Workbook_Vol_1.xlsx]Rates_Master'!$D:$D, MATCH(B58, '[CPWD_DAR_2019_Custom_Rate_Analysis_Workbook_Vol_1.xlsx]Rates_Master'!$A:$A, 0)), ""))</f>
        <v/>
      </c>
      <c r="E58" s="37" t="n"/>
      <c r="F58" s="38">
        <f>IF(B58="","", IFERROR(INDEX('[CPWD_DAR_2019_Custom_Rate_Analysis_Workbook_Vol_1.xlsx]Rates_Master'!$E:$E, MATCH(B58, '[CPWD_DAR_2019_Custom_Rate_Analysis_Workbook_Vol_1.xlsx]Rates_Master'!$A:$A, 0)), 0))</f>
        <v/>
      </c>
      <c r="G58" s="39">
        <f>IF(OR(B58="", E58=""), 0, ROUND(E58 * F58, 2))</f>
        <v/>
      </c>
      <c r="H58" s="40" t="inlineStr"/>
      <c r="I58" s="48" t="inlineStr"/>
    </row>
    <row r="59" ht="20" customHeight="1">
      <c r="A59" s="34" t="n">
        <v>5</v>
      </c>
      <c r="B59" s="25" t="inlineStr"/>
      <c r="C59" s="35">
        <f>IF(B59="","", IFERROR(INDEX('[CPWD_DAR_2019_Custom_Rate_Analysis_Workbook_Vol_1.xlsx]Rates_Master'!$C:$C, MATCH(B59, '[CPWD_DAR_2019_Custom_Rate_Analysis_Workbook_Vol_1.xlsx]Rates_Master'!$A:$A, 0)), "Custom Plant / Machinery"))</f>
        <v/>
      </c>
      <c r="D59" s="36">
        <f>IF(B59="","", IFERROR(INDEX('[CPWD_DAR_2019_Custom_Rate_Analysis_Workbook_Vol_1.xlsx]Rates_Master'!$D:$D, MATCH(B59, '[CPWD_DAR_2019_Custom_Rate_Analysis_Workbook_Vol_1.xlsx]Rates_Master'!$A:$A, 0)), ""))</f>
        <v/>
      </c>
      <c r="E59" s="37" t="n"/>
      <c r="F59" s="38">
        <f>IF(B59="","", IFERROR(INDEX('[CPWD_DAR_2019_Custom_Rate_Analysis_Workbook_Vol_1.xlsx]Rates_Master'!$E:$E, MATCH(B59, '[CPWD_DAR_2019_Custom_Rate_Analysis_Workbook_Vol_1.xlsx]Rates_Master'!$A:$A, 0)), 0))</f>
        <v/>
      </c>
      <c r="G59" s="39">
        <f>IF(OR(B59="", E59=""), 0, ROUND(E59 * F59, 2))</f>
        <v/>
      </c>
      <c r="H59" s="40" t="inlineStr"/>
      <c r="I59" s="48" t="inlineStr"/>
    </row>
    <row r="60" ht="20" customHeight="1">
      <c r="A60" s="34" t="n">
        <v>6</v>
      </c>
      <c r="B60" s="25" t="inlineStr"/>
      <c r="C60" s="35">
        <f>IF(B60="","", IFERROR(INDEX('[CPWD_DAR_2019_Custom_Rate_Analysis_Workbook_Vol_1.xlsx]Rates_Master'!$C:$C, MATCH(B60, '[CPWD_DAR_2019_Custom_Rate_Analysis_Workbook_Vol_1.xlsx]Rates_Master'!$A:$A, 0)), "Custom Plant / Machinery"))</f>
        <v/>
      </c>
      <c r="D60" s="36">
        <f>IF(B60="","", IFERROR(INDEX('[CPWD_DAR_2019_Custom_Rate_Analysis_Workbook_Vol_1.xlsx]Rates_Master'!$D:$D, MATCH(B60, '[CPWD_DAR_2019_Custom_Rate_Analysis_Workbook_Vol_1.xlsx]Rates_Master'!$A:$A, 0)), ""))</f>
        <v/>
      </c>
      <c r="E60" s="37" t="n"/>
      <c r="F60" s="38">
        <f>IF(B60="","", IFERROR(INDEX('[CPWD_DAR_2019_Custom_Rate_Analysis_Workbook_Vol_1.xlsx]Rates_Master'!$E:$E, MATCH(B60, '[CPWD_DAR_2019_Custom_Rate_Analysis_Workbook_Vol_1.xlsx]Rates_Master'!$A:$A, 0)), 0))</f>
        <v/>
      </c>
      <c r="G60" s="39">
        <f>IF(OR(B60="", E60=""), 0, ROUND(E60 * F60, 2))</f>
        <v/>
      </c>
      <c r="H60" s="40" t="inlineStr"/>
      <c r="I60" s="48" t="inlineStr"/>
    </row>
    <row r="61" ht="22" customHeight="1">
      <c r="A61" s="41" t="inlineStr">
        <is>
          <t>Subtotal Machinery &amp; Plant (Rs):</t>
        </is>
      </c>
      <c r="B61" s="42" t="n"/>
      <c r="C61" s="42" t="n"/>
      <c r="D61" s="42" t="n"/>
      <c r="E61" s="42" t="n"/>
      <c r="F61" s="42" t="n"/>
      <c r="G61" s="43">
        <f>SUM(G55:G60)</f>
        <v/>
      </c>
      <c r="H61" s="42" t="n"/>
      <c r="I61" s="42" t="n"/>
    </row>
    <row r="62" ht="24" customHeight="1">
      <c r="A62" s="12" t="inlineStr">
        <is>
          <t>5. SUNDRIES &amp; LUMP-SUM ALLOWANCES  (manual entry — the DAR gives no reproducible formula; use Sundries_Reference in WB1 to find a comparable item)</t>
        </is>
      </c>
    </row>
    <row r="63" ht="22" customHeight="1">
      <c r="A63" s="34" t="inlineStr">
        <is>
          <t>1</t>
        </is>
      </c>
      <c r="B63" s="33" t="inlineStr">
        <is>
          <t>9999</t>
        </is>
      </c>
      <c r="C63" s="20" t="inlineStr">
        <is>
          <t>Sundries (guided by Sundries_Reference sheet in WB1)</t>
        </is>
      </c>
      <c r="D63" s="34" t="inlineStr">
        <is>
          <t>L.S.</t>
        </is>
      </c>
      <c r="E63" s="49" t="n">
        <v>0</v>
      </c>
      <c r="F63" s="50">
        <f>Factor_Sundries</f>
        <v/>
      </c>
      <c r="G63" s="51">
        <f>ROUND(E63 * F63, 2)</f>
        <v/>
      </c>
      <c r="H63" s="22" t="inlineStr">
        <is>
          <t>Base L.S. allowance × Cost Index Multiplier (from WB1 Global_Factors via Factor_Sundries named range)</t>
        </is>
      </c>
      <c r="I63" s="20" t="n"/>
    </row>
    <row r="64"/>
    <row r="65" ht="24" customHeight="1">
      <c r="A65" s="12" t="inlineStr">
        <is>
          <t>6. STATUTORY MARKUPS &amp; FINAL RATE DERIVATION (CPWD DAR METHOD, WITH THE (W-A) EXCLUSION)</t>
        </is>
      </c>
    </row>
    <row r="66" ht="24" customHeight="1">
      <c r="A66" s="13" t="inlineStr">
        <is>
          <t>Step</t>
        </is>
      </c>
      <c r="B66" s="13" t="inlineStr">
        <is>
          <t>Component / Markup Description</t>
        </is>
      </c>
      <c r="C66" s="13" t="inlineStr">
        <is>
          <t>Apply? (YES/NO)</t>
        </is>
      </c>
      <c r="D66" s="13" t="inlineStr">
        <is>
          <t>Basis Applied</t>
        </is>
      </c>
      <c r="E66" s="13" t="inlineStr">
        <is>
          <t>Base Amount (Rs)</t>
        </is>
      </c>
      <c r="F66" s="13" t="inlineStr">
        <is>
          <t>Factor / %</t>
        </is>
      </c>
      <c r="G66" s="13" t="inlineStr">
        <is>
          <t>Amount (Rs)</t>
        </is>
      </c>
      <c r="H66" s="13" t="inlineStr">
        <is>
          <t>CPWD Statutory Rule &amp; Guidance Note</t>
        </is>
      </c>
      <c r="I66" s="13" t="inlineStr">
        <is>
          <t>A-Rule</t>
        </is>
      </c>
    </row>
    <row r="67" ht="24" customHeight="1">
      <c r="A67" s="21" t="inlineStr">
        <is>
          <t>W</t>
        </is>
      </c>
      <c r="B67" s="52" t="inlineStr">
        <is>
          <t>Base Direct Production Cost (Materials + Labour + Sundries)</t>
        </is>
      </c>
      <c r="C67" s="53" t="inlineStr">
        <is>
          <t>-</t>
        </is>
      </c>
      <c r="D67" s="53" t="inlineStr">
        <is>
          <t>Direct Sum</t>
        </is>
      </c>
      <c r="E67" s="54" t="inlineStr">
        <is>
          <t>-</t>
        </is>
      </c>
      <c r="F67" s="54" t="inlineStr">
        <is>
          <t>-</t>
        </is>
      </c>
      <c r="G67" s="46">
        <f>G38 + G52 + G61 + G63</f>
        <v/>
      </c>
      <c r="H67" s="47" t="inlineStr">
        <is>
          <t>Total direct cost of production (W); A-tagged imports included, exactly as the book totals it.</t>
        </is>
      </c>
      <c r="I67" s="55" t="inlineStr">
        <is>
          <t>includes A</t>
        </is>
      </c>
    </row>
    <row r="68" ht="24" customHeight="1">
      <c r="A68" s="33" t="inlineStr">
        <is>
          <t>X1</t>
        </is>
      </c>
      <c r="B68" s="56" t="inlineStr">
        <is>
          <t>Add Water Charges</t>
        </is>
      </c>
      <c r="C68" s="25" t="inlineStr">
        <is>
          <t>YES</t>
        </is>
      </c>
      <c r="D68" s="34" t="inlineStr">
        <is>
          <t>On (W - A)</t>
        </is>
      </c>
      <c r="E68" s="57">
        <f>G67 - G39</f>
        <v/>
      </c>
      <c r="F68" s="58">
        <f>Factor_Water</f>
        <v/>
      </c>
      <c r="G68" s="51">
        <f>IF(C68="YES", ROUND(E68 * F68, 2), 0)</f>
        <v/>
      </c>
      <c r="H68" s="19" t="inlineStr">
        <is>
          <t>CPWD Standard: 1% for curing &amp; site water. Toggle NO if dry item.</t>
        </is>
      </c>
      <c r="I68" s="18" t="inlineStr">
        <is>
          <t>net of A</t>
        </is>
      </c>
    </row>
    <row r="69" ht="24" customHeight="1">
      <c r="A69" s="21" t="inlineStr">
        <is>
          <t>X</t>
        </is>
      </c>
      <c r="B69" s="52" t="inlineStr">
        <is>
          <t>Subtotal "X" (W + Water Charges)</t>
        </is>
      </c>
      <c r="C69" s="53" t="inlineStr">
        <is>
          <t>-</t>
        </is>
      </c>
      <c r="D69" s="53" t="inlineStr">
        <is>
          <t>W + Water</t>
        </is>
      </c>
      <c r="E69" s="54" t="inlineStr">
        <is>
          <t>-</t>
        </is>
      </c>
      <c r="F69" s="54" t="inlineStr">
        <is>
          <t>-</t>
        </is>
      </c>
      <c r="G69" s="46">
        <f>G67 + G68</f>
        <v/>
      </c>
      <c r="H69" s="47" t="inlineStr">
        <is>
          <t>Compounded base for GST calculation.</t>
        </is>
      </c>
      <c r="I69" s="55" t="inlineStr">
        <is>
          <t>includes A</t>
        </is>
      </c>
    </row>
    <row r="70" ht="24" customHeight="1">
      <c r="A70" s="33" t="inlineStr">
        <is>
          <t>Y1</t>
        </is>
      </c>
      <c r="B70" s="56" t="inlineStr">
        <is>
          <t>Add GST on Works Contract</t>
        </is>
      </c>
      <c r="C70" s="25" t="inlineStr">
        <is>
          <t>YES</t>
        </is>
      </c>
      <c r="D70" s="34" t="inlineStr">
        <is>
          <t>On (X - A)</t>
        </is>
      </c>
      <c r="E70" s="57">
        <f>G69 - G39</f>
        <v/>
      </c>
      <c r="F70" s="58">
        <f>Factor_GST</f>
        <v/>
      </c>
      <c r="G70" s="51">
        <f>IF(C70="YES", ROUND(E70 * F70, 2), 0)</f>
        <v/>
      </c>
      <c r="H70" s="19" t="inlineStr">
        <is>
          <t>CPWD DAR 2019 factor 0.1405 (works contract). Toggle NO if tax exempt.</t>
        </is>
      </c>
      <c r="I70" s="18" t="inlineStr">
        <is>
          <t>net of A</t>
        </is>
      </c>
    </row>
    <row r="71" ht="24" customHeight="1">
      <c r="A71" s="21" t="inlineStr">
        <is>
          <t>Y</t>
        </is>
      </c>
      <c r="B71" s="52" t="inlineStr">
        <is>
          <t>Subtotal "Y" (X + GST)</t>
        </is>
      </c>
      <c r="C71" s="53" t="inlineStr">
        <is>
          <t>-</t>
        </is>
      </c>
      <c r="D71" s="53" t="inlineStr">
        <is>
          <t>X + GST</t>
        </is>
      </c>
      <c r="E71" s="54" t="inlineStr">
        <is>
          <t>-</t>
        </is>
      </c>
      <c r="F71" s="54" t="inlineStr">
        <is>
          <t>-</t>
        </is>
      </c>
      <c r="G71" s="46">
        <f>G69 + G70</f>
        <v/>
      </c>
      <c r="H71" s="47" t="inlineStr">
        <is>
          <t>Compounded base for Contractor Profit &amp; Overheads.</t>
        </is>
      </c>
      <c r="I71" s="55" t="inlineStr">
        <is>
          <t>includes A</t>
        </is>
      </c>
    </row>
    <row r="72" ht="24" customHeight="1">
      <c r="A72" s="33" t="inlineStr">
        <is>
          <t>Z1</t>
        </is>
      </c>
      <c r="B72" s="56" t="inlineStr">
        <is>
          <t>Add Contractor Profit &amp; Overheads (15% CPOH)</t>
        </is>
      </c>
      <c r="C72" s="25" t="inlineStr">
        <is>
          <t>YES</t>
        </is>
      </c>
      <c r="D72" s="34" t="inlineStr">
        <is>
          <t>On (Y - A)</t>
        </is>
      </c>
      <c r="E72" s="57">
        <f>G71 - G39</f>
        <v/>
      </c>
      <c r="F72" s="58">
        <f>Factor_CPOH</f>
        <v/>
      </c>
      <c r="G72" s="51">
        <f>IF(C72="YES", ROUND(E72 * F72, 2), 0)</f>
        <v/>
      </c>
      <c r="H72" s="19" t="inlineStr">
        <is>
          <t>Standard CPWD 15% allowance for site overheads, head-office costs &amp; margin.</t>
        </is>
      </c>
      <c r="I72" s="18" t="inlineStr">
        <is>
          <t>net of A</t>
        </is>
      </c>
    </row>
    <row r="73" ht="24" customHeight="1">
      <c r="A73" s="21" t="inlineStr">
        <is>
          <t>Z</t>
        </is>
      </c>
      <c r="B73" s="52" t="inlineStr">
        <is>
          <t>Subtotal "Z" (Y + CPOH)</t>
        </is>
      </c>
      <c r="C73" s="53" t="inlineStr">
        <is>
          <t>-</t>
        </is>
      </c>
      <c r="D73" s="53" t="inlineStr">
        <is>
          <t>Y + CPOH</t>
        </is>
      </c>
      <c r="E73" s="54" t="inlineStr">
        <is>
          <t>-</t>
        </is>
      </c>
      <c r="F73" s="54" t="inlineStr">
        <is>
          <t>-</t>
        </is>
      </c>
      <c r="G73" s="46">
        <f>G71 + G72</f>
        <v/>
      </c>
      <c r="H73" s="47" t="inlineStr">
        <is>
          <t>Compounded base for Labour Welfare Cess.</t>
        </is>
      </c>
      <c r="I73" s="55" t="inlineStr">
        <is>
          <t>includes A</t>
        </is>
      </c>
    </row>
    <row r="74" ht="24" customHeight="1">
      <c r="A74" s="33" t="inlineStr">
        <is>
          <t>Z2</t>
        </is>
      </c>
      <c r="B74" s="56" t="inlineStr">
        <is>
          <t>Add Labour Welfare Cess (1% BOCW Cess)</t>
        </is>
      </c>
      <c r="C74" s="25" t="inlineStr">
        <is>
          <t>YES</t>
        </is>
      </c>
      <c r="D74" s="34" t="inlineStr">
        <is>
          <t>On (Z - A)</t>
        </is>
      </c>
      <c r="E74" s="57">
        <f>G73 - G39</f>
        <v/>
      </c>
      <c r="F74" s="58">
        <f>Factor_Cess</f>
        <v/>
      </c>
      <c r="G74" s="51">
        <f>IF(C74="YES", ROUND(E74 * F74, 2), 0)</f>
        <v/>
      </c>
      <c r="H74" s="19" t="inlineStr">
        <is>
          <t>Statutory 1% Building and Other Construction Workers Welfare Cess.</t>
        </is>
      </c>
      <c r="I74" s="18" t="inlineStr">
        <is>
          <t>net of A</t>
        </is>
      </c>
    </row>
    <row r="75" ht="24" customHeight="1">
      <c r="A75" s="8" t="inlineStr">
        <is>
          <t>Cost</t>
        </is>
      </c>
      <c r="B75" s="59">
        <f>"Total Cost of Batch (" &amp; TEXT(D16, "0.00") &amp; " " &amp; F16 &amp; "):"</f>
        <v/>
      </c>
      <c r="C75" s="60" t="inlineStr">
        <is>
          <t>-</t>
        </is>
      </c>
      <c r="D75" s="60" t="inlineStr">
        <is>
          <t>Z + Cess</t>
        </is>
      </c>
      <c r="E75" s="61" t="inlineStr">
        <is>
          <t>-</t>
        </is>
      </c>
      <c r="F75" s="61" t="inlineStr">
        <is>
          <t>-</t>
        </is>
      </c>
      <c r="G75" s="62">
        <f>G73 + G74</f>
        <v/>
      </c>
      <c r="H75" s="63" t="inlineStr">
        <is>
          <t>Total evaluated cost for the batch size in the Panel 1 header row.</t>
        </is>
      </c>
      <c r="I75" s="64" t="inlineStr">
        <is>
          <t>-</t>
        </is>
      </c>
    </row>
    <row r="76" ht="24" customHeight="1">
      <c r="A76" s="21" t="inlineStr">
        <is>
          <t>Rate</t>
        </is>
      </c>
      <c r="B76" s="52">
        <f>"Analyzed Unit Rate per 1.00 " &amp; F16 &amp; ":"</f>
        <v/>
      </c>
      <c r="C76" s="53" t="inlineStr">
        <is>
          <t>-</t>
        </is>
      </c>
      <c r="D76" s="53" t="inlineStr">
        <is>
          <t>Cost / Batch Qty</t>
        </is>
      </c>
      <c r="E76" s="54" t="inlineStr">
        <is>
          <t>-</t>
        </is>
      </c>
      <c r="F76" s="54" t="inlineStr">
        <is>
          <t>-</t>
        </is>
      </c>
      <c r="G76" s="46">
        <f>ROUND(G75 / D16, 2)</f>
        <v/>
      </c>
      <c r="H76" s="47" t="inlineStr">
        <is>
          <t>Calculated cost per standard unit of measurement.</t>
        </is>
      </c>
      <c r="I76" s="55" t="inlineStr">
        <is>
          <t>-</t>
        </is>
      </c>
    </row>
    <row r="77" ht="30" customHeight="1">
      <c r="A77" s="9" t="inlineStr">
        <is>
          <t>SAY</t>
        </is>
      </c>
      <c r="B77" s="65">
        <f>"OFFICIAL SAY RATE (Rs per " &amp; F16 &amp; "):"</f>
        <v/>
      </c>
      <c r="C77" s="66" t="inlineStr">
        <is>
          <t>-</t>
        </is>
      </c>
      <c r="D77" s="66" t="inlineStr">
        <is>
          <t>MROUND to Rs 0.05</t>
        </is>
      </c>
      <c r="E77" s="67" t="inlineStr">
        <is>
          <t>-</t>
        </is>
      </c>
      <c r="F77" s="67" t="inlineStr">
        <is>
          <t>-</t>
        </is>
      </c>
      <c r="G77" s="68">
        <f>MROUND(G76, 0.05)</f>
        <v/>
      </c>
      <c r="H77" s="69" t="inlineStr">
        <is>
          <t>OFFICIAL CPWD ROUNDED RATE FOR TENDER SCHEDULES &amp; ESTIMATES. CPWD quotes Say rates to the nearest 5 paise — see the note directly below this row.</t>
        </is>
      </c>
      <c r="I77" s="70" t="inlineStr">
        <is>
          <t>-</t>
        </is>
      </c>
    </row>
    <row r="78" ht="44" customHeight="1">
      <c r="A78"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8" s="20" t="n"/>
      <c r="C78" s="20" t="n"/>
      <c r="D78" s="20" t="n"/>
      <c r="E78" s="20" t="n"/>
      <c r="F78" s="20" t="n"/>
      <c r="G78" s="20" t="n"/>
      <c r="H78" s="20" t="n"/>
      <c r="I78" s="20" t="n"/>
    </row>
    <row r="79"/>
    <row r="80" ht="24" customHeight="1">
      <c r="A80" s="12" t="inlineStr">
        <is>
          <t>7. RUNNING CUSTOM NON-DSR ITEMS LIBRARY FOR THIS TRADE</t>
        </is>
      </c>
    </row>
    <row r="81" ht="20" customHeight="1">
      <c r="A81" s="71" t="inlineStr">
        <is>
          <t>Log all completed custom rate analyses for this trade below. Items logged here maintain an internal project audit trail and can be referenced from other builder sheets.</t>
        </is>
      </c>
    </row>
    <row r="82" ht="24" customHeight="1">
      <c r="A82" s="13" t="inlineStr">
        <is>
          <t>Item Code</t>
        </is>
      </c>
      <c r="B82" s="13" t="inlineStr">
        <is>
          <t>Item Nomenclature / Specification</t>
        </is>
      </c>
      <c r="C82" s="13" t="inlineStr">
        <is>
          <t>Unit</t>
        </is>
      </c>
      <c r="D82" s="13" t="inlineStr">
        <is>
          <t>Output Basis</t>
        </is>
      </c>
      <c r="E82" s="13" t="inlineStr">
        <is>
          <t>Direct Cost W (Rs)</t>
        </is>
      </c>
      <c r="F82" s="13" t="inlineStr">
        <is>
          <t>Markups Applied</t>
        </is>
      </c>
      <c r="G82" s="13" t="inlineStr">
        <is>
          <t>Unit Rate (Rs)</t>
        </is>
      </c>
      <c r="H82" s="13" t="inlineStr">
        <is>
          <t>Say Rate (Rs)</t>
        </is>
      </c>
      <c r="I82" s="13" t="inlineStr">
        <is>
          <t>A-Total (Rs)</t>
        </is>
      </c>
    </row>
    <row r="83" ht="20" customHeight="1">
      <c r="A83" s="72" t="inlineStr">
        <is>
          <t>23.1.1.1</t>
        </is>
      </c>
      <c r="B83" s="73" t="inlineStr">
        <is>
          <t>Borewell 300mm dia, all soil types, hydraulic boring machine incl. transport</t>
        </is>
      </c>
      <c r="C83" s="74" t="inlineStr">
        <is>
          <t>metre</t>
        </is>
      </c>
      <c r="D83" s="74" t="n">
        <v>1</v>
      </c>
      <c r="E83" s="75" t="n">
        <v>7987.33</v>
      </c>
      <c r="F83" s="74" t="inlineStr">
        <is>
          <t>Full W→X→Y→Z</t>
        </is>
      </c>
      <c r="G83" s="75" t="n">
        <v>10700</v>
      </c>
      <c r="H83" s="76" t="n">
        <v>10700</v>
      </c>
      <c r="I83" s="75" t="n"/>
    </row>
    <row r="84" ht="20" customHeight="1">
      <c r="A84" s="77" t="inlineStr">
        <is>
          <t>23.3.1</t>
        </is>
      </c>
      <c r="B84" s="78" t="inlineStr">
        <is>
          <t>Providing &amp; fixing MS casing pipe 150mm NB for borewell</t>
        </is>
      </c>
      <c r="C84" s="79" t="inlineStr">
        <is>
          <t>each</t>
        </is>
      </c>
      <c r="D84" s="79" t="n">
        <v>1</v>
      </c>
      <c r="E84" s="80" t="n">
        <v>4200</v>
      </c>
      <c r="F84" s="79" t="inlineStr">
        <is>
          <t>Full W→X→Y→Z</t>
        </is>
      </c>
      <c r="G84" s="80" t="n">
        <v>5625</v>
      </c>
      <c r="H84" s="81" t="n">
        <v>5625</v>
      </c>
      <c r="I84" s="80" t="n"/>
    </row>
    <row r="85" ht="20" customHeight="1">
      <c r="A85" s="72" t="inlineStr">
        <is>
          <t>C-23.03</t>
        </is>
      </c>
      <c r="B85" s="73" t="inlineStr">
        <is>
          <t>(Available for new custom item)</t>
        </is>
      </c>
      <c r="C85" s="74" t="inlineStr">
        <is>
          <t>metre</t>
        </is>
      </c>
      <c r="D85" s="74" t="n">
        <v>1</v>
      </c>
      <c r="E85" s="75" t="n"/>
      <c r="F85" s="74" t="inlineStr">
        <is>
          <t>Full W→X→Y→Z</t>
        </is>
      </c>
      <c r="G85" s="75" t="n"/>
      <c r="H85" s="76" t="n"/>
      <c r="I85" s="75" t="n"/>
    </row>
    <row r="86" ht="20" customHeight="1">
      <c r="A86" s="77" t="inlineStr">
        <is>
          <t>C-23.04</t>
        </is>
      </c>
      <c r="B86" s="78" t="inlineStr">
        <is>
          <t>(Available for new custom item)</t>
        </is>
      </c>
      <c r="C86" s="79" t="inlineStr">
        <is>
          <t>metre</t>
        </is>
      </c>
      <c r="D86" s="79" t="n">
        <v>1</v>
      </c>
      <c r="E86" s="80" t="n"/>
      <c r="F86" s="79" t="inlineStr">
        <is>
          <t>Full W→X→Y→Z</t>
        </is>
      </c>
      <c r="G86" s="80" t="n"/>
      <c r="H86" s="81" t="n"/>
      <c r="I86" s="80" t="n"/>
    </row>
    <row r="87" ht="20" customHeight="1">
      <c r="A87" s="72" t="inlineStr">
        <is>
          <t>C-23.05</t>
        </is>
      </c>
      <c r="B87" s="73" t="inlineStr">
        <is>
          <t>(Available for new custom item)</t>
        </is>
      </c>
      <c r="C87" s="74" t="inlineStr">
        <is>
          <t>metre</t>
        </is>
      </c>
      <c r="D87" s="74" t="n">
        <v>1</v>
      </c>
      <c r="E87" s="75" t="n"/>
      <c r="F87" s="74" t="inlineStr">
        <is>
          <t>Full W→X→Y→Z</t>
        </is>
      </c>
      <c r="G87" s="75" t="n"/>
      <c r="H87" s="76" t="n"/>
      <c r="I87" s="75" t="n"/>
    </row>
    <row r="88" ht="20" customHeight="1">
      <c r="A88" s="77" t="inlineStr">
        <is>
          <t>C-23.06</t>
        </is>
      </c>
      <c r="B88" s="78" t="inlineStr">
        <is>
          <t>(Available for new custom item)</t>
        </is>
      </c>
      <c r="C88" s="79" t="inlineStr">
        <is>
          <t>metre</t>
        </is>
      </c>
      <c r="D88" s="79" t="n">
        <v>1</v>
      </c>
      <c r="E88" s="80" t="n"/>
      <c r="F88" s="79" t="inlineStr">
        <is>
          <t>Full W→X→Y→Z</t>
        </is>
      </c>
      <c r="G88" s="80" t="n"/>
      <c r="H88" s="81" t="n"/>
      <c r="I88" s="80" t="n"/>
    </row>
    <row r="89" ht="20" customHeight="1">
      <c r="A89" s="72" t="inlineStr">
        <is>
          <t>C-23.07</t>
        </is>
      </c>
      <c r="B89" s="73" t="inlineStr">
        <is>
          <t>(Available for new custom item)</t>
        </is>
      </c>
      <c r="C89" s="74" t="inlineStr">
        <is>
          <t>metre</t>
        </is>
      </c>
      <c r="D89" s="74" t="n">
        <v>1</v>
      </c>
      <c r="E89" s="75" t="n"/>
      <c r="F89" s="74" t="inlineStr">
        <is>
          <t>Full W→X→Y→Z</t>
        </is>
      </c>
      <c r="G89" s="75" t="n"/>
      <c r="H89" s="76" t="n"/>
      <c r="I89" s="75" t="n"/>
    </row>
    <row r="90" ht="20" customHeight="1">
      <c r="A90" s="77" t="inlineStr">
        <is>
          <t>C-23.08</t>
        </is>
      </c>
      <c r="B90" s="78" t="inlineStr">
        <is>
          <t>(Available for new custom item)</t>
        </is>
      </c>
      <c r="C90" s="79" t="inlineStr">
        <is>
          <t>metre</t>
        </is>
      </c>
      <c r="D90" s="79" t="n">
        <v>1</v>
      </c>
      <c r="E90" s="80" t="n"/>
      <c r="F90" s="79" t="inlineStr">
        <is>
          <t>Full W→X→Y→Z</t>
        </is>
      </c>
      <c r="G90" s="80" t="n"/>
      <c r="H90" s="81" t="n"/>
      <c r="I90" s="80" t="n"/>
    </row>
  </sheetData>
  <sheetProtection selectLockedCells="0" selectUnlockedCells="0" sheet="1" objects="0" insertRows="1" insertHyperlinks="1" autoFilter="1" scenarios="0" formatColumns="1" deleteColumns="1" insertColumns="1" pivotTables="1" deleteRows="1" formatCells="1" formatRows="1" sort="1"/>
  <mergeCells count="30">
    <mergeCell ref="E21:I21"/>
    <mergeCell ref="A65:I65"/>
    <mergeCell ref="E12:I12"/>
    <mergeCell ref="B17:G17"/>
    <mergeCell ref="A80:I80"/>
    <mergeCell ref="A18:I18"/>
    <mergeCell ref="A3:I3"/>
    <mergeCell ref="E23:I23"/>
    <mergeCell ref="E14:I14"/>
    <mergeCell ref="A26:I26"/>
    <mergeCell ref="E20:I20"/>
    <mergeCell ref="E10:I10"/>
    <mergeCell ref="E13:I13"/>
    <mergeCell ref="E19:I19"/>
    <mergeCell ref="A8:I8"/>
    <mergeCell ref="A53:I53"/>
    <mergeCell ref="A62:I62"/>
    <mergeCell ref="E9:I9"/>
    <mergeCell ref="A38:F38"/>
    <mergeCell ref="A52:F52"/>
    <mergeCell ref="A81:I81"/>
    <mergeCell ref="E15:I15"/>
    <mergeCell ref="A40:I40"/>
    <mergeCell ref="E11:I11"/>
    <mergeCell ref="A39:F39"/>
    <mergeCell ref="A24:I24"/>
    <mergeCell ref="A1:I1"/>
    <mergeCell ref="A61:F61"/>
    <mergeCell ref="E22:I22"/>
    <mergeCell ref="A78:I78"/>
  </mergeCells>
  <dataValidations count="6">
    <dataValidation sqref="C68 C70 C72 C74"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"150 mm dia,200 mm dia,250 mm dia,300 mm dia,350 mm dia,450 mm dia"</formula1>
    </dataValidation>
    <dataValidation sqref="B11" showDropDown="0" showInputMessage="0" showErrorMessage="0" allowBlank="1" type="list">
      <formula1>"All types of soil,Soft rock / murrum,Hard rock (blasting or DTH required)"</formula1>
    </dataValidation>
    <dataValidation sqref="B12" showDropDown="0" showInputMessage="0" showErrorMessage="0" allowBlank="1" type="list">
      <formula1>"YES — included in rig days,NO — transport priced separately"</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24: CONSERVATION OF HERITAGE BUILDINGS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24: Heritage conservation and restoration operations. Most items are LABOUR-ONLY — the conservation work is physical and skilled but does not consume significant material (like 02_Earth_Work and 15_Dismantling). Where materials are used (lime putty, hydraulic lime, surkhi, pigment) they are minor and entered as MATERIAL lines. Specialist conservation tradesmen: Stone mason / mason (0131), Skilled Beldar (0114/0115), Bhisti (0101). Some items use specialised heritage labour codes (6501, 7767-7775).</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Conservation operation</t>
        </is>
      </c>
      <c r="B10" s="17" t="inlineStr">
        <is>
          <t>Raking out &amp; re-pointing joints</t>
        </is>
      </c>
      <c r="C10" s="8" t="inlineStr">
        <is>
          <t>DRIVES COST</t>
        </is>
      </c>
      <c r="D10" s="18" t="inlineStr">
        <is>
          <t>-</t>
        </is>
      </c>
      <c r="E10" s="19" t="inlineStr">
        <is>
          <t>DRIVES COST. Each operation has a different specialist labour crew. The DAR lists 8 items in this sub-head (pages 974-979).</t>
        </is>
      </c>
      <c r="F10" s="20" t="n"/>
      <c r="G10" s="20" t="n"/>
      <c r="H10" s="20" t="n"/>
      <c r="I10" s="20" t="n"/>
    </row>
    <row r="11" ht="32" customHeight="1">
      <c r="A11" s="16" t="inlineStr">
        <is>
          <t>Masonry type</t>
        </is>
      </c>
      <c r="B11" s="17" t="inlineStr">
        <is>
          <t>Stone masonry</t>
        </is>
      </c>
      <c r="C11" s="8" t="inlineStr">
        <is>
          <t>DRIVES COST</t>
        </is>
      </c>
      <c r="D11" s="18" t="inlineStr">
        <is>
          <t>-</t>
        </is>
      </c>
      <c r="E11" s="19" t="inlineStr">
        <is>
          <t>DRIVES COST. Stone masonry needs a skilled stone mason; brick masonry uses a standard Mason. Tool requirements and labour-day rates differ.</t>
        </is>
      </c>
      <c r="F11" s="20" t="n"/>
      <c r="G11" s="20" t="n"/>
      <c r="H11" s="20" t="n"/>
      <c r="I11" s="20" t="n"/>
    </row>
    <row r="12" ht="20" customHeight="1">
      <c r="A12" s="22" t="inlineStr">
        <is>
          <t>(spare - add a further scope clause here)</t>
        </is>
      </c>
      <c r="B12" s="23" t="n"/>
      <c r="C12" s="20" t="n"/>
      <c r="D12" s="20" t="n"/>
      <c r="E12" s="20" t="n"/>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C-24.01</t>
        </is>
      </c>
      <c r="C16" s="24" t="inlineStr">
        <is>
          <t>Batch Output Basis:</t>
        </is>
      </c>
      <c r="D16" s="26" t="n">
        <v>10</v>
      </c>
      <c r="E16" s="24" t="inlineStr">
        <is>
          <t>Output Unit:</t>
        </is>
      </c>
      <c r="F16" s="25" t="inlineStr">
        <is>
          <t>sqm</t>
        </is>
      </c>
      <c r="G16" s="24" t="inlineStr">
        <is>
          <t>Trade Sub-Head:</t>
        </is>
      </c>
      <c r="H16" s="27" t="inlineStr">
        <is>
          <t>24 Heritage Buildings</t>
        </is>
      </c>
      <c r="I16" s="22" t="inlineStr">
        <is>
          <t>Output Unit Note:</t>
        </is>
      </c>
    </row>
    <row r="17" ht="40" customHeight="1">
      <c r="A17" s="24" t="inlineStr">
        <is>
          <t>Assembled Item Nomenclature:</t>
        </is>
      </c>
      <c r="B17" s="28" t="inlineStr">
        <is>
          <t>Raking out joints of stone masonry to a depth of 25 mm, cleaning with wire brush, and re-pointing with lime mortar,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(Heritage items in the DAR are predominantly labour-only — leave blank unless the operation genuinely uses material such as lime putty, hydraulic lime, pigment or consolidant)</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4009</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0.05</v>
      </c>
      <c r="F28" s="38">
        <f>IF(B28="","", IFERROR(INDEX('[CPWD_DAR_2019_Custom_Rate_Analysis_Workbook_Vol_1.xlsx]Rates_Master'!$E:$E, MATCH(B28, '[CPWD_DAR_2019_Custom_Rate_Analysis_Workbook_Vol_1.xlsx]Rates_Master'!$A:$A, 0)), 0))</f>
        <v/>
      </c>
      <c r="G28" s="39">
        <f>IF(OR(B28="", E28=""), 0, ROUND(E28 * F28, 2))</f>
        <v/>
      </c>
      <c r="H28" s="40" t="inlineStr">
        <is>
          <t>Hydraulic lime: 0.05 tonne per 10 sqm for joint pointing mortar. Used in conservation mortars instead of OPC.</t>
        </is>
      </c>
      <c r="I28" s="25" t="inlineStr"/>
    </row>
    <row r="29" ht="20" customHeight="1">
      <c r="A29" s="34" t="n">
        <v>2</v>
      </c>
      <c r="B29" s="25" t="inlineStr"/>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c r="F29" s="38">
        <f>IF(B29="","", IFERROR(INDEX('[CPWD_DAR_2019_Custom_Rate_Analysis_Workbook_Vol_1.xlsx]Rates_Master'!$E:$E, MATCH(B29, '[CPWD_DAR_2019_Custom_Rate_Analysis_Workbook_Vol_1.xlsx]Rates_Master'!$A:$A, 0)), 0))</f>
        <v/>
      </c>
      <c r="G29" s="39">
        <f>IF(OR(B29="", E29=""), 0, ROUND(E29 * F29, 2))</f>
        <v/>
      </c>
      <c r="H29" s="40" t="inlineStr"/>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0114</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0.53</v>
      </c>
      <c r="F42" s="38">
        <f>IF(B42="","", IFERROR(INDEX('[CPWD_DAR_2019_Custom_Rate_Analysis_Workbook_Vol_1.xlsx]Rates_Master'!$E:$E, MATCH(B42, '[CPWD_DAR_2019_Custom_Rate_Analysis_Workbook_Vol_1.xlsx]Rates_Master'!$A:$A, 0)), 0))</f>
        <v/>
      </c>
      <c r="G42" s="39">
        <f>IF(OR(B42="", E42=""), 0, ROUND(E42 * F42, 2))</f>
        <v/>
      </c>
      <c r="H42" s="40" t="inlineStr">
        <is>
          <t>Beldar: 0.53 days per 10 sqm raking out stone masonry joints. DAR 24.1, page 974.</t>
        </is>
      </c>
      <c r="I42" s="48" t="inlineStr"/>
    </row>
    <row r="43" ht="20" customHeight="1">
      <c r="A43" s="34" t="n">
        <v>2</v>
      </c>
      <c r="B43" s="25" t="inlineStr">
        <is>
          <t>0115</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0.08</v>
      </c>
      <c r="F43" s="38">
        <f>IF(B43="","", IFERROR(INDEX('[CPWD_DAR_2019_Custom_Rate_Analysis_Workbook_Vol_1.xlsx]Rates_Master'!$E:$E, MATCH(B43, '[CPWD_DAR_2019_Custom_Rate_Analysis_Workbook_Vol_1.xlsx]Rates_Master'!$A:$A, 0)), 0))</f>
        <v/>
      </c>
      <c r="G43" s="39">
        <f>IF(OR(B43="", E43=""), 0, ROUND(E43 * F43, 2))</f>
        <v/>
      </c>
      <c r="H43" s="40" t="inlineStr">
        <is>
          <t>Coolie: 0.08 days per 10 sqm. DAR 24.1.</t>
        </is>
      </c>
      <c r="I43" s="48" t="inlineStr"/>
    </row>
    <row r="44" ht="20" customHeight="1">
      <c r="A44" s="34" t="n">
        <v>3</v>
      </c>
      <c r="B44" s="25" t="inlineStr">
        <is>
          <t>0101</t>
        </is>
      </c>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v>0.07000000000000001</v>
      </c>
      <c r="F44" s="38">
        <f>IF(B44="","", IFERROR(INDEX('[CPWD_DAR_2019_Custom_Rate_Analysis_Workbook_Vol_1.xlsx]Rates_Master'!$E:$E, MATCH(B44, '[CPWD_DAR_2019_Custom_Rate_Analysis_Workbook_Vol_1.xlsx]Rates_Master'!$A:$A, 0)), 0))</f>
        <v/>
      </c>
      <c r="G44" s="39">
        <f>IF(OR(B44="", E44=""), 0, ROUND(E44 * F44, 2))</f>
        <v/>
      </c>
      <c r="H44" s="40" t="inlineStr">
        <is>
          <t>Bhisti: 0.07 days per 10 sqm for water during curing. DAR 24.1.</t>
        </is>
      </c>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24.1</t>
        </is>
      </c>
      <c r="B75" s="73" t="inlineStr">
        <is>
          <t>Raking out stone masonry joints 25mm deep &amp; re-pointing with lime mortar</t>
        </is>
      </c>
      <c r="C75" s="74" t="inlineStr">
        <is>
          <t>sqm</t>
        </is>
      </c>
      <c r="D75" s="74" t="n">
        <v>10</v>
      </c>
      <c r="E75" s="75" t="n">
        <v>386.43</v>
      </c>
      <c r="F75" s="74" t="inlineStr">
        <is>
          <t>Full W→X→Y→Z</t>
        </is>
      </c>
      <c r="G75" s="75" t="n">
        <v>51.8</v>
      </c>
      <c r="H75" s="76" t="n">
        <v>51.8</v>
      </c>
      <c r="I75" s="75" t="n"/>
    </row>
    <row r="76" ht="20" customHeight="1">
      <c r="A76" s="77" t="inlineStr">
        <is>
          <t>24.3</t>
        </is>
      </c>
      <c r="B76" s="78" t="inlineStr">
        <is>
          <t>Stone cleaning — manual brushing &amp; washing</t>
        </is>
      </c>
      <c r="C76" s="79" t="inlineStr">
        <is>
          <t>sqm</t>
        </is>
      </c>
      <c r="D76" s="79" t="n">
        <v>10</v>
      </c>
      <c r="E76" s="80" t="n">
        <v>260</v>
      </c>
      <c r="F76" s="79" t="inlineStr">
        <is>
          <t>Full W→X→Y→Z</t>
        </is>
      </c>
      <c r="G76" s="80" t="n">
        <v>34.85</v>
      </c>
      <c r="H76" s="81" t="n">
        <v>34.85</v>
      </c>
      <c r="I76" s="80" t="n"/>
    </row>
    <row r="77" ht="20" customHeight="1">
      <c r="A77" s="72" t="inlineStr">
        <is>
          <t>C-24.03</t>
        </is>
      </c>
      <c r="B77" s="73" t="inlineStr">
        <is>
          <t>(Available for new custom item)</t>
        </is>
      </c>
      <c r="C77" s="74" t="inlineStr">
        <is>
          <t>sqm</t>
        </is>
      </c>
      <c r="D77" s="74" t="n">
        <v>10</v>
      </c>
      <c r="E77" s="75" t="n"/>
      <c r="F77" s="74" t="inlineStr">
        <is>
          <t>Full W→X→Y→Z</t>
        </is>
      </c>
      <c r="G77" s="75" t="n"/>
      <c r="H77" s="76" t="n"/>
      <c r="I77" s="75" t="n"/>
    </row>
    <row r="78" ht="20" customHeight="1">
      <c r="A78" s="77" t="inlineStr">
        <is>
          <t>C-24.04</t>
        </is>
      </c>
      <c r="B78" s="78" t="inlineStr">
        <is>
          <t>(Available for new custom item)</t>
        </is>
      </c>
      <c r="C78" s="79" t="inlineStr">
        <is>
          <t>sqm</t>
        </is>
      </c>
      <c r="D78" s="79" t="n">
        <v>10</v>
      </c>
      <c r="E78" s="80" t="n"/>
      <c r="F78" s="79" t="inlineStr">
        <is>
          <t>Full W→X→Y→Z</t>
        </is>
      </c>
      <c r="G78" s="80" t="n"/>
      <c r="H78" s="81" t="n"/>
      <c r="I78" s="80" t="n"/>
    </row>
    <row r="79" ht="20" customHeight="1">
      <c r="A79" s="72" t="inlineStr">
        <is>
          <t>C-24.05</t>
        </is>
      </c>
      <c r="B79" s="73" t="inlineStr">
        <is>
          <t>(Available for new custom item)</t>
        </is>
      </c>
      <c r="C79" s="74" t="inlineStr">
        <is>
          <t>sqm</t>
        </is>
      </c>
      <c r="D79" s="74" t="n">
        <v>10</v>
      </c>
      <c r="E79" s="75" t="n"/>
      <c r="F79" s="74" t="inlineStr">
        <is>
          <t>Full W→X→Y→Z</t>
        </is>
      </c>
      <c r="G79" s="75" t="n"/>
      <c r="H79" s="76" t="n"/>
      <c r="I79" s="75" t="n"/>
    </row>
    <row r="80" ht="20" customHeight="1">
      <c r="A80" s="77" t="inlineStr">
        <is>
          <t>C-24.06</t>
        </is>
      </c>
      <c r="B80" s="78" t="inlineStr">
        <is>
          <t>(Available for new custom item)</t>
        </is>
      </c>
      <c r="C80" s="79" t="inlineStr">
        <is>
          <t>sqm</t>
        </is>
      </c>
      <c r="D80" s="79" t="n">
        <v>10</v>
      </c>
      <c r="E80" s="80" t="n"/>
      <c r="F80" s="79" t="inlineStr">
        <is>
          <t>Full W→X→Y→Z</t>
        </is>
      </c>
      <c r="G80" s="80" t="n"/>
      <c r="H80" s="81" t="n"/>
      <c r="I80" s="80" t="n"/>
    </row>
    <row r="81" ht="20" customHeight="1">
      <c r="A81" s="72" t="inlineStr">
        <is>
          <t>C-24.07</t>
        </is>
      </c>
      <c r="B81" s="73" t="inlineStr">
        <is>
          <t>(Available for new custom item)</t>
        </is>
      </c>
      <c r="C81" s="74" t="inlineStr">
        <is>
          <t>sqm</t>
        </is>
      </c>
      <c r="D81" s="74" t="n">
        <v>10</v>
      </c>
      <c r="E81" s="75" t="n"/>
      <c r="F81" s="74" t="inlineStr">
        <is>
          <t>Full W→X→Y→Z</t>
        </is>
      </c>
      <c r="G81" s="75" t="n"/>
      <c r="H81" s="76" t="n"/>
      <c r="I81" s="75" t="n"/>
    </row>
    <row r="82" ht="20" customHeight="1">
      <c r="A82" s="77" t="inlineStr">
        <is>
          <t>C-24.08</t>
        </is>
      </c>
      <c r="B82" s="78" t="inlineStr">
        <is>
          <t>(Available for new custom item)</t>
        </is>
      </c>
      <c r="C82" s="79" t="inlineStr">
        <is>
          <t>sqm</t>
        </is>
      </c>
      <c r="D82" s="79" t="n">
        <v>10</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5">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"Raking out &amp; re-pointing joints,Stone cleaning (manual / chemical),Crack stitching with stainless-steel ties,Consolidation grouting,Dismantling &amp; re-setting defective stone"</formula1>
    </dataValidation>
    <dataValidation sqref="B11" showDropDown="0" showInputMessage="0" showErrorMessage="0" allowBlank="1" type="list">
      <formula1>"Stone masonry,Brick masonry,Lime plaster / roughcast"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25: STRUCTURAL GLAZING &amp; ACP (CUSTOM ITEM BUILDER)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25: Structural glazing systems, aluminium composite panels (ACP), curtain walls and frameless glass. STRUCTURAL VARIANT: item 25.1 (ACP supply only) has NO LABOUR block — the rate is purely material-based (Al section weight × rate + coating). For installation items (25.3, 25.4) the full LABOUR block applies. Leave the LABOUR section empty when pricing supply-only items. Material: Al T/L sections (7306), powder coating (7392), ACP sheet material (2605-2634 series), structural silicone (2604).</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System type</t>
        </is>
      </c>
      <c r="B10" s="17" t="inlineStr">
        <is>
          <t>ACP supply (weight-based)</t>
        </is>
      </c>
      <c r="C10" s="8" t="inlineStr">
        <is>
          <t>DRIVES COST</t>
        </is>
      </c>
      <c r="D10" s="18" t="inlineStr">
        <is>
          <t>-</t>
        </is>
      </c>
      <c r="E10" s="19" t="inlineStr">
        <is>
          <t>DRIVES COST. Supply-only items carry no Labour block — the rate is derived from Al weight and coating only. Full installation items add a Fitter / Glazier labour crew.</t>
        </is>
      </c>
      <c r="F10" s="20" t="n"/>
      <c r="G10" s="20" t="n"/>
      <c r="H10" s="20" t="n"/>
      <c r="I10" s="20" t="n"/>
    </row>
    <row r="11" ht="32" customHeight="1">
      <c r="A11" s="16" t="inlineStr">
        <is>
          <t>Surface coating</t>
        </is>
      </c>
      <c r="B11" s="17" t="inlineStr">
        <is>
          <t>Powder coated 50 microns (code 7392)</t>
        </is>
      </c>
      <c r="C11" s="8" t="inlineStr">
        <is>
          <t>DRIVES COST</t>
        </is>
      </c>
      <c r="D11" s="18" t="inlineStr">
        <is>
          <t>-</t>
        </is>
      </c>
      <c r="E11" s="19" t="inlineStr">
        <is>
          <t>DRIVES COST. Coating is billed per kg of Al section. PVDF (fluoropolymer) is about 2× the cost of standard powder coating.</t>
        </is>
      </c>
      <c r="F11" s="20" t="n"/>
      <c r="G11" s="20" t="n"/>
      <c r="H11" s="20" t="n"/>
      <c r="I11" s="20" t="n"/>
    </row>
    <row r="12" ht="20" customHeight="1">
      <c r="A12" s="22" t="inlineStr">
        <is>
          <t>(spare - add a further scope clause here)</t>
        </is>
      </c>
      <c r="B12" s="23" t="n"/>
      <c r="C12" s="20" t="n"/>
      <c r="D12" s="20" t="n"/>
      <c r="E12" s="20" t="n"/>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C-25.01</t>
        </is>
      </c>
      <c r="C16" s="24" t="inlineStr">
        <is>
          <t>Batch Output Basis:</t>
        </is>
      </c>
      <c r="D16" s="26" t="n">
        <v>1</v>
      </c>
      <c r="E16" s="24" t="inlineStr">
        <is>
          <t>Output Unit:</t>
        </is>
      </c>
      <c r="F16" s="25" t="inlineStr">
        <is>
          <t>sqm</t>
        </is>
      </c>
      <c r="G16" s="24" t="inlineStr">
        <is>
          <t>Trade Sub-Head:</t>
        </is>
      </c>
      <c r="H16" s="27" t="inlineStr">
        <is>
          <t>25 Structural Glazing</t>
        </is>
      </c>
      <c r="I16" s="22" t="inlineStr">
        <is>
          <t>Output Unit Note:</t>
        </is>
      </c>
    </row>
    <row r="17" ht="40" customHeight="1">
      <c r="A17" s="24" t="inlineStr">
        <is>
          <t>Assembled Item Nomenclature:</t>
        </is>
      </c>
      <c r="B17" s="28" t="inlineStr">
        <is>
          <t>Providing and supplying aluminium composite panel (ACP) with Al skin 0.5mm each side, polyethylene core, powder coated 50 microns, including Al T or L sections,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(Item 25.1 has no Labour block — the fabrication cost is entirely material-based. For installation items 25.3/25.4, use the LABOUR block as normal.)</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7306</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7.17</v>
      </c>
      <c r="F28" s="38">
        <f>IF(B28="","", IFERROR(INDEX('[CPWD_DAR_2019_Custom_Rate_Analysis_Workbook_Vol_1.xlsx]Rates_Master'!$E:$E, MATCH(B28, '[CPWD_DAR_2019_Custom_Rate_Analysis_Workbook_Vol_1.xlsx]Rates_Master'!$A:$A, 0)), 0))</f>
        <v/>
      </c>
      <c r="G28" s="39">
        <f>IF(OR(B28="", E28=""), 0, ROUND(E28 * F28, 2))</f>
        <v/>
      </c>
      <c r="H28" s="40" t="inlineStr">
        <is>
          <t>Aluminium T or L sections: 7.17 kg per sqm of ACP panel frame. DAR 25.1, page 982.</t>
        </is>
      </c>
      <c r="I28" s="25" t="inlineStr"/>
    </row>
    <row r="29" ht="20" customHeight="1">
      <c r="A29" s="34" t="n">
        <v>2</v>
      </c>
      <c r="B29" s="25" t="inlineStr">
        <is>
          <t>7392</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7.17</v>
      </c>
      <c r="F29" s="38">
        <f>IF(B29="","", IFERROR(INDEX('[CPWD_DAR_2019_Custom_Rate_Analysis_Workbook_Vol_1.xlsx]Rates_Master'!$E:$E, MATCH(B29, '[CPWD_DAR_2019_Custom_Rate_Analysis_Workbook_Vol_1.xlsx]Rates_Master'!$A:$A, 0)), 0))</f>
        <v/>
      </c>
      <c r="G29" s="39">
        <f>IF(OR(B29="", E29=""), 0, ROUND(E29 * F29, 2))</f>
        <v/>
      </c>
      <c r="H29" s="40" t="inlineStr">
        <is>
          <t>Powder coating 50 microns: 7.17 kg (same weight as section). Rate = Rs 61/kg. DAR 25.1.</t>
        </is>
      </c>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c r="F42" s="38">
        <f>IF(B42="","", IFERROR(INDEX('[CPWD_DAR_2019_Custom_Rate_Analysis_Workbook_Vol_1.xlsx]Rates_Master'!$E:$E, MATCH(B42, '[CPWD_DAR_2019_Custom_Rate_Analysis_Workbook_Vol_1.xlsx]Rates_Master'!$A:$A, 0)), 0))</f>
        <v/>
      </c>
      <c r="G42" s="39">
        <f>IF(OR(B42="", E42=""), 0, ROUND(E42 * F42, 2))</f>
        <v/>
      </c>
      <c r="H42" s="40" t="inlineStr"/>
      <c r="I42" s="48" t="inlineStr"/>
    </row>
    <row r="43" ht="20" customHeight="1">
      <c r="A43" s="34" t="n">
        <v>2</v>
      </c>
      <c r="B43" s="25" t="inlineStr"/>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c r="F43" s="38">
        <f>IF(B43="","", IFERROR(INDEX('[CPWD_DAR_2019_Custom_Rate_Analysis_Workbook_Vol_1.xlsx]Rates_Master'!$E:$E, MATCH(B43, '[CPWD_DAR_2019_Custom_Rate_Analysis_Workbook_Vol_1.xlsx]Rates_Master'!$A:$A, 0)), 0))</f>
        <v/>
      </c>
      <c r="G43" s="39">
        <f>IF(OR(B43="", E43=""), 0, ROUND(E43 * F43, 2))</f>
        <v/>
      </c>
      <c r="H43" s="40" t="inlineStr"/>
      <c r="I43" s="48" t="inlineStr"/>
    </row>
    <row r="44" ht="20" customHeight="1">
      <c r="A44" s="34" t="n">
        <v>3</v>
      </c>
      <c r="B44" s="25" t="inlineStr"/>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c r="F44" s="38">
        <f>IF(B44="","", IFERROR(INDEX('[CPWD_DAR_2019_Custom_Rate_Analysis_Workbook_Vol_1.xlsx]Rates_Master'!$E:$E, MATCH(B44, '[CPWD_DAR_2019_Custom_Rate_Analysis_Workbook_Vol_1.xlsx]Rates_Master'!$A:$A, 0)), 0))</f>
        <v/>
      </c>
      <c r="G44" s="39">
        <f>IF(OR(B44="", E44=""), 0, ROUND(E44 * F44, 2))</f>
        <v/>
      </c>
      <c r="H44" s="40" t="inlineStr"/>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5. SUNDRIES &amp; LUMP-SUM ALLOWANCES  (manual entry — the DAR gives no reproducible formula; use Sundries_Reference in WB1 to find a comparable item)</t>
        </is>
      </c>
    </row>
    <row r="54" ht="22" customHeight="1">
      <c r="A54" s="34" t="inlineStr">
        <is>
          <t>1</t>
        </is>
      </c>
      <c r="B54" s="33" t="inlineStr">
        <is>
          <t>9999</t>
        </is>
      </c>
      <c r="C54" s="20" t="inlineStr">
        <is>
          <t>Sundries (guided by Sundries_Reference sheet in WB1)</t>
        </is>
      </c>
      <c r="D54" s="34" t="inlineStr">
        <is>
          <t>L.S.</t>
        </is>
      </c>
      <c r="E54" s="49" t="n">
        <v>0</v>
      </c>
      <c r="F54" s="50">
        <f>Factor_Sundries</f>
        <v/>
      </c>
      <c r="G54" s="51">
        <f>ROUND(E54 * F54, 2)</f>
        <v/>
      </c>
      <c r="H54" s="22" t="inlineStr">
        <is>
          <t>Base L.S. allowance × Cost Index Multiplier (from WB1 Global_Factors via Factor_Sundries named range)</t>
        </is>
      </c>
      <c r="I54" s="20" t="n"/>
    </row>
    <row r="55"/>
    <row r="56"/>
    <row r="57" ht="24" customHeight="1">
      <c r="A57" s="12" t="inlineStr">
        <is>
          <t>6. STATUTORY MARKUPS &amp; FINAL RATE DERIVATION (CPWD DAR METHOD, WITH THE (W-A) EXCLUSION)</t>
        </is>
      </c>
    </row>
    <row r="58" ht="24" customHeight="1">
      <c r="A58" s="13" t="inlineStr">
        <is>
          <t>Step</t>
        </is>
      </c>
      <c r="B58" s="13" t="inlineStr">
        <is>
          <t>Component / Markup Description</t>
        </is>
      </c>
      <c r="C58" s="13" t="inlineStr">
        <is>
          <t>Apply? (YES/NO)</t>
        </is>
      </c>
      <c r="D58" s="13" t="inlineStr">
        <is>
          <t>Basis Applied</t>
        </is>
      </c>
      <c r="E58" s="13" t="inlineStr">
        <is>
          <t>Base Amount (Rs)</t>
        </is>
      </c>
      <c r="F58" s="13" t="inlineStr">
        <is>
          <t>Factor / %</t>
        </is>
      </c>
      <c r="G58" s="13" t="inlineStr">
        <is>
          <t>Amount (Rs)</t>
        </is>
      </c>
      <c r="H58" s="13" t="inlineStr">
        <is>
          <t>CPWD Statutory Rule &amp; Guidance Note</t>
        </is>
      </c>
      <c r="I58" s="13" t="inlineStr">
        <is>
          <t>A-Rule</t>
        </is>
      </c>
    </row>
    <row r="59" ht="24" customHeight="1">
      <c r="A59" s="21" t="inlineStr">
        <is>
          <t>W</t>
        </is>
      </c>
      <c r="B59" s="52" t="inlineStr">
        <is>
          <t>Base Direct Production Cost (Materials + Labour + Sundries)</t>
        </is>
      </c>
      <c r="C59" s="53" t="inlineStr">
        <is>
          <t>-</t>
        </is>
      </c>
      <c r="D59" s="53" t="inlineStr">
        <is>
          <t>Direct Sum</t>
        </is>
      </c>
      <c r="E59" s="54" t="inlineStr">
        <is>
          <t>-</t>
        </is>
      </c>
      <c r="F59" s="54" t="inlineStr">
        <is>
          <t>-</t>
        </is>
      </c>
      <c r="G59" s="46">
        <f>G38 + G52 + G54</f>
        <v/>
      </c>
      <c r="H59" s="47" t="inlineStr">
        <is>
          <t>Total direct cost of production (W); A-tagged imports included, exactly as the book totals it.</t>
        </is>
      </c>
      <c r="I59" s="55" t="inlineStr">
        <is>
          <t>includes A</t>
        </is>
      </c>
    </row>
    <row r="60" ht="24" customHeight="1">
      <c r="A60" s="33" t="inlineStr">
        <is>
          <t>X1</t>
        </is>
      </c>
      <c r="B60" s="56" t="inlineStr">
        <is>
          <t>Add Water Charges</t>
        </is>
      </c>
      <c r="C60" s="25" t="inlineStr">
        <is>
          <t>YES</t>
        </is>
      </c>
      <c r="D60" s="34" t="inlineStr">
        <is>
          <t>On (W - A)</t>
        </is>
      </c>
      <c r="E60" s="57">
        <f>G59 - G39</f>
        <v/>
      </c>
      <c r="F60" s="58">
        <f>Factor_Water</f>
        <v/>
      </c>
      <c r="G60" s="51">
        <f>IF(C60="YES", ROUND(E60 * F60, 2), 0)</f>
        <v/>
      </c>
      <c r="H60" s="19" t="inlineStr">
        <is>
          <t>CPWD Standard: 1% for curing &amp; site water. Toggle NO if dry item.</t>
        </is>
      </c>
      <c r="I60" s="18" t="inlineStr">
        <is>
          <t>net of A</t>
        </is>
      </c>
    </row>
    <row r="61" ht="24" customHeight="1">
      <c r="A61" s="21" t="inlineStr">
        <is>
          <t>X</t>
        </is>
      </c>
      <c r="B61" s="52" t="inlineStr">
        <is>
          <t>Subtotal "X" (W + Water Charges)</t>
        </is>
      </c>
      <c r="C61" s="53" t="inlineStr">
        <is>
          <t>-</t>
        </is>
      </c>
      <c r="D61" s="53" t="inlineStr">
        <is>
          <t>W + Water</t>
        </is>
      </c>
      <c r="E61" s="54" t="inlineStr">
        <is>
          <t>-</t>
        </is>
      </c>
      <c r="F61" s="54" t="inlineStr">
        <is>
          <t>-</t>
        </is>
      </c>
      <c r="G61" s="46">
        <f>G59 + G60</f>
        <v/>
      </c>
      <c r="H61" s="47" t="inlineStr">
        <is>
          <t>Compounded base for GST calculation.</t>
        </is>
      </c>
      <c r="I61" s="55" t="inlineStr">
        <is>
          <t>includes A</t>
        </is>
      </c>
    </row>
    <row r="62" ht="24" customHeight="1">
      <c r="A62" s="33" t="inlineStr">
        <is>
          <t>Y1</t>
        </is>
      </c>
      <c r="B62" s="56" t="inlineStr">
        <is>
          <t>Add GST on Works Contract</t>
        </is>
      </c>
      <c r="C62" s="25" t="inlineStr">
        <is>
          <t>YES</t>
        </is>
      </c>
      <c r="D62" s="34" t="inlineStr">
        <is>
          <t>On (X - A)</t>
        </is>
      </c>
      <c r="E62" s="57">
        <f>G61 - G39</f>
        <v/>
      </c>
      <c r="F62" s="58">
        <f>Factor_GST</f>
        <v/>
      </c>
      <c r="G62" s="51">
        <f>IF(C62="YES", ROUND(E62 * F62, 2), 0)</f>
        <v/>
      </c>
      <c r="H62" s="19" t="inlineStr">
        <is>
          <t>CPWD DAR 2019 factor 0.1405 (works contract). Toggle NO if tax exempt.</t>
        </is>
      </c>
      <c r="I62" s="18" t="inlineStr">
        <is>
          <t>net of A</t>
        </is>
      </c>
    </row>
    <row r="63" ht="24" customHeight="1">
      <c r="A63" s="21" t="inlineStr">
        <is>
          <t>Y</t>
        </is>
      </c>
      <c r="B63" s="52" t="inlineStr">
        <is>
          <t>Subtotal "Y" (X + GST)</t>
        </is>
      </c>
      <c r="C63" s="53" t="inlineStr">
        <is>
          <t>-</t>
        </is>
      </c>
      <c r="D63" s="53" t="inlineStr">
        <is>
          <t>X + GST</t>
        </is>
      </c>
      <c r="E63" s="54" t="inlineStr">
        <is>
          <t>-</t>
        </is>
      </c>
      <c r="F63" s="54" t="inlineStr">
        <is>
          <t>-</t>
        </is>
      </c>
      <c r="G63" s="46">
        <f>G61 + G62</f>
        <v/>
      </c>
      <c r="H63" s="47" t="inlineStr">
        <is>
          <t>Compounded base for Contractor Profit &amp; Overheads.</t>
        </is>
      </c>
      <c r="I63" s="55" t="inlineStr">
        <is>
          <t>includes A</t>
        </is>
      </c>
    </row>
    <row r="64" ht="24" customHeight="1">
      <c r="A64" s="33" t="inlineStr">
        <is>
          <t>Z1</t>
        </is>
      </c>
      <c r="B64" s="56" t="inlineStr">
        <is>
          <t>Add Contractor Profit &amp; Overheads (15% CPOH)</t>
        </is>
      </c>
      <c r="C64" s="25" t="inlineStr">
        <is>
          <t>YES</t>
        </is>
      </c>
      <c r="D64" s="34" t="inlineStr">
        <is>
          <t>On (Y - A)</t>
        </is>
      </c>
      <c r="E64" s="57">
        <f>G63 - G39</f>
        <v/>
      </c>
      <c r="F64" s="58">
        <f>Factor_CPOH</f>
        <v/>
      </c>
      <c r="G64" s="51">
        <f>IF(C64="YES", ROUND(E64 * F64, 2), 0)</f>
        <v/>
      </c>
      <c r="H64" s="19" t="inlineStr">
        <is>
          <t>Standard CPWD 15% allowance for site overheads, head-office costs &amp; margin.</t>
        </is>
      </c>
      <c r="I64" s="18" t="inlineStr">
        <is>
          <t>net of A</t>
        </is>
      </c>
    </row>
    <row r="65" ht="24" customHeight="1">
      <c r="A65" s="21" t="inlineStr">
        <is>
          <t>Z</t>
        </is>
      </c>
      <c r="B65" s="52" t="inlineStr">
        <is>
          <t>Subtotal "Z" (Y + CPOH)</t>
        </is>
      </c>
      <c r="C65" s="53" t="inlineStr">
        <is>
          <t>-</t>
        </is>
      </c>
      <c r="D65" s="53" t="inlineStr">
        <is>
          <t>Y + CPOH</t>
        </is>
      </c>
      <c r="E65" s="54" t="inlineStr">
        <is>
          <t>-</t>
        </is>
      </c>
      <c r="F65" s="54" t="inlineStr">
        <is>
          <t>-</t>
        </is>
      </c>
      <c r="G65" s="46">
        <f>G63 + G64</f>
        <v/>
      </c>
      <c r="H65" s="47" t="inlineStr">
        <is>
          <t>Compounded base for Labour Welfare Cess.</t>
        </is>
      </c>
      <c r="I65" s="55" t="inlineStr">
        <is>
          <t>includes A</t>
        </is>
      </c>
    </row>
    <row r="66" ht="24" customHeight="1">
      <c r="A66" s="33" t="inlineStr">
        <is>
          <t>Z2</t>
        </is>
      </c>
      <c r="B66" s="56" t="inlineStr">
        <is>
          <t>Add Labour Welfare Cess (1% BOCW Cess)</t>
        </is>
      </c>
      <c r="C66" s="25" t="inlineStr">
        <is>
          <t>YES</t>
        </is>
      </c>
      <c r="D66" s="34" t="inlineStr">
        <is>
          <t>On (Z - A)</t>
        </is>
      </c>
      <c r="E66" s="57">
        <f>G65 - G39</f>
        <v/>
      </c>
      <c r="F66" s="58">
        <f>Factor_Cess</f>
        <v/>
      </c>
      <c r="G66" s="51">
        <f>IF(C66="YES", ROUND(E66 * F66, 2), 0)</f>
        <v/>
      </c>
      <c r="H66" s="19" t="inlineStr">
        <is>
          <t>Statutory 1% Building and Other Construction Workers Welfare Cess.</t>
        </is>
      </c>
      <c r="I66" s="18" t="inlineStr">
        <is>
          <t>net of A</t>
        </is>
      </c>
    </row>
    <row r="67" ht="24" customHeight="1">
      <c r="A67" s="8" t="inlineStr">
        <is>
          <t>Cost</t>
        </is>
      </c>
      <c r="B67" s="59">
        <f>"Total Cost of Batch (" &amp; TEXT(D16, "0.00") &amp; " " &amp; F16 &amp; "):"</f>
        <v/>
      </c>
      <c r="C67" s="60" t="inlineStr">
        <is>
          <t>-</t>
        </is>
      </c>
      <c r="D67" s="60" t="inlineStr">
        <is>
          <t>Z + Cess</t>
        </is>
      </c>
      <c r="E67" s="61" t="inlineStr">
        <is>
          <t>-</t>
        </is>
      </c>
      <c r="F67" s="61" t="inlineStr">
        <is>
          <t>-</t>
        </is>
      </c>
      <c r="G67" s="62">
        <f>G65 + G66</f>
        <v/>
      </c>
      <c r="H67" s="63" t="inlineStr">
        <is>
          <t>Total evaluated cost for the batch size in the Panel 1 header row.</t>
        </is>
      </c>
      <c r="I67" s="64" t="inlineStr">
        <is>
          <t>-</t>
        </is>
      </c>
    </row>
    <row r="68" ht="24" customHeight="1">
      <c r="A68" s="21" t="inlineStr">
        <is>
          <t>Rate</t>
        </is>
      </c>
      <c r="B68" s="52">
        <f>"Analyzed Unit Rate per 1.00 " &amp; F16 &amp; ":"</f>
        <v/>
      </c>
      <c r="C68" s="53" t="inlineStr">
        <is>
          <t>-</t>
        </is>
      </c>
      <c r="D68" s="53" t="inlineStr">
        <is>
          <t>Cost / Batch Qty</t>
        </is>
      </c>
      <c r="E68" s="54" t="inlineStr">
        <is>
          <t>-</t>
        </is>
      </c>
      <c r="F68" s="54" t="inlineStr">
        <is>
          <t>-</t>
        </is>
      </c>
      <c r="G68" s="46">
        <f>ROUND(G67 / D16, 2)</f>
        <v/>
      </c>
      <c r="H68" s="47" t="inlineStr">
        <is>
          <t>Calculated cost per standard unit of measurement.</t>
        </is>
      </c>
      <c r="I68" s="55" t="inlineStr">
        <is>
          <t>-</t>
        </is>
      </c>
    </row>
    <row r="69" ht="30" customHeight="1">
      <c r="A69" s="9" t="inlineStr">
        <is>
          <t>SAY</t>
        </is>
      </c>
      <c r="B69" s="65">
        <f>"OFFICIAL SAY RATE (Rs per " &amp; F16 &amp; "):"</f>
        <v/>
      </c>
      <c r="C69" s="66" t="inlineStr">
        <is>
          <t>-</t>
        </is>
      </c>
      <c r="D69" s="66" t="inlineStr">
        <is>
          <t>MROUND to Rs 0.05</t>
        </is>
      </c>
      <c r="E69" s="67" t="inlineStr">
        <is>
          <t>-</t>
        </is>
      </c>
      <c r="F69" s="67" t="inlineStr">
        <is>
          <t>-</t>
        </is>
      </c>
      <c r="G69" s="68">
        <f>MROUND(G68, 0.05)</f>
        <v/>
      </c>
      <c r="H69" s="69" t="inlineStr">
        <is>
          <t>OFFICIAL CPWD ROUNDED RATE FOR TENDER SCHEDULES &amp; ESTIMATES. CPWD quotes Say rates to the nearest 5 paise — see the note directly below this row.</t>
        </is>
      </c>
      <c r="I69" s="70" t="inlineStr">
        <is>
          <t>-</t>
        </is>
      </c>
    </row>
    <row r="70" ht="44" customHeight="1">
      <c r="A70"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0" t="n"/>
      <c r="C70" s="20" t="n"/>
      <c r="D70" s="20" t="n"/>
      <c r="E70" s="20" t="n"/>
      <c r="F70" s="20" t="n"/>
      <c r="G70" s="20" t="n"/>
      <c r="H70" s="20" t="n"/>
      <c r="I70" s="20" t="n"/>
    </row>
    <row r="71"/>
    <row r="72" ht="24" customHeight="1">
      <c r="A72" s="12" t="inlineStr">
        <is>
          <t>7. RUNNING CUSTOM NON-DSR ITEMS LIBRARY FOR THIS TRADE</t>
        </is>
      </c>
    </row>
    <row r="73" ht="20" customHeight="1">
      <c r="A73" s="71" t="inlineStr">
        <is>
          <t>Log all completed custom rate analyses for this trade below. Items logged here maintain an internal project audit trail and can be referenced from other builder sheets.</t>
        </is>
      </c>
    </row>
    <row r="74" ht="24" customHeight="1">
      <c r="A74" s="13" t="inlineStr">
        <is>
          <t>Item Code</t>
        </is>
      </c>
      <c r="B74" s="13" t="inlineStr">
        <is>
          <t>Item Nomenclature / Specification</t>
        </is>
      </c>
      <c r="C74" s="13" t="inlineStr">
        <is>
          <t>Unit</t>
        </is>
      </c>
      <c r="D74" s="13" t="inlineStr">
        <is>
          <t>Output Basis</t>
        </is>
      </c>
      <c r="E74" s="13" t="inlineStr">
        <is>
          <t>Direct Cost W (Rs)</t>
        </is>
      </c>
      <c r="F74" s="13" t="inlineStr">
        <is>
          <t>Markups Applied</t>
        </is>
      </c>
      <c r="G74" s="13" t="inlineStr">
        <is>
          <t>Unit Rate (Rs)</t>
        </is>
      </c>
      <c r="H74" s="13" t="inlineStr">
        <is>
          <t>Say Rate (Rs)</t>
        </is>
      </c>
      <c r="I74" s="13" t="inlineStr">
        <is>
          <t>A-Total (Rs)</t>
        </is>
      </c>
    </row>
    <row r="75" ht="20" customHeight="1">
      <c r="A75" s="72" t="inlineStr">
        <is>
          <t>25.1</t>
        </is>
      </c>
      <c r="B75" s="73" t="inlineStr">
        <is>
          <t>ACP supply — Al T/L 7.17 kg/sqm + powder-coating 50 mic (no Labour)</t>
        </is>
      </c>
      <c r="C75" s="74" t="inlineStr">
        <is>
          <t>sqm</t>
        </is>
      </c>
      <c r="D75" s="74" t="n">
        <v>1</v>
      </c>
      <c r="E75" s="75" t="n">
        <v>1799.67</v>
      </c>
      <c r="F75" s="74" t="inlineStr">
        <is>
          <t>Full W→X→Y→Z</t>
        </is>
      </c>
      <c r="G75" s="75" t="n">
        <v>2384</v>
      </c>
      <c r="H75" s="76" t="n">
        <v>2384</v>
      </c>
      <c r="I75" s="75" t="n"/>
    </row>
    <row r="76" ht="20" customHeight="1">
      <c r="A76" s="77" t="inlineStr">
        <is>
          <t>25.3</t>
        </is>
      </c>
      <c r="B76" s="78" t="inlineStr">
        <is>
          <t>Structural glazing — fixed frame, 12mm toughened glass, Al frame</t>
        </is>
      </c>
      <c r="C76" s="79" t="inlineStr">
        <is>
          <t>sqm</t>
        </is>
      </c>
      <c r="D76" s="79" t="n">
        <v>1</v>
      </c>
      <c r="E76" s="80" t="n">
        <v>4200</v>
      </c>
      <c r="F76" s="79" t="inlineStr">
        <is>
          <t>Full W→X→Y→Z</t>
        </is>
      </c>
      <c r="G76" s="80" t="n">
        <v>5625</v>
      </c>
      <c r="H76" s="81" t="n">
        <v>5625</v>
      </c>
      <c r="I76" s="80" t="n"/>
    </row>
    <row r="77" ht="20" customHeight="1">
      <c r="A77" s="72" t="inlineStr">
        <is>
          <t>C-25.03</t>
        </is>
      </c>
      <c r="B77" s="73" t="inlineStr">
        <is>
          <t>(Available for new custom item)</t>
        </is>
      </c>
      <c r="C77" s="74" t="inlineStr">
        <is>
          <t>sqm</t>
        </is>
      </c>
      <c r="D77" s="74" t="n">
        <v>1</v>
      </c>
      <c r="E77" s="75" t="n"/>
      <c r="F77" s="74" t="inlineStr">
        <is>
          <t>Full W→X→Y→Z</t>
        </is>
      </c>
      <c r="G77" s="75" t="n"/>
      <c r="H77" s="76" t="n"/>
      <c r="I77" s="75" t="n"/>
    </row>
    <row r="78" ht="20" customHeight="1">
      <c r="A78" s="77" t="inlineStr">
        <is>
          <t>C-25.04</t>
        </is>
      </c>
      <c r="B78" s="78" t="inlineStr">
        <is>
          <t>(Available for new custom item)</t>
        </is>
      </c>
      <c r="C78" s="79" t="inlineStr">
        <is>
          <t>sqm</t>
        </is>
      </c>
      <c r="D78" s="79" t="n">
        <v>1</v>
      </c>
      <c r="E78" s="80" t="n"/>
      <c r="F78" s="79" t="inlineStr">
        <is>
          <t>Full W→X→Y→Z</t>
        </is>
      </c>
      <c r="G78" s="80" t="n"/>
      <c r="H78" s="81" t="n"/>
      <c r="I78" s="80" t="n"/>
    </row>
    <row r="79" ht="20" customHeight="1">
      <c r="A79" s="72" t="inlineStr">
        <is>
          <t>C-25.05</t>
        </is>
      </c>
      <c r="B79" s="73" t="inlineStr">
        <is>
          <t>(Available for new custom item)</t>
        </is>
      </c>
      <c r="C79" s="74" t="inlineStr">
        <is>
          <t>sqm</t>
        </is>
      </c>
      <c r="D79" s="74" t="n">
        <v>1</v>
      </c>
      <c r="E79" s="75" t="n"/>
      <c r="F79" s="74" t="inlineStr">
        <is>
          <t>Full W→X→Y→Z</t>
        </is>
      </c>
      <c r="G79" s="75" t="n"/>
      <c r="H79" s="76" t="n"/>
      <c r="I79" s="75" t="n"/>
    </row>
    <row r="80" ht="20" customHeight="1">
      <c r="A80" s="77" t="inlineStr">
        <is>
          <t>C-25.06</t>
        </is>
      </c>
      <c r="B80" s="78" t="inlineStr">
        <is>
          <t>(Available for new custom item)</t>
        </is>
      </c>
      <c r="C80" s="79" t="inlineStr">
        <is>
          <t>sqm</t>
        </is>
      </c>
      <c r="D80" s="79" t="n">
        <v>1</v>
      </c>
      <c r="E80" s="80" t="n"/>
      <c r="F80" s="79" t="inlineStr">
        <is>
          <t>Full W→X→Y→Z</t>
        </is>
      </c>
      <c r="G80" s="80" t="n"/>
      <c r="H80" s="81" t="n"/>
      <c r="I80" s="80" t="n"/>
    </row>
    <row r="81" ht="20" customHeight="1">
      <c r="A81" s="72" t="inlineStr">
        <is>
          <t>C-25.07</t>
        </is>
      </c>
      <c r="B81" s="73" t="inlineStr">
        <is>
          <t>(Available for new custom item)</t>
        </is>
      </c>
      <c r="C81" s="74" t="inlineStr">
        <is>
          <t>sqm</t>
        </is>
      </c>
      <c r="D81" s="74" t="n">
        <v>1</v>
      </c>
      <c r="E81" s="75" t="n"/>
      <c r="F81" s="74" t="inlineStr">
        <is>
          <t>Full W→X→Y→Z</t>
        </is>
      </c>
      <c r="G81" s="75" t="n"/>
      <c r="H81" s="76" t="n"/>
      <c r="I81" s="75" t="n"/>
    </row>
    <row r="82" ht="20" customHeight="1">
      <c r="A82" s="77" t="inlineStr">
        <is>
          <t>C-25.08</t>
        </is>
      </c>
      <c r="B82" s="78" t="inlineStr">
        <is>
          <t>(Available for new custom item)</t>
        </is>
      </c>
      <c r="C82" s="79" t="inlineStr">
        <is>
          <t>sqm</t>
        </is>
      </c>
      <c r="D82" s="79" t="n">
        <v>1</v>
      </c>
      <c r="E82" s="80" t="n"/>
      <c r="F82" s="79" t="inlineStr">
        <is>
          <t>Full W→X→Y→Z</t>
        </is>
      </c>
      <c r="G82" s="80" t="n"/>
      <c r="H82" s="81" t="n"/>
      <c r="I82" s="80" t="n"/>
    </row>
  </sheetData>
  <sheetProtection selectLockedCells="0" selectUnlockedCells="0" sheet="1" objects="0" insertRows="1" insertHyperlinks="1" autoFilter="1" scenarios="0" formatColumns="1" deleteColumns="1" insertColumns="1" pivotTables="1" deleteRows="1" formatCells="1" formatRows="1" sort="1"/>
  <mergeCells count="28">
    <mergeCell ref="E21:I21"/>
    <mergeCell ref="E12:I12"/>
    <mergeCell ref="B17:G17"/>
    <mergeCell ref="A18:I18"/>
    <mergeCell ref="A3:I3"/>
    <mergeCell ref="E23:I23"/>
    <mergeCell ref="E14:I14"/>
    <mergeCell ref="A26:I26"/>
    <mergeCell ref="A57:I57"/>
    <mergeCell ref="E20:I20"/>
    <mergeCell ref="E10:I10"/>
    <mergeCell ref="E13:I13"/>
    <mergeCell ref="E19:I19"/>
    <mergeCell ref="A8:I8"/>
    <mergeCell ref="A53:I53"/>
    <mergeCell ref="E9:I9"/>
    <mergeCell ref="A72:I72"/>
    <mergeCell ref="A38:F38"/>
    <mergeCell ref="A52:F52"/>
    <mergeCell ref="E15:I15"/>
    <mergeCell ref="A40:I40"/>
    <mergeCell ref="E11:I11"/>
    <mergeCell ref="A39:F39"/>
    <mergeCell ref="A24:I24"/>
    <mergeCell ref="A73:I73"/>
    <mergeCell ref="A1:I1"/>
    <mergeCell ref="A70:I70"/>
    <mergeCell ref="E22:I22"/>
  </mergeCells>
  <dataValidations count="5">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"ACP supply (weight-based, no labour),Structural glazing — fixed frame,Curtain wall system (pressure plate),Spider fitting / point-fixed glass"</formula1>
    </dataValidation>
    <dataValidation sqref="B11" showDropDown="0" showInputMessage="0" showErrorMessage="0" allowBlank="1" type="list">
      <formula1>"Powder coated 50 microns (code 7392),Anodised 15 microns (code 7389),Anodised 25 microns (code 7390),PVDF coating"</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0"/>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 t="inlineStr">
        <is>
          <t>CPWD DAR 2019 — SUB-HEAD 26: NEW TECHNOLOGIES AND MATERIALS
WB2 — references WB1 for Rates_Master &amp; Global_Factors</t>
        </is>
      </c>
    </row>
    <row r="2" ht="20" customHeight="1">
      <c r="A2" s="3" t="inlineStr">
        <is>
          <t>LEGEND:</t>
        </is>
      </c>
      <c r="B2" s="4" t="inlineStr">
        <is>
          <t>INPUT - you type it</t>
        </is>
      </c>
      <c r="C2" s="5" t="inlineStr">
        <is>
          <t>OVERRIDE - optional</t>
        </is>
      </c>
      <c r="D2" s="6" t="inlineStr">
        <is>
          <t>LOOKUP - fetched (WB1)</t>
        </is>
      </c>
      <c r="E2" s="7" t="inlineStr">
        <is>
          <t>DERIVED - calculated</t>
        </is>
      </c>
      <c r="F2" s="8" t="inlineStr">
        <is>
          <t>RESULT - subtotal</t>
        </is>
      </c>
      <c r="G2" s="9" t="inlineStr">
        <is>
          <t>SAY - final rate</t>
        </is>
      </c>
      <c r="H2" s="10" t="inlineStr">
        <is>
          <t>CPWD rule / note</t>
        </is>
      </c>
      <c r="I2" s="11" t="inlineStr">
        <is>
          <t>Not editable</t>
        </is>
      </c>
    </row>
    <row r="3" ht="30" customHeight="1">
      <c r="A3" s="2" t="inlineStr">
        <is>
          <t>CPWD DAR Sub-head 26: Proprietary and non-conventional construction products (pre-engineered flooring, AAC blocks, GFRC panels, EPS insulation, solar systems). Material-heavy items: per-unit-area rate of the proprietary product from Rates_Master (codes 7776, 7911-7931, 7996-8057, 8144-8150, 8210-8226, 8515-8596 range). A wastage helper (typically 5-10%) is recommended for all sheet/board products. Labour: Skilled workman (varies by system), Beldar/Coolie for site handling. Machinery: as required by the specific system (crane, compressor, welding set).</t>
        </is>
      </c>
    </row>
    <row r="4"/>
    <row r="5"/>
    <row r="6"/>
    <row r="7"/>
    <row r="8" ht="24" customHeight="1">
      <c r="A8" s="12" t="inlineStr">
        <is>
          <t>1. PANEL 1 - SCOPE &amp; SPECIFICATION INPUTS  (what is being built, and which clauses actually move cost)</t>
        </is>
      </c>
    </row>
    <row r="9" ht="30" customHeight="1">
      <c r="A9" s="13" t="inlineStr">
        <is>
          <t>Nomenclature Clause / Dimension</t>
        </is>
      </c>
      <c r="B9" s="13" t="inlineStr">
        <is>
          <t>Selected Value</t>
        </is>
      </c>
      <c r="C9" s="13" t="inlineStr">
        <is>
          <t>Cost Impact</t>
        </is>
      </c>
      <c r="D9" s="13" t="inlineStr">
        <is>
          <t>Drives</t>
        </is>
      </c>
      <c r="E9" s="13" t="inlineStr">
        <is>
          <t>What changes when this selection changes, and the DAR 2019 evidence for it</t>
        </is>
      </c>
      <c r="F9" s="14" t="n"/>
      <c r="G9" s="14" t="n"/>
      <c r="H9" s="14" t="n"/>
      <c r="I9" s="15" t="n"/>
    </row>
    <row r="10" ht="32" customHeight="1">
      <c r="A10" s="16" t="inlineStr">
        <is>
          <t>Technology / product</t>
        </is>
      </c>
      <c r="B10" s="17" t="inlineStr">
        <is>
          <t>Pre-engineered laminate flooring</t>
        </is>
      </c>
      <c r="C10" s="8" t="inlineStr">
        <is>
          <t>DRIVES COST</t>
        </is>
      </c>
      <c r="D10" s="18" t="inlineStr">
        <is>
          <t>-</t>
        </is>
      </c>
      <c r="E10" s="19" t="inlineStr">
        <is>
          <t>DRIVES COST. Each technology has a distinct product code and per-unit rate. The PAC requirement means only BMTPC-approved products qualify.</t>
        </is>
      </c>
      <c r="F10" s="20" t="n"/>
      <c r="G10" s="20" t="n"/>
      <c r="H10" s="20" t="n"/>
      <c r="I10" s="20" t="n"/>
    </row>
    <row r="11" ht="32" customHeight="1">
      <c r="A11" s="16" t="inlineStr">
        <is>
          <t>Wastage allowance</t>
        </is>
      </c>
      <c r="B11" s="17" t="inlineStr">
        <is>
          <t>7% (boards/sheets)</t>
        </is>
      </c>
      <c r="C11" s="8" t="inlineStr">
        <is>
          <t>DRIVES COST</t>
        </is>
      </c>
      <c r="D11" s="18" t="inlineStr">
        <is>
          <t>-</t>
        </is>
      </c>
      <c r="E11" s="19" t="inlineStr">
        <is>
          <t>DRIVES COST. Add the wastage % to the product quantity. For 10 sqm + 7% = 10.70 sqm ordered.</t>
        </is>
      </c>
      <c r="F11" s="20" t="n"/>
      <c r="G11" s="20" t="n"/>
      <c r="H11" s="20" t="n"/>
      <c r="I11" s="20" t="n"/>
    </row>
    <row r="12" ht="32" customHeight="1">
      <c r="A12" s="16" t="inlineStr">
        <is>
          <t>Labour supply</t>
        </is>
      </c>
      <c r="B12" s="17" t="inlineStr">
        <is>
          <t>Specialist sub-contractor (specialist codes)</t>
        </is>
      </c>
      <c r="C12" s="8" t="inlineStr">
        <is>
          <t>DRIVES COST</t>
        </is>
      </c>
      <c r="D12" s="18" t="inlineStr">
        <is>
          <t>-</t>
        </is>
      </c>
      <c r="E12" s="19" t="inlineStr">
        <is>
          <t>DRIVES COST. Proprietary systems often require the manufacturer's specialist installer. Use specialist-crew codes from the 7913-7931 range in Rates_Master.</t>
        </is>
      </c>
      <c r="F12" s="20" t="n"/>
      <c r="G12" s="20" t="n"/>
      <c r="H12" s="20" t="n"/>
      <c r="I12" s="20" t="n"/>
    </row>
    <row r="13" ht="20" customHeight="1">
      <c r="A13" s="22" t="inlineStr">
        <is>
          <t>(spare - add a further scope clause here)</t>
        </is>
      </c>
      <c r="B13" s="23" t="n"/>
      <c r="C13" s="20" t="n"/>
      <c r="D13" s="20" t="n"/>
      <c r="E13" s="20" t="n"/>
      <c r="F13" s="20" t="n"/>
      <c r="G13" s="20" t="n"/>
      <c r="H13" s="20" t="n"/>
      <c r="I13" s="20" t="n"/>
    </row>
    <row r="14" ht="20" customHeight="1">
      <c r="A14" s="22" t="inlineStr">
        <is>
          <t>(spare - add a further scope clause here)</t>
        </is>
      </c>
      <c r="B14" s="23" t="n"/>
      <c r="C14" s="20" t="n"/>
      <c r="D14" s="20" t="n"/>
      <c r="E14" s="20" t="n"/>
      <c r="F14" s="20" t="n"/>
      <c r="G14" s="20" t="n"/>
      <c r="H14" s="20" t="n"/>
      <c r="I14" s="20" t="n"/>
    </row>
    <row r="15" ht="20" customHeight="1">
      <c r="A15" s="22" t="inlineStr">
        <is>
          <t>(spare - add a further scope clause here)</t>
        </is>
      </c>
      <c r="B15" s="23" t="n"/>
      <c r="C15" s="20" t="n"/>
      <c r="D15" s="20" t="n"/>
      <c r="E15" s="20" t="n"/>
      <c r="F15" s="20" t="n"/>
      <c r="G15" s="20" t="n"/>
      <c r="H15" s="20" t="n"/>
      <c r="I15" s="20" t="n"/>
    </row>
    <row r="16" ht="22" customHeight="1">
      <c r="A16" s="24" t="inlineStr">
        <is>
          <t>Custom Item Code:</t>
        </is>
      </c>
      <c r="B16" s="25" t="inlineStr">
        <is>
          <t>C-26.01</t>
        </is>
      </c>
      <c r="C16" s="24" t="inlineStr">
        <is>
          <t>Batch Output Basis:</t>
        </is>
      </c>
      <c r="D16" s="26" t="n">
        <v>10</v>
      </c>
      <c r="E16" s="24" t="inlineStr">
        <is>
          <t>Output Unit:</t>
        </is>
      </c>
      <c r="F16" s="25" t="inlineStr">
        <is>
          <t>sqm</t>
        </is>
      </c>
      <c r="G16" s="24" t="inlineStr">
        <is>
          <t>Trade Sub-Head:</t>
        </is>
      </c>
      <c r="H16" s="27" t="inlineStr">
        <is>
          <t>26 New Technologies</t>
        </is>
      </c>
      <c r="I16" s="22" t="inlineStr">
        <is>
          <t>Output Unit Note:</t>
        </is>
      </c>
    </row>
    <row r="17" ht="40" customHeight="1">
      <c r="A17" s="24" t="inlineStr">
        <is>
          <t>Assembled Item Nomenclature:</t>
        </is>
      </c>
      <c r="B17" s="28" t="inlineStr">
        <is>
          <t>Providing and fixing in position pre-engineered laminate / engineered wood flooring system in approved colour, texture and finish, having Performance Appraisal Certificate (PAC) issued by BMTPC, with groove interlocking system, laid over polyethylene foam underlay, complete as per directions of Engineer-in-charge.</t>
        </is>
      </c>
      <c r="C17" s="20" t="n"/>
      <c r="D17" s="20" t="n"/>
      <c r="E17" s="20" t="n"/>
      <c r="F17" s="20" t="n"/>
      <c r="G17" s="20" t="n"/>
      <c r="H17" s="22" t="inlineStr">
        <is>
          <t>Manual Override:</t>
        </is>
      </c>
      <c r="I17" s="29" t="n"/>
    </row>
    <row r="18" ht="24" customHeight="1">
      <c r="A18" s="12" t="inlineStr">
        <is>
          <t>2. PANEL 2 - OPERATIONAL &amp; DERIVATION DRIVERS  (quantities and allowances that scale the build-up below)</t>
        </is>
      </c>
    </row>
    <row r="19" ht="26" customHeight="1">
      <c r="A19" s="13" t="inlineStr">
        <is>
          <t>Driver</t>
        </is>
      </c>
      <c r="B19" s="13" t="inlineStr">
        <is>
          <t>Value</t>
        </is>
      </c>
      <c r="C19" s="13" t="inlineStr">
        <is>
          <t>Unit</t>
        </is>
      </c>
      <c r="D19" s="13" t="inlineStr">
        <is>
          <t>Applies To</t>
        </is>
      </c>
      <c r="E19" s="13" t="inlineStr">
        <is>
          <t>How this driver is used, and the DAR 2019 basis for the default</t>
        </is>
      </c>
      <c r="F19" s="14" t="n"/>
      <c r="G19" s="14" t="n"/>
      <c r="H19" s="14" t="n"/>
      <c r="I19" s="15" t="n"/>
    </row>
    <row r="20" ht="20" customHeight="1">
      <c r="A20" s="22" t="inlineStr">
        <is>
          <t>(spare - add a further driver here)</t>
        </is>
      </c>
      <c r="B20" s="23" t="n"/>
      <c r="C20" s="20" t="n"/>
      <c r="D20" s="20" t="n"/>
      <c r="E20" s="20" t="n"/>
      <c r="F20" s="20" t="n"/>
      <c r="G20" s="20" t="n"/>
      <c r="H20" s="20" t="n"/>
      <c r="I20" s="20" t="n"/>
    </row>
    <row r="21" ht="20" customHeight="1">
      <c r="A21" s="22" t="inlineStr">
        <is>
          <t>(spare - add a further driver here)</t>
        </is>
      </c>
      <c r="B21" s="23" t="n"/>
      <c r="C21" s="20" t="n"/>
      <c r="D21" s="20" t="n"/>
      <c r="E21" s="20" t="n"/>
      <c r="F21" s="20" t="n"/>
      <c r="G21" s="20" t="n"/>
      <c r="H21" s="20" t="n"/>
      <c r="I21" s="20" t="n"/>
    </row>
    <row r="22" ht="20" customHeight="1">
      <c r="A22" s="22" t="inlineStr">
        <is>
          <t>(spare - add a further driver here)</t>
        </is>
      </c>
      <c r="B22" s="23" t="n"/>
      <c r="C22" s="20" t="n"/>
      <c r="D22" s="20" t="n"/>
      <c r="E22" s="20" t="n"/>
      <c r="F22" s="20" t="n"/>
      <c r="G22" s="20" t="n"/>
      <c r="H22" s="20" t="n"/>
      <c r="I22" s="20" t="n"/>
    </row>
    <row r="23" ht="20" customHeight="1">
      <c r="A23" s="22" t="inlineStr">
        <is>
          <t>(spare - add a further driver here)</t>
        </is>
      </c>
      <c r="B23" s="23" t="n"/>
      <c r="C23" s="20" t="n"/>
      <c r="D23" s="20" t="n"/>
      <c r="E23" s="20" t="n"/>
      <c r="F23" s="20" t="n"/>
      <c r="G23" s="20" t="n"/>
      <c r="H23" s="20" t="n"/>
      <c r="I23" s="20" t="n"/>
    </row>
    <row r="24" ht="44" customHeight="1">
      <c r="A24" s="2"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0" t="n"/>
      <c r="C24" s="20" t="n"/>
      <c r="D24" s="20" t="n"/>
      <c r="E24" s="20" t="n"/>
      <c r="F24" s="20" t="n"/>
      <c r="G24" s="20" t="n"/>
      <c r="H24" s="20" t="n"/>
      <c r="I24" s="20" t="n"/>
    </row>
    <row r="25" ht="22" customHeight="1">
      <c r="A25" s="30" t="inlineStr">
        <is>
          <t>AUDIT STATUS:</t>
        </is>
      </c>
      <c r="B25" s="31">
        <f>IF(AND(D25="OK", F25="OK", H25="OK"), "[PASS] ALL CHECKS OK", "[ALERT] CHECKS FAILED")</f>
        <v/>
      </c>
      <c r="C25" s="32" t="inlineStr">
        <is>
          <t>Output Qty Check:</t>
        </is>
      </c>
      <c r="D25" s="33">
        <f>IF(D16&gt;0, "OK", "ERR: Qty&lt;=0")</f>
        <v/>
      </c>
      <c r="E25" s="32" t="inlineStr">
        <is>
          <t>Direct Cost Check:</t>
        </is>
      </c>
      <c r="F25" s="33">
        <f>IF(G59&gt;0, "OK", "ERR: W&lt;=0")</f>
        <v/>
      </c>
      <c r="G25" s="32" t="inlineStr">
        <is>
          <t>Markup Flow Check:</t>
        </is>
      </c>
      <c r="H25" s="33">
        <f>IF(AND(G59&lt;=G61, G61&lt;=G63, G63&lt;=G65, G39&lt;=G59), "OK", "ERR: Markups Broken")</f>
        <v/>
      </c>
      <c r="I25" s="18">
        <f>IF(G39&gt;0, "A-rule active", "No A imports")</f>
        <v/>
      </c>
    </row>
    <row r="26" ht="24" customHeight="1">
      <c r="A26" s="12" t="inlineStr">
        <is>
          <t>3. MATERIAL COMPONENT BUILD-UP  (tag column I with "A" for any line whose rate already includes statutory markups — see CPWD (W-A) convention)</t>
        </is>
      </c>
    </row>
    <row r="27" ht="24" customHeight="1">
      <c r="A27" s="13" t="inlineStr">
        <is>
          <t>Line</t>
        </is>
      </c>
      <c r="B27" s="13" t="inlineStr">
        <is>
          <t>Code / Source</t>
        </is>
      </c>
      <c r="C27" s="13" t="inlineStr">
        <is>
          <t>Description / Specification</t>
        </is>
      </c>
      <c r="D27" s="13" t="inlineStr">
        <is>
          <t>Unit</t>
        </is>
      </c>
      <c r="E27" s="13" t="inlineStr">
        <is>
          <t>Quantity / Coeff</t>
        </is>
      </c>
      <c r="F27" s="13" t="inlineStr">
        <is>
          <t>Basic Rate (Rs)</t>
        </is>
      </c>
      <c r="G27" s="13" t="inlineStr">
        <is>
          <t>Amount (Rs)</t>
        </is>
      </c>
      <c r="H27" s="13" t="inlineStr">
        <is>
          <t>Source Reference / Remarks</t>
        </is>
      </c>
      <c r="I27" s="13" t="inlineStr">
        <is>
          <t>Markup Tag</t>
        </is>
      </c>
    </row>
    <row r="28" ht="20" customHeight="1">
      <c r="A28" s="34" t="n">
        <v>1</v>
      </c>
      <c r="B28" s="25" t="inlineStr">
        <is>
          <t>7776</t>
        </is>
      </c>
      <c r="C28" s="35">
        <f>IF(B28="","", IFERROR(INDEX('[CPWD_DAR_2019_Custom_Rate_Analysis_Workbook_Vol_1.xlsx]Rates_Master'!$C:$C, MATCH(B28, '[CPWD_DAR_2019_Custom_Rate_Analysis_Workbook_Vol_1.xlsx]Rates_Master'!$A:$A, 0)), "Custom / Intermediate Material"))</f>
        <v/>
      </c>
      <c r="D28" s="36">
        <f>IF(B28="","", IFERROR(INDEX('[CPWD_DAR_2019_Custom_Rate_Analysis_Workbook_Vol_1.xlsx]Rates_Master'!$D:$D, MATCH(B28, '[CPWD_DAR_2019_Custom_Rate_Analysis_Workbook_Vol_1.xlsx]Rates_Master'!$A:$A, 0)), ""))</f>
        <v/>
      </c>
      <c r="E28" s="37" t="n">
        <v>10.7</v>
      </c>
      <c r="F28" s="38">
        <f>IF(B28="","", IFERROR(INDEX('[CPWD_DAR_2019_Custom_Rate_Analysis_Workbook_Vol_1.xlsx]Rates_Master'!$E:$E, MATCH(B28, '[CPWD_DAR_2019_Custom_Rate_Analysis_Workbook_Vol_1.xlsx]Rates_Master'!$A:$A, 0)), 0))</f>
        <v/>
      </c>
      <c r="G28" s="39">
        <f>IF(OR(B28="", E28=""), 0, ROUND(E28 * F28, 2))</f>
        <v/>
      </c>
      <c r="H28" s="40" t="inlineStr">
        <is>
          <t>Pre-engineered laminate flooring PAC-approved: 10.70 sqm (10 sqm + 7% wastage). Rate from Rates_Master code 7776.</t>
        </is>
      </c>
      <c r="I28" s="25" t="inlineStr"/>
    </row>
    <row r="29" ht="20" customHeight="1">
      <c r="A29" s="34" t="n">
        <v>2</v>
      </c>
      <c r="B29" s="25" t="inlineStr">
        <is>
          <t>1023</t>
        </is>
      </c>
      <c r="C29" s="35">
        <f>IF(B29="","", IFERROR(INDEX('[CPWD_DAR_2019_Custom_Rate_Analysis_Workbook_Vol_1.xlsx]Rates_Master'!$C:$C, MATCH(B29, '[CPWD_DAR_2019_Custom_Rate_Analysis_Workbook_Vol_1.xlsx]Rates_Master'!$A:$A, 0)), "Custom / Intermediate Material"))</f>
        <v/>
      </c>
      <c r="D29" s="36">
        <f>IF(B29="","", IFERROR(INDEX('[CPWD_DAR_2019_Custom_Rate_Analysis_Workbook_Vol_1.xlsx]Rates_Master'!$D:$D, MATCH(B29, '[CPWD_DAR_2019_Custom_Rate_Analysis_Workbook_Vol_1.xlsx]Rates_Master'!$A:$A, 0)), ""))</f>
        <v/>
      </c>
      <c r="E29" s="37" t="n">
        <v>11</v>
      </c>
      <c r="F29" s="38">
        <f>IF(B29="","", IFERROR(INDEX('[CPWD_DAR_2019_Custom_Rate_Analysis_Workbook_Vol_1.xlsx]Rates_Master'!$E:$E, MATCH(B29, '[CPWD_DAR_2019_Custom_Rate_Analysis_Workbook_Vol_1.xlsx]Rates_Master'!$A:$A, 0)), 0))</f>
        <v/>
      </c>
      <c r="G29" s="39">
        <f>IF(OR(B29="", E29=""), 0, ROUND(E29 * F29, 2))</f>
        <v/>
      </c>
      <c r="H29" s="40" t="inlineStr">
        <is>
          <t>Polyethylene foam underlay sheet: 11 sqm (10 sqm + 10% overlap). Laid below laminate to cushion and prevent moisture ingress.</t>
        </is>
      </c>
      <c r="I29" s="25" t="inlineStr"/>
    </row>
    <row r="30" ht="20" customHeight="1">
      <c r="A30" s="34" t="n">
        <v>3</v>
      </c>
      <c r="B30" s="25" t="inlineStr"/>
      <c r="C30" s="35">
        <f>IF(B30="","", IFERROR(INDEX('[CPWD_DAR_2019_Custom_Rate_Analysis_Workbook_Vol_1.xlsx]Rates_Master'!$C:$C, MATCH(B30, '[CPWD_DAR_2019_Custom_Rate_Analysis_Workbook_Vol_1.xlsx]Rates_Master'!$A:$A, 0)), "Custom / Intermediate Material"))</f>
        <v/>
      </c>
      <c r="D30" s="36">
        <f>IF(B30="","", IFERROR(INDEX('[CPWD_DAR_2019_Custom_Rate_Analysis_Workbook_Vol_1.xlsx]Rates_Master'!$D:$D, MATCH(B30, '[CPWD_DAR_2019_Custom_Rate_Analysis_Workbook_Vol_1.xlsx]Rates_Master'!$A:$A, 0)), ""))</f>
        <v/>
      </c>
      <c r="E30" s="37" t="n"/>
      <c r="F30" s="38">
        <f>IF(B30="","", IFERROR(INDEX('[CPWD_DAR_2019_Custom_Rate_Analysis_Workbook_Vol_1.xlsx]Rates_Master'!$E:$E, MATCH(B30, '[CPWD_DAR_2019_Custom_Rate_Analysis_Workbook_Vol_1.xlsx]Rates_Master'!$A:$A, 0)), 0))</f>
        <v/>
      </c>
      <c r="G30" s="39">
        <f>IF(OR(B30="", E30=""), 0, ROUND(E30 * F30, 2))</f>
        <v/>
      </c>
      <c r="H30" s="40" t="inlineStr"/>
      <c r="I30" s="25" t="inlineStr"/>
    </row>
    <row r="31" ht="20" customHeight="1">
      <c r="A31" s="34" t="n">
        <v>4</v>
      </c>
      <c r="B31" s="25" t="inlineStr"/>
      <c r="C31" s="35">
        <f>IF(B31="","", IFERROR(INDEX('[CPWD_DAR_2019_Custom_Rate_Analysis_Workbook_Vol_1.xlsx]Rates_Master'!$C:$C, MATCH(B31, '[CPWD_DAR_2019_Custom_Rate_Analysis_Workbook_Vol_1.xlsx]Rates_Master'!$A:$A, 0)), "Custom / Intermediate Material"))</f>
        <v/>
      </c>
      <c r="D31" s="36">
        <f>IF(B31="","", IFERROR(INDEX('[CPWD_DAR_2019_Custom_Rate_Analysis_Workbook_Vol_1.xlsx]Rates_Master'!$D:$D, MATCH(B31, '[CPWD_DAR_2019_Custom_Rate_Analysis_Workbook_Vol_1.xlsx]Rates_Master'!$A:$A, 0)), ""))</f>
        <v/>
      </c>
      <c r="E31" s="37" t="n"/>
      <c r="F31" s="38">
        <f>IF(B31="","", IFERROR(INDEX('[CPWD_DAR_2019_Custom_Rate_Analysis_Workbook_Vol_1.xlsx]Rates_Master'!$E:$E, MATCH(B31, '[CPWD_DAR_2019_Custom_Rate_Analysis_Workbook_Vol_1.xlsx]Rates_Master'!$A:$A, 0)), 0))</f>
        <v/>
      </c>
      <c r="G31" s="39">
        <f>IF(OR(B31="", E31=""), 0, ROUND(E31 * F31, 2))</f>
        <v/>
      </c>
      <c r="H31" s="40" t="inlineStr"/>
      <c r="I31" s="25" t="inlineStr"/>
    </row>
    <row r="32" ht="20" customHeight="1">
      <c r="A32" s="34" t="n">
        <v>5</v>
      </c>
      <c r="B32" s="25" t="inlineStr"/>
      <c r="C32" s="35">
        <f>IF(B32="","", IFERROR(INDEX('[CPWD_DAR_2019_Custom_Rate_Analysis_Workbook_Vol_1.xlsx]Rates_Master'!$C:$C, MATCH(B32, '[CPWD_DAR_2019_Custom_Rate_Analysis_Workbook_Vol_1.xlsx]Rates_Master'!$A:$A, 0)), "Custom / Intermediate Material"))</f>
        <v/>
      </c>
      <c r="D32" s="36">
        <f>IF(B32="","", IFERROR(INDEX('[CPWD_DAR_2019_Custom_Rate_Analysis_Workbook_Vol_1.xlsx]Rates_Master'!$D:$D, MATCH(B32, '[CPWD_DAR_2019_Custom_Rate_Analysis_Workbook_Vol_1.xlsx]Rates_Master'!$A:$A, 0)), ""))</f>
        <v/>
      </c>
      <c r="E32" s="37" t="n"/>
      <c r="F32" s="38">
        <f>IF(B32="","", IFERROR(INDEX('[CPWD_DAR_2019_Custom_Rate_Analysis_Workbook_Vol_1.xlsx]Rates_Master'!$E:$E, MATCH(B32, '[CPWD_DAR_2019_Custom_Rate_Analysis_Workbook_Vol_1.xlsx]Rates_Master'!$A:$A, 0)), 0))</f>
        <v/>
      </c>
      <c r="G32" s="39">
        <f>IF(OR(B32="", E32=""), 0, ROUND(E32 * F32, 2))</f>
        <v/>
      </c>
      <c r="H32" s="40" t="inlineStr"/>
      <c r="I32" s="25" t="inlineStr"/>
    </row>
    <row r="33" ht="20" customHeight="1">
      <c r="A33" s="34" t="n">
        <v>6</v>
      </c>
      <c r="B33" s="25" t="inlineStr"/>
      <c r="C33" s="35">
        <f>IF(B33="","", IFERROR(INDEX('[CPWD_DAR_2019_Custom_Rate_Analysis_Workbook_Vol_1.xlsx]Rates_Master'!$C:$C, MATCH(B33, '[CPWD_DAR_2019_Custom_Rate_Analysis_Workbook_Vol_1.xlsx]Rates_Master'!$A:$A, 0)), "Custom / Intermediate Material"))</f>
        <v/>
      </c>
      <c r="D33" s="36">
        <f>IF(B33="","", IFERROR(INDEX('[CPWD_DAR_2019_Custom_Rate_Analysis_Workbook_Vol_1.xlsx]Rates_Master'!$D:$D, MATCH(B33, '[CPWD_DAR_2019_Custom_Rate_Analysis_Workbook_Vol_1.xlsx]Rates_Master'!$A:$A, 0)), ""))</f>
        <v/>
      </c>
      <c r="E33" s="37" t="n"/>
      <c r="F33" s="38">
        <f>IF(B33="","", IFERROR(INDEX('[CPWD_DAR_2019_Custom_Rate_Analysis_Workbook_Vol_1.xlsx]Rates_Master'!$E:$E, MATCH(B33, '[CPWD_DAR_2019_Custom_Rate_Analysis_Workbook_Vol_1.xlsx]Rates_Master'!$A:$A, 0)), 0))</f>
        <v/>
      </c>
      <c r="G33" s="39">
        <f>IF(OR(B33="", E33=""), 0, ROUND(E33 * F33, 2))</f>
        <v/>
      </c>
      <c r="H33" s="40" t="inlineStr"/>
      <c r="I33" s="25" t="inlineStr"/>
    </row>
    <row r="34" ht="20" customHeight="1">
      <c r="A34" s="34" t="n">
        <v>7</v>
      </c>
      <c r="B34" s="25" t="inlineStr"/>
      <c r="C34" s="35">
        <f>IF(B34="","", IFERROR(INDEX('[CPWD_DAR_2019_Custom_Rate_Analysis_Workbook_Vol_1.xlsx]Rates_Master'!$C:$C, MATCH(B34, '[CPWD_DAR_2019_Custom_Rate_Analysis_Workbook_Vol_1.xlsx]Rates_Master'!$A:$A, 0)), "Custom / Intermediate Material"))</f>
        <v/>
      </c>
      <c r="D34" s="36">
        <f>IF(B34="","", IFERROR(INDEX('[CPWD_DAR_2019_Custom_Rate_Analysis_Workbook_Vol_1.xlsx]Rates_Master'!$D:$D, MATCH(B34, '[CPWD_DAR_2019_Custom_Rate_Analysis_Workbook_Vol_1.xlsx]Rates_Master'!$A:$A, 0)), ""))</f>
        <v/>
      </c>
      <c r="E34" s="37" t="n"/>
      <c r="F34" s="38">
        <f>IF(B34="","", IFERROR(INDEX('[CPWD_DAR_2019_Custom_Rate_Analysis_Workbook_Vol_1.xlsx]Rates_Master'!$E:$E, MATCH(B34, '[CPWD_DAR_2019_Custom_Rate_Analysis_Workbook_Vol_1.xlsx]Rates_Master'!$A:$A, 0)), 0))</f>
        <v/>
      </c>
      <c r="G34" s="39">
        <f>IF(OR(B34="", E34=""), 0, ROUND(E34 * F34, 2))</f>
        <v/>
      </c>
      <c r="H34" s="40" t="inlineStr"/>
      <c r="I34" s="25" t="inlineStr"/>
    </row>
    <row r="35" ht="20" customHeight="1">
      <c r="A35" s="34" t="n">
        <v>8</v>
      </c>
      <c r="B35" s="25" t="inlineStr"/>
      <c r="C35" s="35">
        <f>IF(B35="","", IFERROR(INDEX('[CPWD_DAR_2019_Custom_Rate_Analysis_Workbook_Vol_1.xlsx]Rates_Master'!$C:$C, MATCH(B35, '[CPWD_DAR_2019_Custom_Rate_Analysis_Workbook_Vol_1.xlsx]Rates_Master'!$A:$A, 0)), "Custom / Intermediate Material"))</f>
        <v/>
      </c>
      <c r="D35" s="36">
        <f>IF(B35="","", IFERROR(INDEX('[CPWD_DAR_2019_Custom_Rate_Analysis_Workbook_Vol_1.xlsx]Rates_Master'!$D:$D, MATCH(B35, '[CPWD_DAR_2019_Custom_Rate_Analysis_Workbook_Vol_1.xlsx]Rates_Master'!$A:$A, 0)), ""))</f>
        <v/>
      </c>
      <c r="E35" s="37" t="n"/>
      <c r="F35" s="38">
        <f>IF(B35="","", IFERROR(INDEX('[CPWD_DAR_2019_Custom_Rate_Analysis_Workbook_Vol_1.xlsx]Rates_Master'!$E:$E, MATCH(B35, '[CPWD_DAR_2019_Custom_Rate_Analysis_Workbook_Vol_1.xlsx]Rates_Master'!$A:$A, 0)), 0))</f>
        <v/>
      </c>
      <c r="G35" s="39">
        <f>IF(OR(B35="", E35=""), 0, ROUND(E35 * F35, 2))</f>
        <v/>
      </c>
      <c r="H35" s="40" t="inlineStr"/>
      <c r="I35" s="25" t="inlineStr"/>
    </row>
    <row r="36" ht="20" customHeight="1">
      <c r="A36" s="34" t="n">
        <v>9</v>
      </c>
      <c r="B36" s="25" t="inlineStr"/>
      <c r="C36" s="35">
        <f>IF(B36="","", IFERROR(INDEX('[CPWD_DAR_2019_Custom_Rate_Analysis_Workbook_Vol_1.xlsx]Rates_Master'!$C:$C, MATCH(B36, '[CPWD_DAR_2019_Custom_Rate_Analysis_Workbook_Vol_1.xlsx]Rates_Master'!$A:$A, 0)), "Custom / Intermediate Material"))</f>
        <v/>
      </c>
      <c r="D36" s="36">
        <f>IF(B36="","", IFERROR(INDEX('[CPWD_DAR_2019_Custom_Rate_Analysis_Workbook_Vol_1.xlsx]Rates_Master'!$D:$D, MATCH(B36, '[CPWD_DAR_2019_Custom_Rate_Analysis_Workbook_Vol_1.xlsx]Rates_Master'!$A:$A, 0)), ""))</f>
        <v/>
      </c>
      <c r="E36" s="37" t="n"/>
      <c r="F36" s="38">
        <f>IF(B36="","", IFERROR(INDEX('[CPWD_DAR_2019_Custom_Rate_Analysis_Workbook_Vol_1.xlsx]Rates_Master'!$E:$E, MATCH(B36, '[CPWD_DAR_2019_Custom_Rate_Analysis_Workbook_Vol_1.xlsx]Rates_Master'!$A:$A, 0)), 0))</f>
        <v/>
      </c>
      <c r="G36" s="39">
        <f>IF(OR(B36="", E36=""), 0, ROUND(E36 * F36, 2))</f>
        <v/>
      </c>
      <c r="H36" s="40" t="inlineStr"/>
      <c r="I36" s="25" t="inlineStr"/>
    </row>
    <row r="37" ht="20" customHeight="1">
      <c r="A37" s="34" t="n">
        <v>10</v>
      </c>
      <c r="B37" s="25" t="inlineStr"/>
      <c r="C37" s="35">
        <f>IF(B37="","", IFERROR(INDEX('[CPWD_DAR_2019_Custom_Rate_Analysis_Workbook_Vol_1.xlsx]Rates_Master'!$C:$C, MATCH(B37, '[CPWD_DAR_2019_Custom_Rate_Analysis_Workbook_Vol_1.xlsx]Rates_Master'!$A:$A, 0)), "Custom / Intermediate Material"))</f>
        <v/>
      </c>
      <c r="D37" s="36">
        <f>IF(B37="","", IFERROR(INDEX('[CPWD_DAR_2019_Custom_Rate_Analysis_Workbook_Vol_1.xlsx]Rates_Master'!$D:$D, MATCH(B37, '[CPWD_DAR_2019_Custom_Rate_Analysis_Workbook_Vol_1.xlsx]Rates_Master'!$A:$A, 0)), ""))</f>
        <v/>
      </c>
      <c r="E37" s="37" t="n"/>
      <c r="F37" s="38">
        <f>IF(B37="","", IFERROR(INDEX('[CPWD_DAR_2019_Custom_Rate_Analysis_Workbook_Vol_1.xlsx]Rates_Master'!$E:$E, MATCH(B37, '[CPWD_DAR_2019_Custom_Rate_Analysis_Workbook_Vol_1.xlsx]Rates_Master'!$A:$A, 0)), 0))</f>
        <v/>
      </c>
      <c r="G37" s="39">
        <f>IF(OR(B37="", E37=""), 0, ROUND(E37 * F37, 2))</f>
        <v/>
      </c>
      <c r="H37" s="40" t="inlineStr"/>
      <c r="I37" s="25" t="inlineStr"/>
    </row>
    <row r="38" ht="22" customHeight="1">
      <c r="A38" s="41" t="inlineStr">
        <is>
          <t>Subtotal Materials (Rs):</t>
        </is>
      </c>
      <c r="B38" s="42" t="n"/>
      <c r="C38" s="42" t="n"/>
      <c r="D38" s="42" t="n"/>
      <c r="E38" s="42" t="n"/>
      <c r="F38" s="42" t="n"/>
      <c r="G38" s="43">
        <f>SUM(G28:G37)</f>
        <v/>
      </c>
      <c r="H38" s="42" t="n"/>
      <c r="I38" s="42" t="n"/>
    </row>
    <row r="39" ht="30" customHeight="1">
      <c r="A39" s="44" t="inlineStr">
        <is>
          <t>of which "A" - imported lines already carrying statutory markups:</t>
        </is>
      </c>
      <c r="B39" s="45" t="n"/>
      <c r="C39" s="45" t="n"/>
      <c r="D39" s="45" t="n"/>
      <c r="E39" s="45" t="n"/>
      <c r="F39" s="45" t="n"/>
      <c r="G39" s="46">
        <f>ROUND(SUMIF($I$28:$I$37, "A", $G$28:$G$37), 2)</f>
        <v/>
      </c>
      <c r="H39" s="47" t="inlineStr">
        <is>
          <t>CPWD (W-A) convention: this amount is included in W and every subtotal, but is subtracted from each markup base so an already-marked-up import is not marked up twice. For Vol.2 items importing WB1 mortar or RCC rates.</t>
        </is>
      </c>
      <c r="I39" s="45" t="n"/>
    </row>
    <row r="40" ht="24" customHeight="1">
      <c r="A40" s="12" t="inlineStr">
        <is>
          <t>4. LABOUR &amp; MACHINERY COMPONENT BUILD-UP  (crew suggestions: see the work-type summary on Labour_Machinery_Productivity in WB1. Plant codes 0001-0083 already include operator, fuel and lubricants for an 8-hour shift per CPWD Note 1)</t>
        </is>
      </c>
    </row>
    <row r="41" ht="24" customHeight="1">
      <c r="A41" s="13" t="inlineStr">
        <is>
          <t>Line</t>
        </is>
      </c>
      <c r="B41" s="13" t="inlineStr">
        <is>
          <t>Code / Source</t>
        </is>
      </c>
      <c r="C41" s="13" t="inlineStr">
        <is>
          <t>Description / Specification</t>
        </is>
      </c>
      <c r="D41" s="13" t="inlineStr">
        <is>
          <t>Unit</t>
        </is>
      </c>
      <c r="E41" s="13" t="inlineStr">
        <is>
          <t>Quantity / Coeff</t>
        </is>
      </c>
      <c r="F41" s="13" t="inlineStr">
        <is>
          <t>Basic Rate (Rs)</t>
        </is>
      </c>
      <c r="G41" s="13" t="inlineStr">
        <is>
          <t>Amount (Rs)</t>
        </is>
      </c>
      <c r="H41" s="13" t="inlineStr">
        <is>
          <t>Source Reference / Remarks</t>
        </is>
      </c>
      <c r="I41" s="13" t="inlineStr">
        <is>
          <t>Markup Tag</t>
        </is>
      </c>
    </row>
    <row r="42" ht="20" customHeight="1">
      <c r="A42" s="34" t="n">
        <v>1</v>
      </c>
      <c r="B42" s="25" t="inlineStr">
        <is>
          <t>0122</t>
        </is>
      </c>
      <c r="C42" s="35">
        <f>IF(B42="","", IFERROR(INDEX('[CPWD_DAR_2019_Custom_Rate_Analysis_Workbook_Vol_1.xlsx]Rates_Master'!$C:$C, MATCH(B42, '[CPWD_DAR_2019_Custom_Rate_Analysis_Workbook_Vol_1.xlsx]Rates_Master'!$A:$A, 0)), "Custom Labour"))</f>
        <v/>
      </c>
      <c r="D42" s="36">
        <f>IF(B42="","", IFERROR(INDEX('[CPWD_DAR_2019_Custom_Rate_Analysis_Workbook_Vol_1.xlsx]Rates_Master'!$D:$D, MATCH(B42, '[CPWD_DAR_2019_Custom_Rate_Analysis_Workbook_Vol_1.xlsx]Rates_Master'!$A:$A, 0)), ""))</f>
        <v/>
      </c>
      <c r="E42" s="37" t="n">
        <v>1</v>
      </c>
      <c r="F42" s="38">
        <f>IF(B42="","", IFERROR(INDEX('[CPWD_DAR_2019_Custom_Rate_Analysis_Workbook_Vol_1.xlsx]Rates_Master'!$E:$E, MATCH(B42, '[CPWD_DAR_2019_Custom_Rate_Analysis_Workbook_Vol_1.xlsx]Rates_Master'!$A:$A, 0)), 0))</f>
        <v/>
      </c>
      <c r="G42" s="39">
        <f>IF(OR(B42="", E42=""), 0, ROUND(E42 * F42, 2))</f>
        <v/>
      </c>
      <c r="H42" s="40" t="inlineStr">
        <is>
          <t>Skilled workman / carpenter: 1.00 day per 10 sqm for laying, cutting and fitting laminate boards including skirting. DAR 26.1 benchmark.</t>
        </is>
      </c>
      <c r="I42" s="48" t="inlineStr"/>
    </row>
    <row r="43" ht="20" customHeight="1">
      <c r="A43" s="34" t="n">
        <v>2</v>
      </c>
      <c r="B43" s="25" t="inlineStr">
        <is>
          <t>0114</t>
        </is>
      </c>
      <c r="C43" s="35">
        <f>IF(B43="","", IFERROR(INDEX('[CPWD_DAR_2019_Custom_Rate_Analysis_Workbook_Vol_1.xlsx]Rates_Master'!$C:$C, MATCH(B43, '[CPWD_DAR_2019_Custom_Rate_Analysis_Workbook_Vol_1.xlsx]Rates_Master'!$A:$A, 0)), "Custom Labour"))</f>
        <v/>
      </c>
      <c r="D43" s="36">
        <f>IF(B43="","", IFERROR(INDEX('[CPWD_DAR_2019_Custom_Rate_Analysis_Workbook_Vol_1.xlsx]Rates_Master'!$D:$D, MATCH(B43, '[CPWD_DAR_2019_Custom_Rate_Analysis_Workbook_Vol_1.xlsx]Rates_Master'!$A:$A, 0)), ""))</f>
        <v/>
      </c>
      <c r="E43" s="37" t="n">
        <v>0.5</v>
      </c>
      <c r="F43" s="38">
        <f>IF(B43="","", IFERROR(INDEX('[CPWD_DAR_2019_Custom_Rate_Analysis_Workbook_Vol_1.xlsx]Rates_Master'!$E:$E, MATCH(B43, '[CPWD_DAR_2019_Custom_Rate_Analysis_Workbook_Vol_1.xlsx]Rates_Master'!$A:$A, 0)), 0))</f>
        <v/>
      </c>
      <c r="G43" s="39">
        <f>IF(OR(B43="", E43=""), 0, ROUND(E43 * F43, 2))</f>
        <v/>
      </c>
      <c r="H43" s="40" t="inlineStr">
        <is>
          <t>Beldar: 0.50 days per 10 sqm for material handling and site cleanup.</t>
        </is>
      </c>
      <c r="I43" s="48" t="inlineStr"/>
    </row>
    <row r="44" ht="20" customHeight="1">
      <c r="A44" s="34" t="n">
        <v>3</v>
      </c>
      <c r="B44" s="25" t="inlineStr"/>
      <c r="C44" s="35">
        <f>IF(B44="","", IFERROR(INDEX('[CPWD_DAR_2019_Custom_Rate_Analysis_Workbook_Vol_1.xlsx]Rates_Master'!$C:$C, MATCH(B44, '[CPWD_DAR_2019_Custom_Rate_Analysis_Workbook_Vol_1.xlsx]Rates_Master'!$A:$A, 0)), "Custom Labour"))</f>
        <v/>
      </c>
      <c r="D44" s="36">
        <f>IF(B44="","", IFERROR(INDEX('[CPWD_DAR_2019_Custom_Rate_Analysis_Workbook_Vol_1.xlsx]Rates_Master'!$D:$D, MATCH(B44, '[CPWD_DAR_2019_Custom_Rate_Analysis_Workbook_Vol_1.xlsx]Rates_Master'!$A:$A, 0)), ""))</f>
        <v/>
      </c>
      <c r="E44" s="37" t="n"/>
      <c r="F44" s="38">
        <f>IF(B44="","", IFERROR(INDEX('[CPWD_DAR_2019_Custom_Rate_Analysis_Workbook_Vol_1.xlsx]Rates_Master'!$E:$E, MATCH(B44, '[CPWD_DAR_2019_Custom_Rate_Analysis_Workbook_Vol_1.xlsx]Rates_Master'!$A:$A, 0)), 0))</f>
        <v/>
      </c>
      <c r="G44" s="39">
        <f>IF(OR(B44="", E44=""), 0, ROUND(E44 * F44, 2))</f>
        <v/>
      </c>
      <c r="H44" s="40" t="inlineStr"/>
      <c r="I44" s="48" t="inlineStr"/>
    </row>
    <row r="45" ht="20" customHeight="1">
      <c r="A45" s="34" t="n">
        <v>4</v>
      </c>
      <c r="B45" s="25" t="inlineStr"/>
      <c r="C45" s="35">
        <f>IF(B45="","", IFERROR(INDEX('[CPWD_DAR_2019_Custom_Rate_Analysis_Workbook_Vol_1.xlsx]Rates_Master'!$C:$C, MATCH(B45, '[CPWD_DAR_2019_Custom_Rate_Analysis_Workbook_Vol_1.xlsx]Rates_Master'!$A:$A, 0)), "Custom Labour"))</f>
        <v/>
      </c>
      <c r="D45" s="36">
        <f>IF(B45="","", IFERROR(INDEX('[CPWD_DAR_2019_Custom_Rate_Analysis_Workbook_Vol_1.xlsx]Rates_Master'!$D:$D, MATCH(B45, '[CPWD_DAR_2019_Custom_Rate_Analysis_Workbook_Vol_1.xlsx]Rates_Master'!$A:$A, 0)), ""))</f>
        <v/>
      </c>
      <c r="E45" s="37" t="n"/>
      <c r="F45" s="38">
        <f>IF(B45="","", IFERROR(INDEX('[CPWD_DAR_2019_Custom_Rate_Analysis_Workbook_Vol_1.xlsx]Rates_Master'!$E:$E, MATCH(B45, '[CPWD_DAR_2019_Custom_Rate_Analysis_Workbook_Vol_1.xlsx]Rates_Master'!$A:$A, 0)), 0))</f>
        <v/>
      </c>
      <c r="G45" s="39">
        <f>IF(OR(B45="", E45=""), 0, ROUND(E45 * F45, 2))</f>
        <v/>
      </c>
      <c r="H45" s="40" t="inlineStr"/>
      <c r="I45" s="48" t="inlineStr"/>
    </row>
    <row r="46" ht="20" customHeight="1">
      <c r="A46" s="34" t="n">
        <v>5</v>
      </c>
      <c r="B46" s="25" t="inlineStr"/>
      <c r="C46" s="35">
        <f>IF(B46="","", IFERROR(INDEX('[CPWD_DAR_2019_Custom_Rate_Analysis_Workbook_Vol_1.xlsx]Rates_Master'!$C:$C, MATCH(B46, '[CPWD_DAR_2019_Custom_Rate_Analysis_Workbook_Vol_1.xlsx]Rates_Master'!$A:$A, 0)), "Custom Labour"))</f>
        <v/>
      </c>
      <c r="D46" s="36">
        <f>IF(B46="","", IFERROR(INDEX('[CPWD_DAR_2019_Custom_Rate_Analysis_Workbook_Vol_1.xlsx]Rates_Master'!$D:$D, MATCH(B46, '[CPWD_DAR_2019_Custom_Rate_Analysis_Workbook_Vol_1.xlsx]Rates_Master'!$A:$A, 0)), ""))</f>
        <v/>
      </c>
      <c r="E46" s="37" t="n"/>
      <c r="F46" s="38">
        <f>IF(B46="","", IFERROR(INDEX('[CPWD_DAR_2019_Custom_Rate_Analysis_Workbook_Vol_1.xlsx]Rates_Master'!$E:$E, MATCH(B46, '[CPWD_DAR_2019_Custom_Rate_Analysis_Workbook_Vol_1.xlsx]Rates_Master'!$A:$A, 0)), 0))</f>
        <v/>
      </c>
      <c r="G46" s="39">
        <f>IF(OR(B46="", E46=""), 0, ROUND(E46 * F46, 2))</f>
        <v/>
      </c>
      <c r="H46" s="40" t="inlineStr"/>
      <c r="I46" s="48" t="inlineStr"/>
    </row>
    <row r="47" ht="20" customHeight="1">
      <c r="A47" s="34" t="n">
        <v>6</v>
      </c>
      <c r="B47" s="25" t="inlineStr"/>
      <c r="C47" s="35">
        <f>IF(B47="","", IFERROR(INDEX('[CPWD_DAR_2019_Custom_Rate_Analysis_Workbook_Vol_1.xlsx]Rates_Master'!$C:$C, MATCH(B47, '[CPWD_DAR_2019_Custom_Rate_Analysis_Workbook_Vol_1.xlsx]Rates_Master'!$A:$A, 0)), "Custom Labour"))</f>
        <v/>
      </c>
      <c r="D47" s="36">
        <f>IF(B47="","", IFERROR(INDEX('[CPWD_DAR_2019_Custom_Rate_Analysis_Workbook_Vol_1.xlsx]Rates_Master'!$D:$D, MATCH(B47, '[CPWD_DAR_2019_Custom_Rate_Analysis_Workbook_Vol_1.xlsx]Rates_Master'!$A:$A, 0)), ""))</f>
        <v/>
      </c>
      <c r="E47" s="37" t="n"/>
      <c r="F47" s="38">
        <f>IF(B47="","", IFERROR(INDEX('[CPWD_DAR_2019_Custom_Rate_Analysis_Workbook_Vol_1.xlsx]Rates_Master'!$E:$E, MATCH(B47, '[CPWD_DAR_2019_Custom_Rate_Analysis_Workbook_Vol_1.xlsx]Rates_Master'!$A:$A, 0)), 0))</f>
        <v/>
      </c>
      <c r="G47" s="39">
        <f>IF(OR(B47="", E47=""), 0, ROUND(E47 * F47, 2))</f>
        <v/>
      </c>
      <c r="H47" s="40" t="inlineStr"/>
      <c r="I47" s="48" t="inlineStr"/>
    </row>
    <row r="48" ht="20" customHeight="1">
      <c r="A48" s="34" t="n">
        <v>7</v>
      </c>
      <c r="B48" s="25" t="inlineStr"/>
      <c r="C48" s="35">
        <f>IF(B48="","", IFERROR(INDEX('[CPWD_DAR_2019_Custom_Rate_Analysis_Workbook_Vol_1.xlsx]Rates_Master'!$C:$C, MATCH(B48, '[CPWD_DAR_2019_Custom_Rate_Analysis_Workbook_Vol_1.xlsx]Rates_Master'!$A:$A, 0)), "Custom Labour"))</f>
        <v/>
      </c>
      <c r="D48" s="36">
        <f>IF(B48="","", IFERROR(INDEX('[CPWD_DAR_2019_Custom_Rate_Analysis_Workbook_Vol_1.xlsx]Rates_Master'!$D:$D, MATCH(B48, '[CPWD_DAR_2019_Custom_Rate_Analysis_Workbook_Vol_1.xlsx]Rates_Master'!$A:$A, 0)), ""))</f>
        <v/>
      </c>
      <c r="E48" s="37" t="n"/>
      <c r="F48" s="38">
        <f>IF(B48="","", IFERROR(INDEX('[CPWD_DAR_2019_Custom_Rate_Analysis_Workbook_Vol_1.xlsx]Rates_Master'!$E:$E, MATCH(B48, '[CPWD_DAR_2019_Custom_Rate_Analysis_Workbook_Vol_1.xlsx]Rates_Master'!$A:$A, 0)), 0))</f>
        <v/>
      </c>
      <c r="G48" s="39">
        <f>IF(OR(B48="", E48=""), 0, ROUND(E48 * F48, 2))</f>
        <v/>
      </c>
      <c r="H48" s="40" t="inlineStr"/>
      <c r="I48" s="48" t="inlineStr"/>
    </row>
    <row r="49" ht="20" customHeight="1">
      <c r="A49" s="34" t="n">
        <v>8</v>
      </c>
      <c r="B49" s="25" t="inlineStr"/>
      <c r="C49" s="35">
        <f>IF(B49="","", IFERROR(INDEX('[CPWD_DAR_2019_Custom_Rate_Analysis_Workbook_Vol_1.xlsx]Rates_Master'!$C:$C, MATCH(B49, '[CPWD_DAR_2019_Custom_Rate_Analysis_Workbook_Vol_1.xlsx]Rates_Master'!$A:$A, 0)), "Custom Labour"))</f>
        <v/>
      </c>
      <c r="D49" s="36">
        <f>IF(B49="","", IFERROR(INDEX('[CPWD_DAR_2019_Custom_Rate_Analysis_Workbook_Vol_1.xlsx]Rates_Master'!$D:$D, MATCH(B49, '[CPWD_DAR_2019_Custom_Rate_Analysis_Workbook_Vol_1.xlsx]Rates_Master'!$A:$A, 0)), ""))</f>
        <v/>
      </c>
      <c r="E49" s="37" t="n"/>
      <c r="F49" s="38">
        <f>IF(B49="","", IFERROR(INDEX('[CPWD_DAR_2019_Custom_Rate_Analysis_Workbook_Vol_1.xlsx]Rates_Master'!$E:$E, MATCH(B49, '[CPWD_DAR_2019_Custom_Rate_Analysis_Workbook_Vol_1.xlsx]Rates_Master'!$A:$A, 0)), 0))</f>
        <v/>
      </c>
      <c r="G49" s="39">
        <f>IF(OR(B49="", E49=""), 0, ROUND(E49 * F49, 2))</f>
        <v/>
      </c>
      <c r="H49" s="40" t="inlineStr"/>
      <c r="I49" s="48" t="inlineStr"/>
    </row>
    <row r="50" ht="20" customHeight="1">
      <c r="A50" s="34" t="n">
        <v>9</v>
      </c>
      <c r="B50" s="25" t="inlineStr"/>
      <c r="C50" s="35">
        <f>IF(B50="","", IFERROR(INDEX('[CPWD_DAR_2019_Custom_Rate_Analysis_Workbook_Vol_1.xlsx]Rates_Master'!$C:$C, MATCH(B50, '[CPWD_DAR_2019_Custom_Rate_Analysis_Workbook_Vol_1.xlsx]Rates_Master'!$A:$A, 0)), "Custom Labour"))</f>
        <v/>
      </c>
      <c r="D50" s="36">
        <f>IF(B50="","", IFERROR(INDEX('[CPWD_DAR_2019_Custom_Rate_Analysis_Workbook_Vol_1.xlsx]Rates_Master'!$D:$D, MATCH(B50, '[CPWD_DAR_2019_Custom_Rate_Analysis_Workbook_Vol_1.xlsx]Rates_Master'!$A:$A, 0)), ""))</f>
        <v/>
      </c>
      <c r="E50" s="37" t="n"/>
      <c r="F50" s="38">
        <f>IF(B50="","", IFERROR(INDEX('[CPWD_DAR_2019_Custom_Rate_Analysis_Workbook_Vol_1.xlsx]Rates_Master'!$E:$E, MATCH(B50, '[CPWD_DAR_2019_Custom_Rate_Analysis_Workbook_Vol_1.xlsx]Rates_Master'!$A:$A, 0)), 0))</f>
        <v/>
      </c>
      <c r="G50" s="39">
        <f>IF(OR(B50="", E50=""), 0, ROUND(E50 * F50, 2))</f>
        <v/>
      </c>
      <c r="H50" s="40" t="inlineStr"/>
      <c r="I50" s="48" t="inlineStr"/>
    </row>
    <row r="51" ht="20" customHeight="1">
      <c r="A51" s="34" t="n">
        <v>10</v>
      </c>
      <c r="B51" s="25" t="inlineStr"/>
      <c r="C51" s="35">
        <f>IF(B51="","", IFERROR(INDEX('[CPWD_DAR_2019_Custom_Rate_Analysis_Workbook_Vol_1.xlsx]Rates_Master'!$C:$C, MATCH(B51, '[CPWD_DAR_2019_Custom_Rate_Analysis_Workbook_Vol_1.xlsx]Rates_Master'!$A:$A, 0)), "Custom Labour"))</f>
        <v/>
      </c>
      <c r="D51" s="36">
        <f>IF(B51="","", IFERROR(INDEX('[CPWD_DAR_2019_Custom_Rate_Analysis_Workbook_Vol_1.xlsx]Rates_Master'!$D:$D, MATCH(B51, '[CPWD_DAR_2019_Custom_Rate_Analysis_Workbook_Vol_1.xlsx]Rates_Master'!$A:$A, 0)), ""))</f>
        <v/>
      </c>
      <c r="E51" s="37" t="n"/>
      <c r="F51" s="38">
        <f>IF(B51="","", IFERROR(INDEX('[CPWD_DAR_2019_Custom_Rate_Analysis_Workbook_Vol_1.xlsx]Rates_Master'!$E:$E, MATCH(B51, '[CPWD_DAR_2019_Custom_Rate_Analysis_Workbook_Vol_1.xlsx]Rates_Master'!$A:$A, 0)), 0))</f>
        <v/>
      </c>
      <c r="G51" s="39">
        <f>IF(OR(B51="", E51=""), 0, ROUND(E51 * F51, 2))</f>
        <v/>
      </c>
      <c r="H51" s="40" t="inlineStr"/>
      <c r="I51" s="48" t="inlineStr"/>
    </row>
    <row r="52" ht="22" customHeight="1">
      <c r="A52" s="41" t="inlineStr">
        <is>
          <t>Subtotal Labour &amp; Plant Hire (Rs):</t>
        </is>
      </c>
      <c r="B52" s="42" t="n"/>
      <c r="C52" s="42" t="n"/>
      <c r="D52" s="42" t="n"/>
      <c r="E52" s="42" t="n"/>
      <c r="F52" s="42" t="n"/>
      <c r="G52" s="43">
        <f>SUM(G42:G51)</f>
        <v/>
      </c>
      <c r="H52" s="42" t="n"/>
      <c r="I52" s="42" t="n"/>
    </row>
    <row r="53" ht="24" customHeight="1">
      <c r="A53" s="12" t="inlineStr">
        <is>
          <t>4b. MACHINERY &amp; PLANT HIRE  (plant codes 0001-0083 include operator + fuel + lubricants per CPWD Note 1; specialist rigs priced at hire-invoice rate — enter as custom_rate)</t>
        </is>
      </c>
    </row>
    <row r="54" ht="24" customHeight="1">
      <c r="A54" s="13" t="inlineStr">
        <is>
          <t>Line</t>
        </is>
      </c>
      <c r="B54" s="13" t="inlineStr">
        <is>
          <t>Code / Source</t>
        </is>
      </c>
      <c r="C54" s="13" t="inlineStr">
        <is>
          <t>Description / Specification</t>
        </is>
      </c>
      <c r="D54" s="13" t="inlineStr">
        <is>
          <t>Unit</t>
        </is>
      </c>
      <c r="E54" s="13" t="inlineStr">
        <is>
          <t>Quantity / Coeff</t>
        </is>
      </c>
      <c r="F54" s="13" t="inlineStr">
        <is>
          <t>Basic Rate (Rs)</t>
        </is>
      </c>
      <c r="G54" s="13" t="inlineStr">
        <is>
          <t>Amount (Rs)</t>
        </is>
      </c>
      <c r="H54" s="13" t="inlineStr">
        <is>
          <t>Source Reference / Remarks</t>
        </is>
      </c>
      <c r="I54" s="13" t="inlineStr">
        <is>
          <t>Markup Tag</t>
        </is>
      </c>
    </row>
    <row r="55" ht="20" customHeight="1">
      <c r="A55" s="34" t="n">
        <v>1</v>
      </c>
      <c r="B55" s="25" t="inlineStr"/>
      <c r="C55" s="35">
        <f>IF(B55="","", IFERROR(INDEX('[CPWD_DAR_2019_Custom_Rate_Analysis_Workbook_Vol_1.xlsx]Rates_Master'!$C:$C, MATCH(B55, '[CPWD_DAR_2019_Custom_Rate_Analysis_Workbook_Vol_1.xlsx]Rates_Master'!$A:$A, 0)), "Custom Plant / Machinery"))</f>
        <v/>
      </c>
      <c r="D55" s="36">
        <f>IF(B55="","", IFERROR(INDEX('[CPWD_DAR_2019_Custom_Rate_Analysis_Workbook_Vol_1.xlsx]Rates_Master'!$D:$D, MATCH(B55, '[CPWD_DAR_2019_Custom_Rate_Analysis_Workbook_Vol_1.xlsx]Rates_Master'!$A:$A, 0)), ""))</f>
        <v/>
      </c>
      <c r="E55" s="37" t="n"/>
      <c r="F55" s="38">
        <f>IF(B55="","", IFERROR(INDEX('[CPWD_DAR_2019_Custom_Rate_Analysis_Workbook_Vol_1.xlsx]Rates_Master'!$E:$E, MATCH(B55, '[CPWD_DAR_2019_Custom_Rate_Analysis_Workbook_Vol_1.xlsx]Rates_Master'!$A:$A, 0)), 0))</f>
        <v/>
      </c>
      <c r="G55" s="39">
        <f>IF(OR(B55="", E55=""), 0, ROUND(E55 * F55, 2))</f>
        <v/>
      </c>
      <c r="H55" s="40" t="inlineStr"/>
      <c r="I55" s="48" t="inlineStr"/>
    </row>
    <row r="56" ht="20" customHeight="1">
      <c r="A56" s="34" t="n">
        <v>2</v>
      </c>
      <c r="B56" s="25" t="inlineStr"/>
      <c r="C56" s="35">
        <f>IF(B56="","", IFERROR(INDEX('[CPWD_DAR_2019_Custom_Rate_Analysis_Workbook_Vol_1.xlsx]Rates_Master'!$C:$C, MATCH(B56, '[CPWD_DAR_2019_Custom_Rate_Analysis_Workbook_Vol_1.xlsx]Rates_Master'!$A:$A, 0)), "Custom Plant / Machinery"))</f>
        <v/>
      </c>
      <c r="D56" s="36">
        <f>IF(B56="","", IFERROR(INDEX('[CPWD_DAR_2019_Custom_Rate_Analysis_Workbook_Vol_1.xlsx]Rates_Master'!$D:$D, MATCH(B56, '[CPWD_DAR_2019_Custom_Rate_Analysis_Workbook_Vol_1.xlsx]Rates_Master'!$A:$A, 0)), ""))</f>
        <v/>
      </c>
      <c r="E56" s="37" t="n"/>
      <c r="F56" s="38">
        <f>IF(B56="","", IFERROR(INDEX('[CPWD_DAR_2019_Custom_Rate_Analysis_Workbook_Vol_1.xlsx]Rates_Master'!$E:$E, MATCH(B56, '[CPWD_DAR_2019_Custom_Rate_Analysis_Workbook_Vol_1.xlsx]Rates_Master'!$A:$A, 0)), 0))</f>
        <v/>
      </c>
      <c r="G56" s="39">
        <f>IF(OR(B56="", E56=""), 0, ROUND(E56 * F56, 2))</f>
        <v/>
      </c>
      <c r="H56" s="40" t="inlineStr"/>
      <c r="I56" s="48" t="inlineStr"/>
    </row>
    <row r="57" ht="20" customHeight="1">
      <c r="A57" s="34" t="n">
        <v>3</v>
      </c>
      <c r="B57" s="25" t="inlineStr"/>
      <c r="C57" s="35">
        <f>IF(B57="","", IFERROR(INDEX('[CPWD_DAR_2019_Custom_Rate_Analysis_Workbook_Vol_1.xlsx]Rates_Master'!$C:$C, MATCH(B57, '[CPWD_DAR_2019_Custom_Rate_Analysis_Workbook_Vol_1.xlsx]Rates_Master'!$A:$A, 0)), "Custom Plant / Machinery"))</f>
        <v/>
      </c>
      <c r="D57" s="36">
        <f>IF(B57="","", IFERROR(INDEX('[CPWD_DAR_2019_Custom_Rate_Analysis_Workbook_Vol_1.xlsx]Rates_Master'!$D:$D, MATCH(B57, '[CPWD_DAR_2019_Custom_Rate_Analysis_Workbook_Vol_1.xlsx]Rates_Master'!$A:$A, 0)), ""))</f>
        <v/>
      </c>
      <c r="E57" s="37" t="n"/>
      <c r="F57" s="38">
        <f>IF(B57="","", IFERROR(INDEX('[CPWD_DAR_2019_Custom_Rate_Analysis_Workbook_Vol_1.xlsx]Rates_Master'!$E:$E, MATCH(B57, '[CPWD_DAR_2019_Custom_Rate_Analysis_Workbook_Vol_1.xlsx]Rates_Master'!$A:$A, 0)), 0))</f>
        <v/>
      </c>
      <c r="G57" s="39">
        <f>IF(OR(B57="", E57=""), 0, ROUND(E57 * F57, 2))</f>
        <v/>
      </c>
      <c r="H57" s="40" t="inlineStr"/>
      <c r="I57" s="48" t="inlineStr"/>
    </row>
    <row r="58" ht="20" customHeight="1">
      <c r="A58" s="34" t="n">
        <v>4</v>
      </c>
      <c r="B58" s="25" t="inlineStr"/>
      <c r="C58" s="35">
        <f>IF(B58="","", IFERROR(INDEX('[CPWD_DAR_2019_Custom_Rate_Analysis_Workbook_Vol_1.xlsx]Rates_Master'!$C:$C, MATCH(B58, '[CPWD_DAR_2019_Custom_Rate_Analysis_Workbook_Vol_1.xlsx]Rates_Master'!$A:$A, 0)), "Custom Plant / Machinery"))</f>
        <v/>
      </c>
      <c r="D58" s="36">
        <f>IF(B58="","", IFERROR(INDEX('[CPWD_DAR_2019_Custom_Rate_Analysis_Workbook_Vol_1.xlsx]Rates_Master'!$D:$D, MATCH(B58, '[CPWD_DAR_2019_Custom_Rate_Analysis_Workbook_Vol_1.xlsx]Rates_Master'!$A:$A, 0)), ""))</f>
        <v/>
      </c>
      <c r="E58" s="37" t="n"/>
      <c r="F58" s="38">
        <f>IF(B58="","", IFERROR(INDEX('[CPWD_DAR_2019_Custom_Rate_Analysis_Workbook_Vol_1.xlsx]Rates_Master'!$E:$E, MATCH(B58, '[CPWD_DAR_2019_Custom_Rate_Analysis_Workbook_Vol_1.xlsx]Rates_Master'!$A:$A, 0)), 0))</f>
        <v/>
      </c>
      <c r="G58" s="39">
        <f>IF(OR(B58="", E58=""), 0, ROUND(E58 * F58, 2))</f>
        <v/>
      </c>
      <c r="H58" s="40" t="inlineStr"/>
      <c r="I58" s="48" t="inlineStr"/>
    </row>
    <row r="59" ht="20" customHeight="1">
      <c r="A59" s="34" t="n">
        <v>5</v>
      </c>
      <c r="B59" s="25" t="inlineStr"/>
      <c r="C59" s="35">
        <f>IF(B59="","", IFERROR(INDEX('[CPWD_DAR_2019_Custom_Rate_Analysis_Workbook_Vol_1.xlsx]Rates_Master'!$C:$C, MATCH(B59, '[CPWD_DAR_2019_Custom_Rate_Analysis_Workbook_Vol_1.xlsx]Rates_Master'!$A:$A, 0)), "Custom Plant / Machinery"))</f>
        <v/>
      </c>
      <c r="D59" s="36">
        <f>IF(B59="","", IFERROR(INDEX('[CPWD_DAR_2019_Custom_Rate_Analysis_Workbook_Vol_1.xlsx]Rates_Master'!$D:$D, MATCH(B59, '[CPWD_DAR_2019_Custom_Rate_Analysis_Workbook_Vol_1.xlsx]Rates_Master'!$A:$A, 0)), ""))</f>
        <v/>
      </c>
      <c r="E59" s="37" t="n"/>
      <c r="F59" s="38">
        <f>IF(B59="","", IFERROR(INDEX('[CPWD_DAR_2019_Custom_Rate_Analysis_Workbook_Vol_1.xlsx]Rates_Master'!$E:$E, MATCH(B59, '[CPWD_DAR_2019_Custom_Rate_Analysis_Workbook_Vol_1.xlsx]Rates_Master'!$A:$A, 0)), 0))</f>
        <v/>
      </c>
      <c r="G59" s="39">
        <f>IF(OR(B59="", E59=""), 0, ROUND(E59 * F59, 2))</f>
        <v/>
      </c>
      <c r="H59" s="40" t="inlineStr"/>
      <c r="I59" s="48" t="inlineStr"/>
    </row>
    <row r="60" ht="20" customHeight="1">
      <c r="A60" s="34" t="n">
        <v>6</v>
      </c>
      <c r="B60" s="25" t="inlineStr"/>
      <c r="C60" s="35">
        <f>IF(B60="","", IFERROR(INDEX('[CPWD_DAR_2019_Custom_Rate_Analysis_Workbook_Vol_1.xlsx]Rates_Master'!$C:$C, MATCH(B60, '[CPWD_DAR_2019_Custom_Rate_Analysis_Workbook_Vol_1.xlsx]Rates_Master'!$A:$A, 0)), "Custom Plant / Machinery"))</f>
        <v/>
      </c>
      <c r="D60" s="36">
        <f>IF(B60="","", IFERROR(INDEX('[CPWD_DAR_2019_Custom_Rate_Analysis_Workbook_Vol_1.xlsx]Rates_Master'!$D:$D, MATCH(B60, '[CPWD_DAR_2019_Custom_Rate_Analysis_Workbook_Vol_1.xlsx]Rates_Master'!$A:$A, 0)), ""))</f>
        <v/>
      </c>
      <c r="E60" s="37" t="n"/>
      <c r="F60" s="38">
        <f>IF(B60="","", IFERROR(INDEX('[CPWD_DAR_2019_Custom_Rate_Analysis_Workbook_Vol_1.xlsx]Rates_Master'!$E:$E, MATCH(B60, '[CPWD_DAR_2019_Custom_Rate_Analysis_Workbook_Vol_1.xlsx]Rates_Master'!$A:$A, 0)), 0))</f>
        <v/>
      </c>
      <c r="G60" s="39">
        <f>IF(OR(B60="", E60=""), 0, ROUND(E60 * F60, 2))</f>
        <v/>
      </c>
      <c r="H60" s="40" t="inlineStr"/>
      <c r="I60" s="48" t="inlineStr"/>
    </row>
    <row r="61" ht="22" customHeight="1">
      <c r="A61" s="41" t="inlineStr">
        <is>
          <t>Subtotal Machinery &amp; Plant (Rs):</t>
        </is>
      </c>
      <c r="B61" s="42" t="n"/>
      <c r="C61" s="42" t="n"/>
      <c r="D61" s="42" t="n"/>
      <c r="E61" s="42" t="n"/>
      <c r="F61" s="42" t="n"/>
      <c r="G61" s="43">
        <f>SUM(G55:G60)</f>
        <v/>
      </c>
      <c r="H61" s="42" t="n"/>
      <c r="I61" s="42" t="n"/>
    </row>
    <row r="62" ht="24" customHeight="1">
      <c r="A62" s="12" t="inlineStr">
        <is>
          <t>5. SUNDRIES &amp; LUMP-SUM ALLOWANCES  (manual entry — the DAR gives no reproducible formula; use Sundries_Reference in WB1 to find a comparable item)</t>
        </is>
      </c>
    </row>
    <row r="63" ht="22" customHeight="1">
      <c r="A63" s="34" t="inlineStr">
        <is>
          <t>1</t>
        </is>
      </c>
      <c r="B63" s="33" t="inlineStr">
        <is>
          <t>9999</t>
        </is>
      </c>
      <c r="C63" s="20" t="inlineStr">
        <is>
          <t>Sundries (guided by Sundries_Reference sheet in WB1)</t>
        </is>
      </c>
      <c r="D63" s="34" t="inlineStr">
        <is>
          <t>L.S.</t>
        </is>
      </c>
      <c r="E63" s="49" t="n">
        <v>0</v>
      </c>
      <c r="F63" s="50">
        <f>Factor_Sundries</f>
        <v/>
      </c>
      <c r="G63" s="51">
        <f>ROUND(E63 * F63, 2)</f>
        <v/>
      </c>
      <c r="H63" s="22" t="inlineStr">
        <is>
          <t>Base L.S. allowance × Cost Index Multiplier (from WB1 Global_Factors via Factor_Sundries named range)</t>
        </is>
      </c>
      <c r="I63" s="20" t="n"/>
    </row>
    <row r="64"/>
    <row r="65" ht="24" customHeight="1">
      <c r="A65" s="12" t="inlineStr">
        <is>
          <t>6. STATUTORY MARKUPS &amp; FINAL RATE DERIVATION (CPWD DAR METHOD, WITH THE (W-A) EXCLUSION)</t>
        </is>
      </c>
    </row>
    <row r="66" ht="24" customHeight="1">
      <c r="A66" s="13" t="inlineStr">
        <is>
          <t>Step</t>
        </is>
      </c>
      <c r="B66" s="13" t="inlineStr">
        <is>
          <t>Component / Markup Description</t>
        </is>
      </c>
      <c r="C66" s="13" t="inlineStr">
        <is>
          <t>Apply? (YES/NO)</t>
        </is>
      </c>
      <c r="D66" s="13" t="inlineStr">
        <is>
          <t>Basis Applied</t>
        </is>
      </c>
      <c r="E66" s="13" t="inlineStr">
        <is>
          <t>Base Amount (Rs)</t>
        </is>
      </c>
      <c r="F66" s="13" t="inlineStr">
        <is>
          <t>Factor / %</t>
        </is>
      </c>
      <c r="G66" s="13" t="inlineStr">
        <is>
          <t>Amount (Rs)</t>
        </is>
      </c>
      <c r="H66" s="13" t="inlineStr">
        <is>
          <t>CPWD Statutory Rule &amp; Guidance Note</t>
        </is>
      </c>
      <c r="I66" s="13" t="inlineStr">
        <is>
          <t>A-Rule</t>
        </is>
      </c>
    </row>
    <row r="67" ht="24" customHeight="1">
      <c r="A67" s="21" t="inlineStr">
        <is>
          <t>W</t>
        </is>
      </c>
      <c r="B67" s="52" t="inlineStr">
        <is>
          <t>Base Direct Production Cost (Materials + Labour + Sundries)</t>
        </is>
      </c>
      <c r="C67" s="53" t="inlineStr">
        <is>
          <t>-</t>
        </is>
      </c>
      <c r="D67" s="53" t="inlineStr">
        <is>
          <t>Direct Sum</t>
        </is>
      </c>
      <c r="E67" s="54" t="inlineStr">
        <is>
          <t>-</t>
        </is>
      </c>
      <c r="F67" s="54" t="inlineStr">
        <is>
          <t>-</t>
        </is>
      </c>
      <c r="G67" s="46">
        <f>G38 + G52 + G61 + G63</f>
        <v/>
      </c>
      <c r="H67" s="47" t="inlineStr">
        <is>
          <t>Total direct cost of production (W); A-tagged imports included, exactly as the book totals it.</t>
        </is>
      </c>
      <c r="I67" s="55" t="inlineStr">
        <is>
          <t>includes A</t>
        </is>
      </c>
    </row>
    <row r="68" ht="24" customHeight="1">
      <c r="A68" s="33" t="inlineStr">
        <is>
          <t>X1</t>
        </is>
      </c>
      <c r="B68" s="56" t="inlineStr">
        <is>
          <t>Add Water Charges</t>
        </is>
      </c>
      <c r="C68" s="25" t="inlineStr">
        <is>
          <t>YES</t>
        </is>
      </c>
      <c r="D68" s="34" t="inlineStr">
        <is>
          <t>On (W - A)</t>
        </is>
      </c>
      <c r="E68" s="57">
        <f>G67 - G39</f>
        <v/>
      </c>
      <c r="F68" s="58">
        <f>Factor_Water</f>
        <v/>
      </c>
      <c r="G68" s="51">
        <f>IF(C68="YES", ROUND(E68 * F68, 2), 0)</f>
        <v/>
      </c>
      <c r="H68" s="19" t="inlineStr">
        <is>
          <t>CPWD Standard: 1% for curing &amp; site water. Toggle NO if dry item.</t>
        </is>
      </c>
      <c r="I68" s="18" t="inlineStr">
        <is>
          <t>net of A</t>
        </is>
      </c>
    </row>
    <row r="69" ht="24" customHeight="1">
      <c r="A69" s="21" t="inlineStr">
        <is>
          <t>X</t>
        </is>
      </c>
      <c r="B69" s="52" t="inlineStr">
        <is>
          <t>Subtotal "X" (W + Water Charges)</t>
        </is>
      </c>
      <c r="C69" s="53" t="inlineStr">
        <is>
          <t>-</t>
        </is>
      </c>
      <c r="D69" s="53" t="inlineStr">
        <is>
          <t>W + Water</t>
        </is>
      </c>
      <c r="E69" s="54" t="inlineStr">
        <is>
          <t>-</t>
        </is>
      </c>
      <c r="F69" s="54" t="inlineStr">
        <is>
          <t>-</t>
        </is>
      </c>
      <c r="G69" s="46">
        <f>G67 + G68</f>
        <v/>
      </c>
      <c r="H69" s="47" t="inlineStr">
        <is>
          <t>Compounded base for GST calculation.</t>
        </is>
      </c>
      <c r="I69" s="55" t="inlineStr">
        <is>
          <t>includes A</t>
        </is>
      </c>
    </row>
    <row r="70" ht="24" customHeight="1">
      <c r="A70" s="33" t="inlineStr">
        <is>
          <t>Y1</t>
        </is>
      </c>
      <c r="B70" s="56" t="inlineStr">
        <is>
          <t>Add GST on Works Contract</t>
        </is>
      </c>
      <c r="C70" s="25" t="inlineStr">
        <is>
          <t>YES</t>
        </is>
      </c>
      <c r="D70" s="34" t="inlineStr">
        <is>
          <t>On (X - A)</t>
        </is>
      </c>
      <c r="E70" s="57">
        <f>G69 - G39</f>
        <v/>
      </c>
      <c r="F70" s="58">
        <f>Factor_GST</f>
        <v/>
      </c>
      <c r="G70" s="51">
        <f>IF(C70="YES", ROUND(E70 * F70, 2), 0)</f>
        <v/>
      </c>
      <c r="H70" s="19" t="inlineStr">
        <is>
          <t>CPWD DAR 2019 factor 0.1405 (works contract). Toggle NO if tax exempt.</t>
        </is>
      </c>
      <c r="I70" s="18" t="inlineStr">
        <is>
          <t>net of A</t>
        </is>
      </c>
    </row>
    <row r="71" ht="24" customHeight="1">
      <c r="A71" s="21" t="inlineStr">
        <is>
          <t>Y</t>
        </is>
      </c>
      <c r="B71" s="52" t="inlineStr">
        <is>
          <t>Subtotal "Y" (X + GST)</t>
        </is>
      </c>
      <c r="C71" s="53" t="inlineStr">
        <is>
          <t>-</t>
        </is>
      </c>
      <c r="D71" s="53" t="inlineStr">
        <is>
          <t>X + GST</t>
        </is>
      </c>
      <c r="E71" s="54" t="inlineStr">
        <is>
          <t>-</t>
        </is>
      </c>
      <c r="F71" s="54" t="inlineStr">
        <is>
          <t>-</t>
        </is>
      </c>
      <c r="G71" s="46">
        <f>G69 + G70</f>
        <v/>
      </c>
      <c r="H71" s="47" t="inlineStr">
        <is>
          <t>Compounded base for Contractor Profit &amp; Overheads.</t>
        </is>
      </c>
      <c r="I71" s="55" t="inlineStr">
        <is>
          <t>includes A</t>
        </is>
      </c>
    </row>
    <row r="72" ht="24" customHeight="1">
      <c r="A72" s="33" t="inlineStr">
        <is>
          <t>Z1</t>
        </is>
      </c>
      <c r="B72" s="56" t="inlineStr">
        <is>
          <t>Add Contractor Profit &amp; Overheads (15% CPOH)</t>
        </is>
      </c>
      <c r="C72" s="25" t="inlineStr">
        <is>
          <t>YES</t>
        </is>
      </c>
      <c r="D72" s="34" t="inlineStr">
        <is>
          <t>On (Y - A)</t>
        </is>
      </c>
      <c r="E72" s="57">
        <f>G71 - G39</f>
        <v/>
      </c>
      <c r="F72" s="58">
        <f>Factor_CPOH</f>
        <v/>
      </c>
      <c r="G72" s="51">
        <f>IF(C72="YES", ROUND(E72 * F72, 2), 0)</f>
        <v/>
      </c>
      <c r="H72" s="19" t="inlineStr">
        <is>
          <t>Standard CPWD 15% allowance for site overheads, head-office costs &amp; margin.</t>
        </is>
      </c>
      <c r="I72" s="18" t="inlineStr">
        <is>
          <t>net of A</t>
        </is>
      </c>
    </row>
    <row r="73" ht="24" customHeight="1">
      <c r="A73" s="21" t="inlineStr">
        <is>
          <t>Z</t>
        </is>
      </c>
      <c r="B73" s="52" t="inlineStr">
        <is>
          <t>Subtotal "Z" (Y + CPOH)</t>
        </is>
      </c>
      <c r="C73" s="53" t="inlineStr">
        <is>
          <t>-</t>
        </is>
      </c>
      <c r="D73" s="53" t="inlineStr">
        <is>
          <t>Y + CPOH</t>
        </is>
      </c>
      <c r="E73" s="54" t="inlineStr">
        <is>
          <t>-</t>
        </is>
      </c>
      <c r="F73" s="54" t="inlineStr">
        <is>
          <t>-</t>
        </is>
      </c>
      <c r="G73" s="46">
        <f>G71 + G72</f>
        <v/>
      </c>
      <c r="H73" s="47" t="inlineStr">
        <is>
          <t>Compounded base for Labour Welfare Cess.</t>
        </is>
      </c>
      <c r="I73" s="55" t="inlineStr">
        <is>
          <t>includes A</t>
        </is>
      </c>
    </row>
    <row r="74" ht="24" customHeight="1">
      <c r="A74" s="33" t="inlineStr">
        <is>
          <t>Z2</t>
        </is>
      </c>
      <c r="B74" s="56" t="inlineStr">
        <is>
          <t>Add Labour Welfare Cess (1% BOCW Cess)</t>
        </is>
      </c>
      <c r="C74" s="25" t="inlineStr">
        <is>
          <t>YES</t>
        </is>
      </c>
      <c r="D74" s="34" t="inlineStr">
        <is>
          <t>On (Z - A)</t>
        </is>
      </c>
      <c r="E74" s="57">
        <f>G73 - G39</f>
        <v/>
      </c>
      <c r="F74" s="58">
        <f>Factor_Cess</f>
        <v/>
      </c>
      <c r="G74" s="51">
        <f>IF(C74="YES", ROUND(E74 * F74, 2), 0)</f>
        <v/>
      </c>
      <c r="H74" s="19" t="inlineStr">
        <is>
          <t>Statutory 1% Building and Other Construction Workers Welfare Cess.</t>
        </is>
      </c>
      <c r="I74" s="18" t="inlineStr">
        <is>
          <t>net of A</t>
        </is>
      </c>
    </row>
    <row r="75" ht="24" customHeight="1">
      <c r="A75" s="8" t="inlineStr">
        <is>
          <t>Cost</t>
        </is>
      </c>
      <c r="B75" s="59">
        <f>"Total Cost of Batch (" &amp; TEXT(D16, "0.00") &amp; " " &amp; F16 &amp; "):"</f>
        <v/>
      </c>
      <c r="C75" s="60" t="inlineStr">
        <is>
          <t>-</t>
        </is>
      </c>
      <c r="D75" s="60" t="inlineStr">
        <is>
          <t>Z + Cess</t>
        </is>
      </c>
      <c r="E75" s="61" t="inlineStr">
        <is>
          <t>-</t>
        </is>
      </c>
      <c r="F75" s="61" t="inlineStr">
        <is>
          <t>-</t>
        </is>
      </c>
      <c r="G75" s="62">
        <f>G73 + G74</f>
        <v/>
      </c>
      <c r="H75" s="63" t="inlineStr">
        <is>
          <t>Total evaluated cost for the batch size in the Panel 1 header row.</t>
        </is>
      </c>
      <c r="I75" s="64" t="inlineStr">
        <is>
          <t>-</t>
        </is>
      </c>
    </row>
    <row r="76" ht="24" customHeight="1">
      <c r="A76" s="21" t="inlineStr">
        <is>
          <t>Rate</t>
        </is>
      </c>
      <c r="B76" s="52">
        <f>"Analyzed Unit Rate per 1.00 " &amp; F16 &amp; ":"</f>
        <v/>
      </c>
      <c r="C76" s="53" t="inlineStr">
        <is>
          <t>-</t>
        </is>
      </c>
      <c r="D76" s="53" t="inlineStr">
        <is>
          <t>Cost / Batch Qty</t>
        </is>
      </c>
      <c r="E76" s="54" t="inlineStr">
        <is>
          <t>-</t>
        </is>
      </c>
      <c r="F76" s="54" t="inlineStr">
        <is>
          <t>-</t>
        </is>
      </c>
      <c r="G76" s="46">
        <f>ROUND(G75 / D16, 2)</f>
        <v/>
      </c>
      <c r="H76" s="47" t="inlineStr">
        <is>
          <t>Calculated cost per standard unit of measurement.</t>
        </is>
      </c>
      <c r="I76" s="55" t="inlineStr">
        <is>
          <t>-</t>
        </is>
      </c>
    </row>
    <row r="77" ht="30" customHeight="1">
      <c r="A77" s="9" t="inlineStr">
        <is>
          <t>SAY</t>
        </is>
      </c>
      <c r="B77" s="65">
        <f>"OFFICIAL SAY RATE (Rs per " &amp; F16 &amp; "):"</f>
        <v/>
      </c>
      <c r="C77" s="66" t="inlineStr">
        <is>
          <t>-</t>
        </is>
      </c>
      <c r="D77" s="66" t="inlineStr">
        <is>
          <t>MROUND to Rs 0.05</t>
        </is>
      </c>
      <c r="E77" s="67" t="inlineStr">
        <is>
          <t>-</t>
        </is>
      </c>
      <c r="F77" s="67" t="inlineStr">
        <is>
          <t>-</t>
        </is>
      </c>
      <c r="G77" s="68">
        <f>MROUND(G76, 0.05)</f>
        <v/>
      </c>
      <c r="H77" s="69" t="inlineStr">
        <is>
          <t>OFFICIAL CPWD ROUNDED RATE FOR TENDER SCHEDULES &amp; ESTIMATES. CPWD quotes Say rates to the nearest 5 paise — see the note directly below this row.</t>
        </is>
      </c>
      <c r="I77" s="70" t="inlineStr">
        <is>
          <t>-</t>
        </is>
      </c>
    </row>
    <row r="78" ht="44" customHeight="1">
      <c r="A78" s="2"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8" s="20" t="n"/>
      <c r="C78" s="20" t="n"/>
      <c r="D78" s="20" t="n"/>
      <c r="E78" s="20" t="n"/>
      <c r="F78" s="20" t="n"/>
      <c r="G78" s="20" t="n"/>
      <c r="H78" s="20" t="n"/>
      <c r="I78" s="20" t="n"/>
    </row>
    <row r="79"/>
    <row r="80" ht="24" customHeight="1">
      <c r="A80" s="12" t="inlineStr">
        <is>
          <t>7. RUNNING CUSTOM NON-DSR ITEMS LIBRARY FOR THIS TRADE</t>
        </is>
      </c>
    </row>
    <row r="81" ht="20" customHeight="1">
      <c r="A81" s="71" t="inlineStr">
        <is>
          <t>Log all completed custom rate analyses for this trade below. Items logged here maintain an internal project audit trail and can be referenced from other builder sheets.</t>
        </is>
      </c>
    </row>
    <row r="82" ht="24" customHeight="1">
      <c r="A82" s="13" t="inlineStr">
        <is>
          <t>Item Code</t>
        </is>
      </c>
      <c r="B82" s="13" t="inlineStr">
        <is>
          <t>Item Nomenclature / Specification</t>
        </is>
      </c>
      <c r="C82" s="13" t="inlineStr">
        <is>
          <t>Unit</t>
        </is>
      </c>
      <c r="D82" s="13" t="inlineStr">
        <is>
          <t>Output Basis</t>
        </is>
      </c>
      <c r="E82" s="13" t="inlineStr">
        <is>
          <t>Direct Cost W (Rs)</t>
        </is>
      </c>
      <c r="F82" s="13" t="inlineStr">
        <is>
          <t>Markups Applied</t>
        </is>
      </c>
      <c r="G82" s="13" t="inlineStr">
        <is>
          <t>Unit Rate (Rs)</t>
        </is>
      </c>
      <c r="H82" s="13" t="inlineStr">
        <is>
          <t>Say Rate (Rs)</t>
        </is>
      </c>
      <c r="I82" s="13" t="inlineStr">
        <is>
          <t>A-Total (Rs)</t>
        </is>
      </c>
    </row>
    <row r="83" ht="20" customHeight="1">
      <c r="A83" s="72" t="inlineStr">
        <is>
          <t>26.1</t>
        </is>
      </c>
      <c r="B83" s="73" t="inlineStr">
        <is>
          <t>Pre-engineered laminate flooring PAC, groove-lock, PE foam underlay, +7% wastage</t>
        </is>
      </c>
      <c r="C83" s="74" t="inlineStr">
        <is>
          <t>sqm</t>
        </is>
      </c>
      <c r="D83" s="74" t="n">
        <v>10</v>
      </c>
      <c r="E83" s="75" t="n">
        <v>7840</v>
      </c>
      <c r="F83" s="74" t="inlineStr">
        <is>
          <t>Full W→X→Y→Z</t>
        </is>
      </c>
      <c r="G83" s="75" t="n">
        <v>1050.2</v>
      </c>
      <c r="H83" s="76" t="n">
        <v>1050.2</v>
      </c>
      <c r="I83" s="75" t="n"/>
    </row>
    <row r="84" ht="20" customHeight="1">
      <c r="A84" s="77" t="inlineStr">
        <is>
          <t>26.5</t>
        </is>
      </c>
      <c r="B84" s="78" t="inlineStr">
        <is>
          <t>AAC block masonry 200mm thick in CM 1:6 (replaces conventional brick)</t>
        </is>
      </c>
      <c r="C84" s="79" t="inlineStr">
        <is>
          <t>sqm</t>
        </is>
      </c>
      <c r="D84" s="79" t="n">
        <v>10</v>
      </c>
      <c r="E84" s="80" t="n">
        <v>4620</v>
      </c>
      <c r="F84" s="79" t="inlineStr">
        <is>
          <t>Full W→X→Y→Z</t>
        </is>
      </c>
      <c r="G84" s="80" t="n">
        <v>619</v>
      </c>
      <c r="H84" s="81" t="n">
        <v>619</v>
      </c>
      <c r="I84" s="80" t="n"/>
    </row>
    <row r="85" ht="20" customHeight="1">
      <c r="A85" s="72" t="inlineStr">
        <is>
          <t>C-26.03</t>
        </is>
      </c>
      <c r="B85" s="73" t="inlineStr">
        <is>
          <t>(Available for new custom item)</t>
        </is>
      </c>
      <c r="C85" s="74" t="inlineStr">
        <is>
          <t>sqm</t>
        </is>
      </c>
      <c r="D85" s="74" t="n">
        <v>10</v>
      </c>
      <c r="E85" s="75" t="n"/>
      <c r="F85" s="74" t="inlineStr">
        <is>
          <t>Full W→X→Y→Z</t>
        </is>
      </c>
      <c r="G85" s="75" t="n"/>
      <c r="H85" s="76" t="n"/>
      <c r="I85" s="75" t="n"/>
    </row>
    <row r="86" ht="20" customHeight="1">
      <c r="A86" s="77" t="inlineStr">
        <is>
          <t>C-26.04</t>
        </is>
      </c>
      <c r="B86" s="78" t="inlineStr">
        <is>
          <t>(Available for new custom item)</t>
        </is>
      </c>
      <c r="C86" s="79" t="inlineStr">
        <is>
          <t>sqm</t>
        </is>
      </c>
      <c r="D86" s="79" t="n">
        <v>10</v>
      </c>
      <c r="E86" s="80" t="n"/>
      <c r="F86" s="79" t="inlineStr">
        <is>
          <t>Full W→X→Y→Z</t>
        </is>
      </c>
      <c r="G86" s="80" t="n"/>
      <c r="H86" s="81" t="n"/>
      <c r="I86" s="80" t="n"/>
    </row>
    <row r="87" ht="20" customHeight="1">
      <c r="A87" s="72" t="inlineStr">
        <is>
          <t>C-26.05</t>
        </is>
      </c>
      <c r="B87" s="73" t="inlineStr">
        <is>
          <t>(Available for new custom item)</t>
        </is>
      </c>
      <c r="C87" s="74" t="inlineStr">
        <is>
          <t>sqm</t>
        </is>
      </c>
      <c r="D87" s="74" t="n">
        <v>10</v>
      </c>
      <c r="E87" s="75" t="n"/>
      <c r="F87" s="74" t="inlineStr">
        <is>
          <t>Full W→X→Y→Z</t>
        </is>
      </c>
      <c r="G87" s="75" t="n"/>
      <c r="H87" s="76" t="n"/>
      <c r="I87" s="75" t="n"/>
    </row>
    <row r="88" ht="20" customHeight="1">
      <c r="A88" s="77" t="inlineStr">
        <is>
          <t>C-26.06</t>
        </is>
      </c>
      <c r="B88" s="78" t="inlineStr">
        <is>
          <t>(Available for new custom item)</t>
        </is>
      </c>
      <c r="C88" s="79" t="inlineStr">
        <is>
          <t>sqm</t>
        </is>
      </c>
      <c r="D88" s="79" t="n">
        <v>10</v>
      </c>
      <c r="E88" s="80" t="n"/>
      <c r="F88" s="79" t="inlineStr">
        <is>
          <t>Full W→X→Y→Z</t>
        </is>
      </c>
      <c r="G88" s="80" t="n"/>
      <c r="H88" s="81" t="n"/>
      <c r="I88" s="80" t="n"/>
    </row>
    <row r="89" ht="20" customHeight="1">
      <c r="A89" s="72" t="inlineStr">
        <is>
          <t>C-26.07</t>
        </is>
      </c>
      <c r="B89" s="73" t="inlineStr">
        <is>
          <t>(Available for new custom item)</t>
        </is>
      </c>
      <c r="C89" s="74" t="inlineStr">
        <is>
          <t>sqm</t>
        </is>
      </c>
      <c r="D89" s="74" t="n">
        <v>10</v>
      </c>
      <c r="E89" s="75" t="n"/>
      <c r="F89" s="74" t="inlineStr">
        <is>
          <t>Full W→X→Y→Z</t>
        </is>
      </c>
      <c r="G89" s="75" t="n"/>
      <c r="H89" s="76" t="n"/>
      <c r="I89" s="75" t="n"/>
    </row>
    <row r="90" ht="20" customHeight="1">
      <c r="A90" s="77" t="inlineStr">
        <is>
          <t>C-26.08</t>
        </is>
      </c>
      <c r="B90" s="78" t="inlineStr">
        <is>
          <t>(Available for new custom item)</t>
        </is>
      </c>
      <c r="C90" s="79" t="inlineStr">
        <is>
          <t>sqm</t>
        </is>
      </c>
      <c r="D90" s="79" t="n">
        <v>10</v>
      </c>
      <c r="E90" s="80" t="n"/>
      <c r="F90" s="79" t="inlineStr">
        <is>
          <t>Full W→X→Y→Z</t>
        </is>
      </c>
      <c r="G90" s="80" t="n"/>
      <c r="H90" s="81" t="n"/>
      <c r="I90" s="80" t="n"/>
    </row>
  </sheetData>
  <sheetProtection selectLockedCells="0" selectUnlockedCells="0" sheet="1" objects="0" insertRows="1" insertHyperlinks="1" autoFilter="1" scenarios="0" formatColumns="1" deleteColumns="1" insertColumns="1" pivotTables="1" deleteRows="1" formatCells="1" formatRows="1" sort="1"/>
  <mergeCells count="30">
    <mergeCell ref="E21:I21"/>
    <mergeCell ref="A65:I65"/>
    <mergeCell ref="E12:I12"/>
    <mergeCell ref="B17:G17"/>
    <mergeCell ref="A80:I80"/>
    <mergeCell ref="A18:I18"/>
    <mergeCell ref="A3:I3"/>
    <mergeCell ref="E23:I23"/>
    <mergeCell ref="E14:I14"/>
    <mergeCell ref="A26:I26"/>
    <mergeCell ref="E20:I20"/>
    <mergeCell ref="E10:I10"/>
    <mergeCell ref="E13:I13"/>
    <mergeCell ref="E19:I19"/>
    <mergeCell ref="A8:I8"/>
    <mergeCell ref="A53:I53"/>
    <mergeCell ref="A62:I62"/>
    <mergeCell ref="E9:I9"/>
    <mergeCell ref="A38:F38"/>
    <mergeCell ref="A52:F52"/>
    <mergeCell ref="A81:I81"/>
    <mergeCell ref="E15:I15"/>
    <mergeCell ref="A40:I40"/>
    <mergeCell ref="E11:I11"/>
    <mergeCell ref="A39:F39"/>
    <mergeCell ref="A24:I24"/>
    <mergeCell ref="A1:I1"/>
    <mergeCell ref="A61:F61"/>
    <mergeCell ref="E22:I22"/>
    <mergeCell ref="A78:I78"/>
  </mergeCells>
  <dataValidations count="6">
    <dataValidation sqref="C68 C70 C72 C74"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Rates_Master code (WB1)" prompt="Type a Rates_Master code (numeric, e.g. 0123) from WB1, or enter a Vol.1 item reference such as 3.4 for Mortars. The LOOKUP columns fetch description, unit and rate from WB1 automatically when both workbooks are open in the same folder." type="whole" operator="greaterThan">
      <formula1>0</formula1>
    </dataValidation>
    <dataValidation sqref="B10" showDropDown="0" showInputMessage="0" showErrorMessage="0" allowBlank="1" type="list">
      <formula1>"Pre-engineered laminate flooring (7776),Autoclaved aerated concrete (AAC) blocks (8210-8212),Glass fibre reinforced concrete (GFRC) panels,EPS / PIR insulation boards (8515-8520 series),Solar PV system (8580-8596),Structural insulated panel (SIP)"</formula1>
    </dataValidation>
    <dataValidation sqref="B11" showDropDown="0" showInputMessage="0" showErrorMessage="0" allowBlank="1" type="list">
      <formula1>"5% (standard rectangular rooms),7% (boards/sheets),10% (complex cuts / diagonal laying),0% (prefab exact cut)"</formula1>
    </dataValidation>
    <dataValidation sqref="B12" showDropDown="0" showInputMessage="0" showErrorMessage="0" allowBlank="1" type="list">
      <formula1>"Specialist sub-contractor (specialist codes),CPWD departmental labour (Beldar / Skilled)"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2026-09-08T21:45:28Z</dcterms:created>
  <dcterms:modified xmlns:dcterms="http://purl.org/dc/terms/" xmlns:xsi="http://www.w3.org/2001/XMLSchema-instance" xsi:type="dcterms:W3CDTF">2026-09-08T21:45:28Z</dcterms:modified>
</cp:coreProperties>
</file>